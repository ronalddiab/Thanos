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O:\HLP Report\HLP 2022\"/>
    </mc:Choice>
  </mc:AlternateContent>
  <xr:revisionPtr revIDLastSave="0" documentId="13_ncr:1_{A533704F-B030-42F4-BB60-5B2AE36BEEA4}" xr6:coauthVersionLast="47" xr6:coauthVersionMax="47" xr10:uidLastSave="{00000000-0000-0000-0000-000000000000}"/>
  <bookViews>
    <workbookView xWindow="-120" yWindow="-120" windowWidth="20730" windowHeight="11160" tabRatio="915" activeTab="3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'14'!$A$1:$M$190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'30'!$A$1:$J$190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50" i="12" l="1"/>
  <c r="E51" i="12"/>
  <c r="E52" i="12"/>
  <c r="E53" i="12"/>
  <c r="E54" i="12"/>
  <c r="E55" i="12"/>
  <c r="E56" i="12"/>
  <c r="E57" i="12"/>
  <c r="E58" i="12"/>
  <c r="E50" i="11" l="1"/>
  <c r="E51" i="11"/>
  <c r="E52" i="11"/>
  <c r="E53" i="11"/>
  <c r="E54" i="11"/>
  <c r="E55" i="11"/>
  <c r="E56" i="11"/>
  <c r="E57" i="11"/>
  <c r="E58" i="11"/>
  <c r="E36" i="11"/>
  <c r="E37" i="11"/>
  <c r="E38" i="11"/>
  <c r="E39" i="11"/>
  <c r="E40" i="11"/>
  <c r="E41" i="11"/>
  <c r="E42" i="11"/>
  <c r="E43" i="11"/>
  <c r="E44" i="11"/>
  <c r="E45" i="11"/>
  <c r="E46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29" i="11"/>
  <c r="E130" i="11"/>
  <c r="E131" i="11"/>
  <c r="E132" i="11"/>
  <c r="E133" i="11"/>
  <c r="E134" i="11"/>
  <c r="E156" i="10"/>
  <c r="G156" i="10" s="1"/>
  <c r="E157" i="10"/>
  <c r="G157" i="10" s="1"/>
  <c r="E158" i="10"/>
  <c r="G158" i="10" s="1"/>
  <c r="E8" i="10"/>
  <c r="E9" i="10"/>
  <c r="E10" i="10"/>
  <c r="E11" i="10"/>
  <c r="E12" i="10"/>
  <c r="E113" i="9"/>
  <c r="E114" i="9"/>
  <c r="E115" i="9"/>
  <c r="E116" i="9"/>
  <c r="E117" i="9"/>
  <c r="E118" i="9"/>
  <c r="E119" i="9"/>
  <c r="E120" i="9"/>
  <c r="E121" i="9"/>
  <c r="E122" i="9"/>
  <c r="E123" i="9"/>
  <c r="E41" i="5"/>
  <c r="E58" i="5"/>
  <c r="E54" i="5"/>
  <c r="E42" i="4"/>
  <c r="O86" i="3"/>
  <c r="E158" i="3"/>
  <c r="E55" i="31" l="1"/>
  <c r="G157" i="43" l="1"/>
  <c r="G158" i="43"/>
  <c r="G112" i="30" l="1"/>
  <c r="E66" i="28" l="1"/>
  <c r="E67" i="28"/>
  <c r="E68" i="28"/>
  <c r="E69" i="28"/>
  <c r="E70" i="28"/>
  <c r="E8" i="27" l="1"/>
  <c r="E9" i="27"/>
  <c r="E10" i="27"/>
  <c r="E11" i="27"/>
  <c r="E12" i="27"/>
  <c r="E156" i="40"/>
  <c r="E157" i="40"/>
  <c r="E158" i="40"/>
  <c r="E129" i="25"/>
  <c r="E130" i="25"/>
  <c r="E131" i="25"/>
  <c r="E132" i="25"/>
  <c r="E133" i="25"/>
  <c r="E134" i="25"/>
  <c r="E36" i="40"/>
  <c r="E37" i="40"/>
  <c r="E38" i="40"/>
  <c r="E39" i="40"/>
  <c r="E40" i="40"/>
  <c r="E41" i="40"/>
  <c r="E42" i="40"/>
  <c r="E43" i="40"/>
  <c r="E44" i="40"/>
  <c r="E45" i="40"/>
  <c r="E46" i="40"/>
  <c r="E8" i="40"/>
  <c r="E9" i="40"/>
  <c r="E10" i="40"/>
  <c r="E11" i="40"/>
  <c r="E12" i="40"/>
  <c r="E156" i="25"/>
  <c r="E157" i="25"/>
  <c r="E158" i="25"/>
  <c r="E157" i="23"/>
  <c r="G157" i="23" s="1"/>
  <c r="E158" i="23"/>
  <c r="G158" i="23" s="1"/>
  <c r="E157" i="24"/>
  <c r="E158" i="24"/>
  <c r="E132" i="22"/>
  <c r="E75" i="21" l="1"/>
  <c r="E40" i="21"/>
  <c r="E149" i="20" l="1"/>
  <c r="G9" i="50"/>
  <c r="E12" i="19"/>
  <c r="E11" i="19"/>
  <c r="G11" i="19" l="1"/>
  <c r="E132" i="18"/>
  <c r="E158" i="19"/>
  <c r="G158" i="19" s="1"/>
  <c r="E15" i="17"/>
  <c r="E157" i="16" l="1"/>
  <c r="E158" i="16"/>
  <c r="E150" i="16"/>
  <c r="G157" i="15" l="1"/>
  <c r="G158" i="15"/>
  <c r="G157" i="14" l="1"/>
  <c r="G158" i="14"/>
  <c r="G158" i="13" l="1"/>
  <c r="H158" i="13" s="1"/>
  <c r="G157" i="13"/>
  <c r="H157" i="13" s="1"/>
  <c r="J157" i="13" l="1"/>
  <c r="H157" i="14"/>
  <c r="J158" i="13"/>
  <c r="H158" i="14"/>
  <c r="E36" i="12"/>
  <c r="E37" i="12"/>
  <c r="E38" i="12"/>
  <c r="E39" i="12"/>
  <c r="E40" i="12"/>
  <c r="E41" i="12"/>
  <c r="E42" i="12"/>
  <c r="E43" i="12"/>
  <c r="E44" i="12"/>
  <c r="E45" i="12"/>
  <c r="E46" i="12"/>
  <c r="J159" i="33"/>
  <c r="E156" i="33"/>
  <c r="E157" i="33"/>
  <c r="G157" i="33" s="1"/>
  <c r="E158" i="33"/>
  <c r="G158" i="33" s="1"/>
  <c r="E157" i="5"/>
  <c r="G157" i="5" s="1"/>
  <c r="H157" i="5" s="1"/>
  <c r="J157" i="5" s="1"/>
  <c r="E158" i="5"/>
  <c r="G158" i="5" s="1"/>
  <c r="H158" i="5" s="1"/>
  <c r="J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4" i="2"/>
  <c r="G158" i="2"/>
  <c r="G157" i="2"/>
  <c r="J158" i="14" l="1"/>
  <c r="H158" i="15"/>
  <c r="J158" i="15" s="1"/>
  <c r="J157" i="14"/>
  <c r="H157" i="15"/>
  <c r="J157" i="15" s="1"/>
  <c r="H157" i="33"/>
  <c r="J157" i="33" s="1"/>
  <c r="H158" i="33"/>
  <c r="J158" i="33" s="1"/>
  <c r="E156" i="31"/>
  <c r="G156" i="31" s="1"/>
  <c r="E157" i="31"/>
  <c r="G157" i="31" s="1"/>
  <c r="E158" i="31"/>
  <c r="G158" i="31" s="1"/>
  <c r="E139" i="43"/>
  <c r="E140" i="43"/>
  <c r="E141" i="43"/>
  <c r="E142" i="43"/>
  <c r="E143" i="43"/>
  <c r="E144" i="43"/>
  <c r="E145" i="43"/>
  <c r="E146" i="43"/>
  <c r="E147" i="43"/>
  <c r="E148" i="43"/>
  <c r="E149" i="43"/>
  <c r="E150" i="43"/>
  <c r="E151" i="43"/>
  <c r="E152" i="43"/>
  <c r="E36" i="43"/>
  <c r="E37" i="43"/>
  <c r="E38" i="43"/>
  <c r="E39" i="43"/>
  <c r="E40" i="43"/>
  <c r="E41" i="43"/>
  <c r="E42" i="43"/>
  <c r="E43" i="43"/>
  <c r="E44" i="43"/>
  <c r="E45" i="43"/>
  <c r="E46" i="43"/>
  <c r="E157" i="30" l="1"/>
  <c r="G157" i="30" s="1"/>
  <c r="H157" i="30" s="1"/>
  <c r="E158" i="30"/>
  <c r="G158" i="30" s="1"/>
  <c r="H158" i="30" s="1"/>
  <c r="G157" i="29"/>
  <c r="G158" i="29"/>
  <c r="G157" i="24"/>
  <c r="G158" i="24"/>
  <c r="E156" i="28"/>
  <c r="G156" i="28" s="1"/>
  <c r="E157" i="28"/>
  <c r="G157" i="28" s="1"/>
  <c r="E158" i="28"/>
  <c r="G158" i="28" s="1"/>
  <c r="E36" i="28"/>
  <c r="E37" i="28"/>
  <c r="E38" i="28"/>
  <c r="E39" i="28"/>
  <c r="E40" i="28"/>
  <c r="E41" i="28"/>
  <c r="E42" i="28"/>
  <c r="E43" i="28"/>
  <c r="E44" i="28"/>
  <c r="E45" i="28"/>
  <c r="E46" i="28"/>
  <c r="G157" i="40"/>
  <c r="G158" i="40"/>
  <c r="E156" i="27"/>
  <c r="G156" i="27" s="1"/>
  <c r="E157" i="27"/>
  <c r="G157" i="27" s="1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G156" i="25"/>
  <c r="E75" i="25"/>
  <c r="E76" i="25"/>
  <c r="E77" i="25"/>
  <c r="E78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6" i="20"/>
  <c r="G156" i="20" s="1"/>
  <c r="E157" i="20"/>
  <c r="G157" i="20" s="1"/>
  <c r="E158" i="20"/>
  <c r="G158" i="20" s="1"/>
  <c r="E156" i="19"/>
  <c r="G156" i="19" s="1"/>
  <c r="E157" i="19"/>
  <c r="G157" i="19" s="1"/>
  <c r="F191" i="18"/>
  <c r="E157" i="18"/>
  <c r="G157" i="18" s="1"/>
  <c r="E158" i="18"/>
  <c r="G158" i="18" s="1"/>
  <c r="E156" i="17"/>
  <c r="E157" i="17"/>
  <c r="G157" i="17" s="1"/>
  <c r="E158" i="17"/>
  <c r="G158" i="17" s="1"/>
  <c r="H158" i="43" l="1"/>
  <c r="J158" i="30"/>
  <c r="H157" i="43"/>
  <c r="J157" i="30"/>
  <c r="H158" i="22"/>
  <c r="H157" i="22"/>
  <c r="G158" i="16"/>
  <c r="H158" i="16" s="1"/>
  <c r="J158" i="16" s="1"/>
  <c r="G157" i="16"/>
  <c r="H157" i="16" s="1"/>
  <c r="J157" i="16" s="1"/>
  <c r="G15" i="15"/>
  <c r="J157" i="43" l="1"/>
  <c r="H157" i="31"/>
  <c r="J158" i="43"/>
  <c r="H158" i="31"/>
  <c r="J157" i="22"/>
  <c r="H157" i="23"/>
  <c r="J158" i="22"/>
  <c r="H158" i="23"/>
  <c r="H157" i="17"/>
  <c r="H158" i="17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J158" i="23" l="1"/>
  <c r="H158" i="24"/>
  <c r="J157" i="23"/>
  <c r="H157" i="24"/>
  <c r="J158" i="17"/>
  <c r="H158" i="18"/>
  <c r="J157" i="17"/>
  <c r="H157" i="18"/>
  <c r="E121" i="33"/>
  <c r="E49" i="33"/>
  <c r="E134" i="4"/>
  <c r="G190" i="2"/>
  <c r="G190" i="43"/>
  <c r="I7" i="30"/>
  <c r="E180" i="24"/>
  <c r="E129" i="24"/>
  <c r="E56" i="24"/>
  <c r="E40" i="24"/>
  <c r="E39" i="24"/>
  <c r="E37" i="24"/>
  <c r="E35" i="24"/>
  <c r="E130" i="24"/>
  <c r="E130" i="23"/>
  <c r="G130" i="23" s="1"/>
  <c r="E120" i="23"/>
  <c r="E113" i="23"/>
  <c r="E63" i="23"/>
  <c r="E55" i="23"/>
  <c r="E56" i="23"/>
  <c r="E57" i="23"/>
  <c r="E58" i="23"/>
  <c r="E49" i="23"/>
  <c r="E178" i="21"/>
  <c r="F190" i="20"/>
  <c r="F190" i="19"/>
  <c r="H191" i="18"/>
  <c r="I191" i="18" s="1"/>
  <c r="K191" i="18" s="1"/>
  <c r="E145" i="18"/>
  <c r="E146" i="18"/>
  <c r="E114" i="18"/>
  <c r="H191" i="17"/>
  <c r="I191" i="17" s="1"/>
  <c r="K191" i="17" s="1"/>
  <c r="P15" i="17"/>
  <c r="O7" i="16"/>
  <c r="J157" i="24" l="1"/>
  <c r="H157" i="25"/>
  <c r="H157" i="40" s="1"/>
  <c r="H157" i="27" s="1"/>
  <c r="H157" i="28" s="1"/>
  <c r="J158" i="24"/>
  <c r="H158" i="25"/>
  <c r="H158" i="40" s="1"/>
  <c r="H158" i="27" s="1"/>
  <c r="H158" i="28" s="1"/>
  <c r="J157" i="18"/>
  <c r="H157" i="19"/>
  <c r="J157" i="19" s="1"/>
  <c r="J158" i="18"/>
  <c r="H158" i="19"/>
  <c r="J158" i="19" s="1"/>
  <c r="H190" i="20"/>
  <c r="I190" i="20" s="1"/>
  <c r="K190" i="20" s="1"/>
  <c r="H190" i="19"/>
  <c r="I190" i="19" s="1"/>
  <c r="K190" i="19" s="1"/>
  <c r="E134" i="10" l="1"/>
  <c r="E146" i="33" l="1"/>
  <c r="E155" i="5"/>
  <c r="E149" i="4"/>
  <c r="E150" i="4"/>
  <c r="E151" i="4"/>
  <c r="E152" i="4"/>
  <c r="E69" i="3"/>
  <c r="E155" i="3"/>
  <c r="G134" i="2"/>
  <c r="G37" i="2"/>
  <c r="G18" i="2"/>
  <c r="E31" i="2" s="1"/>
  <c r="E90" i="31" l="1"/>
  <c r="G90" i="31" s="1"/>
  <c r="B30" i="48"/>
  <c r="H30" i="48"/>
  <c r="B22" i="48"/>
  <c r="G56" i="23"/>
  <c r="E155" i="23"/>
  <c r="E39" i="22" l="1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36" i="21"/>
  <c r="E37" i="21"/>
  <c r="E38" i="21"/>
  <c r="E39" i="21"/>
  <c r="E41" i="21"/>
  <c r="E42" i="21"/>
  <c r="E43" i="21"/>
  <c r="E44" i="21"/>
  <c r="E45" i="21"/>
  <c r="E46" i="21"/>
  <c r="E184" i="20"/>
  <c r="E185" i="20"/>
  <c r="E183" i="20"/>
  <c r="E179" i="20"/>
  <c r="E180" i="20"/>
  <c r="E178" i="20"/>
  <c r="E174" i="20"/>
  <c r="E175" i="20"/>
  <c r="E173" i="20"/>
  <c r="E162" i="20"/>
  <c r="E163" i="20"/>
  <c r="E164" i="20"/>
  <c r="E165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3" i="20"/>
  <c r="E114" i="20"/>
  <c r="E115" i="20"/>
  <c r="E116" i="20"/>
  <c r="E117" i="20"/>
  <c r="E118" i="20"/>
  <c r="E119" i="20"/>
  <c r="E120" i="20"/>
  <c r="E121" i="20"/>
  <c r="E122" i="20"/>
  <c r="E123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7" i="20"/>
  <c r="E58" i="20"/>
  <c r="E49" i="20"/>
  <c r="E36" i="20"/>
  <c r="E37" i="20"/>
  <c r="E38" i="20"/>
  <c r="E39" i="20"/>
  <c r="E40" i="20"/>
  <c r="E41" i="20"/>
  <c r="E42" i="20"/>
  <c r="E43" i="20"/>
  <c r="E44" i="20"/>
  <c r="E45" i="20"/>
  <c r="E46" i="20"/>
  <c r="E35" i="20"/>
  <c r="E23" i="20"/>
  <c r="E24" i="20"/>
  <c r="E22" i="20"/>
  <c r="E11" i="20"/>
  <c r="E12" i="20"/>
  <c r="E57" i="19"/>
  <c r="E84" i="17" l="1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 l="1"/>
  <c r="G2" i="48"/>
  <c r="E155" i="4"/>
  <c r="O11" i="3" l="1"/>
  <c r="O11" i="2" l="1"/>
  <c r="E79" i="25" l="1"/>
  <c r="E155" i="31"/>
  <c r="G155" i="31" s="1"/>
  <c r="G156" i="43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G156" i="40"/>
  <c r="E155" i="40"/>
  <c r="G155" i="40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E156" i="15"/>
  <c r="G156" i="15" s="1"/>
  <c r="E155" i="15"/>
  <c r="G155" i="15" s="1"/>
  <c r="G156" i="14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5"/>
  <c r="G155" i="4"/>
  <c r="G156" i="3"/>
  <c r="H156" i="3" s="1"/>
  <c r="J156" i="3" s="1"/>
  <c r="G155" i="3"/>
  <c r="H155" i="3" s="1"/>
  <c r="J155" i="3" s="1"/>
  <c r="G156" i="2"/>
  <c r="G155" i="2"/>
  <c r="J156" i="2"/>
  <c r="J155" i="2"/>
  <c r="G159" i="14" l="1"/>
  <c r="G159" i="13"/>
  <c r="G159" i="16"/>
  <c r="G159" i="15"/>
  <c r="G159" i="17"/>
  <c r="H159" i="17" s="1"/>
  <c r="J159" i="17" s="1"/>
  <c r="H156" i="4"/>
  <c r="H156" i="5" s="1"/>
  <c r="H156" i="33" s="1"/>
  <c r="J156" i="33" s="1"/>
  <c r="H155" i="4"/>
  <c r="H155" i="5" s="1"/>
  <c r="H155" i="33" s="1"/>
  <c r="G155" i="20"/>
  <c r="V5" i="1"/>
  <c r="E152" i="31"/>
  <c r="G152" i="31" s="1"/>
  <c r="E151" i="31"/>
  <c r="G151" i="31" s="1"/>
  <c r="Z35" i="44" s="1"/>
  <c r="E150" i="31"/>
  <c r="G150" i="31" s="1"/>
  <c r="E149" i="31"/>
  <c r="G149" i="31" s="1"/>
  <c r="E148" i="31"/>
  <c r="G148" i="31" s="1"/>
  <c r="W35" i="44" s="1"/>
  <c r="E147" i="31"/>
  <c r="G147" i="31" s="1"/>
  <c r="V35" i="44" s="1"/>
  <c r="E146" i="31"/>
  <c r="G146" i="31" s="1"/>
  <c r="T35" i="44" s="1"/>
  <c r="E145" i="31"/>
  <c r="G145" i="31" s="1"/>
  <c r="S35" i="44" s="1"/>
  <c r="E144" i="31"/>
  <c r="G144" i="31" s="1"/>
  <c r="U35" i="44" s="1"/>
  <c r="E143" i="31"/>
  <c r="G143" i="31" s="1"/>
  <c r="X35" i="44" s="1"/>
  <c r="E134" i="43"/>
  <c r="G134" i="43" s="1"/>
  <c r="E134" i="31"/>
  <c r="G134" i="31" s="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E152" i="30"/>
  <c r="G152" i="30" s="1"/>
  <c r="E151" i="30"/>
  <c r="G151" i="30" s="1"/>
  <c r="Z33" i="44" s="1"/>
  <c r="E150" i="30"/>
  <c r="G150" i="30" s="1"/>
  <c r="E149" i="30"/>
  <c r="G149" i="30" s="1"/>
  <c r="E148" i="30"/>
  <c r="G148" i="30" s="1"/>
  <c r="W33" i="44" s="1"/>
  <c r="E147" i="30"/>
  <c r="G147" i="30" s="1"/>
  <c r="V33" i="44" s="1"/>
  <c r="E146" i="30"/>
  <c r="G146" i="30" s="1"/>
  <c r="T33" i="44" s="1"/>
  <c r="E145" i="30"/>
  <c r="G145" i="30" s="1"/>
  <c r="S33" i="44" s="1"/>
  <c r="E144" i="30"/>
  <c r="G144" i="30" s="1"/>
  <c r="U33" i="44" s="1"/>
  <c r="E143" i="30"/>
  <c r="G143" i="30" s="1"/>
  <c r="X33" i="44" s="1"/>
  <c r="E134" i="30"/>
  <c r="G134" i="30" s="1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E152" i="27"/>
  <c r="G152" i="27" s="1"/>
  <c r="E151" i="27"/>
  <c r="G151" i="27" s="1"/>
  <c r="Z30" i="44" s="1"/>
  <c r="E150" i="27"/>
  <c r="G150" i="27" s="1"/>
  <c r="E149" i="27"/>
  <c r="G149" i="27" s="1"/>
  <c r="E148" i="27"/>
  <c r="G148" i="27" s="1"/>
  <c r="W30" i="44" s="1"/>
  <c r="E147" i="27"/>
  <c r="G147" i="27" s="1"/>
  <c r="V30" i="44" s="1"/>
  <c r="E146" i="27"/>
  <c r="G146" i="27" s="1"/>
  <c r="T30" i="44" s="1"/>
  <c r="E145" i="27"/>
  <c r="G145" i="27" s="1"/>
  <c r="S30" i="44" s="1"/>
  <c r="E144" i="27"/>
  <c r="G144" i="27" s="1"/>
  <c r="U30" i="44" s="1"/>
  <c r="E143" i="27"/>
  <c r="G143" i="27" s="1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E151" i="25"/>
  <c r="G151" i="25" s="1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G134" i="25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E134" i="24"/>
  <c r="G134" i="24" s="1"/>
  <c r="J156" i="4" l="1"/>
  <c r="J156" i="5"/>
  <c r="J155" i="4"/>
  <c r="J155" i="33"/>
  <c r="H155" i="7"/>
  <c r="J155" i="5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G146" i="18"/>
  <c r="T21" i="44" s="1"/>
  <c r="G145" i="18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E152" i="15"/>
  <c r="G152" i="15" s="1"/>
  <c r="E151" i="15"/>
  <c r="G151" i="15" s="1"/>
  <c r="Z18" i="44" s="1"/>
  <c r="E150" i="15"/>
  <c r="G150" i="15" s="1"/>
  <c r="E149" i="15"/>
  <c r="G149" i="15" s="1"/>
  <c r="E148" i="15"/>
  <c r="G148" i="15" s="1"/>
  <c r="W18" i="44" s="1"/>
  <c r="E147" i="15"/>
  <c r="G147" i="15" s="1"/>
  <c r="V18" i="44" s="1"/>
  <c r="E146" i="15"/>
  <c r="G146" i="15" s="1"/>
  <c r="T18" i="44" s="1"/>
  <c r="E145" i="15"/>
  <c r="G145" i="15" s="1"/>
  <c r="S18" i="44" s="1"/>
  <c r="E144" i="15"/>
  <c r="G144" i="15" s="1"/>
  <c r="U18" i="44" s="1"/>
  <c r="E143" i="15"/>
  <c r="G143" i="15" s="1"/>
  <c r="X18" i="44" s="1"/>
  <c r="E134" i="15"/>
  <c r="G134" i="15" s="1"/>
  <c r="E152" i="14"/>
  <c r="G152" i="14" s="1"/>
  <c r="E151" i="14"/>
  <c r="G151" i="14" s="1"/>
  <c r="Z17" i="44" s="1"/>
  <c r="E150" i="14"/>
  <c r="G150" i="14" s="1"/>
  <c r="G149" i="14"/>
  <c r="E148" i="14"/>
  <c r="G148" i="14" s="1"/>
  <c r="W17" i="44" s="1"/>
  <c r="E147" i="14"/>
  <c r="G147" i="14" s="1"/>
  <c r="V17" i="44" s="1"/>
  <c r="E146" i="14"/>
  <c r="G146" i="14" s="1"/>
  <c r="T17" i="44" s="1"/>
  <c r="E145" i="14"/>
  <c r="G145" i="14" s="1"/>
  <c r="S17" i="44" s="1"/>
  <c r="E144" i="14"/>
  <c r="G144" i="14" s="1"/>
  <c r="U17" i="44" s="1"/>
  <c r="E143" i="14"/>
  <c r="G143" i="14" s="1"/>
  <c r="X17" i="44" s="1"/>
  <c r="G134" i="14"/>
  <c r="G152" i="13"/>
  <c r="G151" i="13"/>
  <c r="Z16" i="44" s="1"/>
  <c r="G150" i="13"/>
  <c r="G149" i="13"/>
  <c r="G148" i="13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G152" i="11"/>
  <c r="G151" i="11"/>
  <c r="Z14" i="44" s="1"/>
  <c r="G150" i="11"/>
  <c r="G149" i="11"/>
  <c r="G148" i="11"/>
  <c r="W14" i="44" s="1"/>
  <c r="G147" i="11"/>
  <c r="V14" i="44" s="1"/>
  <c r="G146" i="11"/>
  <c r="T14" i="44" s="1"/>
  <c r="G145" i="11"/>
  <c r="S14" i="44" s="1"/>
  <c r="G144" i="11"/>
  <c r="U14" i="44" s="1"/>
  <c r="G143" i="11"/>
  <c r="X14" i="44" s="1"/>
  <c r="G134" i="11"/>
  <c r="E152" i="10"/>
  <c r="G152" i="10" s="1"/>
  <c r="E151" i="10"/>
  <c r="G151" i="10" s="1"/>
  <c r="Z13" i="44" s="1"/>
  <c r="E150" i="10"/>
  <c r="G150" i="10" s="1"/>
  <c r="E149" i="10"/>
  <c r="G149" i="10" s="1"/>
  <c r="E148" i="10"/>
  <c r="G148" i="10" s="1"/>
  <c r="W13" i="44" s="1"/>
  <c r="E147" i="10"/>
  <c r="G147" i="10" s="1"/>
  <c r="V13" i="44" s="1"/>
  <c r="E146" i="10"/>
  <c r="G146" i="10" s="1"/>
  <c r="T13" i="44" s="1"/>
  <c r="E145" i="10"/>
  <c r="G145" i="10" s="1"/>
  <c r="S13" i="44" s="1"/>
  <c r="E144" i="10"/>
  <c r="G144" i="10" s="1"/>
  <c r="U13" i="44" s="1"/>
  <c r="E143" i="10"/>
  <c r="G143" i="10" s="1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9" i="31"/>
  <c r="E188" i="31"/>
  <c r="E187" i="31"/>
  <c r="E185" i="31"/>
  <c r="E184" i="31"/>
  <c r="E183" i="31"/>
  <c r="E180" i="31"/>
  <c r="E179" i="31"/>
  <c r="E178" i="31"/>
  <c r="E175" i="31"/>
  <c r="E174" i="31"/>
  <c r="E173" i="31"/>
  <c r="E168" i="31"/>
  <c r="E167" i="31"/>
  <c r="E166" i="31"/>
  <c r="E165" i="31"/>
  <c r="E164" i="31"/>
  <c r="E163" i="31"/>
  <c r="E162" i="31"/>
  <c r="E161" i="31"/>
  <c r="E142" i="31"/>
  <c r="E141" i="31"/>
  <c r="E140" i="31"/>
  <c r="E139" i="31"/>
  <c r="E138" i="31"/>
  <c r="E133" i="31"/>
  <c r="E132" i="31"/>
  <c r="E131" i="31"/>
  <c r="E130" i="31"/>
  <c r="E129" i="31"/>
  <c r="E128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89" i="31"/>
  <c r="E88" i="31"/>
  <c r="E87" i="31"/>
  <c r="E86" i="31"/>
  <c r="E85" i="31"/>
  <c r="E84" i="31"/>
  <c r="E83" i="31"/>
  <c r="E82" i="31"/>
  <c r="E79" i="31"/>
  <c r="E78" i="31"/>
  <c r="E77" i="31"/>
  <c r="E76" i="31"/>
  <c r="E75" i="31"/>
  <c r="E74" i="31"/>
  <c r="E71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24" i="31"/>
  <c r="E23" i="31"/>
  <c r="E22" i="31"/>
  <c r="E12" i="31"/>
  <c r="E11" i="31"/>
  <c r="E185" i="43"/>
  <c r="E184" i="43"/>
  <c r="E183" i="43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2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8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42" i="30"/>
  <c r="E141" i="30"/>
  <c r="E140" i="30"/>
  <c r="E139" i="30"/>
  <c r="E138" i="30"/>
  <c r="E133" i="30"/>
  <c r="E132" i="30"/>
  <c r="E131" i="30"/>
  <c r="E130" i="30"/>
  <c r="E129" i="30"/>
  <c r="E128" i="30"/>
  <c r="E124" i="30"/>
  <c r="E123" i="30"/>
  <c r="E122" i="30"/>
  <c r="E121" i="30"/>
  <c r="E120" i="30"/>
  <c r="E119" i="30"/>
  <c r="E118" i="30"/>
  <c r="E117" i="30"/>
  <c r="E116" i="30"/>
  <c r="E115" i="30"/>
  <c r="E114" i="30"/>
  <c r="E113" i="30"/>
  <c r="G113" i="30" s="1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E12" i="30"/>
  <c r="E11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40" i="29"/>
  <c r="E139" i="29"/>
  <c r="E138" i="29"/>
  <c r="E133" i="29"/>
  <c r="E132" i="29"/>
  <c r="E131" i="29"/>
  <c r="E130" i="29"/>
  <c r="E129" i="29"/>
  <c r="E128" i="29"/>
  <c r="E124" i="29"/>
  <c r="E123" i="29"/>
  <c r="E122" i="29"/>
  <c r="E121" i="29"/>
  <c r="E120" i="29"/>
  <c r="E119" i="29"/>
  <c r="E118" i="29"/>
  <c r="E117" i="29"/>
  <c r="E116" i="29"/>
  <c r="E115" i="29"/>
  <c r="E114" i="29"/>
  <c r="E113" i="29"/>
  <c r="E112" i="29"/>
  <c r="E92" i="29"/>
  <c r="E91" i="29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4" i="29"/>
  <c r="E23" i="29"/>
  <c r="E22" i="29"/>
  <c r="E12" i="29"/>
  <c r="E11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G84" i="28" s="1"/>
  <c r="E83" i="28"/>
  <c r="E82" i="28"/>
  <c r="E79" i="28"/>
  <c r="E78" i="28"/>
  <c r="E77" i="28"/>
  <c r="E76" i="28"/>
  <c r="E75" i="28"/>
  <c r="E74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E23" i="28"/>
  <c r="E22" i="28"/>
  <c r="E12" i="28"/>
  <c r="E11" i="28"/>
  <c r="E189" i="27"/>
  <c r="E188" i="27"/>
  <c r="E187" i="27"/>
  <c r="E185" i="27"/>
  <c r="E184" i="27"/>
  <c r="E183" i="27"/>
  <c r="E180" i="27"/>
  <c r="E179" i="27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42" i="27"/>
  <c r="E141" i="27"/>
  <c r="E140" i="27"/>
  <c r="E139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70" i="27"/>
  <c r="E69" i="27"/>
  <c r="E68" i="27"/>
  <c r="E67" i="27"/>
  <c r="E66" i="27"/>
  <c r="E65" i="27"/>
  <c r="E64" i="27"/>
  <c r="E63" i="27"/>
  <c r="E62" i="27"/>
  <c r="E58" i="27"/>
  <c r="E57" i="27"/>
  <c r="E56" i="27"/>
  <c r="E55" i="27"/>
  <c r="E54" i="27"/>
  <c r="E53" i="27"/>
  <c r="E52" i="27"/>
  <c r="E51" i="27"/>
  <c r="E50" i="27"/>
  <c r="E49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24" i="27"/>
  <c r="E23" i="27"/>
  <c r="E22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G84" i="40" s="1"/>
  <c r="E83" i="40"/>
  <c r="E82" i="40"/>
  <c r="E79" i="40"/>
  <c r="E78" i="40"/>
  <c r="E77" i="40"/>
  <c r="E76" i="40"/>
  <c r="E75" i="40"/>
  <c r="E74" i="40"/>
  <c r="E70" i="40"/>
  <c r="E69" i="40"/>
  <c r="E68" i="40"/>
  <c r="E67" i="40"/>
  <c r="E66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35" i="40"/>
  <c r="E24" i="40"/>
  <c r="E23" i="40"/>
  <c r="E22" i="40"/>
  <c r="E189" i="25"/>
  <c r="E188" i="25"/>
  <c r="E187" i="25"/>
  <c r="E185" i="25"/>
  <c r="E184" i="25"/>
  <c r="E183" i="25"/>
  <c r="E180" i="25"/>
  <c r="E179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2" i="25"/>
  <c r="E11" i="25"/>
  <c r="E175" i="24"/>
  <c r="E185" i="24"/>
  <c r="E184" i="24"/>
  <c r="E183" i="24"/>
  <c r="E179" i="24"/>
  <c r="E178" i="24"/>
  <c r="E174" i="24"/>
  <c r="E173" i="24"/>
  <c r="E168" i="24"/>
  <c r="E167" i="24"/>
  <c r="E166" i="24"/>
  <c r="E165" i="24"/>
  <c r="E164" i="24"/>
  <c r="E163" i="24"/>
  <c r="E162" i="24"/>
  <c r="E161" i="24"/>
  <c r="E140" i="24"/>
  <c r="E139" i="24"/>
  <c r="E138" i="24"/>
  <c r="E133" i="24"/>
  <c r="E132" i="24"/>
  <c r="E131" i="24"/>
  <c r="E128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5" i="24"/>
  <c r="E54" i="24"/>
  <c r="E53" i="24"/>
  <c r="E52" i="24"/>
  <c r="E51" i="24"/>
  <c r="E50" i="24"/>
  <c r="E49" i="24"/>
  <c r="E46" i="24"/>
  <c r="E45" i="24"/>
  <c r="E44" i="24"/>
  <c r="E43" i="24"/>
  <c r="E42" i="24"/>
  <c r="E41" i="24"/>
  <c r="E38" i="24"/>
  <c r="E36" i="24"/>
  <c r="E24" i="24"/>
  <c r="E23" i="24"/>
  <c r="E22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3" i="23"/>
  <c r="E122" i="23"/>
  <c r="E121" i="23"/>
  <c r="E119" i="23"/>
  <c r="E118" i="23"/>
  <c r="E117" i="23"/>
  <c r="E116" i="23"/>
  <c r="E115" i="23"/>
  <c r="E114" i="23"/>
  <c r="E112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4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61" i="22"/>
  <c r="E138" i="22"/>
  <c r="E133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50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E168" i="21"/>
  <c r="E167" i="21"/>
  <c r="E166" i="21"/>
  <c r="G166" i="21" s="1"/>
  <c r="E165" i="21"/>
  <c r="E164" i="21"/>
  <c r="E163" i="21"/>
  <c r="E162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E58" i="21"/>
  <c r="E57" i="21"/>
  <c r="E56" i="21"/>
  <c r="E55" i="21"/>
  <c r="G55" i="21" s="1"/>
  <c r="E54" i="21"/>
  <c r="E53" i="21"/>
  <c r="E52" i="21"/>
  <c r="E51" i="21"/>
  <c r="E50" i="21"/>
  <c r="E49" i="21"/>
  <c r="E35" i="21"/>
  <c r="E24" i="21"/>
  <c r="E23" i="21"/>
  <c r="E22" i="21"/>
  <c r="E12" i="21"/>
  <c r="E11" i="21"/>
  <c r="E185" i="19"/>
  <c r="E184" i="19"/>
  <c r="E183" i="19"/>
  <c r="E180" i="19"/>
  <c r="E179" i="19"/>
  <c r="E178" i="19"/>
  <c r="E175" i="19"/>
  <c r="E174" i="19"/>
  <c r="E173" i="19"/>
  <c r="E168" i="19"/>
  <c r="E167" i="19"/>
  <c r="E166" i="19"/>
  <c r="E165" i="19"/>
  <c r="E164" i="19"/>
  <c r="E163" i="19"/>
  <c r="E162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92" i="19"/>
  <c r="E91" i="19"/>
  <c r="E90" i="19"/>
  <c r="E89" i="19"/>
  <c r="E88" i="19"/>
  <c r="E87" i="19"/>
  <c r="E86" i="19"/>
  <c r="E85" i="19"/>
  <c r="E84" i="19"/>
  <c r="G84" i="19" s="1"/>
  <c r="E83" i="19"/>
  <c r="E82" i="19"/>
  <c r="E79" i="19"/>
  <c r="E78" i="19"/>
  <c r="E77" i="19"/>
  <c r="E76" i="19"/>
  <c r="G76" i="19" s="1"/>
  <c r="E75" i="19"/>
  <c r="E74" i="19"/>
  <c r="G74" i="19" s="1"/>
  <c r="E70" i="19"/>
  <c r="E69" i="19"/>
  <c r="E68" i="19"/>
  <c r="E67" i="19"/>
  <c r="G67" i="19" s="1"/>
  <c r="E66" i="19"/>
  <c r="E65" i="19"/>
  <c r="E64" i="19"/>
  <c r="E63" i="19"/>
  <c r="E62" i="19"/>
  <c r="E58" i="19"/>
  <c r="E56" i="19"/>
  <c r="E55" i="19"/>
  <c r="E54" i="19"/>
  <c r="E53" i="19"/>
  <c r="E52" i="19"/>
  <c r="E51" i="19"/>
  <c r="E50" i="19"/>
  <c r="E49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23" i="19"/>
  <c r="G23" i="19" s="1"/>
  <c r="E22" i="19"/>
  <c r="H124" i="18"/>
  <c r="H124" i="19" s="1"/>
  <c r="E174" i="18"/>
  <c r="E185" i="18"/>
  <c r="E184" i="18"/>
  <c r="E183" i="18"/>
  <c r="E180" i="18"/>
  <c r="E179" i="18"/>
  <c r="E178" i="18"/>
  <c r="E175" i="18"/>
  <c r="E173" i="18"/>
  <c r="E165" i="18"/>
  <c r="E164" i="18"/>
  <c r="E163" i="18"/>
  <c r="E162" i="18"/>
  <c r="E161" i="18"/>
  <c r="E142" i="18"/>
  <c r="E141" i="18"/>
  <c r="E140" i="18"/>
  <c r="E139" i="18"/>
  <c r="E138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92" i="18"/>
  <c r="E91" i="18"/>
  <c r="E90" i="18"/>
  <c r="E89" i="18"/>
  <c r="E88" i="18"/>
  <c r="E87" i="18"/>
  <c r="E86" i="18"/>
  <c r="E85" i="18"/>
  <c r="E84" i="18"/>
  <c r="E83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58" i="18"/>
  <c r="E57" i="18"/>
  <c r="E56" i="18"/>
  <c r="E55" i="18"/>
  <c r="E54" i="18"/>
  <c r="E53" i="18"/>
  <c r="E52" i="18"/>
  <c r="E51" i="18"/>
  <c r="E50" i="18"/>
  <c r="E49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24" i="18"/>
  <c r="E23" i="18"/>
  <c r="E22" i="18"/>
  <c r="E12" i="18"/>
  <c r="E11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40" i="17"/>
  <c r="E139" i="17"/>
  <c r="E138" i="17"/>
  <c r="E133" i="17"/>
  <c r="E132" i="17"/>
  <c r="E131" i="17"/>
  <c r="E130" i="17"/>
  <c r="E129" i="17"/>
  <c r="E128" i="17"/>
  <c r="E123" i="17"/>
  <c r="E122" i="17"/>
  <c r="E121" i="17"/>
  <c r="E120" i="17"/>
  <c r="E119" i="17"/>
  <c r="E118" i="17"/>
  <c r="E117" i="17"/>
  <c r="E116" i="17"/>
  <c r="E115" i="17"/>
  <c r="E114" i="17"/>
  <c r="E113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9" i="17"/>
  <c r="E68" i="17"/>
  <c r="E67" i="17"/>
  <c r="E66" i="17"/>
  <c r="E65" i="17"/>
  <c r="E63" i="17"/>
  <c r="E62" i="17"/>
  <c r="E58" i="17"/>
  <c r="E57" i="17"/>
  <c r="E56" i="17"/>
  <c r="E55" i="17"/>
  <c r="E54" i="17"/>
  <c r="E53" i="17"/>
  <c r="E52" i="17"/>
  <c r="E51" i="17"/>
  <c r="E50" i="17"/>
  <c r="E49" i="17"/>
  <c r="E46" i="17"/>
  <c r="E45" i="17"/>
  <c r="E44" i="17"/>
  <c r="E42" i="17"/>
  <c r="E41" i="17"/>
  <c r="E40" i="17"/>
  <c r="E39" i="17"/>
  <c r="E38" i="17"/>
  <c r="E37" i="17"/>
  <c r="E36" i="17"/>
  <c r="E35" i="17"/>
  <c r="E24" i="17"/>
  <c r="E23" i="17"/>
  <c r="E22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8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4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3" i="16"/>
  <c r="E22" i="16"/>
  <c r="E12" i="16"/>
  <c r="E11" i="16"/>
  <c r="E185" i="15"/>
  <c r="E184" i="15"/>
  <c r="E183" i="15"/>
  <c r="E180" i="15"/>
  <c r="E179" i="15"/>
  <c r="E178" i="15"/>
  <c r="E175" i="15"/>
  <c r="E173" i="15"/>
  <c r="E168" i="15"/>
  <c r="E167" i="15"/>
  <c r="E166" i="15"/>
  <c r="E165" i="15"/>
  <c r="E164" i="15"/>
  <c r="E163" i="15"/>
  <c r="E162" i="15"/>
  <c r="E161" i="15"/>
  <c r="E142" i="15"/>
  <c r="E141" i="15"/>
  <c r="E140" i="15"/>
  <c r="E139" i="15"/>
  <c r="E138" i="15"/>
  <c r="E133" i="15"/>
  <c r="E132" i="15"/>
  <c r="E131" i="15"/>
  <c r="E130" i="15"/>
  <c r="E129" i="15"/>
  <c r="E128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92" i="15"/>
  <c r="E91" i="15"/>
  <c r="E90" i="15"/>
  <c r="E89" i="15"/>
  <c r="E88" i="15"/>
  <c r="E87" i="15"/>
  <c r="E86" i="15"/>
  <c r="E85" i="15"/>
  <c r="E84" i="15"/>
  <c r="E83" i="15"/>
  <c r="E82" i="15"/>
  <c r="E79" i="15"/>
  <c r="E78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46" i="15"/>
  <c r="E45" i="15"/>
  <c r="E44" i="15"/>
  <c r="E41" i="15"/>
  <c r="E40" i="15"/>
  <c r="E39" i="15"/>
  <c r="E38" i="15"/>
  <c r="E37" i="15"/>
  <c r="E36" i="15"/>
  <c r="E35" i="15"/>
  <c r="E24" i="15"/>
  <c r="E23" i="15"/>
  <c r="E22" i="15"/>
  <c r="E12" i="15"/>
  <c r="E11" i="15"/>
  <c r="E10" i="15"/>
  <c r="E185" i="14"/>
  <c r="E184" i="14"/>
  <c r="E183" i="14"/>
  <c r="E180" i="14"/>
  <c r="E179" i="14"/>
  <c r="E178" i="14"/>
  <c r="E175" i="14"/>
  <c r="E174" i="14"/>
  <c r="E173" i="14"/>
  <c r="E168" i="14"/>
  <c r="E167" i="14"/>
  <c r="E166" i="14"/>
  <c r="E165" i="14"/>
  <c r="E164" i="14"/>
  <c r="E163" i="14"/>
  <c r="E162" i="14"/>
  <c r="E161" i="14"/>
  <c r="E142" i="14"/>
  <c r="E141" i="14"/>
  <c r="E140" i="14"/>
  <c r="E139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75" i="13"/>
  <c r="E173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8" i="12"/>
  <c r="E175" i="12"/>
  <c r="E174" i="12"/>
  <c r="E173" i="12"/>
  <c r="E168" i="12"/>
  <c r="E167" i="12"/>
  <c r="E166" i="12"/>
  <c r="E165" i="12"/>
  <c r="E164" i="12"/>
  <c r="E163" i="12"/>
  <c r="E162" i="12"/>
  <c r="E161" i="12"/>
  <c r="E142" i="12"/>
  <c r="E141" i="12"/>
  <c r="E140" i="12"/>
  <c r="E139" i="12"/>
  <c r="E138" i="12"/>
  <c r="E128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E70" i="12"/>
  <c r="E69" i="12"/>
  <c r="E68" i="12"/>
  <c r="E67" i="12"/>
  <c r="E66" i="12"/>
  <c r="E65" i="12"/>
  <c r="E64" i="12"/>
  <c r="E63" i="12"/>
  <c r="E62" i="12"/>
  <c r="E49" i="12"/>
  <c r="E35" i="12"/>
  <c r="E23" i="12"/>
  <c r="E22" i="12"/>
  <c r="E12" i="12"/>
  <c r="E11" i="12"/>
  <c r="H124" i="11"/>
  <c r="H26" i="11"/>
  <c r="E185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38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35" i="11"/>
  <c r="E24" i="11"/>
  <c r="E23" i="11"/>
  <c r="E22" i="11"/>
  <c r="E12" i="11"/>
  <c r="E11" i="11"/>
  <c r="E185" i="10"/>
  <c r="E184" i="10"/>
  <c r="E183" i="10"/>
  <c r="E180" i="10"/>
  <c r="E179" i="10"/>
  <c r="E178" i="10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42" i="10"/>
  <c r="E141" i="10"/>
  <c r="E140" i="10"/>
  <c r="E139" i="10"/>
  <c r="E138" i="10"/>
  <c r="E133" i="10"/>
  <c r="E132" i="10"/>
  <c r="E131" i="10"/>
  <c r="E130" i="10"/>
  <c r="E129" i="10"/>
  <c r="E128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62" i="10"/>
  <c r="E24" i="10"/>
  <c r="E23" i="10"/>
  <c r="E22" i="10"/>
  <c r="E185" i="9"/>
  <c r="E184" i="9"/>
  <c r="E183" i="9"/>
  <c r="E180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12" i="9"/>
  <c r="E91" i="9"/>
  <c r="E90" i="9"/>
  <c r="E89" i="9"/>
  <c r="E88" i="9"/>
  <c r="E87" i="9"/>
  <c r="E86" i="9"/>
  <c r="E85" i="9"/>
  <c r="E84" i="9"/>
  <c r="E83" i="9"/>
  <c r="E82" i="9"/>
  <c r="E79" i="9"/>
  <c r="E78" i="9"/>
  <c r="E77" i="9"/>
  <c r="E76" i="9"/>
  <c r="E75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3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2" i="8"/>
  <c r="E11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3" i="7"/>
  <c r="E22" i="7"/>
  <c r="E12" i="7"/>
  <c r="E11" i="7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G112" i="33" s="1"/>
  <c r="E92" i="33"/>
  <c r="E91" i="33"/>
  <c r="E90" i="33"/>
  <c r="E89" i="33"/>
  <c r="E88" i="33"/>
  <c r="E87" i="33"/>
  <c r="E86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2" i="33"/>
  <c r="E11" i="33"/>
  <c r="H124" i="5"/>
  <c r="E185" i="5"/>
  <c r="E184" i="5"/>
  <c r="E183" i="5"/>
  <c r="E180" i="5"/>
  <c r="E179" i="5"/>
  <c r="E178" i="5"/>
  <c r="E175" i="5"/>
  <c r="E174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92" i="5"/>
  <c r="E91" i="5"/>
  <c r="E90" i="5"/>
  <c r="E89" i="5"/>
  <c r="E88" i="5"/>
  <c r="E87" i="5"/>
  <c r="E86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57" i="5"/>
  <c r="E56" i="5"/>
  <c r="E55" i="5"/>
  <c r="E53" i="5"/>
  <c r="E52" i="5"/>
  <c r="E51" i="5"/>
  <c r="E50" i="5"/>
  <c r="E49" i="5"/>
  <c r="E46" i="5"/>
  <c r="E45" i="5"/>
  <c r="E44" i="5"/>
  <c r="E43" i="5"/>
  <c r="E42" i="5"/>
  <c r="E39" i="5"/>
  <c r="E38" i="5"/>
  <c r="E37" i="5"/>
  <c r="E36" i="5"/>
  <c r="E35" i="5"/>
  <c r="E24" i="5"/>
  <c r="E23" i="5"/>
  <c r="E22" i="5"/>
  <c r="E12" i="5"/>
  <c r="E11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90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1" i="4"/>
  <c r="E40" i="4"/>
  <c r="E39" i="4"/>
  <c r="E38" i="4"/>
  <c r="E37" i="4"/>
  <c r="E36" i="4"/>
  <c r="E35" i="4"/>
  <c r="E24" i="4"/>
  <c r="E23" i="4"/>
  <c r="E22" i="4"/>
  <c r="E12" i="4"/>
  <c r="E11" i="4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E18" i="3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5" s="1"/>
  <c r="E18" i="16" s="1"/>
  <c r="E18" i="17" s="1"/>
  <c r="E18" i="18" s="1"/>
  <c r="E18" i="19" s="1"/>
  <c r="E18" i="20" s="1"/>
  <c r="E18" i="21" s="1"/>
  <c r="E18" i="22" s="1"/>
  <c r="E18" i="23" s="1"/>
  <c r="E18" i="24" s="1"/>
  <c r="E18" i="25" s="1"/>
  <c r="E18" i="40" s="1"/>
  <c r="E18" i="27" s="1"/>
  <c r="E18" i="28" s="1"/>
  <c r="E18" i="29" s="1"/>
  <c r="E18" i="30" s="1"/>
  <c r="E18" i="43" s="1"/>
  <c r="E18" i="31" s="1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90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E8" i="3"/>
  <c r="E7" i="3"/>
  <c r="E9" i="3"/>
  <c r="H182" i="2"/>
  <c r="J182" i="2" s="1"/>
  <c r="H177" i="2"/>
  <c r="J177" i="2" s="1"/>
  <c r="H127" i="2"/>
  <c r="J127" i="2" s="1"/>
  <c r="G23" i="2"/>
  <c r="H23" i="2" s="1"/>
  <c r="J23" i="2" s="1"/>
  <c r="G22" i="2"/>
  <c r="G19" i="2"/>
  <c r="E30" i="2" s="1"/>
  <c r="G15" i="2"/>
  <c r="E28" i="2" s="1"/>
  <c r="G13" i="2"/>
  <c r="H13" i="2" s="1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G7" i="2"/>
  <c r="I18" i="3"/>
  <c r="I7" i="3"/>
  <c r="E27" i="2" l="1"/>
  <c r="G27" i="2" s="1"/>
  <c r="G22" i="19"/>
  <c r="G24" i="19" s="1"/>
  <c r="E29" i="19" s="1"/>
  <c r="E24" i="19"/>
  <c r="G8" i="3"/>
  <c r="E27" i="3" s="1"/>
  <c r="E8" i="4"/>
  <c r="E8" i="5" s="1"/>
  <c r="E8" i="33" s="1"/>
  <c r="E15" i="4"/>
  <c r="E15" i="5" s="1"/>
  <c r="E15" i="33" s="1"/>
  <c r="E7" i="4"/>
  <c r="E7" i="5" s="1"/>
  <c r="E7" i="33" s="1"/>
  <c r="E10" i="4"/>
  <c r="E10" i="5" s="1"/>
  <c r="E10" i="33" s="1"/>
  <c r="E10" i="7" s="1"/>
  <c r="E10" i="8" s="1"/>
  <c r="E10" i="9" s="1"/>
  <c r="E10" i="11" s="1"/>
  <c r="E10" i="12" s="1"/>
  <c r="E10" i="13" s="1"/>
  <c r="G9" i="3"/>
  <c r="P17" i="3" s="1"/>
  <c r="E9" i="4"/>
  <c r="E9" i="5" s="1"/>
  <c r="E9" i="33" s="1"/>
  <c r="G19" i="3"/>
  <c r="E19" i="4"/>
  <c r="E19" i="5" s="1"/>
  <c r="G18" i="3"/>
  <c r="E10" i="16"/>
  <c r="G10" i="16" s="1"/>
  <c r="E15" i="16"/>
  <c r="G15" i="17" s="1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J155" i="7"/>
  <c r="H155" i="8"/>
  <c r="H18" i="2"/>
  <c r="J18" i="2" s="1"/>
  <c r="H19" i="2"/>
  <c r="J19" i="2" s="1"/>
  <c r="H8" i="2"/>
  <c r="J8" i="2" s="1"/>
  <c r="I9" i="2" s="1"/>
  <c r="H15" i="2"/>
  <c r="J15" i="2" s="1"/>
  <c r="I16" i="2" s="1"/>
  <c r="G24" i="2"/>
  <c r="E29" i="2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H7" i="2"/>
  <c r="J7" i="2" s="1"/>
  <c r="G20" i="2"/>
  <c r="H20" i="2" s="1"/>
  <c r="J20" i="2" s="1"/>
  <c r="I20" i="2" s="1"/>
  <c r="G20" i="3" l="1"/>
  <c r="H20" i="3" s="1"/>
  <c r="H9" i="3"/>
  <c r="J9" i="3" s="1"/>
  <c r="G7" i="3"/>
  <c r="H7" i="3" s="1"/>
  <c r="J7" i="3" s="1"/>
  <c r="P16" i="3"/>
  <c r="G10" i="3"/>
  <c r="H10" i="3" s="1"/>
  <c r="J10" i="3" s="1"/>
  <c r="G15" i="3"/>
  <c r="H15" i="3" s="1"/>
  <c r="J15" i="3" s="1"/>
  <c r="I16" i="3" s="1"/>
  <c r="E19" i="33"/>
  <c r="E15" i="7"/>
  <c r="E9" i="7"/>
  <c r="E8" i="7"/>
  <c r="E10" i="17"/>
  <c r="E7" i="7"/>
  <c r="E15" i="18"/>
  <c r="O15" i="16"/>
  <c r="Z37" i="44"/>
  <c r="Z36" i="44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K34" i="1" s="1"/>
  <c r="AI34" i="1"/>
  <c r="G89" i="31"/>
  <c r="G88" i="31"/>
  <c r="G87" i="31"/>
  <c r="AC34" i="1" s="1"/>
  <c r="G86" i="31"/>
  <c r="AB34" i="1" s="1"/>
  <c r="G85" i="31"/>
  <c r="AA34" i="1" s="1"/>
  <c r="G84" i="31"/>
  <c r="Z34" i="1" s="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E29" i="31"/>
  <c r="G29" i="31" s="1"/>
  <c r="G22" i="31"/>
  <c r="G18" i="3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G89" i="43"/>
  <c r="G88" i="43"/>
  <c r="G87" i="43"/>
  <c r="AC33" i="1" s="1"/>
  <c r="G86" i="43"/>
  <c r="AB33" i="1" s="1"/>
  <c r="G85" i="43"/>
  <c r="AA33" i="1" s="1"/>
  <c r="G84" i="43"/>
  <c r="Z33" i="1" s="1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G89" i="30"/>
  <c r="G88" i="30"/>
  <c r="G87" i="30"/>
  <c r="AC32" i="1" s="1"/>
  <c r="G86" i="30"/>
  <c r="AB32" i="1" s="1"/>
  <c r="G85" i="30"/>
  <c r="AA32" i="1" s="1"/>
  <c r="G84" i="30"/>
  <c r="Z32" i="1" s="1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AL31" i="1" s="1"/>
  <c r="G90" i="29"/>
  <c r="G89" i="29"/>
  <c r="G88" i="29"/>
  <c r="G87" i="29"/>
  <c r="AC31" i="1" s="1"/>
  <c r="G86" i="29"/>
  <c r="AB31" i="1" s="1"/>
  <c r="G85" i="29"/>
  <c r="AA31" i="1" s="1"/>
  <c r="G84" i="29"/>
  <c r="Z31" i="1" s="1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G89" i="28"/>
  <c r="G88" i="28"/>
  <c r="G87" i="28"/>
  <c r="AC30" i="1" s="1"/>
  <c r="G86" i="28"/>
  <c r="AB30" i="1" s="1"/>
  <c r="G85" i="28"/>
  <c r="AA30" i="1" s="1"/>
  <c r="Z30" i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G69" i="28"/>
  <c r="G68" i="28"/>
  <c r="G67" i="28"/>
  <c r="G66" i="28"/>
  <c r="G65" i="28"/>
  <c r="G63" i="28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22" i="28"/>
  <c r="G18" i="28"/>
  <c r="E31" i="28" s="1"/>
  <c r="G31" i="28" s="1"/>
  <c r="K9" i="28"/>
  <c r="M8" i="28"/>
  <c r="G185" i="27"/>
  <c r="G184" i="27"/>
  <c r="G183" i="27"/>
  <c r="G180" i="27"/>
  <c r="AC23" i="45" s="1"/>
  <c r="G179" i="27"/>
  <c r="AC22" i="45" s="1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G89" i="27"/>
  <c r="G88" i="27"/>
  <c r="G87" i="27"/>
  <c r="AC29" i="1" s="1"/>
  <c r="G86" i="27"/>
  <c r="AB29" i="1" s="1"/>
  <c r="G85" i="27"/>
  <c r="AA29" i="1" s="1"/>
  <c r="G84" i="27"/>
  <c r="Z29" i="1" s="1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G68" i="27"/>
  <c r="AC13" i="45" s="1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4" i="40"/>
  <c r="G183" i="40"/>
  <c r="G180" i="40"/>
  <c r="AB23" i="45" s="1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G89" i="40"/>
  <c r="G88" i="40"/>
  <c r="G87" i="40"/>
  <c r="AC28" i="1" s="1"/>
  <c r="G86" i="40"/>
  <c r="AB28" i="1" s="1"/>
  <c r="G85" i="40"/>
  <c r="AA28" i="1" s="1"/>
  <c r="Z28" i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AB13" i="45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E31" i="40" s="1"/>
  <c r="G31" i="40" s="1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G89" i="25"/>
  <c r="G88" i="25"/>
  <c r="G87" i="25"/>
  <c r="AC27" i="1" s="1"/>
  <c r="G86" i="25"/>
  <c r="AB27" i="1" s="1"/>
  <c r="G85" i="25"/>
  <c r="AA27" i="1" s="1"/>
  <c r="G84" i="25"/>
  <c r="Z27" i="1" s="1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5" i="24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G89" i="24"/>
  <c r="G88" i="24"/>
  <c r="G87" i="24"/>
  <c r="AC26" i="1" s="1"/>
  <c r="G86" i="24"/>
  <c r="AB26" i="1" s="1"/>
  <c r="G85" i="24"/>
  <c r="AA26" i="1" s="1"/>
  <c r="G84" i="24"/>
  <c r="Z26" i="1" s="1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G89" i="23"/>
  <c r="G88" i="23"/>
  <c r="G87" i="23"/>
  <c r="AC25" i="1" s="1"/>
  <c r="G86" i="23"/>
  <c r="AB25" i="1" s="1"/>
  <c r="G85" i="23"/>
  <c r="AA25" i="1" s="1"/>
  <c r="G84" i="23"/>
  <c r="Z25" i="1" s="1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G89" i="22"/>
  <c r="G88" i="22"/>
  <c r="G87" i="22"/>
  <c r="AC24" i="1" s="1"/>
  <c r="G86" i="22"/>
  <c r="AB24" i="1" s="1"/>
  <c r="G85" i="22"/>
  <c r="AA24" i="1" s="1"/>
  <c r="G84" i="22"/>
  <c r="Z24" i="1" s="1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G89" i="21"/>
  <c r="G88" i="21"/>
  <c r="G87" i="21"/>
  <c r="AC23" i="1" s="1"/>
  <c r="G86" i="21"/>
  <c r="AB23" i="1" s="1"/>
  <c r="G85" i="21"/>
  <c r="AA23" i="1" s="1"/>
  <c r="G84" i="21"/>
  <c r="Z23" i="1" s="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G89" i="20"/>
  <c r="G88" i="20"/>
  <c r="G87" i="20"/>
  <c r="AC22" i="1" s="1"/>
  <c r="G86" i="20"/>
  <c r="AB22" i="1" s="1"/>
  <c r="G85" i="20"/>
  <c r="AA22" i="1" s="1"/>
  <c r="G84" i="20"/>
  <c r="Z22" i="1" s="1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G89" i="19"/>
  <c r="G88" i="19"/>
  <c r="G87" i="19"/>
  <c r="AC21" i="1" s="1"/>
  <c r="G86" i="19"/>
  <c r="AB21" i="1" s="1"/>
  <c r="G85" i="19"/>
  <c r="AA21" i="1" s="1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2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G89" i="18"/>
  <c r="G88" i="18"/>
  <c r="G87" i="18"/>
  <c r="AC20" i="1" s="1"/>
  <c r="G86" i="18"/>
  <c r="AB20" i="1" s="1"/>
  <c r="G85" i="18"/>
  <c r="AA20" i="1" s="1"/>
  <c r="G84" i="18"/>
  <c r="Z20" i="1" s="1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E29" i="18"/>
  <c r="G29" i="18" s="1"/>
  <c r="G22" i="18"/>
  <c r="G18" i="18"/>
  <c r="E31" i="18" s="1"/>
  <c r="G31" i="18" s="1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G89" i="17"/>
  <c r="G88" i="17"/>
  <c r="G87" i="17"/>
  <c r="AC19" i="1" s="1"/>
  <c r="G86" i="17"/>
  <c r="AB19" i="1" s="1"/>
  <c r="G85" i="17"/>
  <c r="AA19" i="1" s="1"/>
  <c r="G84" i="17"/>
  <c r="Z19" i="1" s="1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G89" i="16"/>
  <c r="G88" i="16"/>
  <c r="G87" i="16"/>
  <c r="AC18" i="1" s="1"/>
  <c r="G86" i="16"/>
  <c r="AB18" i="1" s="1"/>
  <c r="G85" i="16"/>
  <c r="AA18" i="1" s="1"/>
  <c r="G84" i="16"/>
  <c r="Z18" i="1" s="1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G15" i="16"/>
  <c r="K9" i="16"/>
  <c r="M8" i="16"/>
  <c r="G185" i="15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G89" i="15"/>
  <c r="G88" i="15"/>
  <c r="G87" i="15"/>
  <c r="AC17" i="1" s="1"/>
  <c r="G86" i="15"/>
  <c r="AB17" i="1" s="1"/>
  <c r="G85" i="15"/>
  <c r="AA17" i="1" s="1"/>
  <c r="G84" i="15"/>
  <c r="Z17" i="1" s="1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AO18" i="44" s="1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G89" i="14"/>
  <c r="G88" i="14"/>
  <c r="G87" i="14"/>
  <c r="AC16" i="1" s="1"/>
  <c r="G86" i="14"/>
  <c r="AB16" i="1" s="1"/>
  <c r="G85" i="14"/>
  <c r="AA16" i="1" s="1"/>
  <c r="G84" i="14"/>
  <c r="Z16" i="1" s="1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G89" i="13"/>
  <c r="G88" i="13"/>
  <c r="G87" i="13"/>
  <c r="AC15" i="1" s="1"/>
  <c r="G86" i="13"/>
  <c r="AB15" i="1" s="1"/>
  <c r="G85" i="13"/>
  <c r="AA15" i="1" s="1"/>
  <c r="G84" i="13"/>
  <c r="Z15" i="1" s="1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G161" i="12"/>
  <c r="AA15" i="44" s="1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G89" i="12"/>
  <c r="G88" i="12"/>
  <c r="G87" i="12"/>
  <c r="AC14" i="1" s="1"/>
  <c r="G86" i="12"/>
  <c r="AB14" i="1" s="1"/>
  <c r="G85" i="12"/>
  <c r="AA14" i="1" s="1"/>
  <c r="G84" i="12"/>
  <c r="Z14" i="1" s="1"/>
  <c r="G83" i="12"/>
  <c r="G82" i="12"/>
  <c r="G78" i="12"/>
  <c r="AS15" i="44" s="1"/>
  <c r="G77" i="12"/>
  <c r="AR15" i="44" s="1"/>
  <c r="G76" i="12"/>
  <c r="AQ15" i="44" s="1"/>
  <c r="G75" i="12"/>
  <c r="AP15" i="44" s="1"/>
  <c r="G74" i="12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G89" i="11"/>
  <c r="G88" i="11"/>
  <c r="G87" i="11"/>
  <c r="AC13" i="1" s="1"/>
  <c r="G86" i="11"/>
  <c r="AB13" i="1" s="1"/>
  <c r="G85" i="11"/>
  <c r="AA13" i="1" s="1"/>
  <c r="G84" i="11"/>
  <c r="Z13" i="1" s="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G178" i="10"/>
  <c r="L21" i="45" s="1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G89" i="10"/>
  <c r="G88" i="10"/>
  <c r="G87" i="10"/>
  <c r="AC12" i="1" s="1"/>
  <c r="G86" i="10"/>
  <c r="AB12" i="1" s="1"/>
  <c r="G85" i="10"/>
  <c r="AA12" i="1" s="1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G89" i="9"/>
  <c r="G88" i="9"/>
  <c r="G87" i="9"/>
  <c r="AC11" i="1" s="1"/>
  <c r="G86" i="9"/>
  <c r="AB11" i="1" s="1"/>
  <c r="G85" i="9"/>
  <c r="AA11" i="1" s="1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G188" i="29" l="1"/>
  <c r="AD8" i="45"/>
  <c r="AD13" i="45"/>
  <c r="AD15" i="45"/>
  <c r="AD14" i="45"/>
  <c r="G47" i="17"/>
  <c r="N7" i="45"/>
  <c r="O15" i="45"/>
  <c r="G188" i="13"/>
  <c r="G13" i="3"/>
  <c r="H13" i="3" s="1"/>
  <c r="J13" i="3" s="1"/>
  <c r="E19" i="7"/>
  <c r="E15" i="8"/>
  <c r="G15" i="18"/>
  <c r="G79" i="18" s="1"/>
  <c r="G80" i="18" s="1"/>
  <c r="E7" i="8"/>
  <c r="G10" i="17"/>
  <c r="E8" i="8"/>
  <c r="E9" i="8"/>
  <c r="AD13" i="44"/>
  <c r="G47" i="29"/>
  <c r="AD29" i="44"/>
  <c r="G153" i="19"/>
  <c r="I153" i="19" s="1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G125" i="17"/>
  <c r="I125" i="17" s="1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I135" i="29" s="1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G135" i="17"/>
  <c r="I135" i="17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G188" i="25"/>
  <c r="O7" i="45"/>
  <c r="G188" i="10"/>
  <c r="G188" i="19"/>
  <c r="G188" i="18"/>
  <c r="G188" i="15"/>
  <c r="G188" i="14"/>
  <c r="G102" i="11"/>
  <c r="G100" i="12"/>
  <c r="G100" i="20"/>
  <c r="G100" i="27"/>
  <c r="L7" i="45"/>
  <c r="G188" i="9"/>
  <c r="G188" i="17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Z18" i="44" s="1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102" i="12"/>
  <c r="G98" i="13"/>
  <c r="G100" i="13"/>
  <c r="G102" i="27"/>
  <c r="G100" i="28"/>
  <c r="G102" i="43"/>
  <c r="J152" i="5"/>
  <c r="H152" i="33"/>
  <c r="G100" i="9"/>
  <c r="G102" i="16"/>
  <c r="G104" i="15"/>
  <c r="G102" i="19"/>
  <c r="G47" i="43"/>
  <c r="G186" i="43"/>
  <c r="G186" i="30"/>
  <c r="I88" i="28"/>
  <c r="I90" i="27"/>
  <c r="G186" i="27"/>
  <c r="G186" i="40"/>
  <c r="G47" i="40"/>
  <c r="I90" i="25"/>
  <c r="I90" i="23"/>
  <c r="G186" i="22"/>
  <c r="G186" i="21"/>
  <c r="I90" i="18"/>
  <c r="I90" i="16"/>
  <c r="I88" i="14"/>
  <c r="G186" i="11"/>
  <c r="G186" i="9"/>
  <c r="I90" i="9"/>
  <c r="H168" i="10"/>
  <c r="J168" i="9"/>
  <c r="H167" i="10"/>
  <c r="J167" i="9"/>
  <c r="H182" i="7"/>
  <c r="J182" i="33"/>
  <c r="H177" i="7"/>
  <c r="J177" i="33"/>
  <c r="J20" i="3"/>
  <c r="I20" i="3" s="1"/>
  <c r="G104" i="31"/>
  <c r="G186" i="31"/>
  <c r="G102" i="31"/>
  <c r="E31" i="31"/>
  <c r="G31" i="31" s="1"/>
  <c r="G94" i="31"/>
  <c r="G98" i="31"/>
  <c r="G100" i="31"/>
  <c r="I90" i="31"/>
  <c r="G71" i="31"/>
  <c r="I90" i="43"/>
  <c r="G71" i="43"/>
  <c r="G96" i="43"/>
  <c r="I90" i="30"/>
  <c r="G71" i="30"/>
  <c r="G100" i="30"/>
  <c r="G47" i="30"/>
  <c r="G100" i="29"/>
  <c r="G181" i="28"/>
  <c r="G189" i="28" s="1"/>
  <c r="G47" i="27"/>
  <c r="I90" i="40"/>
  <c r="G71" i="40"/>
  <c r="G96" i="40"/>
  <c r="G186" i="25"/>
  <c r="G176" i="24"/>
  <c r="G181" i="24"/>
  <c r="G189" i="24" s="1"/>
  <c r="G186" i="23"/>
  <c r="G71" i="23"/>
  <c r="G47" i="23"/>
  <c r="G47" i="22"/>
  <c r="G96" i="21"/>
  <c r="G186" i="20"/>
  <c r="I90" i="20"/>
  <c r="G71" i="20"/>
  <c r="I85" i="19"/>
  <c r="G104" i="19"/>
  <c r="G181" i="18"/>
  <c r="G189" i="18" s="1"/>
  <c r="I88" i="18"/>
  <c r="G186" i="16"/>
  <c r="G71" i="16"/>
  <c r="G47" i="16"/>
  <c r="G186" i="15"/>
  <c r="G79" i="15"/>
  <c r="G181" i="14"/>
  <c r="G189" i="14" s="1"/>
  <c r="I90" i="14"/>
  <c r="G176" i="13"/>
  <c r="G181" i="13"/>
  <c r="G189" i="13" s="1"/>
  <c r="I85" i="13"/>
  <c r="G186" i="12"/>
  <c r="G47" i="12"/>
  <c r="I90" i="11"/>
  <c r="G71" i="11"/>
  <c r="G47" i="11"/>
  <c r="G186" i="10"/>
  <c r="G47" i="10"/>
  <c r="G71" i="9"/>
  <c r="G96" i="9"/>
  <c r="G47" i="9"/>
  <c r="I88" i="31"/>
  <c r="G59" i="31"/>
  <c r="G176" i="31"/>
  <c r="G181" i="31"/>
  <c r="G189" i="31" s="1"/>
  <c r="G64" i="31"/>
  <c r="G96" i="31"/>
  <c r="G47" i="31"/>
  <c r="I85" i="31"/>
  <c r="G71" i="10"/>
  <c r="I90" i="12"/>
  <c r="G176" i="14"/>
  <c r="G181" i="15"/>
  <c r="G189" i="15" s="1"/>
  <c r="I90" i="10"/>
  <c r="G71" i="12"/>
  <c r="I88" i="17"/>
  <c r="G176" i="15"/>
  <c r="G181" i="17"/>
  <c r="G189" i="17" s="1"/>
  <c r="G186" i="18"/>
  <c r="G176" i="19"/>
  <c r="G176" i="21"/>
  <c r="G186" i="24"/>
  <c r="G176" i="28"/>
  <c r="G94" i="43"/>
  <c r="G59" i="43"/>
  <c r="G98" i="43"/>
  <c r="G100" i="14"/>
  <c r="G96" i="15"/>
  <c r="G79" i="16"/>
  <c r="G80" i="16" s="1"/>
  <c r="G102" i="17"/>
  <c r="G71" i="29"/>
  <c r="G176" i="18"/>
  <c r="G186" i="28"/>
  <c r="G104" i="14"/>
  <c r="G96" i="14"/>
  <c r="G104" i="43"/>
  <c r="G64" i="43"/>
  <c r="G176" i="43"/>
  <c r="G181" i="43"/>
  <c r="G189" i="43" s="1"/>
  <c r="G96" i="12"/>
  <c r="G102" i="14"/>
  <c r="G79" i="17"/>
  <c r="G80" i="17" s="1"/>
  <c r="G100" i="17"/>
  <c r="G104" i="18"/>
  <c r="G96" i="18"/>
  <c r="G186" i="19"/>
  <c r="I90" i="29"/>
  <c r="G186" i="29"/>
  <c r="G181" i="19"/>
  <c r="G189" i="19" s="1"/>
  <c r="I88" i="43"/>
  <c r="G100" i="15"/>
  <c r="G104" i="17"/>
  <c r="G96" i="17"/>
  <c r="G102" i="18"/>
  <c r="G71" i="25"/>
  <c r="G71" i="27"/>
  <c r="G102" i="24"/>
  <c r="G96" i="25"/>
  <c r="G71" i="22"/>
  <c r="I90" i="22"/>
  <c r="I85" i="43"/>
  <c r="G100" i="24"/>
  <c r="G104" i="28"/>
  <c r="G96" i="28"/>
  <c r="G96" i="29"/>
  <c r="G181" i="21"/>
  <c r="G189" i="21" s="1"/>
  <c r="G96" i="24"/>
  <c r="I88" i="30"/>
  <c r="G94" i="30"/>
  <c r="G59" i="30"/>
  <c r="G98" i="30"/>
  <c r="G176" i="30"/>
  <c r="G96" i="30"/>
  <c r="G104" i="30"/>
  <c r="G64" i="30"/>
  <c r="I85" i="30"/>
  <c r="I88" i="29"/>
  <c r="G59" i="29"/>
  <c r="G176" i="29"/>
  <c r="G181" i="29"/>
  <c r="G189" i="29" s="1"/>
  <c r="G64" i="29"/>
  <c r="I85" i="29"/>
  <c r="I90" i="28"/>
  <c r="G71" i="28"/>
  <c r="I85" i="28"/>
  <c r="G47" i="28"/>
  <c r="G59" i="28"/>
  <c r="G64" i="28"/>
  <c r="G94" i="28"/>
  <c r="G98" i="28"/>
  <c r="I88" i="27"/>
  <c r="G94" i="27"/>
  <c r="G59" i="27"/>
  <c r="G98" i="27"/>
  <c r="G176" i="27"/>
  <c r="G181" i="27"/>
  <c r="G189" i="27" s="1"/>
  <c r="G96" i="27"/>
  <c r="G104" i="27"/>
  <c r="G64" i="27"/>
  <c r="I85" i="27"/>
  <c r="I88" i="40"/>
  <c r="G94" i="40"/>
  <c r="G59" i="40"/>
  <c r="G98" i="40"/>
  <c r="G176" i="40"/>
  <c r="G181" i="40"/>
  <c r="G189" i="40" s="1"/>
  <c r="G104" i="40"/>
  <c r="G64" i="40"/>
  <c r="I85" i="40"/>
  <c r="I88" i="25"/>
  <c r="G59" i="25"/>
  <c r="G176" i="25"/>
  <c r="G181" i="25"/>
  <c r="G189" i="25" s="1"/>
  <c r="G64" i="25"/>
  <c r="G47" i="25"/>
  <c r="I85" i="25"/>
  <c r="I90" i="24"/>
  <c r="G71" i="24"/>
  <c r="I85" i="24"/>
  <c r="G47" i="24"/>
  <c r="I88" i="24"/>
  <c r="G59" i="24"/>
  <c r="G64" i="24"/>
  <c r="G94" i="24"/>
  <c r="G98" i="24"/>
  <c r="I88" i="23"/>
  <c r="G94" i="23"/>
  <c r="G59" i="23"/>
  <c r="G98" i="23"/>
  <c r="G176" i="23"/>
  <c r="G181" i="23"/>
  <c r="G189" i="23" s="1"/>
  <c r="G96" i="23"/>
  <c r="G104" i="23"/>
  <c r="G64" i="23"/>
  <c r="I85" i="23"/>
  <c r="I88" i="22"/>
  <c r="G94" i="22"/>
  <c r="G59" i="22"/>
  <c r="G98" i="22"/>
  <c r="G176" i="22"/>
  <c r="G181" i="22"/>
  <c r="G189" i="22" s="1"/>
  <c r="G96" i="22"/>
  <c r="G104" i="22"/>
  <c r="G64" i="22"/>
  <c r="I85" i="22"/>
  <c r="G64" i="21"/>
  <c r="G59" i="21"/>
  <c r="G71" i="21"/>
  <c r="I85" i="21"/>
  <c r="I90" i="21"/>
  <c r="G47" i="21"/>
  <c r="I88" i="21"/>
  <c r="G94" i="21"/>
  <c r="G98" i="21"/>
  <c r="I88" i="20"/>
  <c r="G59" i="20"/>
  <c r="G176" i="20"/>
  <c r="G181" i="20"/>
  <c r="G189" i="20" s="1"/>
  <c r="G96" i="20"/>
  <c r="G64" i="20"/>
  <c r="G47" i="20"/>
  <c r="I85" i="20"/>
  <c r="G64" i="19"/>
  <c r="I90" i="19"/>
  <c r="G96" i="19"/>
  <c r="G59" i="19"/>
  <c r="G71" i="19"/>
  <c r="I88" i="19"/>
  <c r="G94" i="19"/>
  <c r="G98" i="19"/>
  <c r="I85" i="18"/>
  <c r="G71" i="18"/>
  <c r="G47" i="18"/>
  <c r="G59" i="18"/>
  <c r="G64" i="18"/>
  <c r="G94" i="18"/>
  <c r="G98" i="18"/>
  <c r="G71" i="17"/>
  <c r="I85" i="17"/>
  <c r="I90" i="17"/>
  <c r="G186" i="17"/>
  <c r="G59" i="17"/>
  <c r="G64" i="17"/>
  <c r="G94" i="17"/>
  <c r="G98" i="17"/>
  <c r="E28" i="17"/>
  <c r="G28" i="17" s="1"/>
  <c r="I88" i="16"/>
  <c r="G94" i="16"/>
  <c r="G59" i="16"/>
  <c r="G98" i="16"/>
  <c r="G176" i="16"/>
  <c r="G181" i="16"/>
  <c r="G189" i="16" s="1"/>
  <c r="G96" i="16"/>
  <c r="G104" i="16"/>
  <c r="G64" i="16"/>
  <c r="I85" i="16"/>
  <c r="E28" i="16"/>
  <c r="G28" i="16" s="1"/>
  <c r="I90" i="15"/>
  <c r="G64" i="15"/>
  <c r="G59" i="15"/>
  <c r="G71" i="15"/>
  <c r="I85" i="15"/>
  <c r="G47" i="15"/>
  <c r="I88" i="15"/>
  <c r="G94" i="15"/>
  <c r="G98" i="15"/>
  <c r="E28" i="15"/>
  <c r="G28" i="15" s="1"/>
  <c r="I85" i="14"/>
  <c r="G186" i="14"/>
  <c r="G71" i="14"/>
  <c r="G47" i="14"/>
  <c r="G59" i="14"/>
  <c r="G64" i="14"/>
  <c r="G94" i="14"/>
  <c r="G98" i="14"/>
  <c r="G59" i="13"/>
  <c r="G71" i="13"/>
  <c r="G64" i="13"/>
  <c r="I90" i="13"/>
  <c r="G96" i="13"/>
  <c r="G186" i="13"/>
  <c r="G47" i="13"/>
  <c r="I88" i="13"/>
  <c r="G64" i="12"/>
  <c r="I88" i="12"/>
  <c r="G94" i="12"/>
  <c r="G59" i="12"/>
  <c r="G98" i="12"/>
  <c r="G176" i="12"/>
  <c r="G181" i="12"/>
  <c r="G189" i="12" s="1"/>
  <c r="G104" i="12"/>
  <c r="I85" i="12"/>
  <c r="G64" i="11"/>
  <c r="I88" i="11"/>
  <c r="G94" i="11"/>
  <c r="G59" i="11"/>
  <c r="G98" i="11"/>
  <c r="G176" i="11"/>
  <c r="G181" i="11"/>
  <c r="G189" i="11" s="1"/>
  <c r="G104" i="11"/>
  <c r="I85" i="11"/>
  <c r="G104" i="10"/>
  <c r="G64" i="10"/>
  <c r="I88" i="10"/>
  <c r="G94" i="10"/>
  <c r="G59" i="10"/>
  <c r="G98" i="10"/>
  <c r="G100" i="10"/>
  <c r="G102" i="10"/>
  <c r="G176" i="10"/>
  <c r="G181" i="10"/>
  <c r="G189" i="10" s="1"/>
  <c r="G96" i="10"/>
  <c r="I85" i="10"/>
  <c r="G64" i="9"/>
  <c r="I88" i="9"/>
  <c r="G59" i="9"/>
  <c r="G94" i="9"/>
  <c r="G98" i="9"/>
  <c r="G176" i="9"/>
  <c r="G181" i="9"/>
  <c r="G189" i="9" s="1"/>
  <c r="G104" i="9"/>
  <c r="E31" i="9"/>
  <c r="G31" i="9" s="1"/>
  <c r="I85" i="9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G89" i="8"/>
  <c r="G88" i="8"/>
  <c r="G87" i="8"/>
  <c r="AC10" i="1" s="1"/>
  <c r="G86" i="8"/>
  <c r="AB10" i="1" s="1"/>
  <c r="G85" i="8"/>
  <c r="AA10" i="1" s="1"/>
  <c r="G84" i="8"/>
  <c r="Z10" i="1" s="1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G89" i="7"/>
  <c r="AW10" i="44" s="1"/>
  <c r="G88" i="7"/>
  <c r="G87" i="7"/>
  <c r="AC9" i="1" s="1"/>
  <c r="G86" i="7"/>
  <c r="AB9" i="1" s="1"/>
  <c r="G85" i="7"/>
  <c r="AA9" i="1" s="1"/>
  <c r="G84" i="7"/>
  <c r="Z9" i="1" s="1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92" i="33"/>
  <c r="AL8" i="1" s="1"/>
  <c r="G91" i="33"/>
  <c r="G90" i="33"/>
  <c r="G89" i="33"/>
  <c r="G88" i="33"/>
  <c r="G87" i="33"/>
  <c r="AC8" i="1" s="1"/>
  <c r="G86" i="33"/>
  <c r="AB8" i="1" s="1"/>
  <c r="G85" i="33"/>
  <c r="AA8" i="1" s="1"/>
  <c r="G84" i="33"/>
  <c r="Z8" i="1" s="1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G89" i="5"/>
  <c r="G88" i="5"/>
  <c r="G87" i="5"/>
  <c r="AC7" i="1" s="1"/>
  <c r="G86" i="5"/>
  <c r="AB7" i="1" s="1"/>
  <c r="G85" i="5"/>
  <c r="AA7" i="1" s="1"/>
  <c r="G84" i="5"/>
  <c r="Z7" i="1" s="1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G89" i="4"/>
  <c r="G88" i="4"/>
  <c r="G87" i="4"/>
  <c r="AC6" i="1" s="1"/>
  <c r="G86" i="4"/>
  <c r="AB6" i="1" s="1"/>
  <c r="G85" i="4"/>
  <c r="AA6" i="1" s="1"/>
  <c r="G84" i="4"/>
  <c r="Z6" i="1" s="1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G89" i="3"/>
  <c r="G88" i="3"/>
  <c r="G87" i="3"/>
  <c r="AC5" i="1" s="1"/>
  <c r="G86" i="3"/>
  <c r="AB5" i="1" s="1"/>
  <c r="G85" i="3"/>
  <c r="AA5" i="1" s="1"/>
  <c r="G84" i="3"/>
  <c r="Z5" i="1" s="1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G91" i="2"/>
  <c r="G90" i="2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H29" i="2" s="1"/>
  <c r="G30" i="2"/>
  <c r="H30" i="2" s="1"/>
  <c r="G31" i="2"/>
  <c r="H31" i="2" s="1"/>
  <c r="K9" i="2"/>
  <c r="M8" i="2"/>
  <c r="H27" i="2"/>
  <c r="G188" i="2" l="1"/>
  <c r="AZ12" i="44"/>
  <c r="G60" i="19"/>
  <c r="AZ14" i="44"/>
  <c r="AZ28" i="44"/>
  <c r="AZ15" i="44"/>
  <c r="AZ20" i="44"/>
  <c r="AZ24" i="44"/>
  <c r="AZ23" i="44"/>
  <c r="AZ26" i="44"/>
  <c r="AZ27" i="44"/>
  <c r="AZ13" i="44"/>
  <c r="AZ25" i="44"/>
  <c r="AZ16" i="44"/>
  <c r="AZ19" i="44"/>
  <c r="AZ17" i="44"/>
  <c r="AZ22" i="44"/>
  <c r="AZ21" i="44"/>
  <c r="N49" i="4"/>
  <c r="G188" i="4"/>
  <c r="H49" i="2"/>
  <c r="G59" i="2"/>
  <c r="H59" i="2" s="1"/>
  <c r="I13" i="3"/>
  <c r="G19" i="7"/>
  <c r="E30" i="7" s="1"/>
  <c r="G30" i="7" s="1"/>
  <c r="G15" i="8"/>
  <c r="G79" i="8" s="1"/>
  <c r="G9" i="8"/>
  <c r="G8" i="8"/>
  <c r="E27" i="8" s="1"/>
  <c r="G27" i="8" s="1"/>
  <c r="G9" i="7"/>
  <c r="E10" i="18"/>
  <c r="G7" i="8"/>
  <c r="G60" i="18"/>
  <c r="G60" i="29"/>
  <c r="G60" i="17"/>
  <c r="E28" i="18"/>
  <c r="G28" i="18" s="1"/>
  <c r="AD11" i="44"/>
  <c r="AD10" i="44"/>
  <c r="AD9" i="44"/>
  <c r="AD8" i="44"/>
  <c r="AD7" i="44"/>
  <c r="AD6" i="44"/>
  <c r="E15" i="19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H183" i="2"/>
  <c r="J183" i="2" s="1"/>
  <c r="G186" i="2"/>
  <c r="G102" i="5"/>
  <c r="G103" i="5" s="1"/>
  <c r="H127" i="7"/>
  <c r="H127" i="8" s="1"/>
  <c r="E7" i="45"/>
  <c r="G187" i="3"/>
  <c r="I7" i="45"/>
  <c r="G188" i="8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H70" i="27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101" i="4" s="1"/>
  <c r="G60" i="1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I90" i="7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I90" i="8"/>
  <c r="H15" i="5"/>
  <c r="H15" i="33" s="1"/>
  <c r="H15" i="7" s="1"/>
  <c r="I90" i="33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G47" i="5"/>
  <c r="G71" i="5"/>
  <c r="H7" i="5"/>
  <c r="H7" i="33" s="1"/>
  <c r="H7" i="7" s="1"/>
  <c r="H19" i="5"/>
  <c r="H19" i="33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2" i="3"/>
  <c r="H119" i="2"/>
  <c r="J119" i="2" s="1"/>
  <c r="H113" i="2"/>
  <c r="J113" i="2" s="1"/>
  <c r="H121" i="2"/>
  <c r="J121" i="2" s="1"/>
  <c r="H114" i="3"/>
  <c r="H115" i="2"/>
  <c r="H123" i="2"/>
  <c r="J123" i="2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49" i="3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60" i="16"/>
  <c r="G80" i="15"/>
  <c r="G60" i="10"/>
  <c r="G186" i="8"/>
  <c r="G96" i="8"/>
  <c r="G71" i="7"/>
  <c r="G102" i="7"/>
  <c r="G103" i="7" s="1"/>
  <c r="G79" i="33"/>
  <c r="G80" i="33" s="1"/>
  <c r="G71" i="33"/>
  <c r="G186" i="5"/>
  <c r="I90" i="5"/>
  <c r="G96" i="4"/>
  <c r="G97" i="4" s="1"/>
  <c r="G60" i="31"/>
  <c r="G71" i="3"/>
  <c r="G186" i="33"/>
  <c r="G176" i="4"/>
  <c r="G71" i="8"/>
  <c r="G181" i="2"/>
  <c r="I90" i="3"/>
  <c r="H80" i="17"/>
  <c r="G104" i="2"/>
  <c r="H104" i="2" s="1"/>
  <c r="G96" i="2"/>
  <c r="H96" i="2" s="1"/>
  <c r="G79" i="4"/>
  <c r="G181" i="4"/>
  <c r="G189" i="4" s="1"/>
  <c r="G60" i="28"/>
  <c r="G60" i="40"/>
  <c r="G60" i="24"/>
  <c r="G60" i="21"/>
  <c r="H189" i="20"/>
  <c r="G60" i="20"/>
  <c r="G60" i="15"/>
  <c r="G60" i="14"/>
  <c r="G60" i="13"/>
  <c r="G60" i="9"/>
  <c r="I88" i="8"/>
  <c r="G104" i="8"/>
  <c r="G59" i="8"/>
  <c r="G102" i="8"/>
  <c r="G176" i="8"/>
  <c r="G181" i="8"/>
  <c r="G189" i="8" s="1"/>
  <c r="G64" i="8"/>
  <c r="G47" i="8"/>
  <c r="I85" i="8"/>
  <c r="E27" i="7"/>
  <c r="G27" i="7" s="1"/>
  <c r="I88" i="7"/>
  <c r="G104" i="7"/>
  <c r="G96" i="7"/>
  <c r="G59" i="7"/>
  <c r="G176" i="7"/>
  <c r="G181" i="7"/>
  <c r="G189" i="7" s="1"/>
  <c r="G79" i="7"/>
  <c r="G94" i="7"/>
  <c r="G98" i="7"/>
  <c r="G64" i="7"/>
  <c r="G47" i="7"/>
  <c r="I85" i="7"/>
  <c r="E28" i="7"/>
  <c r="G28" i="7" s="1"/>
  <c r="E27" i="33"/>
  <c r="G27" i="33" s="1"/>
  <c r="I88" i="33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I85" i="33"/>
  <c r="E28" i="33"/>
  <c r="G28" i="33" s="1"/>
  <c r="G64" i="5"/>
  <c r="I88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I85" i="5"/>
  <c r="E28" i="5"/>
  <c r="G28" i="5" s="1"/>
  <c r="G64" i="4"/>
  <c r="E30" i="4"/>
  <c r="G30" i="4" s="1"/>
  <c r="E27" i="4"/>
  <c r="G27" i="4" s="1"/>
  <c r="G59" i="4"/>
  <c r="G71" i="4"/>
  <c r="I85" i="4"/>
  <c r="I90" i="4"/>
  <c r="G186" i="4"/>
  <c r="G47" i="4"/>
  <c r="I88" i="4"/>
  <c r="G20" i="4"/>
  <c r="H20" i="4" s="1"/>
  <c r="G94" i="4"/>
  <c r="G98" i="4"/>
  <c r="E28" i="4"/>
  <c r="G28" i="4" s="1"/>
  <c r="E30" i="3"/>
  <c r="G64" i="3"/>
  <c r="I88" i="3"/>
  <c r="G104" i="3"/>
  <c r="G96" i="3"/>
  <c r="G59" i="3"/>
  <c r="G176" i="3"/>
  <c r="G181" i="3"/>
  <c r="G189" i="3" s="1"/>
  <c r="G79" i="3"/>
  <c r="G94" i="3"/>
  <c r="G98" i="3"/>
  <c r="E31" i="3"/>
  <c r="G47" i="3"/>
  <c r="I85" i="3"/>
  <c r="E28" i="3"/>
  <c r="G28" i="3" s="1"/>
  <c r="G71" i="2"/>
  <c r="H71" i="2" s="1"/>
  <c r="I85" i="2"/>
  <c r="I90" i="2"/>
  <c r="G47" i="2"/>
  <c r="I88" i="2"/>
  <c r="G64" i="2"/>
  <c r="H64" i="2" s="1"/>
  <c r="G94" i="2"/>
  <c r="H94" i="2" s="1"/>
  <c r="G98" i="2"/>
  <c r="H98" i="2" s="1"/>
  <c r="G28" i="2"/>
  <c r="H28" i="2" s="1"/>
  <c r="G178" i="50"/>
  <c r="H178" i="50" s="1"/>
  <c r="J178" i="50" s="1"/>
  <c r="E177" i="50"/>
  <c r="G177" i="50" s="1"/>
  <c r="H177" i="50" s="1"/>
  <c r="J177" i="50" s="1"/>
  <c r="E176" i="50"/>
  <c r="G176" i="50" s="1"/>
  <c r="H176" i="50" s="1"/>
  <c r="J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H168" i="50" s="1"/>
  <c r="J168" i="50" s="1"/>
  <c r="E167" i="50"/>
  <c r="G167" i="50" s="1"/>
  <c r="H167" i="50" s="1"/>
  <c r="J167" i="50" s="1"/>
  <c r="E166" i="50"/>
  <c r="G166" i="50" s="1"/>
  <c r="E158" i="50"/>
  <c r="G158" i="50" s="1"/>
  <c r="H158" i="50" s="1"/>
  <c r="J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19" i="50"/>
  <c r="G16" i="50"/>
  <c r="K9" i="50"/>
  <c r="M8" i="50"/>
  <c r="H67" i="28" l="1"/>
  <c r="H67" i="29" s="1"/>
  <c r="H67" i="30" s="1"/>
  <c r="H67" i="43" s="1"/>
  <c r="H66" i="28"/>
  <c r="H66" i="29" s="1"/>
  <c r="H66" i="30" s="1"/>
  <c r="H66" i="43" s="1"/>
  <c r="H69" i="28"/>
  <c r="H69" i="29" s="1"/>
  <c r="H69" i="30" s="1"/>
  <c r="H69" i="43" s="1"/>
  <c r="H63" i="28"/>
  <c r="H63" i="29" s="1"/>
  <c r="H63" i="30" s="1"/>
  <c r="H63" i="43" s="1"/>
  <c r="H65" i="28"/>
  <c r="H65" i="29" s="1"/>
  <c r="H65" i="30" s="1"/>
  <c r="H65" i="43" s="1"/>
  <c r="H70" i="28"/>
  <c r="H70" i="29" s="1"/>
  <c r="H70" i="30" s="1"/>
  <c r="H70" i="43" s="1"/>
  <c r="H68" i="28"/>
  <c r="H68" i="29" s="1"/>
  <c r="H68" i="30" s="1"/>
  <c r="H68" i="43" s="1"/>
  <c r="H68" i="31" s="1"/>
  <c r="J68" i="31" s="1"/>
  <c r="AZ5" i="44"/>
  <c r="H19" i="7"/>
  <c r="AZ11" i="44"/>
  <c r="E28" i="8"/>
  <c r="G28" i="8" s="1"/>
  <c r="H15" i="8"/>
  <c r="H47" i="2"/>
  <c r="H47" i="3" s="1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G60" i="2"/>
  <c r="H60" i="2" s="1"/>
  <c r="G60" i="4"/>
  <c r="H9" i="7"/>
  <c r="H9" i="8" s="1"/>
  <c r="E15" i="9"/>
  <c r="G15" i="9" s="1"/>
  <c r="H8" i="8"/>
  <c r="G187" i="7"/>
  <c r="G20" i="7"/>
  <c r="E19" i="8"/>
  <c r="E15" i="20"/>
  <c r="G99" i="8"/>
  <c r="G97" i="8"/>
  <c r="G101" i="8"/>
  <c r="E7" i="9"/>
  <c r="H7" i="8"/>
  <c r="G95" i="8"/>
  <c r="E8" i="9"/>
  <c r="G10" i="18"/>
  <c r="H10" i="18" s="1"/>
  <c r="E9" i="9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30" i="3"/>
  <c r="H30" i="3" s="1"/>
  <c r="H30" i="4" s="1"/>
  <c r="H30" i="5" s="1"/>
  <c r="H30" i="33" s="1"/>
  <c r="H30" i="7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G27" i="3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H28" i="8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78" i="43"/>
  <c r="H141" i="3"/>
  <c r="J141" i="3" s="1"/>
  <c r="H179" i="3"/>
  <c r="H179" i="4" s="1"/>
  <c r="H180" i="3"/>
  <c r="J180" i="3" s="1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J112" i="3"/>
  <c r="H112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G80" i="7"/>
  <c r="G60" i="8"/>
  <c r="G105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32" i="2"/>
  <c r="H32" i="2" s="1"/>
  <c r="G181" i="50"/>
  <c r="H181" i="50" s="1"/>
  <c r="J181" i="50" s="1"/>
  <c r="G180" i="50"/>
  <c r="H180" i="50" s="1"/>
  <c r="J180" i="50" s="1"/>
  <c r="H166" i="50"/>
  <c r="J166" i="50" s="1"/>
  <c r="G169" i="50"/>
  <c r="H169" i="50" s="1"/>
  <c r="J169" i="50" s="1"/>
  <c r="H171" i="50"/>
  <c r="J171" i="50" s="1"/>
  <c r="G174" i="50"/>
  <c r="G179" i="50"/>
  <c r="H179" i="50" s="1"/>
  <c r="J179" i="50" s="1"/>
  <c r="G95" i="50"/>
  <c r="I86" i="50"/>
  <c r="G99" i="50"/>
  <c r="G80" i="50"/>
  <c r="G97" i="50"/>
  <c r="E32" i="50"/>
  <c r="G32" i="50" s="1"/>
  <c r="G103" i="50"/>
  <c r="G101" i="50"/>
  <c r="G117" i="50"/>
  <c r="G72" i="50"/>
  <c r="G122" i="50"/>
  <c r="I89" i="50"/>
  <c r="G120" i="50"/>
  <c r="G124" i="50"/>
  <c r="G60" i="50"/>
  <c r="G65" i="50"/>
  <c r="E29" i="50"/>
  <c r="G29" i="50" s="1"/>
  <c r="I91" i="50"/>
  <c r="G48" i="50"/>
  <c r="H69" i="31" l="1"/>
  <c r="J69" i="31" s="1"/>
  <c r="J69" i="43"/>
  <c r="H66" i="31"/>
  <c r="J66" i="31" s="1"/>
  <c r="J66" i="43"/>
  <c r="H67" i="31"/>
  <c r="J67" i="31" s="1"/>
  <c r="J67" i="43"/>
  <c r="H70" i="31"/>
  <c r="J70" i="31" s="1"/>
  <c r="J70" i="43"/>
  <c r="H65" i="31"/>
  <c r="J65" i="31" s="1"/>
  <c r="J65" i="43"/>
  <c r="H63" i="31"/>
  <c r="J63" i="31" s="1"/>
  <c r="J63" i="43"/>
  <c r="H64" i="28"/>
  <c r="H64" i="29" s="1"/>
  <c r="H64" i="30" s="1"/>
  <c r="H64" i="43" s="1"/>
  <c r="H64" i="31" s="1"/>
  <c r="J64" i="31" s="1"/>
  <c r="H71" i="28"/>
  <c r="H71" i="29" s="1"/>
  <c r="H71" i="30" s="1"/>
  <c r="H71" i="43" s="1"/>
  <c r="J71" i="43" s="1"/>
  <c r="J68" i="43"/>
  <c r="H15" i="9"/>
  <c r="E10" i="19"/>
  <c r="E10" i="20" s="1"/>
  <c r="G15" i="19"/>
  <c r="H20" i="7"/>
  <c r="G19" i="8"/>
  <c r="E15" i="21"/>
  <c r="G79" i="9"/>
  <c r="G80" i="9" s="1"/>
  <c r="E28" i="9"/>
  <c r="G28" i="9" s="1"/>
  <c r="H28" i="9" s="1"/>
  <c r="E15" i="10"/>
  <c r="G7" i="9"/>
  <c r="G9" i="9"/>
  <c r="H9" i="9" s="1"/>
  <c r="G8" i="9"/>
  <c r="H122" i="4"/>
  <c r="J122" i="4" s="1"/>
  <c r="H183" i="4"/>
  <c r="J183" i="4" s="1"/>
  <c r="J74" i="43"/>
  <c r="H74" i="31"/>
  <c r="J74" i="31" s="1"/>
  <c r="H104" i="30"/>
  <c r="H104" i="43" s="1"/>
  <c r="H135" i="3"/>
  <c r="H135" i="4" s="1"/>
  <c r="J178" i="3"/>
  <c r="H181" i="3"/>
  <c r="H181" i="4" s="1"/>
  <c r="J117" i="3"/>
  <c r="H118" i="4"/>
  <c r="J118" i="4" s="1"/>
  <c r="H138" i="4"/>
  <c r="H138" i="5" s="1"/>
  <c r="G32" i="3"/>
  <c r="H32" i="3" s="1"/>
  <c r="H32" i="4" s="1"/>
  <c r="H32" i="5" s="1"/>
  <c r="H32" i="33" s="1"/>
  <c r="H32" i="7" s="1"/>
  <c r="H115" i="4"/>
  <c r="H115" i="5" s="1"/>
  <c r="H121" i="4"/>
  <c r="J121" i="4" s="1"/>
  <c r="H27" i="3"/>
  <c r="H27" i="4" s="1"/>
  <c r="H27" i="5" s="1"/>
  <c r="H27" i="33" s="1"/>
  <c r="H27" i="7" s="1"/>
  <c r="H27" i="8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H112" i="5"/>
  <c r="J112" i="4"/>
  <c r="J100" i="43"/>
  <c r="H100" i="31"/>
  <c r="J100" i="31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 i="50"/>
  <c r="H182" i="50" s="1"/>
  <c r="J182" i="50" s="1"/>
  <c r="H174" i="50"/>
  <c r="J174" i="50" s="1"/>
  <c r="G61" i="50"/>
  <c r="B26" i="48"/>
  <c r="J64" i="43" l="1"/>
  <c r="H71" i="31"/>
  <c r="J71" i="31" s="1"/>
  <c r="G10" i="19"/>
  <c r="H10" i="19" s="1"/>
  <c r="G79" i="19"/>
  <c r="G80" i="19" s="1"/>
  <c r="H80" i="19" s="1"/>
  <c r="E28" i="19"/>
  <c r="G28" i="19" s="1"/>
  <c r="E19" i="9"/>
  <c r="G19" i="9" s="1"/>
  <c r="G8" i="10"/>
  <c r="E27" i="10" s="1"/>
  <c r="G27" i="10" s="1"/>
  <c r="G187" i="8"/>
  <c r="E30" i="8"/>
  <c r="G30" i="8" s="1"/>
  <c r="G20" i="8"/>
  <c r="H20" i="8" s="1"/>
  <c r="H19" i="8"/>
  <c r="G15" i="10"/>
  <c r="E15" i="22"/>
  <c r="G15" i="21"/>
  <c r="G15" i="20"/>
  <c r="H79" i="9"/>
  <c r="G10" i="20"/>
  <c r="G95" i="9"/>
  <c r="H95" i="9" s="1"/>
  <c r="G97" i="9"/>
  <c r="H97" i="9" s="1"/>
  <c r="G105" i="9"/>
  <c r="H105" i="9" s="1"/>
  <c r="G103" i="9"/>
  <c r="H103" i="9" s="1"/>
  <c r="G101" i="9"/>
  <c r="H101" i="9" s="1"/>
  <c r="G99" i="9"/>
  <c r="H99" i="9" s="1"/>
  <c r="I59" i="9"/>
  <c r="E27" i="9"/>
  <c r="G27" i="9" s="1"/>
  <c r="H8" i="9"/>
  <c r="E7" i="10"/>
  <c r="H7" i="9"/>
  <c r="H183" i="5"/>
  <c r="H183" i="33" s="1"/>
  <c r="H122" i="5"/>
  <c r="J122" i="5" s="1"/>
  <c r="H104" i="31"/>
  <c r="J104" i="31" s="1"/>
  <c r="J104" i="43"/>
  <c r="J135" i="3"/>
  <c r="H135" i="5"/>
  <c r="J135" i="4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2" i="33"/>
  <c r="J112" i="5"/>
  <c r="H115" i="33"/>
  <c r="J115" i="5"/>
  <c r="H119" i="33"/>
  <c r="J119" i="5"/>
  <c r="H117" i="33"/>
  <c r="J117" i="5"/>
  <c r="H10" i="20" l="1"/>
  <c r="H8" i="10"/>
  <c r="G20" i="9"/>
  <c r="H20" i="9" s="1"/>
  <c r="G187" i="9"/>
  <c r="E30" i="9"/>
  <c r="G30" i="9" s="1"/>
  <c r="G32" i="9" s="1"/>
  <c r="E19" i="10"/>
  <c r="G32" i="8"/>
  <c r="H32" i="8" s="1"/>
  <c r="H30" i="8"/>
  <c r="H19" i="9"/>
  <c r="G79" i="20"/>
  <c r="G80" i="20" s="1"/>
  <c r="E28" i="20"/>
  <c r="G28" i="20" s="1"/>
  <c r="E28" i="21"/>
  <c r="G28" i="21" s="1"/>
  <c r="G79" i="21"/>
  <c r="G80" i="21" s="1"/>
  <c r="E15" i="23"/>
  <c r="G15" i="22"/>
  <c r="E28" i="10"/>
  <c r="G28" i="10" s="1"/>
  <c r="H28" i="10" s="1"/>
  <c r="G79" i="10"/>
  <c r="G80" i="10" s="1"/>
  <c r="H15" i="10"/>
  <c r="E15" i="11"/>
  <c r="E8" i="11"/>
  <c r="G9" i="10"/>
  <c r="H9" i="10" s="1"/>
  <c r="G7" i="10"/>
  <c r="H7" i="10" s="1"/>
  <c r="E10" i="21"/>
  <c r="H27" i="9"/>
  <c r="H27" i="10" s="1"/>
  <c r="J183" i="5"/>
  <c r="H122" i="33"/>
  <c r="J122" i="33" s="1"/>
  <c r="H162" i="33"/>
  <c r="H162" i="7" s="1"/>
  <c r="J135" i="5"/>
  <c r="H135" i="33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J112" i="33"/>
  <c r="H112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H30" i="9" l="1"/>
  <c r="E7" i="11"/>
  <c r="G7" i="11" s="1"/>
  <c r="H7" i="11" s="1"/>
  <c r="H32" i="9"/>
  <c r="G19" i="10"/>
  <c r="H19" i="10" s="1"/>
  <c r="E15" i="24"/>
  <c r="G15" i="23"/>
  <c r="E15" i="12"/>
  <c r="G15" i="11"/>
  <c r="H15" i="11" s="1"/>
  <c r="H79" i="10"/>
  <c r="E28" i="22"/>
  <c r="G28" i="22" s="1"/>
  <c r="G79" i="22"/>
  <c r="G80" i="22" s="1"/>
  <c r="E9" i="11"/>
  <c r="E8" i="12"/>
  <c r="G8" i="11"/>
  <c r="G10" i="2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J162" i="33"/>
  <c r="J135" i="33"/>
  <c r="H135" i="7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C33" i="4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E7" i="12" l="1"/>
  <c r="G7" i="12" s="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15" i="13"/>
  <c r="G15" i="12"/>
  <c r="G79" i="23"/>
  <c r="G80" i="23" s="1"/>
  <c r="E28" i="23"/>
  <c r="G28" i="23" s="1"/>
  <c r="G15" i="24"/>
  <c r="E15" i="25"/>
  <c r="G99" i="11"/>
  <c r="H99" i="11" s="1"/>
  <c r="G97" i="11"/>
  <c r="H97" i="11" s="1"/>
  <c r="G103" i="11"/>
  <c r="H103" i="11" s="1"/>
  <c r="G105" i="11"/>
  <c r="H105" i="11" s="1"/>
  <c r="G101" i="11"/>
  <c r="H101" i="11" s="1"/>
  <c r="G95" i="11"/>
  <c r="H95" i="11" s="1"/>
  <c r="I59" i="11"/>
  <c r="E27" i="11"/>
  <c r="G27" i="11" s="1"/>
  <c r="H8" i="11"/>
  <c r="E9" i="12"/>
  <c r="G9" i="11"/>
  <c r="H9" i="11" s="1"/>
  <c r="E10" i="22"/>
  <c r="H135" i="8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G19" i="11" l="1"/>
  <c r="G32" i="10"/>
  <c r="H32" i="10" s="1"/>
  <c r="H30" i="10"/>
  <c r="G79" i="12"/>
  <c r="G80" i="12" s="1"/>
  <c r="E28" i="12"/>
  <c r="G28" i="12" s="1"/>
  <c r="H28" i="12" s="1"/>
  <c r="G15" i="13"/>
  <c r="E15" i="14"/>
  <c r="G15" i="25"/>
  <c r="E15" i="40"/>
  <c r="H15" i="12"/>
  <c r="G79" i="24"/>
  <c r="G80" i="24" s="1"/>
  <c r="E28" i="24"/>
  <c r="G28" i="24" s="1"/>
  <c r="H79" i="11"/>
  <c r="H27" i="11"/>
  <c r="E9" i="13"/>
  <c r="G9" i="12"/>
  <c r="H9" i="12" s="1"/>
  <c r="G10" i="22"/>
  <c r="H10" i="22" s="1"/>
  <c r="G105" i="12"/>
  <c r="H105" i="12" s="1"/>
  <c r="G97" i="12"/>
  <c r="H97" i="12" s="1"/>
  <c r="G99" i="12"/>
  <c r="H99" i="12" s="1"/>
  <c r="G95" i="12"/>
  <c r="H95" i="12" s="1"/>
  <c r="G101" i="12"/>
  <c r="H101" i="12" s="1"/>
  <c r="G103" i="12"/>
  <c r="H103" i="12" s="1"/>
  <c r="I59" i="12"/>
  <c r="E7" i="13"/>
  <c r="E8" i="13"/>
  <c r="G8" i="12"/>
  <c r="E27" i="12" s="1"/>
  <c r="G27" i="12" s="1"/>
  <c r="H7" i="12"/>
  <c r="H135" i="9"/>
  <c r="J135" i="8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H79" i="12" l="1"/>
  <c r="H8" i="12"/>
  <c r="H15" i="13"/>
  <c r="G187" i="11"/>
  <c r="E30" i="11"/>
  <c r="G30" i="11" s="1"/>
  <c r="G32" i="11" s="1"/>
  <c r="H32" i="11" s="1"/>
  <c r="G20" i="11"/>
  <c r="H20" i="11" s="1"/>
  <c r="H19" i="11"/>
  <c r="E19" i="12"/>
  <c r="G15" i="40"/>
  <c r="E15" i="27"/>
  <c r="G79" i="25"/>
  <c r="E28" i="25"/>
  <c r="G28" i="25" s="1"/>
  <c r="G15" i="14"/>
  <c r="E28" i="13"/>
  <c r="G28" i="13" s="1"/>
  <c r="H28" i="13" s="1"/>
  <c r="G79" i="13"/>
  <c r="G80" i="13" s="1"/>
  <c r="H80" i="13" s="1"/>
  <c r="J80" i="13" s="1"/>
  <c r="H27" i="12"/>
  <c r="G8" i="13"/>
  <c r="E27" i="13" s="1"/>
  <c r="G27" i="13" s="1"/>
  <c r="E8" i="14"/>
  <c r="G7" i="13"/>
  <c r="H7" i="13" s="1"/>
  <c r="G9" i="13"/>
  <c r="H9" i="13" s="1"/>
  <c r="E9" i="14"/>
  <c r="E10" i="23"/>
  <c r="H135" i="10"/>
  <c r="J135" i="9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 i="19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E7" i="14" l="1"/>
  <c r="G7" i="14" s="1"/>
  <c r="H30" i="11"/>
  <c r="G19" i="12"/>
  <c r="G79" i="14"/>
  <c r="E28" i="14"/>
  <c r="G28" i="14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G80" i="25"/>
  <c r="G15" i="27"/>
  <c r="E15" i="28"/>
  <c r="H79" i="13"/>
  <c r="J79" i="13" s="1"/>
  <c r="G79" i="40"/>
  <c r="E28" i="40"/>
  <c r="G28" i="40" s="1"/>
  <c r="H27" i="13"/>
  <c r="E9" i="15"/>
  <c r="G9" i="14"/>
  <c r="H9" i="14" s="1"/>
  <c r="E8" i="15"/>
  <c r="G8" i="14"/>
  <c r="E27" i="14" s="1"/>
  <c r="G27" i="14" s="1"/>
  <c r="G99" i="13"/>
  <c r="H99" i="13" s="1"/>
  <c r="G105" i="13"/>
  <c r="H105" i="13" s="1"/>
  <c r="G97" i="13"/>
  <c r="H97" i="13" s="1"/>
  <c r="G103" i="13"/>
  <c r="H103" i="13" s="1"/>
  <c r="G101" i="13"/>
  <c r="H101" i="13" s="1"/>
  <c r="G95" i="13"/>
  <c r="H95" i="13" s="1"/>
  <c r="I59" i="13"/>
  <c r="G10" i="23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J168" i="19"/>
  <c r="H177" i="17"/>
  <c r="J177" i="16"/>
  <c r="J166" i="19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H19" i="12" l="1"/>
  <c r="G187" i="12"/>
  <c r="E10" i="24"/>
  <c r="G10" i="24" s="1"/>
  <c r="H10" i="24" s="1"/>
  <c r="E7" i="15"/>
  <c r="E7" i="16" s="1"/>
  <c r="E30" i="12"/>
  <c r="G30" i="12" s="1"/>
  <c r="G20" i="12"/>
  <c r="H20" i="12" s="1"/>
  <c r="E19" i="13"/>
  <c r="G15" i="28"/>
  <c r="E15" i="29"/>
  <c r="G15" i="29" s="1"/>
  <c r="G79" i="29" s="1"/>
  <c r="G80" i="29" s="1"/>
  <c r="E28" i="27"/>
  <c r="G28" i="27" s="1"/>
  <c r="H15" i="27"/>
  <c r="G79" i="27"/>
  <c r="H28" i="40"/>
  <c r="G80" i="40"/>
  <c r="G80" i="14"/>
  <c r="H79" i="14"/>
  <c r="H79" i="15" s="1"/>
  <c r="G105" i="14"/>
  <c r="H105" i="14" s="1"/>
  <c r="G95" i="14"/>
  <c r="H95" i="14" s="1"/>
  <c r="G103" i="14"/>
  <c r="H103" i="14" s="1"/>
  <c r="G97" i="14"/>
  <c r="H97" i="14" s="1"/>
  <c r="G101" i="14"/>
  <c r="H101" i="14" s="1"/>
  <c r="G99" i="14"/>
  <c r="H99" i="14" s="1"/>
  <c r="I59" i="14"/>
  <c r="H7" i="14"/>
  <c r="G8" i="15"/>
  <c r="E27" i="15" s="1"/>
  <c r="G27" i="15" s="1"/>
  <c r="E8" i="16"/>
  <c r="E9" i="16"/>
  <c r="G9" i="16" s="1"/>
  <c r="G9" i="15"/>
  <c r="H9" i="15" s="1"/>
  <c r="H27" i="14"/>
  <c r="H135" i="22"/>
  <c r="H135" i="23"/>
  <c r="H135" i="18"/>
  <c r="H135" i="19"/>
  <c r="H135" i="24"/>
  <c r="H135" i="30" s="1"/>
  <c r="H135" i="20"/>
  <c r="H135" i="16"/>
  <c r="H135" i="13"/>
  <c r="H135" i="14" s="1"/>
  <c r="J135" i="14" s="1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H167" i="21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E17" i="48"/>
  <c r="H79" i="16" l="1"/>
  <c r="H79" i="17" s="1"/>
  <c r="H79" i="18" s="1"/>
  <c r="H79" i="19" s="1"/>
  <c r="H79" i="20" s="1"/>
  <c r="H79" i="21" s="1"/>
  <c r="H79" i="22" s="1"/>
  <c r="H79" i="23" s="1"/>
  <c r="H79" i="24" s="1"/>
  <c r="H79" i="25" s="1"/>
  <c r="J79" i="25" s="1"/>
  <c r="J79" i="15"/>
  <c r="E28" i="29"/>
  <c r="G28" i="29" s="1"/>
  <c r="E15" i="30"/>
  <c r="G15" i="30" s="1"/>
  <c r="G7" i="15"/>
  <c r="G105" i="15" s="1"/>
  <c r="H105" i="15" s="1"/>
  <c r="H27" i="15"/>
  <c r="G19" i="13"/>
  <c r="G187" i="13" s="1"/>
  <c r="G32" i="12"/>
  <c r="H32" i="12" s="1"/>
  <c r="H30" i="12"/>
  <c r="G80" i="27"/>
  <c r="H28" i="27"/>
  <c r="H15" i="28"/>
  <c r="H15" i="29" s="1"/>
  <c r="E28" i="28"/>
  <c r="G28" i="28" s="1"/>
  <c r="G79" i="28"/>
  <c r="E9" i="17"/>
  <c r="H9" i="16"/>
  <c r="N7" i="16"/>
  <c r="N8" i="16"/>
  <c r="E10" i="25"/>
  <c r="H135" i="43"/>
  <c r="J135" i="43" s="1"/>
  <c r="H135" i="40"/>
  <c r="H135" i="27"/>
  <c r="H135" i="29"/>
  <c r="H135" i="25"/>
  <c r="H135" i="31"/>
  <c r="H135" i="28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E31" i="48"/>
  <c r="G31" i="48"/>
  <c r="H79" i="40" l="1"/>
  <c r="H79" i="27" s="1"/>
  <c r="H79" i="28" s="1"/>
  <c r="H79" i="29" s="1"/>
  <c r="G103" i="15"/>
  <c r="H103" i="15" s="1"/>
  <c r="G99" i="15"/>
  <c r="H99" i="15" s="1"/>
  <c r="G95" i="15"/>
  <c r="H95" i="15" s="1"/>
  <c r="G97" i="15"/>
  <c r="H97" i="15" s="1"/>
  <c r="I59" i="15"/>
  <c r="G101" i="15"/>
  <c r="H101" i="15" s="1"/>
  <c r="H7" i="15"/>
  <c r="H28" i="28"/>
  <c r="H28" i="29" s="1"/>
  <c r="G20" i="13"/>
  <c r="H20" i="13" s="1"/>
  <c r="E30" i="13"/>
  <c r="G30" i="13" s="1"/>
  <c r="G32" i="13" s="1"/>
  <c r="H32" i="13" s="1"/>
  <c r="H19" i="13"/>
  <c r="E19" i="14"/>
  <c r="G80" i="28"/>
  <c r="G9" i="17"/>
  <c r="H9" i="17" s="1"/>
  <c r="E9" i="18"/>
  <c r="E7" i="17"/>
  <c r="G7" i="16"/>
  <c r="G10" i="25"/>
  <c r="H10" i="25" s="1"/>
  <c r="E8" i="17"/>
  <c r="G8" i="16"/>
  <c r="E27" i="16" s="1"/>
  <c r="G27" i="16" s="1"/>
  <c r="G79" i="30"/>
  <c r="G80" i="30" s="1"/>
  <c r="E28" i="30"/>
  <c r="G28" i="30" s="1"/>
  <c r="E15" i="43"/>
  <c r="H15" i="30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3" i="50"/>
  <c r="J133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H30" i="13" l="1"/>
  <c r="H28" i="30"/>
  <c r="G19" i="14"/>
  <c r="H19" i="14" s="1"/>
  <c r="H27" i="16"/>
  <c r="G8" i="17"/>
  <c r="E27" i="17" s="1"/>
  <c r="G27" i="17" s="1"/>
  <c r="E8" i="18"/>
  <c r="E9" i="19"/>
  <c r="G103" i="16"/>
  <c r="H103" i="16" s="1"/>
  <c r="H7" i="16"/>
  <c r="G97" i="16"/>
  <c r="H97" i="16" s="1"/>
  <c r="G95" i="16"/>
  <c r="H95" i="16" s="1"/>
  <c r="G101" i="16"/>
  <c r="H101" i="16" s="1"/>
  <c r="G105" i="16"/>
  <c r="H105" i="16" s="1"/>
  <c r="I59" i="16"/>
  <c r="G99" i="16"/>
  <c r="H99" i="16" s="1"/>
  <c r="G7" i="17"/>
  <c r="E7" i="18"/>
  <c r="G15" i="43"/>
  <c r="H79" i="30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E30" i="14" l="1"/>
  <c r="G30" i="14" s="1"/>
  <c r="G20" i="14"/>
  <c r="H20" i="14" s="1"/>
  <c r="G187" i="14"/>
  <c r="H187" i="14" s="1"/>
  <c r="J187" i="14" s="1"/>
  <c r="E19" i="15"/>
  <c r="G10" i="40"/>
  <c r="H10" i="40" s="1"/>
  <c r="G9" i="19"/>
  <c r="G9" i="18"/>
  <c r="H9" i="18" s="1"/>
  <c r="G8" i="18"/>
  <c r="E8" i="19"/>
  <c r="G7" i="18"/>
  <c r="E7" i="19"/>
  <c r="H27" i="17"/>
  <c r="G101" i="17"/>
  <c r="H101" i="17" s="1"/>
  <c r="G103" i="17"/>
  <c r="H103" i="17" s="1"/>
  <c r="I59" i="17"/>
  <c r="G105" i="17"/>
  <c r="H105" i="17" s="1"/>
  <c r="H7" i="17"/>
  <c r="G97" i="17"/>
  <c r="H97" i="17" s="1"/>
  <c r="G99" i="17"/>
  <c r="H99" i="17" s="1"/>
  <c r="G95" i="17"/>
  <c r="H95" i="17" s="1"/>
  <c r="H156" i="40"/>
  <c r="H156" i="27" s="1"/>
  <c r="H156" i="28" s="1"/>
  <c r="J156" i="25"/>
  <c r="E28" i="43"/>
  <c r="G28" i="43" s="1"/>
  <c r="H28" i="43" s="1"/>
  <c r="G79" i="43"/>
  <c r="G80" i="43" s="1"/>
  <c r="E15" i="31"/>
  <c r="H15" i="43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E27" i="18" l="1"/>
  <c r="G27" i="18" s="1"/>
  <c r="H27" i="18" s="1"/>
  <c r="G19" i="15"/>
  <c r="G32" i="14"/>
  <c r="H32" i="14" s="1"/>
  <c r="H30" i="14"/>
  <c r="G15" i="31"/>
  <c r="E8" i="20"/>
  <c r="G8" i="19"/>
  <c r="E27" i="19" s="1"/>
  <c r="G27" i="19" s="1"/>
  <c r="H9" i="19"/>
  <c r="E9" i="20"/>
  <c r="E7" i="20"/>
  <c r="G7" i="19"/>
  <c r="G95" i="18"/>
  <c r="H95" i="18" s="1"/>
  <c r="G97" i="18"/>
  <c r="H97" i="18" s="1"/>
  <c r="I59" i="18"/>
  <c r="G99" i="18"/>
  <c r="H99" i="18" s="1"/>
  <c r="H7" i="18"/>
  <c r="G105" i="18"/>
  <c r="H105" i="18" s="1"/>
  <c r="G103" i="18"/>
  <c r="H103" i="18" s="1"/>
  <c r="G101" i="18"/>
  <c r="H101" i="18" s="1"/>
  <c r="H79" i="43"/>
  <c r="G8" i="40"/>
  <c r="E27" i="40" s="1"/>
  <c r="G27" i="40" s="1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H161" i="18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E19" i="16" l="1"/>
  <c r="F19" i="16" s="1"/>
  <c r="G19" i="16" s="1"/>
  <c r="E30" i="15"/>
  <c r="G30" i="15" s="1"/>
  <c r="G32" i="15" s="1"/>
  <c r="H32" i="15" s="1"/>
  <c r="G187" i="15"/>
  <c r="H187" i="15" s="1"/>
  <c r="J187" i="15" s="1"/>
  <c r="G20" i="15"/>
  <c r="H20" i="15" s="1"/>
  <c r="H19" i="15"/>
  <c r="H15" i="31"/>
  <c r="G79" i="31"/>
  <c r="G80" i="31" s="1"/>
  <c r="E28" i="31"/>
  <c r="G28" i="31" s="1"/>
  <c r="H28" i="31" s="1"/>
  <c r="G7" i="20"/>
  <c r="E7" i="21"/>
  <c r="G9" i="20"/>
  <c r="H9" i="20" s="1"/>
  <c r="E9" i="21"/>
  <c r="G105" i="19"/>
  <c r="H105" i="19" s="1"/>
  <c r="G95" i="19"/>
  <c r="H95" i="19" s="1"/>
  <c r="G97" i="19"/>
  <c r="H97" i="19" s="1"/>
  <c r="I59" i="19"/>
  <c r="G99" i="19"/>
  <c r="H99" i="19" s="1"/>
  <c r="G101" i="19"/>
  <c r="H101" i="19" s="1"/>
  <c r="G103" i="19"/>
  <c r="H103" i="19" s="1"/>
  <c r="H7" i="19"/>
  <c r="G10" i="27"/>
  <c r="H10" i="27" s="1"/>
  <c r="H27" i="19"/>
  <c r="E8" i="21"/>
  <c r="G8" i="20"/>
  <c r="E27" i="20" s="1"/>
  <c r="G27" i="20" s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79" i="31" l="1"/>
  <c r="E10" i="28"/>
  <c r="G10" i="28" s="1"/>
  <c r="H10" i="28" s="1"/>
  <c r="H30" i="15"/>
  <c r="H27" i="20"/>
  <c r="E19" i="17"/>
  <c r="H19" i="16"/>
  <c r="G20" i="16"/>
  <c r="H20" i="16" s="1"/>
  <c r="G187" i="16"/>
  <c r="H187" i="16" s="1"/>
  <c r="J187" i="16" s="1"/>
  <c r="E30" i="16"/>
  <c r="G30" i="16" s="1"/>
  <c r="G32" i="16" s="1"/>
  <c r="H32" i="16" s="1"/>
  <c r="G9" i="21"/>
  <c r="H9" i="21" s="1"/>
  <c r="E9" i="22"/>
  <c r="E8" i="22"/>
  <c r="G7" i="21"/>
  <c r="E7" i="22"/>
  <c r="G103" i="20"/>
  <c r="H103" i="20" s="1"/>
  <c r="G99" i="20"/>
  <c r="H99" i="20" s="1"/>
  <c r="G101" i="20"/>
  <c r="H101" i="20" s="1"/>
  <c r="G97" i="20"/>
  <c r="H97" i="20" s="1"/>
  <c r="G95" i="20"/>
  <c r="H95" i="20" s="1"/>
  <c r="G105" i="20"/>
  <c r="H105" i="20" s="1"/>
  <c r="H7" i="20"/>
  <c r="I59" i="20"/>
  <c r="G8" i="27"/>
  <c r="E27" i="27" s="1"/>
  <c r="G27" i="27" s="1"/>
  <c r="E8" i="28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G8" i="21" l="1"/>
  <c r="E27" i="21" s="1"/>
  <c r="G27" i="21" s="1"/>
  <c r="H27" i="21" s="1"/>
  <c r="H30" i="16"/>
  <c r="F19" i="17"/>
  <c r="G19" i="17" s="1"/>
  <c r="E9" i="23"/>
  <c r="G7" i="22"/>
  <c r="E7" i="23"/>
  <c r="I59" i="21"/>
  <c r="G101" i="21"/>
  <c r="H101" i="21" s="1"/>
  <c r="H7" i="21"/>
  <c r="G103" i="21"/>
  <c r="H103" i="21" s="1"/>
  <c r="G97" i="21"/>
  <c r="H97" i="21" s="1"/>
  <c r="G99" i="21"/>
  <c r="H99" i="21" s="1"/>
  <c r="G95" i="21"/>
  <c r="H95" i="21" s="1"/>
  <c r="G105" i="21"/>
  <c r="H105" i="21" s="1"/>
  <c r="E10" i="29"/>
  <c r="G8" i="22"/>
  <c r="E27" i="22" s="1"/>
  <c r="G27" i="22" s="1"/>
  <c r="E8" i="23"/>
  <c r="G8" i="28"/>
  <c r="E8" i="29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K2" i="47"/>
  <c r="E14" i="48"/>
  <c r="E15" i="48"/>
  <c r="E21" i="48"/>
  <c r="E22" i="48"/>
  <c r="E23" i="48"/>
  <c r="E24" i="48"/>
  <c r="E25" i="48"/>
  <c r="E26" i="48"/>
  <c r="E27" i="48"/>
  <c r="E28" i="48"/>
  <c r="E29" i="48"/>
  <c r="E30" i="48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E30" i="17" l="1"/>
  <c r="G30" i="17" s="1"/>
  <c r="G20" i="17"/>
  <c r="H20" i="17" s="1"/>
  <c r="G187" i="17"/>
  <c r="H187" i="17" s="1"/>
  <c r="J187" i="17" s="1"/>
  <c r="E19" i="18"/>
  <c r="H19" i="17"/>
  <c r="G7" i="23"/>
  <c r="E7" i="24"/>
  <c r="H7" i="22"/>
  <c r="I59" i="22"/>
  <c r="G99" i="22"/>
  <c r="H99" i="22" s="1"/>
  <c r="G97" i="22"/>
  <c r="H97" i="22" s="1"/>
  <c r="G95" i="22"/>
  <c r="H95" i="22" s="1"/>
  <c r="G105" i="22"/>
  <c r="H105" i="22" s="1"/>
  <c r="G103" i="22"/>
  <c r="H103" i="22" s="1"/>
  <c r="G101" i="22"/>
  <c r="H101" i="22" s="1"/>
  <c r="G8" i="29"/>
  <c r="G9" i="23"/>
  <c r="E9" i="24"/>
  <c r="G10" i="29"/>
  <c r="H10" i="29" s="1"/>
  <c r="G8" i="23"/>
  <c r="E27" i="23" s="1"/>
  <c r="G27" i="23" s="1"/>
  <c r="E8" i="24"/>
  <c r="G9" i="22"/>
  <c r="H9" i="22" s="1"/>
  <c r="H27" i="22"/>
  <c r="E27" i="28"/>
  <c r="G27" i="28" s="1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H9" i="23" l="1"/>
  <c r="G19" i="18"/>
  <c r="G32" i="17"/>
  <c r="H32" i="17" s="1"/>
  <c r="H30" i="17"/>
  <c r="E27" i="29"/>
  <c r="G27" i="29" s="1"/>
  <c r="O8" i="29"/>
  <c r="O15" i="29"/>
  <c r="E10" i="30"/>
  <c r="G9" i="24"/>
  <c r="E9" i="25"/>
  <c r="G8" i="24"/>
  <c r="E27" i="24" s="1"/>
  <c r="G27" i="24" s="1"/>
  <c r="E8" i="25"/>
  <c r="G8" i="25" s="1"/>
  <c r="E27" i="25" s="1"/>
  <c r="G27" i="25" s="1"/>
  <c r="G7" i="24"/>
  <c r="E7" i="25"/>
  <c r="H27" i="23"/>
  <c r="G105" i="23"/>
  <c r="H105" i="23" s="1"/>
  <c r="G95" i="23"/>
  <c r="H95" i="23" s="1"/>
  <c r="I59" i="23"/>
  <c r="G101" i="23"/>
  <c r="H101" i="23" s="1"/>
  <c r="H7" i="23"/>
  <c r="G103" i="23"/>
  <c r="H103" i="23" s="1"/>
  <c r="G99" i="23"/>
  <c r="H99" i="23" s="1"/>
  <c r="G97" i="23"/>
  <c r="H97" i="23" s="1"/>
  <c r="E8" i="30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H9" i="24" l="1"/>
  <c r="G20" i="18"/>
  <c r="H20" i="18" s="1"/>
  <c r="G187" i="18"/>
  <c r="H187" i="18" s="1"/>
  <c r="J187" i="18" s="1"/>
  <c r="E30" i="18"/>
  <c r="G30" i="18" s="1"/>
  <c r="G32" i="18" s="1"/>
  <c r="H32" i="18" s="1"/>
  <c r="E19" i="19"/>
  <c r="H19" i="18"/>
  <c r="G9" i="25"/>
  <c r="G7" i="25"/>
  <c r="E7" i="40"/>
  <c r="G10" i="30"/>
  <c r="H10" i="30" s="1"/>
  <c r="H7" i="24"/>
  <c r="G99" i="24"/>
  <c r="H99" i="24" s="1"/>
  <c r="G95" i="24"/>
  <c r="H95" i="24" s="1"/>
  <c r="I59" i="24"/>
  <c r="G101" i="24"/>
  <c r="H101" i="24" s="1"/>
  <c r="G105" i="24"/>
  <c r="H105" i="24" s="1"/>
  <c r="G97" i="24"/>
  <c r="H97" i="24" s="1"/>
  <c r="G103" i="24"/>
  <c r="H103" i="24" s="1"/>
  <c r="G8" i="30"/>
  <c r="E27" i="30" s="1"/>
  <c r="G27" i="30" s="1"/>
  <c r="H27" i="24"/>
  <c r="H27" i="25" s="1"/>
  <c r="H27" i="40" s="1"/>
  <c r="H27" i="27" s="1"/>
  <c r="H27" i="28" s="1"/>
  <c r="H27" i="29" s="1"/>
  <c r="G7" i="28"/>
  <c r="O9" i="28" s="1"/>
  <c r="H155" i="31"/>
  <c r="J155" i="31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H9" i="25" l="1"/>
  <c r="E8" i="43"/>
  <c r="E8" i="31" s="1"/>
  <c r="E19" i="20"/>
  <c r="G19" i="19"/>
  <c r="H30" i="18"/>
  <c r="E10" i="43"/>
  <c r="G7" i="40"/>
  <c r="E7" i="27"/>
  <c r="G7" i="27" s="1"/>
  <c r="G95" i="25"/>
  <c r="H95" i="25" s="1"/>
  <c r="G99" i="25"/>
  <c r="H99" i="25" s="1"/>
  <c r="G103" i="25"/>
  <c r="H103" i="25" s="1"/>
  <c r="G97" i="25"/>
  <c r="H97" i="25" s="1"/>
  <c r="G101" i="25"/>
  <c r="H101" i="25" s="1"/>
  <c r="I59" i="25"/>
  <c r="H7" i="25"/>
  <c r="G105" i="25"/>
  <c r="H105" i="25" s="1"/>
  <c r="G9" i="40"/>
  <c r="H27" i="30"/>
  <c r="G105" i="28"/>
  <c r="G103" i="28"/>
  <c r="G101" i="28"/>
  <c r="G97" i="28"/>
  <c r="G95" i="28"/>
  <c r="G99" i="28"/>
  <c r="I59" i="28"/>
  <c r="E7" i="29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H9" i="40" l="1"/>
  <c r="E30" i="19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9" i="27"/>
  <c r="E9" i="28"/>
  <c r="G95" i="27"/>
  <c r="I59" i="27"/>
  <c r="G97" i="27"/>
  <c r="G101" i="27"/>
  <c r="G105" i="27"/>
  <c r="G103" i="27"/>
  <c r="G99" i="27"/>
  <c r="O10" i="29"/>
  <c r="H7" i="40"/>
  <c r="H7" i="27" s="1"/>
  <c r="H7" i="28" s="1"/>
  <c r="G105" i="40"/>
  <c r="H105" i="40" s="1"/>
  <c r="G103" i="40"/>
  <c r="H103" i="40" s="1"/>
  <c r="G99" i="40"/>
  <c r="H99" i="40" s="1"/>
  <c r="I59" i="40"/>
  <c r="G101" i="40"/>
  <c r="H101" i="40" s="1"/>
  <c r="G97" i="40"/>
  <c r="H97" i="40" s="1"/>
  <c r="G95" i="40"/>
  <c r="H95" i="40" s="1"/>
  <c r="G8" i="43"/>
  <c r="E27" i="43" s="1"/>
  <c r="G27" i="43" s="1"/>
  <c r="G8" i="50"/>
  <c r="E28" i="50" s="1"/>
  <c r="G28" i="50" s="1"/>
  <c r="G8" i="31"/>
  <c r="E27" i="31" s="1"/>
  <c r="G27" i="31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H9" i="27" l="1"/>
  <c r="H30" i="19"/>
  <c r="H99" i="27"/>
  <c r="H99" i="28" s="1"/>
  <c r="H105" i="27"/>
  <c r="H105" i="28" s="1"/>
  <c r="H19" i="20"/>
  <c r="G20" i="20"/>
  <c r="H20" i="20" s="1"/>
  <c r="G187" i="20"/>
  <c r="H187" i="20" s="1"/>
  <c r="J187" i="20" s="1"/>
  <c r="E30" i="20"/>
  <c r="G30" i="20" s="1"/>
  <c r="G19" i="21"/>
  <c r="G7" i="29"/>
  <c r="I59" i="29" s="1"/>
  <c r="H95" i="27"/>
  <c r="H95" i="28" s="1"/>
  <c r="H103" i="27"/>
  <c r="H103" i="28" s="1"/>
  <c r="E9" i="29"/>
  <c r="G9" i="28"/>
  <c r="G10" i="43"/>
  <c r="H10" i="43" s="1"/>
  <c r="H10" i="50" s="1"/>
  <c r="E10" i="31"/>
  <c r="G10" i="31" s="1"/>
  <c r="H101" i="27"/>
  <c r="H101" i="28" s="1"/>
  <c r="H97" i="27"/>
  <c r="H97" i="28" s="1"/>
  <c r="H27" i="43"/>
  <c r="H27" i="31" s="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1" i="50"/>
  <c r="J121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G32" i="20" l="1"/>
  <c r="H32" i="20" s="1"/>
  <c r="H9" i="28"/>
  <c r="G103" i="29"/>
  <c r="H103" i="29" s="1"/>
  <c r="G101" i="29"/>
  <c r="H101" i="29" s="1"/>
  <c r="G97" i="29"/>
  <c r="H97" i="29" s="1"/>
  <c r="G105" i="29"/>
  <c r="H105" i="29" s="1"/>
  <c r="G95" i="29"/>
  <c r="H95" i="29" s="1"/>
  <c r="G99" i="29"/>
  <c r="H99" i="29" s="1"/>
  <c r="E19" i="22"/>
  <c r="G19" i="22" s="1"/>
  <c r="H30" i="20"/>
  <c r="G187" i="21"/>
  <c r="H187" i="21" s="1"/>
  <c r="J187" i="21" s="1"/>
  <c r="E30" i="21"/>
  <c r="G30" i="21" s="1"/>
  <c r="G32" i="21" s="1"/>
  <c r="G20" i="21"/>
  <c r="H20" i="21" s="1"/>
  <c r="H19" i="21"/>
  <c r="H10" i="31"/>
  <c r="G9" i="29"/>
  <c r="E9" i="30"/>
  <c r="G9" i="30" s="1"/>
  <c r="O12" i="29"/>
  <c r="H7" i="29"/>
  <c r="G7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H32" i="21" l="1"/>
  <c r="H9" i="29"/>
  <c r="H9" i="30" s="1"/>
  <c r="E19" i="23"/>
  <c r="G19" i="23" s="1"/>
  <c r="H19" i="22"/>
  <c r="E9" i="43"/>
  <c r="G9" i="43" s="1"/>
  <c r="H30" i="21"/>
  <c r="E30" i="22"/>
  <c r="G30" i="22" s="1"/>
  <c r="G32" i="22" s="1"/>
  <c r="G20" i="22"/>
  <c r="H20" i="22" s="1"/>
  <c r="G187" i="22"/>
  <c r="H187" i="22" s="1"/>
  <c r="J187" i="22" s="1"/>
  <c r="G105" i="30"/>
  <c r="H105" i="30" s="1"/>
  <c r="G99" i="30"/>
  <c r="H99" i="30" s="1"/>
  <c r="G97" i="30"/>
  <c r="H97" i="30" s="1"/>
  <c r="G95" i="30"/>
  <c r="H95" i="30" s="1"/>
  <c r="G103" i="30"/>
  <c r="H103" i="30" s="1"/>
  <c r="G101" i="30"/>
  <c r="H101" i="30" s="1"/>
  <c r="I59" i="30"/>
  <c r="H7" i="30"/>
  <c r="E7" i="43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H32" i="22" l="1"/>
  <c r="H9" i="43"/>
  <c r="H9" i="50" s="1"/>
  <c r="J9" i="50" s="1"/>
  <c r="E19" i="24"/>
  <c r="H30" i="22"/>
  <c r="G20" i="23"/>
  <c r="H20" i="23" s="1"/>
  <c r="G187" i="23"/>
  <c r="H187" i="23" s="1"/>
  <c r="J187" i="23" s="1"/>
  <c r="E30" i="23"/>
  <c r="G30" i="23" s="1"/>
  <c r="G32" i="23" s="1"/>
  <c r="H19" i="23"/>
  <c r="E9" i="31"/>
  <c r="G9" i="31" s="1"/>
  <c r="E7" i="3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H32" i="23" l="1"/>
  <c r="H9" i="31"/>
  <c r="H30" i="23"/>
  <c r="G19" i="24"/>
  <c r="AB25" i="49"/>
  <c r="N7" i="31"/>
  <c r="G7" i="31"/>
  <c r="G7" i="43"/>
  <c r="G7" i="50"/>
  <c r="G11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H165" i="31" s="1"/>
  <c r="J165" i="30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E19" i="25" l="1"/>
  <c r="G19" i="25" s="1"/>
  <c r="E30" i="24"/>
  <c r="G30" i="24" s="1"/>
  <c r="G32" i="24" s="1"/>
  <c r="H32" i="24" s="1"/>
  <c r="G187" i="24"/>
  <c r="H187" i="24" s="1"/>
  <c r="J187" i="24" s="1"/>
  <c r="G20" i="24"/>
  <c r="H20" i="24" s="1"/>
  <c r="H19" i="24"/>
  <c r="AC36" i="44"/>
  <c r="AC37" i="44"/>
  <c r="G104" i="50"/>
  <c r="G98" i="50"/>
  <c r="G100" i="50"/>
  <c r="G106" i="50"/>
  <c r="G96" i="50"/>
  <c r="G102" i="50"/>
  <c r="I60" i="50"/>
  <c r="G97" i="43"/>
  <c r="H97" i="43" s="1"/>
  <c r="J97" i="43" s="1"/>
  <c r="G99" i="43"/>
  <c r="H99" i="43" s="1"/>
  <c r="J99" i="43" s="1"/>
  <c r="G103" i="43"/>
  <c r="H103" i="43" s="1"/>
  <c r="J103" i="43" s="1"/>
  <c r="G101" i="43"/>
  <c r="H101" i="43" s="1"/>
  <c r="J101" i="43" s="1"/>
  <c r="G95" i="43"/>
  <c r="H95" i="43" s="1"/>
  <c r="G105" i="43"/>
  <c r="H105" i="43" s="1"/>
  <c r="I59" i="43"/>
  <c r="H7" i="43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80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9" i="50"/>
  <c r="J129" i="50" s="1"/>
  <c r="H178" i="31"/>
  <c r="J178" i="31" s="1"/>
  <c r="J178" i="43"/>
  <c r="H122" i="50"/>
  <c r="J122" i="50" s="1"/>
  <c r="H181" i="43"/>
  <c r="J181" i="30"/>
  <c r="H173" i="31"/>
  <c r="J173" i="31" s="1"/>
  <c r="J173" i="43"/>
  <c r="H117" i="50"/>
  <c r="J117" i="50" s="1"/>
  <c r="H186" i="43"/>
  <c r="J186" i="30"/>
  <c r="J180" i="43"/>
  <c r="H180" i="31"/>
  <c r="J180" i="31" s="1"/>
  <c r="H124" i="50"/>
  <c r="J124" i="50" s="1"/>
  <c r="H176" i="30"/>
  <c r="J176" i="29"/>
  <c r="J183" i="43"/>
  <c r="H183" i="31"/>
  <c r="J183" i="31" s="1"/>
  <c r="J174" i="43"/>
  <c r="H174" i="31"/>
  <c r="J174" i="31" s="1"/>
  <c r="H118" i="50"/>
  <c r="J118" i="50" s="1"/>
  <c r="J179" i="43"/>
  <c r="H179" i="31"/>
  <c r="J179" i="31" s="1"/>
  <c r="H123" i="50"/>
  <c r="J123" i="50" s="1"/>
  <c r="J184" i="43"/>
  <c r="H184" i="31"/>
  <c r="J184" i="31" s="1"/>
  <c r="H128" i="50"/>
  <c r="J128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J165" i="3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30" i="24" l="1"/>
  <c r="H19" i="25"/>
  <c r="E30" i="25"/>
  <c r="G30" i="25" s="1"/>
  <c r="G32" i="25" s="1"/>
  <c r="H32" i="25" s="1"/>
  <c r="G187" i="25"/>
  <c r="H187" i="25" s="1"/>
  <c r="J187" i="25" s="1"/>
  <c r="G20" i="25"/>
  <c r="H20" i="25" s="1"/>
  <c r="E19" i="40"/>
  <c r="H101" i="31"/>
  <c r="J101" i="31" s="1"/>
  <c r="H99" i="31"/>
  <c r="J99" i="31" s="1"/>
  <c r="H103" i="31"/>
  <c r="J103" i="31" s="1"/>
  <c r="H105" i="31"/>
  <c r="J105" i="31" s="1"/>
  <c r="J105" i="43"/>
  <c r="H95" i="31"/>
  <c r="J95" i="31" s="1"/>
  <c r="J95" i="43"/>
  <c r="AU35" i="44"/>
  <c r="H97" i="31"/>
  <c r="J97" i="31" s="1"/>
  <c r="J164" i="31"/>
  <c r="H176" i="43"/>
  <c r="J176" i="30"/>
  <c r="J175" i="43"/>
  <c r="H175" i="31"/>
  <c r="J175" i="31" s="1"/>
  <c r="H119" i="50"/>
  <c r="J119" i="50" s="1"/>
  <c r="H181" i="31"/>
  <c r="J181" i="31" s="1"/>
  <c r="J181" i="43"/>
  <c r="J186" i="43"/>
  <c r="H186" i="31"/>
  <c r="J186" i="31" s="1"/>
  <c r="H130" i="50"/>
  <c r="J130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G19" i="40" l="1"/>
  <c r="H30" i="25"/>
  <c r="AD36" i="44"/>
  <c r="AD37" i="44"/>
  <c r="AU36" i="44"/>
  <c r="AU37" i="44"/>
  <c r="AC32" i="49"/>
  <c r="H176" i="31"/>
  <c r="J176" i="31" s="1"/>
  <c r="J176" i="43"/>
  <c r="H120" i="50"/>
  <c r="J120" i="50" s="1"/>
  <c r="H188" i="31"/>
  <c r="J188" i="31" s="1"/>
  <c r="J188" i="43"/>
  <c r="H132" i="50"/>
  <c r="J132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G187" i="40" l="1"/>
  <c r="H187" i="40" s="1"/>
  <c r="J187" i="40" s="1"/>
  <c r="G20" i="40"/>
  <c r="H20" i="40" s="1"/>
  <c r="E30" i="40"/>
  <c r="G30" i="40" s="1"/>
  <c r="G32" i="40" s="1"/>
  <c r="H32" i="40" s="1"/>
  <c r="H19" i="40"/>
  <c r="E19" i="27"/>
  <c r="AT10" i="49"/>
  <c r="BB10" i="49"/>
  <c r="AS10" i="49"/>
  <c r="BA10" i="49"/>
  <c r="H30" i="40" l="1"/>
  <c r="G19" i="27"/>
  <c r="H19" i="27" s="1"/>
  <c r="C9" i="44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G20" i="27" l="1"/>
  <c r="H20" i="27" s="1"/>
  <c r="E30" i="27"/>
  <c r="G30" i="27" s="1"/>
  <c r="G187" i="27"/>
  <c r="H187" i="27" s="1"/>
  <c r="J187" i="27" s="1"/>
  <c r="E19" i="28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G19" i="28" l="1"/>
  <c r="G32" i="27"/>
  <c r="H32" i="27" s="1"/>
  <c r="H30" i="27"/>
  <c r="N34" i="1"/>
  <c r="G32" i="47"/>
  <c r="AT35" i="44"/>
  <c r="AT32" i="49"/>
  <c r="BB32" i="49"/>
  <c r="AS32" i="49"/>
  <c r="BA32" i="49"/>
  <c r="E19" i="29" l="1"/>
  <c r="E30" i="28"/>
  <c r="G30" i="28" s="1"/>
  <c r="G32" i="28" s="1"/>
  <c r="H32" i="28" s="1"/>
  <c r="G187" i="28"/>
  <c r="H187" i="28" s="1"/>
  <c r="J187" i="28" s="1"/>
  <c r="G20" i="28"/>
  <c r="H20" i="28" s="1"/>
  <c r="H19" i="28"/>
  <c r="AI25" i="45"/>
  <c r="AI27" i="45"/>
  <c r="H30" i="28" l="1"/>
  <c r="E19" i="30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H30" i="29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H30" i="30" l="1"/>
  <c r="G19" i="43"/>
  <c r="E20" i="50"/>
  <c r="G20" i="50" s="1"/>
  <c r="E19" i="31"/>
  <c r="G19" i="31" s="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E30" i="31"/>
  <c r="G30" i="31" s="1"/>
  <c r="G32" i="31" s="1"/>
  <c r="G21" i="50"/>
  <c r="E31" i="50"/>
  <c r="G31" i="50" s="1"/>
  <c r="G33" i="50" s="1"/>
  <c r="G20" i="43"/>
  <c r="H20" i="43" s="1"/>
  <c r="H20" i="31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J187" i="43" l="1"/>
  <c r="H131" i="50"/>
  <c r="J131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BA35" i="44" s="1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BH7" i="49"/>
  <c r="AZ10" i="44"/>
  <c r="E2" i="49"/>
  <c r="F3" i="49"/>
  <c r="AZ36" i="1"/>
  <c r="AZ21" i="1"/>
  <c r="H33" i="1"/>
  <c r="J33" i="1" s="1"/>
  <c r="C34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M5" i="49" l="1"/>
  <c r="BA8" i="44"/>
  <c r="BA5" i="44"/>
  <c r="BM4" i="49"/>
  <c r="BA7" i="44"/>
  <c r="AY37" i="44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BA6" i="44" s="1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BM6" i="49" l="1"/>
  <c r="BA9" i="44"/>
  <c r="O9" i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A10" i="44" s="1"/>
  <c r="BG8" i="49"/>
  <c r="AT11" i="44"/>
  <c r="G7" i="47"/>
  <c r="N9" i="1"/>
  <c r="G8" i="47"/>
  <c r="N10" i="1"/>
  <c r="E9" i="47"/>
  <c r="K11" i="1"/>
  <c r="BK11" i="1"/>
  <c r="BM11" i="1"/>
  <c r="BL11" i="1"/>
  <c r="G12" i="1"/>
  <c r="BM8" i="49" l="1"/>
  <c r="BA11" i="44"/>
  <c r="BC12" i="44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A12" i="44" s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10" i="49" l="1"/>
  <c r="BA13" i="44"/>
  <c r="BM9" i="49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A14" i="44" s="1"/>
  <c r="G11" i="47"/>
  <c r="AN15" i="44"/>
  <c r="AT15" i="44" s="1"/>
  <c r="L14" i="1"/>
  <c r="G12" i="47" s="1"/>
  <c r="E19" i="47"/>
  <c r="BM21" i="1"/>
  <c r="K21" i="1"/>
  <c r="BL21" i="1"/>
  <c r="BK21" i="1"/>
  <c r="BM12" i="49" l="1"/>
  <c r="BA15" i="44"/>
  <c r="BM11" i="49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A16" i="44" s="1"/>
  <c r="G19" i="1"/>
  <c r="B20" i="44"/>
  <c r="BC20" i="44" s="1"/>
  <c r="G14" i="47"/>
  <c r="N16" i="1"/>
  <c r="BG14" i="49"/>
  <c r="AT17" i="44"/>
  <c r="BA17" i="44" s="1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AT18" i="44"/>
  <c r="BA18" i="44" s="1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BA19" i="44" s="1"/>
  <c r="G21" i="1"/>
  <c r="B22" i="44"/>
  <c r="BC22" i="44" s="1"/>
  <c r="L18" i="1"/>
  <c r="G16" i="47" s="1"/>
  <c r="BM15" i="49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A20" i="44" s="1"/>
  <c r="BG17" i="49"/>
  <c r="N19" i="1"/>
  <c r="G17" i="47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BA21" i="44" s="1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M18" i="49"/>
  <c r="N21" i="1"/>
  <c r="G19" i="47"/>
  <c r="BG19" i="49"/>
  <c r="AT22" i="44"/>
  <c r="BA22" i="44" s="1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A23" i="44" s="1"/>
  <c r="BG20" i="49"/>
  <c r="BM19" i="49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A24" i="44" s="1"/>
  <c r="BG21" i="49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M21" i="49"/>
  <c r="BG22" i="49"/>
  <c r="AT25" i="44"/>
  <c r="BA25" i="44" s="1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A26" i="44" s="1"/>
  <c r="BG23" i="49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M23" i="49"/>
  <c r="BG24" i="49"/>
  <c r="AT27" i="44"/>
  <c r="BA27" i="44" s="1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M24" i="49"/>
  <c r="BG25" i="49"/>
  <c r="AT28" i="44"/>
  <c r="BA28" i="44" s="1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A29" i="44" s="1"/>
  <c r="BG26" i="49"/>
  <c r="G26" i="47"/>
  <c r="N28" i="1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BA30" i="44" s="1"/>
  <c r="N29" i="1"/>
  <c r="G27" i="47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M27" i="49"/>
  <c r="AT31" i="44"/>
  <c r="BA31" i="44" s="1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i="50" s="1"/>
  <c r="Q30" i="1"/>
  <c r="BN30" i="1" s="1"/>
  <c r="O31" i="1"/>
  <c r="E33" i="44"/>
  <c r="O32" i="1"/>
  <c r="I30" i="47" s="1"/>
  <c r="AT32" i="44"/>
  <c r="BA32" i="44" s="1"/>
  <c r="BG29" i="49"/>
  <c r="L32" i="1"/>
  <c r="D33" i="44"/>
  <c r="AN33" i="44"/>
  <c r="BM28" i="49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M29" i="49"/>
  <c r="D34" i="44"/>
  <c r="D36" i="44" s="1"/>
  <c r="L33" i="1"/>
  <c r="AN34" i="44"/>
  <c r="AN37" i="44" s="1"/>
  <c r="N32" i="1"/>
  <c r="G30" i="47"/>
  <c r="BG30" i="49"/>
  <c r="AT33" i="44"/>
  <c r="BA33" i="44" s="1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i="50" s="1"/>
  <c r="J92" i="2"/>
  <c r="H84" i="50"/>
  <c r="J84" i="50" s="1"/>
  <c r="BN32" i="1"/>
  <c r="M30" i="47"/>
  <c r="O33" i="1"/>
  <c r="I31" i="47" s="1"/>
  <c r="E34" i="44"/>
  <c r="N33" i="1"/>
  <c r="N35" i="1" s="1"/>
  <c r="G31" i="47"/>
  <c r="L35" i="1"/>
  <c r="BM30" i="49"/>
  <c r="AT34" i="44"/>
  <c r="BG31" i="49"/>
  <c r="BG35" i="1"/>
  <c r="BO35" i="1" s="1"/>
  <c r="BP35" i="1" s="1"/>
  <c r="AT36" i="44" l="1"/>
  <c r="BA34" i="44"/>
  <c r="BA36" i="44" s="1"/>
  <c r="AT37" i="44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3" i="50"/>
  <c r="J103" i="50" s="1"/>
  <c r="H95" i="50"/>
  <c r="J95" i="50" s="1"/>
  <c r="J74" i="2"/>
  <c r="H89" i="50"/>
  <c r="J89" i="50" s="1"/>
  <c r="H85" i="50"/>
  <c r="J85" i="50" s="1"/>
  <c r="J83" i="2"/>
  <c r="H97" i="50"/>
  <c r="J97" i="50" s="1"/>
  <c r="H83" i="50"/>
  <c r="J83" i="50" s="1"/>
  <c r="H78" i="50"/>
  <c r="J78" i="50" s="1"/>
  <c r="H79" i="50"/>
  <c r="J79" i="50" s="1"/>
  <c r="H75" i="50"/>
  <c r="J75" i="50" s="1"/>
  <c r="H77" i="50"/>
  <c r="J77" i="50" s="1"/>
  <c r="H63" i="50"/>
  <c r="J63" i="50" s="1"/>
  <c r="H76" i="50"/>
  <c r="J76" i="50" s="1"/>
  <c r="AH6" i="45"/>
  <c r="AH24" i="45" s="1"/>
  <c r="BD32" i="49" s="1"/>
  <c r="R33" i="1"/>
  <c r="Q33" i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2" i="50"/>
  <c r="J92" i="50" s="1"/>
  <c r="H99" i="50"/>
  <c r="J99" i="50" s="1"/>
  <c r="H101" i="50"/>
  <c r="J101" i="50" s="1"/>
  <c r="J94" i="2"/>
  <c r="H105" i="50"/>
  <c r="J105" i="50" s="1"/>
  <c r="H87" i="50"/>
  <c r="J87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i="50" s="1"/>
  <c r="J71" i="2"/>
  <c r="H72" i="50"/>
  <c r="J72" i="50" s="1"/>
  <c r="H66" i="50"/>
  <c r="J66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8" i="50"/>
  <c r="J68" i="50" s="1"/>
  <c r="H70" i="50"/>
  <c r="J70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i="50" s="1"/>
  <c r="H96" i="50"/>
  <c r="J96" i="50" s="1"/>
  <c r="H106" i="50"/>
  <c r="J106" i="50" s="1"/>
  <c r="H98" i="50"/>
  <c r="J98" i="50" s="1"/>
  <c r="H104" i="50"/>
  <c r="J104" i="50" s="1"/>
  <c r="H100" i="50"/>
  <c r="J100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70" i="40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i="50" s="1"/>
  <c r="J70" i="2"/>
  <c r="H71" i="50"/>
  <c r="J71" i="50" s="1"/>
  <c r="H69" i="50"/>
  <c r="J69" i="50" s="1"/>
  <c r="H67" i="50"/>
  <c r="J67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i="19" s="1"/>
  <c r="G12" i="17"/>
  <c r="G11" i="31"/>
  <c r="G11" i="29"/>
  <c r="G12" i="24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20" l="1"/>
  <c r="G13" i="22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29"/>
  <c r="G13" i="43"/>
  <c r="G13" i="10"/>
  <c r="G13" i="16"/>
  <c r="G13" i="28"/>
  <c r="G13" i="9"/>
  <c r="G13" i="21"/>
  <c r="G13" i="27"/>
  <c r="G13" i="33"/>
  <c r="H13" i="33" s="1"/>
  <c r="H12" i="31" l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4" i="50"/>
  <c r="I61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J7" i="31" s="1"/>
  <c r="I9" i="31" s="1"/>
  <c r="H7" i="50"/>
  <c r="J7" i="50" s="1"/>
  <c r="J12" i="43"/>
  <c r="J9" i="43"/>
  <c r="J10" i="43"/>
  <c r="J9" i="31"/>
  <c r="J10" i="31"/>
  <c r="J12" i="31"/>
  <c r="J15" i="43"/>
  <c r="I16" i="43" s="1"/>
  <c r="J15" i="31"/>
  <c r="I16" i="31" s="1"/>
  <c r="H16" i="50"/>
  <c r="J16" i="50" s="1"/>
  <c r="I17" i="50" s="1"/>
  <c r="J18" i="31"/>
  <c r="J18" i="43"/>
  <c r="J20" i="43"/>
  <c r="I20" i="43" s="1"/>
  <c r="H19" i="50"/>
  <c r="J19" i="50" s="1"/>
  <c r="J19" i="43"/>
  <c r="H20" i="50"/>
  <c r="J20" i="50" s="1"/>
  <c r="J19" i="31"/>
  <c r="H21" i="50"/>
  <c r="J21" i="50" s="1"/>
  <c r="I21" i="50" s="1"/>
  <c r="J20" i="31"/>
  <c r="I20" i="31" s="1"/>
  <c r="J22" i="43"/>
  <c r="J24" i="43"/>
  <c r="H24" i="50"/>
  <c r="J24" i="50" s="1"/>
  <c r="J23" i="43"/>
  <c r="J24" i="31"/>
  <c r="H23" i="50"/>
  <c r="J23" i="50" s="1"/>
  <c r="J22" i="31"/>
  <c r="J23" i="31"/>
  <c r="H25" i="50"/>
  <c r="J25" i="50" s="1"/>
  <c r="J27" i="43"/>
  <c r="J28" i="43"/>
  <c r="H29" i="50"/>
  <c r="J29" i="50" s="1"/>
  <c r="J32" i="31"/>
  <c r="J32" i="43"/>
  <c r="J31" i="43"/>
  <c r="J30" i="43"/>
  <c r="J30" i="31"/>
  <c r="J31" i="31"/>
  <c r="H31" i="50"/>
  <c r="J31" i="50" s="1"/>
  <c r="J29" i="43"/>
  <c r="J29" i="31"/>
  <c r="H30" i="50"/>
  <c r="J30" i="50" s="1"/>
  <c r="H28" i="50"/>
  <c r="J28" i="50" s="1"/>
  <c r="J27" i="31"/>
  <c r="H33" i="50"/>
  <c r="J33" i="50" s="1"/>
  <c r="H32" i="50"/>
  <c r="J32" i="50" s="1"/>
  <c r="J28" i="31"/>
  <c r="J42" i="43"/>
  <c r="J41" i="43"/>
  <c r="J35" i="43"/>
  <c r="J40" i="43"/>
  <c r="J43" i="43"/>
  <c r="J41" i="31"/>
  <c r="J44" i="43"/>
  <c r="H41" i="50"/>
  <c r="J41" i="50" s="1"/>
  <c r="J45" i="43"/>
  <c r="J39" i="43"/>
  <c r="J36" i="43"/>
  <c r="J38" i="43"/>
  <c r="J47" i="31"/>
  <c r="J47" i="43"/>
  <c r="H37" i="50"/>
  <c r="J37" i="50" s="1"/>
  <c r="J42" i="31"/>
  <c r="J45" i="31"/>
  <c r="H36" i="50"/>
  <c r="J36" i="50" s="1"/>
  <c r="H46" i="50"/>
  <c r="J46" i="50" s="1"/>
  <c r="J46" i="31"/>
  <c r="J46" i="43"/>
  <c r="H39" i="50"/>
  <c r="J39" i="50" s="1"/>
  <c r="H38" i="50"/>
  <c r="J38" i="50" s="1"/>
  <c r="J37" i="43"/>
  <c r="J37" i="31"/>
  <c r="H47" i="50"/>
  <c r="J47" i="50" s="1"/>
  <c r="J40" i="31"/>
  <c r="J39" i="31"/>
  <c r="H48" i="50"/>
  <c r="J48" i="50" s="1"/>
  <c r="H44" i="50"/>
  <c r="J44" i="50" s="1"/>
  <c r="J35" i="31"/>
  <c r="J44" i="31"/>
  <c r="H42" i="50"/>
  <c r="J42" i="50" s="1"/>
  <c r="J43" i="31"/>
  <c r="H40" i="50"/>
  <c r="J40" i="50" s="1"/>
  <c r="J38" i="31"/>
  <c r="H43" i="50"/>
  <c r="J43" i="50" s="1"/>
  <c r="H45" i="50"/>
  <c r="J45" i="50" s="1"/>
  <c r="J36" i="31"/>
  <c r="J58" i="43"/>
  <c r="J59" i="43"/>
  <c r="H60" i="50"/>
  <c r="J60" i="50" s="1"/>
  <c r="J49" i="43"/>
  <c r="J54" i="43"/>
  <c r="H50" i="50"/>
  <c r="J50" i="50" s="1"/>
  <c r="H59" i="50"/>
  <c r="J59" i="50" s="1"/>
  <c r="J50" i="43"/>
  <c r="J49" i="31"/>
  <c r="H57" i="50"/>
  <c r="J57" i="50" s="1"/>
  <c r="J56" i="43"/>
  <c r="J60" i="43"/>
  <c r="H51" i="50"/>
  <c r="J51" i="50" s="1"/>
  <c r="J53" i="43"/>
  <c r="H54" i="50"/>
  <c r="J54" i="50" s="1"/>
  <c r="J55" i="43"/>
  <c r="J57" i="43"/>
  <c r="H55" i="50"/>
  <c r="J55" i="50" s="1"/>
  <c r="J56" i="31"/>
  <c r="J54" i="31"/>
  <c r="J52" i="43"/>
  <c r="J53" i="31"/>
  <c r="H56" i="50"/>
  <c r="J56" i="50" s="1"/>
  <c r="J51" i="31"/>
  <c r="J51" i="43"/>
  <c r="H53" i="50"/>
  <c r="J53" i="50" s="1"/>
  <c r="J50" i="31"/>
  <c r="J52" i="31"/>
  <c r="H61" i="50"/>
  <c r="J61" i="50" s="1"/>
  <c r="H58" i="50"/>
  <c r="J58" i="50" s="1"/>
  <c r="J57" i="31"/>
  <c r="H52" i="50"/>
  <c r="J52" i="50" s="1"/>
  <c r="J58" i="31"/>
  <c r="J55" i="31"/>
  <c r="J60" i="31"/>
  <c r="J59" i="31"/>
  <c r="J8" i="12"/>
  <c r="H8" i="13"/>
  <c r="H8" i="14" s="1"/>
  <c r="J11" i="19" l="1"/>
  <c r="H11" i="21"/>
  <c r="J11" i="20"/>
  <c r="H13" i="28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i="31" s="1"/>
  <c r="H14" i="50"/>
  <c r="J14" i="50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i="31" s="1"/>
  <c r="J11" i="43"/>
  <c r="J8" i="25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</calcChain>
</file>

<file path=xl/sharedStrings.xml><?xml version="1.0" encoding="utf-8"?>
<sst xmlns="http://schemas.openxmlformats.org/spreadsheetml/2006/main" count="10762" uniqueCount="372">
  <si>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</si>
  <si>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</si>
  <si>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</si>
  <si>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</si>
  <si>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</si>
  <si>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</si>
  <si>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</si>
  <si>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</si>
  <si>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</si>
  <si>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</si>
  <si>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</si>
  <si>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</si>
  <si>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</si>
  <si>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</si>
  <si>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</si>
  <si>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</si>
  <si>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</si>
  <si>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</si>
  <si>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</si>
  <si>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</si>
  <si>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</si>
  <si>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</si>
  <si>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</si>
  <si>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</si>
  <si>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</si>
  <si>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</si>
  <si>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</si>
  <si>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</si>
  <si>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</si>
  <si>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</si>
  <si>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</si>
  <si>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</si>
  <si>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</si>
  <si>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</si>
  <si>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</si>
  <si>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</si>
  <si>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</si>
  <si>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</si>
  <si>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</si>
  <si>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</si>
  <si>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</si>
  <si>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</si>
  <si>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</si>
  <si>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</si>
  <si>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</si>
  <si>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</si>
  <si>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</si>
  <si>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</si>
  <si>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</si>
  <si>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</si>
  <si>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</si>
  <si>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</si>
  <si>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</si>
  <si>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</si>
  <si>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</si>
  <si>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</si>
  <si>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</si>
  <si>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</si>
  <si>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</si>
  <si>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</si>
  <si>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</si>
  <si>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</si>
  <si>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</si>
  <si>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</si>
  <si>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</si>
  <si>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</si>
  <si>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</si>
  <si>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</si>
  <si>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</si>
  <si>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</si>
  <si>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</si>
  <si>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</si>
  <si>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</si>
  <si>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</si>
  <si>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</si>
  <si>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</si>
  <si>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</si>
  <si>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</si>
  <si>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</si>
  <si>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</si>
  <si>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</si>
  <si>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</si>
  <si>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</si>
  <si>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</si>
  <si>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</si>
  <si>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</si>
  <si>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</si>
  <si>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</si>
  <si>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</si>
  <si>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</si>
  <si>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</si>
  <si>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</si>
  <si>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</si>
  <si>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</si>
  <si>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</si>
  <si>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</si>
  <si>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</si>
  <si>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</si>
  <si>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</si>
  <si>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</si>
  <si>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</si>
  <si>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</si>
  <si>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</si>
  <si>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</si>
  <si>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</si>
  <si>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</si>
  <si>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</si>
  <si>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</si>
  <si>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</si>
  <si>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</si>
  <si>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</si>
  <si>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</si>
  <si>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</si>
  <si>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</si>
  <si>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</si>
  <si>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</si>
  <si>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</si>
  <si>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</si>
  <si>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</si>
  <si>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</si>
  <si>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</si>
  <si>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</si>
  <si>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</si>
  <si>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</si>
  <si>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</si>
  <si>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</si>
  <si>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</si>
  <si>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</si>
  <si>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</si>
  <si>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</si>
  <si>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</si>
  <si>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</si>
  <si>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</si>
  <si>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</si>
  <si>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</si>
  <si>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</si>
  <si>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</si>
  <si>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</si>
  <si>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</si>
  <si>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</si>
  <si>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</si>
  <si>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</si>
  <si>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</si>
  <si>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</si>
  <si>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</si>
  <si>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</si>
  <si>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</si>
  <si>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</si>
  <si>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</si>
  <si>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</si>
  <si>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</si>
  <si>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</si>
  <si>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</si>
  <si>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</si>
  <si>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</si>
  <si>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</si>
  <si>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</si>
  <si>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</si>
  <si>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</si>
  <si>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</si>
  <si>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</si>
  <si>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</si>
  <si>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</si>
  <si>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</si>
  <si>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</si>
  <si>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</si>
  <si>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</si>
  <si>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</si>
  <si>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</si>
  <si>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</si>
  <si>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</si>
  <si>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</si>
  <si>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</si>
  <si>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</si>
  <si>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</si>
  <si>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</si>
  <si>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</si>
  <si>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</si>
  <si>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</si>
  <si>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</si>
  <si>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</si>
  <si>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</si>
  <si>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</si>
  <si>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</si>
  <si>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</si>
  <si>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</si>
  <si>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</si>
  <si>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</si>
  <si>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</si>
  <si>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</si>
  <si>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</si>
  <si>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</si>
  <si>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</si>
  <si>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</si>
  <si>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</si>
  <si>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</si>
  <si>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</si>
  <si>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</si>
  <si>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</si>
  <si>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</si>
  <si>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</si>
  <si>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</si>
  <si>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</si>
  <si>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</si>
  <si>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</si>
  <si>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</si>
  <si>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</si>
  <si>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</si>
  <si>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</si>
  <si>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</si>
  <si>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</si>
  <si>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</si>
  <si>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</si>
  <si>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</si>
  <si>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</si>
  <si>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</si>
  <si>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</si>
  <si>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</si>
  <si>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</si>
  <si>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</si>
  <si>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</si>
  <si>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</si>
  <si>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</si>
  <si>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</si>
  <si>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</si>
  <si>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</si>
  <si>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</si>
  <si>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</si>
  <si>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</si>
  <si>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</si>
  <si>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</si>
  <si>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</si>
  <si>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</si>
  <si>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</si>
  <si>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</si>
  <si>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</si>
  <si>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</si>
  <si>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</si>
  <si>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</si>
  <si>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</si>
  <si>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</si>
  <si>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</si>
  <si>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</si>
  <si>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</si>
  <si>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</si>
  <si>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</si>
  <si>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</si>
  <si>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</si>
  <si>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</si>
  <si>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</si>
  <si>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</si>
  <si>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</si>
  <si>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</si>
  <si>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</si>
  <si>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</si>
  <si>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</si>
  <si>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</si>
  <si>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</si>
  <si>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</si>
  <si>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</si>
  <si>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</si>
  <si>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</si>
  <si>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</si>
  <si>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</si>
  <si>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</si>
  <si>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</si>
  <si>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</si>
  <si>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</si>
  <si>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</si>
  <si>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</si>
  <si>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</si>
  <si>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</si>
  <si>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</si>
  <si>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</si>
  <si>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</si>
  <si>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</si>
  <si>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</si>
  <si>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</si>
  <si>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</si>
  <si>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</si>
  <si>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</si>
  <si>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</si>
  <si>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</si>
  <si>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</si>
  <si>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</si>
  <si>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</si>
  <si>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</si>
  <si>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</si>
  <si>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</si>
  <si>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</si>
  <si>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</si>
  <si>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</si>
  <si>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</si>
  <si>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</si>
  <si>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</si>
  <si>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</si>
  <si>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</si>
  <si>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</si>
  <si>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</si>
  <si>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</si>
  <si>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</si>
  <si>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</si>
  <si>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</si>
  <si>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</si>
  <si>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</si>
  <si>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</si>
  <si>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</si>
  <si>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</si>
  <si>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</si>
  <si>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</si>
  <si>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</si>
  <si>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</si>
  <si>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</si>
  <si>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</si>
  <si>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</si>
  <si>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</si>
  <si>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</si>
  <si>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</si>
  <si>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</si>
  <si>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</si>
  <si>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</si>
  <si>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</si>
  <si>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</si>
  <si>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</si>
  <si>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</si>
  <si>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</si>
  <si>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</si>
  <si>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</si>
  <si>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</si>
  <si>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</si>
  <si>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</si>
  <si>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</si>
  <si>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</si>
  <si>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</si>
  <si>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</si>
  <si>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</si>
  <si>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</si>
  <si>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</si>
  <si>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</si>
  <si>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</si>
  <si>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</si>
  <si>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</si>
  <si>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</si>
  <si>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</si>
  <si>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</si>
  <si>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</si>
  <si>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</si>
  <si>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</si>
  <si>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</si>
  <si>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</si>
  <si>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</si>
  <si>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</si>
  <si>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</si>
  <si>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</si>
  <si>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</si>
  <si>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</si>
  <si>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</si>
  <si>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</si>
  <si>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</si>
  <si>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</si>
  <si>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</si>
  <si>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Prepaired by---Nilesh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</si>
  <si>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</si>
  <si>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</si>
  <si>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</si>
  <si>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</si>
  <si>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</si>
  <si>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</si>
  <si>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</si>
  <si>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</si>
  <si>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project</t>
  </si>
  <si>
    <t xml:space="preserve">Pool &amp; Spa wet facilites startted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</si>
</sst>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0.0"/>
    <numFmt numFmtId="166" formatCode="0.0%"/>
    <numFmt numFmtId="167" formatCode="[$-809]d\ mmmm\ yyyy;@"/>
    <numFmt numFmtId="168" formatCode="0.0E+00"/>
    <numFmt numFmtId="169" formatCode="#,##0;[Red]#,##0"/>
    <numFmt numFmtId="170" formatCode="_(* #,##0_);_(* \(#,##0\);_(* &quot;-&quot;??_);_(@_)"/>
    <numFmt numFmtId="171" formatCode="[$-809]dd\ mmmm\ yyyy;@"/>
    <numFmt numFmtId="172" formatCode="0_ ;[Red]\-0\ "/>
  </numFmts>
  <fonts count="88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sz val="16"/>
      <name val="Arial Unicode MS"/>
      <family val="2"/>
    </font>
    <font>
      <sz val="16"/>
      <color rgb="FF7030A0"/>
      <name val="Arial Unicode MS"/>
      <family val="2"/>
    </font>
    <font>
      <sz val="16"/>
      <color indexed="8"/>
      <name val="Arial Unicode MS"/>
      <family val="2"/>
    </font>
    <font>
      <sz val="16"/>
      <color rgb="FFFF0000"/>
      <name val="Arial Unicode MS"/>
      <family val="2"/>
    </font>
    <font>
      <sz val="16"/>
      <color rgb="FF00B050"/>
      <name val="Arial Unicode MS"/>
      <family val="2"/>
    </font>
    <font>
      <sz val="16"/>
      <color indexed="10"/>
      <name val="Arial Unicode MS"/>
      <family val="2"/>
    </font>
    <font>
      <b/>
      <sz val="12"/>
      <color theme="1"/>
      <name val="Arial"/>
      <family val="2"/>
    </font>
    <font>
      <i/>
      <sz val="16"/>
      <color theme="0"/>
      <name val="Arial Unicode MS"/>
      <family val="2"/>
    </font>
    <font>
      <i/>
      <sz val="16"/>
      <name val="Arial Unicode MS"/>
      <family val="2"/>
    </font>
    <font>
      <i/>
      <sz val="16"/>
      <color rgb="FF7030A0"/>
      <name val="Arial Unicode MS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b/>
      <i/>
      <sz val="16"/>
      <name val="Arial Unicode MS"/>
      <family val="2"/>
    </font>
    <font>
      <sz val="18"/>
      <color indexed="8"/>
      <name val="Arial Unicode MS"/>
      <family val="2"/>
    </font>
    <font>
      <sz val="18"/>
      <name val="Arial Unicode MS"/>
      <family val="2"/>
    </font>
    <font>
      <i/>
      <sz val="20"/>
      <name val="Arial"/>
      <family val="2"/>
    </font>
    <font>
      <sz val="12"/>
      <color rgb="FFFF0000"/>
      <name val="Cambria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164" fontId="82" fillId="0" borderId="0" applyFont="0" applyFill="0" applyBorder="0" applyAlignment="0" applyProtection="0"/>
  </cellStyleXfs>
  <cellXfs count="959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5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5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5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5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5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5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5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69" fontId="43" fillId="8" borderId="1" xfId="5" applyNumberFormat="1" applyFont="1" applyFill="1" applyBorder="1" applyAlignment="1" applyProtection="1">
      <alignment horizontal="center" vertical="center"/>
    </xf>
    <xf numFmtId="165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0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43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6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5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7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8" fontId="32" fillId="8" borderId="16" xfId="3" applyNumberFormat="1" applyFont="1" applyFill="1" applyBorder="1" applyAlignment="1">
      <alignment vertical="center"/>
    </xf>
    <xf numFmtId="168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1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5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1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left"/>
    </xf>
    <xf numFmtId="0" fontId="70" fillId="9" borderId="1" xfId="3" applyFont="1" applyFill="1" applyBorder="1" applyAlignment="1">
      <alignment horizontal="center"/>
    </xf>
    <xf numFmtId="9" fontId="70" fillId="9" borderId="1" xfId="4" applyNumberFormat="1" applyFont="1" applyFill="1" applyBorder="1"/>
    <xf numFmtId="0" fontId="70" fillId="9" borderId="1" xfId="3" applyFont="1" applyFill="1" applyBorder="1" applyAlignment="1">
      <alignment horizontal="left"/>
    </xf>
    <xf numFmtId="0" fontId="70" fillId="9" borderId="1" xfId="3" applyFont="1" applyFill="1" applyBorder="1" applyAlignment="1"/>
    <xf numFmtId="1" fontId="70" fillId="9" borderId="1" xfId="3" applyNumberFormat="1" applyFont="1" applyFill="1" applyBorder="1" applyAlignment="1">
      <alignment horizontal="center"/>
    </xf>
    <xf numFmtId="1" fontId="70" fillId="9" borderId="12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left"/>
    </xf>
    <xf numFmtId="2" fontId="70" fillId="9" borderId="1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center"/>
    </xf>
    <xf numFmtId="0" fontId="70" fillId="8" borderId="1" xfId="3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 vertical="center"/>
    </xf>
    <xf numFmtId="0" fontId="70" fillId="12" borderId="1" xfId="3" applyFont="1" applyFill="1" applyBorder="1" applyAlignment="1">
      <alignment horizontal="center" vertical="center"/>
    </xf>
    <xf numFmtId="0" fontId="70" fillId="12" borderId="1" xfId="3" applyFont="1" applyFill="1" applyBorder="1" applyAlignment="1">
      <alignment horizontal="center"/>
    </xf>
    <xf numFmtId="0" fontId="70" fillId="12" borderId="12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center"/>
    </xf>
    <xf numFmtId="2" fontId="70" fillId="8" borderId="1" xfId="3" applyNumberFormat="1" applyFont="1" applyFill="1" applyBorder="1" applyAlignment="1">
      <alignment horizontal="center"/>
    </xf>
    <xf numFmtId="1" fontId="70" fillId="8" borderId="1" xfId="3" applyNumberFormat="1" applyFont="1" applyFill="1" applyBorder="1" applyAlignment="1">
      <alignment horizontal="center"/>
    </xf>
    <xf numFmtId="1" fontId="70" fillId="8" borderId="12" xfId="5" applyNumberFormat="1" applyFont="1" applyFill="1" applyBorder="1" applyAlignment="1" applyProtection="1">
      <alignment horizontal="center"/>
    </xf>
    <xf numFmtId="0" fontId="70" fillId="8" borderId="5" xfId="3" applyFont="1" applyFill="1" applyBorder="1" applyAlignment="1">
      <alignment horizontal="left" vertical="center"/>
    </xf>
    <xf numFmtId="0" fontId="70" fillId="8" borderId="10" xfId="3" applyFont="1" applyFill="1" applyBorder="1" applyAlignment="1">
      <alignment horizontal="left" vertical="center"/>
    </xf>
    <xf numFmtId="1" fontId="70" fillId="2" borderId="7" xfId="3" applyNumberFormat="1" applyFont="1" applyFill="1" applyBorder="1" applyAlignment="1">
      <alignment horizontal="center"/>
    </xf>
    <xf numFmtId="168" fontId="70" fillId="8" borderId="1" xfId="3" applyNumberFormat="1" applyFont="1" applyFill="1" applyBorder="1" applyAlignment="1">
      <alignment vertical="center"/>
    </xf>
    <xf numFmtId="0" fontId="70" fillId="0" borderId="1" xfId="4" applyFont="1" applyBorder="1" applyAlignment="1">
      <alignment horizontal="center"/>
    </xf>
    <xf numFmtId="1" fontId="70" fillId="2" borderId="1" xfId="3" applyNumberFormat="1" applyFont="1" applyFill="1" applyBorder="1" applyAlignment="1">
      <alignment horizontal="center"/>
    </xf>
    <xf numFmtId="0" fontId="70" fillId="13" borderId="1" xfId="3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/>
    </xf>
    <xf numFmtId="0" fontId="70" fillId="2" borderId="1" xfId="4" applyFont="1" applyFill="1" applyBorder="1" applyAlignment="1">
      <alignment horizontal="center"/>
    </xf>
    <xf numFmtId="0" fontId="72" fillId="2" borderId="1" xfId="4" applyFont="1" applyFill="1" applyBorder="1" applyAlignment="1">
      <alignment horizontal="center"/>
    </xf>
    <xf numFmtId="0" fontId="70" fillId="2" borderId="1" xfId="3" applyFont="1" applyFill="1" applyBorder="1" applyAlignment="1">
      <alignment horizontal="left" vertical="center"/>
    </xf>
    <xf numFmtId="0" fontId="70" fillId="2" borderId="1" xfId="3" applyFont="1" applyFill="1" applyBorder="1" applyAlignment="1">
      <alignment horizontal="center"/>
    </xf>
    <xf numFmtId="1" fontId="70" fillId="2" borderId="12" xfId="5" applyNumberFormat="1" applyFont="1" applyFill="1" applyBorder="1" applyAlignment="1" applyProtection="1">
      <alignment horizontal="center"/>
    </xf>
    <xf numFmtId="0" fontId="72" fillId="0" borderId="1" xfId="4" applyFont="1" applyBorder="1" applyAlignment="1">
      <alignment horizontal="center"/>
    </xf>
    <xf numFmtId="0" fontId="74" fillId="8" borderId="1" xfId="3" applyFont="1" applyFill="1" applyBorder="1" applyAlignment="1">
      <alignment horizontal="center"/>
    </xf>
    <xf numFmtId="1" fontId="70" fillId="2" borderId="1" xfId="5" applyNumberFormat="1" applyFont="1" applyFill="1" applyBorder="1" applyAlignment="1" applyProtection="1">
      <alignment horizontal="center"/>
    </xf>
    <xf numFmtId="0" fontId="70" fillId="13" borderId="1" xfId="3" applyFont="1" applyFill="1" applyBorder="1" applyAlignment="1">
      <alignment horizontal="center" vertical="center"/>
    </xf>
    <xf numFmtId="0" fontId="75" fillId="2" borderId="3" xfId="3" applyFont="1" applyFill="1" applyBorder="1" applyAlignment="1">
      <alignment horizontal="center"/>
    </xf>
    <xf numFmtId="0" fontId="75" fillId="2" borderId="4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1" fontId="73" fillId="8" borderId="1" xfId="3" applyNumberFormat="1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75" fillId="13" borderId="3" xfId="3" applyFont="1" applyFill="1" applyBorder="1" applyAlignment="1">
      <alignment horizontal="center"/>
    </xf>
    <xf numFmtId="0" fontId="75" fillId="13" borderId="4" xfId="3" applyFont="1" applyFill="1" applyBorder="1" applyAlignment="1">
      <alignment horizontal="center"/>
    </xf>
    <xf numFmtId="0" fontId="74" fillId="2" borderId="1" xfId="3" applyFont="1" applyFill="1" applyBorder="1" applyAlignment="1">
      <alignment horizontal="center"/>
    </xf>
    <xf numFmtId="0" fontId="70" fillId="12" borderId="1" xfId="3" applyFont="1" applyFill="1" applyBorder="1" applyAlignment="1">
      <alignment horizontal="left"/>
    </xf>
    <xf numFmtId="2" fontId="70" fillId="8" borderId="1" xfId="3" applyNumberFormat="1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left" vertical="justify"/>
    </xf>
    <xf numFmtId="0" fontId="70" fillId="17" borderId="1" xfId="3" applyFont="1" applyFill="1" applyBorder="1" applyAlignment="1">
      <alignment horizontal="center"/>
    </xf>
    <xf numFmtId="0" fontId="48" fillId="0" borderId="0" xfId="0" applyFont="1" applyBorder="1"/>
    <xf numFmtId="1" fontId="48" fillId="0" borderId="0" xfId="0" applyNumberFormat="1" applyFont="1" applyBorder="1" applyAlignment="1">
      <alignment horizontal="center"/>
    </xf>
    <xf numFmtId="0" fontId="48" fillId="17" borderId="1" xfId="3" applyFont="1" applyFill="1" applyBorder="1" applyAlignment="1">
      <alignment horizontal="center"/>
    </xf>
    <xf numFmtId="0" fontId="48" fillId="17" borderId="12" xfId="3" applyFont="1" applyFill="1" applyBorder="1" applyAlignment="1">
      <alignment horizontal="center"/>
    </xf>
    <xf numFmtId="1" fontId="70" fillId="12" borderId="1" xfId="5" applyNumberFormat="1" applyFont="1" applyFill="1" applyBorder="1" applyAlignment="1">
      <alignment horizontal="center"/>
    </xf>
    <xf numFmtId="1" fontId="70" fillId="12" borderId="12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48" fillId="0" borderId="1" xfId="0" applyFont="1" applyBorder="1"/>
    <xf numFmtId="0" fontId="48" fillId="12" borderId="12" xfId="3" applyFont="1" applyFill="1" applyBorder="1" applyAlignment="1">
      <alignment horizontal="center"/>
    </xf>
    <xf numFmtId="0" fontId="70" fillId="8" borderId="6" xfId="3" applyFont="1" applyFill="1" applyBorder="1" applyAlignment="1">
      <alignment horizontal="center"/>
    </xf>
    <xf numFmtId="2" fontId="70" fillId="8" borderId="6" xfId="3" applyNumberFormat="1" applyFont="1" applyFill="1" applyBorder="1" applyAlignment="1">
      <alignment horizontal="center"/>
    </xf>
    <xf numFmtId="1" fontId="70" fillId="8" borderId="17" xfId="5" applyNumberFormat="1" applyFont="1" applyFill="1" applyBorder="1" applyAlignment="1" applyProtection="1">
      <alignment horizontal="center"/>
    </xf>
    <xf numFmtId="1" fontId="48" fillId="0" borderId="1" xfId="0" applyNumberFormat="1" applyFont="1" applyBorder="1" applyAlignment="1">
      <alignment horizontal="center"/>
    </xf>
    <xf numFmtId="0" fontId="70" fillId="0" borderId="1" xfId="0" applyFont="1" applyBorder="1" applyAlignment="1">
      <alignment horizontal="center"/>
    </xf>
    <xf numFmtId="1" fontId="70" fillId="8" borderId="1" xfId="5" applyNumberFormat="1" applyFont="1" applyFill="1" applyBorder="1" applyAlignment="1" applyProtection="1">
      <alignment horizontal="center"/>
    </xf>
    <xf numFmtId="0" fontId="48" fillId="0" borderId="1" xfId="0" applyFont="1" applyBorder="1" applyAlignment="1">
      <alignment horizontal="center"/>
    </xf>
    <xf numFmtId="0" fontId="48" fillId="0" borderId="3" xfId="0" applyFont="1" applyBorder="1" applyAlignment="1"/>
    <xf numFmtId="0" fontId="48" fillId="0" borderId="4" xfId="0" applyFont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0" fillId="0" borderId="1" xfId="3" applyFont="1" applyFill="1" applyBorder="1" applyAlignment="1">
      <alignment horizontal="center"/>
    </xf>
    <xf numFmtId="0" fontId="70" fillId="0" borderId="0" xfId="3" applyFont="1" applyFill="1" applyBorder="1" applyAlignment="1">
      <alignment horizontal="center"/>
    </xf>
    <xf numFmtId="0" fontId="73" fillId="0" borderId="1" xfId="0" applyFont="1" applyFill="1" applyBorder="1"/>
    <xf numFmtId="0" fontId="70" fillId="0" borderId="1" xfId="4" applyFont="1" applyFill="1" applyBorder="1"/>
    <xf numFmtId="0" fontId="48" fillId="0" borderId="1" xfId="3" applyFont="1" applyFill="1" applyBorder="1" applyAlignment="1">
      <alignment horizontal="center"/>
    </xf>
    <xf numFmtId="1" fontId="70" fillId="0" borderId="1" xfId="3" applyNumberFormat="1" applyFont="1" applyFill="1" applyBorder="1" applyAlignment="1">
      <alignment horizontal="center"/>
    </xf>
    <xf numFmtId="1" fontId="70" fillId="0" borderId="12" xfId="5" applyNumberFormat="1" applyFont="1" applyFill="1" applyBorder="1" applyAlignment="1" applyProtection="1">
      <alignment horizontal="center"/>
    </xf>
    <xf numFmtId="0" fontId="48" fillId="2" borderId="0" xfId="0" applyFont="1" applyFill="1" applyBorder="1"/>
    <xf numFmtId="1" fontId="48" fillId="0" borderId="12" xfId="0" applyNumberFormat="1" applyFont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2" xfId="0" applyNumberFormat="1" applyFont="1" applyFill="1" applyBorder="1" applyAlignment="1">
      <alignment horizontal="center"/>
    </xf>
    <xf numFmtId="0" fontId="48" fillId="0" borderId="4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5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6" fillId="0" borderId="1" xfId="0" applyNumberFormat="1" applyFont="1" applyBorder="1"/>
    <xf numFmtId="0" fontId="48" fillId="0" borderId="1" xfId="0" applyFont="1" applyBorder="1" applyAlignment="1">
      <alignment horizontal="left"/>
    </xf>
    <xf numFmtId="0" fontId="48" fillId="0" borderId="4" xfId="0" applyFont="1" applyBorder="1" applyAlignment="1">
      <alignment horizontal="center"/>
    </xf>
    <xf numFmtId="0" fontId="70" fillId="0" borderId="1" xfId="4" applyFont="1" applyFill="1" applyBorder="1" applyAlignment="1">
      <alignment horizontal="center"/>
    </xf>
    <xf numFmtId="167" fontId="38" fillId="9" borderId="16" xfId="3" applyNumberFormat="1" applyFont="1" applyFill="1" applyBorder="1" applyAlignment="1">
      <alignment horizontal="left"/>
    </xf>
    <xf numFmtId="9" fontId="38" fillId="9" borderId="16" xfId="3" applyNumberFormat="1" applyFont="1" applyFill="1" applyBorder="1" applyAlignment="1">
      <alignment horizontal="left"/>
    </xf>
    <xf numFmtId="0" fontId="38" fillId="9" borderId="16" xfId="3" applyFont="1" applyFill="1" applyBorder="1"/>
    <xf numFmtId="0" fontId="38" fillId="8" borderId="16" xfId="3" applyFont="1" applyFill="1" applyBorder="1" applyAlignment="1">
      <alignment horizontal="center" vertical="center"/>
    </xf>
    <xf numFmtId="0" fontId="38" fillId="8" borderId="16" xfId="3" applyFont="1" applyFill="1" applyBorder="1" applyAlignment="1">
      <alignment horizontal="left" vertical="center"/>
    </xf>
    <xf numFmtId="0" fontId="38" fillId="8" borderId="20" xfId="3" applyFont="1" applyFill="1" applyBorder="1" applyAlignment="1">
      <alignment horizontal="left" vertical="center"/>
    </xf>
    <xf numFmtId="168" fontId="38" fillId="8" borderId="16" xfId="3" applyNumberFormat="1" applyFont="1" applyFill="1" applyBorder="1" applyAlignment="1">
      <alignment vertical="center"/>
    </xf>
    <xf numFmtId="0" fontId="38" fillId="13" borderId="16" xfId="3" applyFont="1" applyFill="1" applyBorder="1" applyAlignment="1">
      <alignment horizontal="center"/>
    </xf>
    <xf numFmtId="0" fontId="38" fillId="8" borderId="16" xfId="3" applyFont="1" applyFill="1" applyBorder="1" applyAlignment="1">
      <alignment horizontal="left"/>
    </xf>
    <xf numFmtId="0" fontId="38" fillId="2" borderId="16" xfId="3" applyFont="1" applyFill="1" applyBorder="1" applyAlignment="1">
      <alignment horizontal="left" vertical="center"/>
    </xf>
    <xf numFmtId="0" fontId="38" fillId="13" borderId="16" xfId="3" applyFont="1" applyFill="1" applyBorder="1" applyAlignment="1">
      <alignment horizontal="center" vertical="center"/>
    </xf>
    <xf numFmtId="0" fontId="47" fillId="2" borderId="13" xfId="3" applyFont="1" applyFill="1" applyBorder="1" applyAlignment="1">
      <alignment horizontal="center"/>
    </xf>
    <xf numFmtId="0" fontId="47" fillId="13" borderId="13" xfId="3" applyFont="1" applyFill="1" applyBorder="1" applyAlignment="1">
      <alignment horizontal="center"/>
    </xf>
    <xf numFmtId="0" fontId="38" fillId="12" borderId="16" xfId="3" applyFont="1" applyFill="1" applyBorder="1" applyAlignment="1">
      <alignment horizontal="left"/>
    </xf>
    <xf numFmtId="2" fontId="38" fillId="8" borderId="16" xfId="3" applyNumberFormat="1" applyFont="1" applyFill="1" applyBorder="1" applyAlignment="1">
      <alignment horizontal="left" vertical="center"/>
    </xf>
    <xf numFmtId="0" fontId="43" fillId="0" borderId="2" xfId="0" applyFont="1" applyBorder="1" applyAlignment="1"/>
    <xf numFmtId="0" fontId="46" fillId="0" borderId="16" xfId="4" applyFont="1" applyFill="1" applyBorder="1"/>
    <xf numFmtId="1" fontId="70" fillId="0" borderId="1" xfId="5" applyNumberFormat="1" applyFont="1" applyFill="1" applyBorder="1" applyAlignment="1" applyProtection="1">
      <alignment horizontal="center"/>
    </xf>
    <xf numFmtId="0" fontId="70" fillId="0" borderId="1" xfId="3" applyFont="1" applyFill="1" applyBorder="1" applyAlignment="1">
      <alignment horizontal="center" vertical="center"/>
    </xf>
    <xf numFmtId="0" fontId="70" fillId="0" borderId="0" xfId="4" applyFont="1" applyFill="1" applyBorder="1" applyAlignment="1">
      <alignment horizontal="center"/>
    </xf>
    <xf numFmtId="1" fontId="70" fillId="0" borderId="0" xfId="3" applyNumberFormat="1" applyFont="1" applyFill="1" applyBorder="1" applyAlignment="1">
      <alignment horizontal="center"/>
    </xf>
    <xf numFmtId="1" fontId="70" fillId="0" borderId="2" xfId="5" applyNumberFormat="1" applyFont="1" applyFill="1" applyBorder="1" applyAlignment="1" applyProtection="1">
      <alignment horizontal="center"/>
    </xf>
    <xf numFmtId="0" fontId="40" fillId="0" borderId="1" xfId="0" applyFont="1" applyFill="1" applyBorder="1" applyAlignment="1">
      <alignment horizontal="center"/>
    </xf>
    <xf numFmtId="171" fontId="70" fillId="9" borderId="1" xfId="3" applyNumberFormat="1" applyFont="1" applyFill="1" applyBorder="1" applyAlignment="1">
      <alignment horizontal="center"/>
    </xf>
    <xf numFmtId="0" fontId="77" fillId="2" borderId="0" xfId="3" applyFont="1" applyFill="1" applyBorder="1" applyAlignment="1">
      <alignment horizontal="center" vertical="center"/>
    </xf>
    <xf numFmtId="165" fontId="77" fillId="2" borderId="0" xfId="3" applyNumberFormat="1" applyFont="1" applyFill="1" applyBorder="1" applyAlignment="1">
      <alignment horizontal="center"/>
    </xf>
    <xf numFmtId="0" fontId="78" fillId="2" borderId="0" xfId="3" applyFont="1" applyFill="1" applyBorder="1" applyAlignment="1">
      <alignment horizontal="center" vertical="center"/>
    </xf>
    <xf numFmtId="2" fontId="70" fillId="8" borderId="9" xfId="3" applyNumberFormat="1" applyFont="1" applyFill="1" applyBorder="1" applyAlignment="1">
      <alignment horizontal="center"/>
    </xf>
    <xf numFmtId="2" fontId="48" fillId="0" borderId="0" xfId="0" applyNumberFormat="1" applyFont="1"/>
    <xf numFmtId="1" fontId="78" fillId="2" borderId="0" xfId="5" applyNumberFormat="1" applyFont="1" applyFill="1" applyBorder="1" applyAlignment="1" applyProtection="1">
      <alignment horizontal="center"/>
    </xf>
    <xf numFmtId="0" fontId="78" fillId="2" borderId="0" xfId="3" applyFont="1" applyFill="1" applyBorder="1" applyAlignment="1">
      <alignment horizontal="center"/>
    </xf>
    <xf numFmtId="0" fontId="78" fillId="17" borderId="3" xfId="3" applyFont="1" applyFill="1" applyBorder="1" applyAlignment="1">
      <alignment vertical="justify"/>
    </xf>
    <xf numFmtId="1" fontId="73" fillId="2" borderId="0" xfId="0" applyNumberFormat="1" applyFont="1" applyFill="1"/>
    <xf numFmtId="1" fontId="73" fillId="0" borderId="0" xfId="0" applyNumberFormat="1" applyFont="1"/>
    <xf numFmtId="165" fontId="78" fillId="2" borderId="0" xfId="5" applyNumberFormat="1" applyFont="1" applyFill="1" applyBorder="1" applyAlignment="1" applyProtection="1">
      <alignment horizontal="center"/>
    </xf>
    <xf numFmtId="0" fontId="70" fillId="0" borderId="0" xfId="0" applyFont="1" applyBorder="1"/>
    <xf numFmtId="0" fontId="70" fillId="0" borderId="0" xfId="0" applyFont="1"/>
    <xf numFmtId="165" fontId="78" fillId="2" borderId="0" xfId="3" applyNumberFormat="1" applyFont="1" applyFill="1" applyBorder="1" applyAlignment="1">
      <alignment horizontal="center"/>
    </xf>
    <xf numFmtId="0" fontId="48" fillId="0" borderId="0" xfId="4" applyFont="1"/>
    <xf numFmtId="1" fontId="48" fillId="0" borderId="0" xfId="0" applyNumberFormat="1" applyFont="1" applyFill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5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0" fontId="80" fillId="2" borderId="1" xfId="0" applyFont="1" applyFill="1" applyBorder="1" applyAlignment="1">
      <alignment horizontal="center"/>
    </xf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 applyAlignment="1">
      <alignment horizontal="center"/>
    </xf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0" fontId="46" fillId="0" borderId="1" xfId="4" applyFont="1" applyFill="1" applyBorder="1" applyAlignment="1">
      <alignment horizontal="center"/>
    </xf>
    <xf numFmtId="2" fontId="38" fillId="10" borderId="1" xfId="3" applyNumberFormat="1" applyFont="1" applyFill="1" applyBorder="1" applyAlignment="1">
      <alignment horizontal="center"/>
    </xf>
    <xf numFmtId="172" fontId="32" fillId="9" borderId="1" xfId="3" applyNumberFormat="1" applyFont="1" applyFill="1" applyBorder="1" applyAlignment="1">
      <alignment horizontal="center" vertical="center"/>
    </xf>
    <xf numFmtId="172" fontId="32" fillId="9" borderId="1" xfId="3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 wrapText="1" shrinkToFit="1"/>
    </xf>
    <xf numFmtId="172" fontId="38" fillId="12" borderId="1" xfId="3" applyNumberFormat="1" applyFont="1" applyFill="1" applyBorder="1" applyAlignment="1">
      <alignment horizontal="center" vertical="center"/>
    </xf>
    <xf numFmtId="172" fontId="38" fillId="2" borderId="1" xfId="5" applyNumberFormat="1" applyFont="1" applyFill="1" applyBorder="1" applyAlignment="1">
      <alignment horizontal="center" vertical="center"/>
    </xf>
    <xf numFmtId="172" fontId="38" fillId="2" borderId="6" xfId="5" applyNumberFormat="1" applyFont="1" applyFill="1" applyBorder="1" applyAlignment="1">
      <alignment horizontal="center" vertical="center"/>
    </xf>
    <xf numFmtId="172" fontId="38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/>
    </xf>
    <xf numFmtId="172" fontId="45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 vertical="center"/>
    </xf>
    <xf numFmtId="172" fontId="43" fillId="8" borderId="1" xfId="3" applyNumberFormat="1" applyFont="1" applyFill="1" applyBorder="1" applyAlignment="1">
      <alignment horizontal="center"/>
    </xf>
    <xf numFmtId="172" fontId="43" fillId="8" borderId="1" xfId="5" applyNumberFormat="1" applyFont="1" applyFill="1" applyBorder="1" applyAlignment="1" applyProtection="1">
      <alignment horizontal="center" vertical="center"/>
    </xf>
    <xf numFmtId="172" fontId="45" fillId="8" borderId="1" xfId="5" applyNumberFormat="1" applyFont="1" applyFill="1" applyBorder="1" applyAlignment="1" applyProtection="1">
      <alignment horizontal="center" vertical="center"/>
    </xf>
    <xf numFmtId="172" fontId="24" fillId="17" borderId="3" xfId="3" applyNumberFormat="1" applyFont="1" applyFill="1" applyBorder="1" applyAlignment="1">
      <alignment vertical="justify"/>
    </xf>
    <xf numFmtId="172" fontId="38" fillId="12" borderId="1" xfId="3" applyNumberFormat="1" applyFont="1" applyFill="1" applyBorder="1" applyAlignment="1">
      <alignment horizontal="center"/>
    </xf>
    <xf numFmtId="172" fontId="38" fillId="10" borderId="1" xfId="5" applyNumberFormat="1" applyFont="1" applyFill="1" applyBorder="1" applyAlignment="1">
      <alignment horizontal="center" vertical="center"/>
    </xf>
    <xf numFmtId="172" fontId="43" fillId="17" borderId="1" xfId="3" applyNumberFormat="1" applyFont="1" applyFill="1" applyBorder="1" applyAlignment="1">
      <alignment horizontal="center"/>
    </xf>
    <xf numFmtId="172" fontId="43" fillId="2" borderId="1" xfId="3" applyNumberFormat="1" applyFont="1" applyFill="1" applyBorder="1" applyAlignment="1">
      <alignment horizontal="center"/>
    </xf>
    <xf numFmtId="172" fontId="43" fillId="0" borderId="0" xfId="0" applyNumberFormat="1" applyFont="1" applyBorder="1"/>
    <xf numFmtId="172" fontId="38" fillId="12" borderId="1" xfId="5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/>
    </xf>
    <xf numFmtId="172" fontId="38" fillId="8" borderId="1" xfId="6" applyNumberFormat="1" applyFont="1" applyFill="1" applyBorder="1" applyAlignment="1">
      <alignment horizontal="center"/>
    </xf>
    <xf numFmtId="172" fontId="38" fillId="8" borderId="6" xfId="6" applyNumberFormat="1" applyFont="1" applyFill="1" applyBorder="1" applyAlignment="1">
      <alignment horizontal="center"/>
    </xf>
    <xf numFmtId="172" fontId="48" fillId="0" borderId="0" xfId="0" applyNumberFormat="1" applyFont="1"/>
    <xf numFmtId="172" fontId="43" fillId="0" borderId="0" xfId="0" applyNumberFormat="1" applyFont="1"/>
    <xf numFmtId="172" fontId="43" fillId="0" borderId="1" xfId="0" applyNumberFormat="1" applyFont="1" applyBorder="1"/>
    <xf numFmtId="172" fontId="32" fillId="2" borderId="1" xfId="5" applyNumberFormat="1" applyFont="1" applyFill="1" applyBorder="1" applyAlignment="1">
      <alignment horizontal="center" vertical="center"/>
    </xf>
    <xf numFmtId="172" fontId="38" fillId="2" borderId="0" xfId="5" applyNumberFormat="1" applyFont="1" applyFill="1" applyBorder="1" applyAlignment="1">
      <alignment horizontal="center" vertical="center"/>
    </xf>
    <xf numFmtId="172" fontId="38" fillId="0" borderId="1" xfId="3" applyNumberFormat="1" applyFont="1" applyFill="1" applyBorder="1" applyAlignment="1">
      <alignment horizontal="center"/>
    </xf>
    <xf numFmtId="172" fontId="43" fillId="0" borderId="1" xfId="0" applyNumberFormat="1" applyFont="1" applyBorder="1" applyAlignment="1">
      <alignment horizontal="center"/>
    </xf>
    <xf numFmtId="172" fontId="43" fillId="0" borderId="1" xfId="0" applyNumberFormat="1" applyFont="1" applyFill="1" applyBorder="1" applyAlignment="1">
      <alignment horizontal="center"/>
    </xf>
    <xf numFmtId="172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81" fillId="0" borderId="16" xfId="1" applyFont="1" applyFill="1" applyBorder="1" applyAlignment="1">
      <alignment vertical="top" wrapText="1"/>
    </xf>
    <xf numFmtId="0" fontId="81" fillId="0" borderId="1" xfId="1" applyFont="1" applyFill="1" applyBorder="1" applyAlignment="1">
      <alignment horizontal="center" vertical="top" wrapText="1"/>
    </xf>
    <xf numFmtId="0" fontId="81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0" fontId="48" fillId="0" borderId="1" xfId="0" applyFont="1" applyFill="1" applyBorder="1" applyAlignment="1">
      <alignment horizontal="center"/>
    </xf>
    <xf numFmtId="1" fontId="70" fillId="17" borderId="1" xfId="3" applyNumberFormat="1" applyFont="1" applyFill="1" applyBorder="1" applyAlignment="1">
      <alignment horizontal="center"/>
    </xf>
    <xf numFmtId="1" fontId="70" fillId="12" borderId="1" xfId="3" applyNumberFormat="1" applyFont="1" applyFill="1" applyBorder="1" applyAlignment="1">
      <alignment horizontal="center"/>
    </xf>
    <xf numFmtId="1" fontId="70" fillId="12" borderId="12" xfId="3" applyNumberFormat="1" applyFont="1" applyFill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1" fontId="70" fillId="0" borderId="1" xfId="5" applyNumberFormat="1" applyFont="1" applyFill="1" applyBorder="1" applyAlignment="1">
      <alignment horizontal="center"/>
    </xf>
    <xf numFmtId="1" fontId="38" fillId="8" borderId="1" xfId="5" applyNumberFormat="1" applyFont="1" applyFill="1" applyBorder="1" applyAlignment="1">
      <alignment horizontal="center"/>
    </xf>
    <xf numFmtId="43" fontId="70" fillId="8" borderId="1" xfId="7" applyFont="1" applyFill="1" applyBorder="1" applyAlignment="1">
      <alignment horizontal="center" wrapText="1"/>
    </xf>
    <xf numFmtId="0" fontId="48" fillId="0" borderId="0" xfId="0" applyFont="1" applyBorder="1" applyAlignment="1">
      <alignment horizontal="center"/>
    </xf>
    <xf numFmtId="1" fontId="48" fillId="0" borderId="24" xfId="0" applyNumberFormat="1" applyFont="1" applyBorder="1" applyAlignment="1">
      <alignment horizontal="center"/>
    </xf>
    <xf numFmtId="166" fontId="70" fillId="0" borderId="1" xfId="6" applyNumberFormat="1" applyFont="1" applyFill="1" applyBorder="1" applyAlignment="1">
      <alignment horizontal="center"/>
    </xf>
    <xf numFmtId="1" fontId="70" fillId="8" borderId="1" xfId="5" applyNumberFormat="1" applyFont="1" applyFill="1" applyBorder="1" applyAlignment="1">
      <alignment horizontal="center"/>
    </xf>
    <xf numFmtId="2" fontId="70" fillId="0" borderId="1" xfId="3" applyNumberFormat="1" applyFont="1" applyFill="1" applyBorder="1" applyAlignment="1">
      <alignment horizontal="center"/>
    </xf>
    <xf numFmtId="2" fontId="73" fillId="0" borderId="1" xfId="3" applyNumberFormat="1" applyFont="1" applyFill="1" applyBorder="1" applyAlignment="1">
      <alignment horizontal="center"/>
    </xf>
    <xf numFmtId="0" fontId="48" fillId="12" borderId="0" xfId="0" applyFont="1" applyFill="1" applyBorder="1" applyAlignment="1">
      <alignment horizontal="center"/>
    </xf>
    <xf numFmtId="1" fontId="70" fillId="2" borderId="1" xfId="4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/>
    </xf>
    <xf numFmtId="1" fontId="72" fillId="2" borderId="1" xfId="4" applyNumberFormat="1" applyFont="1" applyFill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4" fillId="2" borderId="1" xfId="4" applyNumberFormat="1" applyFont="1" applyFill="1" applyBorder="1" applyAlignment="1">
      <alignment horizontal="center"/>
    </xf>
    <xf numFmtId="1" fontId="73" fillId="12" borderId="1" xfId="3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0" fillId="8" borderId="1" xfId="9" applyNumberFormat="1" applyFont="1" applyFill="1" applyBorder="1" applyAlignment="1">
      <alignment horizontal="center"/>
    </xf>
    <xf numFmtId="1" fontId="73" fillId="8" borderId="1" xfId="5" applyNumberFormat="1" applyFont="1" applyFill="1" applyBorder="1" applyAlignment="1" applyProtection="1">
      <alignment horizontal="center"/>
    </xf>
    <xf numFmtId="1" fontId="78" fillId="17" borderId="3" xfId="3" applyNumberFormat="1" applyFont="1" applyFill="1" applyBorder="1" applyAlignment="1">
      <alignment horizontal="center"/>
    </xf>
    <xf numFmtId="1" fontId="78" fillId="17" borderId="21" xfId="3" applyNumberFormat="1" applyFont="1" applyFill="1" applyBorder="1" applyAlignment="1">
      <alignment horizontal="center"/>
    </xf>
    <xf numFmtId="1" fontId="70" fillId="17" borderId="12" xfId="3" applyNumberFormat="1" applyFont="1" applyFill="1" applyBorder="1" applyAlignment="1">
      <alignment horizontal="center"/>
    </xf>
    <xf numFmtId="164" fontId="70" fillId="8" borderId="1" xfId="19" applyFont="1" applyFill="1" applyBorder="1" applyAlignment="1">
      <alignment horizontal="center"/>
    </xf>
    <xf numFmtId="164" fontId="74" fillId="2" borderId="1" xfId="19" applyFont="1" applyFill="1" applyBorder="1" applyAlignment="1">
      <alignment horizontal="center"/>
    </xf>
    <xf numFmtId="164" fontId="70" fillId="8" borderId="12" xfId="19" applyFont="1" applyFill="1" applyBorder="1" applyAlignment="1" applyProtection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0" fontId="48" fillId="0" borderId="1" xfId="0" applyFont="1" applyFill="1" applyBorder="1" applyAlignment="1">
      <alignment horizontal="center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38" fontId="38" fillId="1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8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1" fontId="37" fillId="2" borderId="1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43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6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0" fontId="85" fillId="9" borderId="1" xfId="3" applyFont="1" applyFill="1" applyBorder="1" applyAlignment="1">
      <alignment horizontal="center" vertical="center"/>
    </xf>
    <xf numFmtId="2" fontId="85" fillId="9" borderId="1" xfId="3" applyNumberFormat="1" applyFont="1" applyFill="1" applyBorder="1" applyAlignment="1">
      <alignment horizontal="center"/>
    </xf>
    <xf numFmtId="2" fontId="70" fillId="2" borderId="1" xfId="4" applyNumberFormat="1" applyFont="1" applyFill="1" applyBorder="1" applyAlignment="1">
      <alignment horizontal="center"/>
    </xf>
    <xf numFmtId="2" fontId="70" fillId="0" borderId="1" xfId="4" applyNumberFormat="1" applyFont="1" applyBorder="1" applyAlignment="1">
      <alignment horizontal="center"/>
    </xf>
    <xf numFmtId="0" fontId="74" fillId="2" borderId="1" xfId="4" applyFont="1" applyFill="1" applyBorder="1" applyAlignment="1">
      <alignment horizontal="center"/>
    </xf>
    <xf numFmtId="2" fontId="75" fillId="8" borderId="1" xfId="3" applyNumberFormat="1" applyFont="1" applyFill="1" applyBorder="1" applyAlignment="1">
      <alignment horizontal="center"/>
    </xf>
    <xf numFmtId="2" fontId="70" fillId="8" borderId="1" xfId="9" applyNumberFormat="1" applyFont="1" applyFill="1" applyBorder="1" applyAlignment="1">
      <alignment horizontal="center"/>
    </xf>
    <xf numFmtId="0" fontId="86" fillId="17" borderId="3" xfId="3" applyFont="1" applyFill="1" applyBorder="1" applyAlignment="1">
      <alignment horizontal="center" vertical="justify"/>
    </xf>
    <xf numFmtId="0" fontId="70" fillId="0" borderId="1" xfId="4" applyFont="1" applyBorder="1" applyAlignment="1">
      <alignment horizontal="center" vertical="center"/>
    </xf>
    <xf numFmtId="2" fontId="70" fillId="8" borderId="1" xfId="3" applyNumberFormat="1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40" fillId="2" borderId="1" xfId="0" applyFont="1" applyFill="1" applyBorder="1" applyAlignment="1">
      <alignment horizontal="center"/>
    </xf>
    <xf numFmtId="38" fontId="70" fillId="9" borderId="1" xfId="3" applyNumberFormat="1" applyFont="1" applyFill="1" applyBorder="1" applyAlignment="1">
      <alignment horizontal="center"/>
    </xf>
    <xf numFmtId="38" fontId="70" fillId="12" borderId="1" xfId="3" applyNumberFormat="1" applyFont="1" applyFill="1" applyBorder="1" applyAlignment="1">
      <alignment horizontal="center"/>
    </xf>
    <xf numFmtId="1" fontId="70" fillId="2" borderId="1" xfId="5" applyNumberFormat="1" applyFont="1" applyFill="1" applyBorder="1" applyAlignment="1">
      <alignment horizontal="center"/>
    </xf>
    <xf numFmtId="1" fontId="48" fillId="12" borderId="1" xfId="3" applyNumberFormat="1" applyFont="1" applyFill="1" applyBorder="1" applyAlignment="1">
      <alignment horizontal="center"/>
    </xf>
    <xf numFmtId="1" fontId="73" fillId="2" borderId="1" xfId="5" applyNumberFormat="1" applyFont="1" applyFill="1" applyBorder="1" applyAlignment="1">
      <alignment horizontal="center"/>
    </xf>
    <xf numFmtId="1" fontId="74" fillId="8" borderId="1" xfId="5" applyNumberFormat="1" applyFont="1" applyFill="1" applyBorder="1" applyAlignment="1">
      <alignment horizontal="center"/>
    </xf>
    <xf numFmtId="1" fontId="48" fillId="8" borderId="1" xfId="3" applyNumberFormat="1" applyFont="1" applyFill="1" applyBorder="1" applyAlignment="1">
      <alignment horizontal="center"/>
    </xf>
    <xf numFmtId="1" fontId="48" fillId="8" borderId="1" xfId="5" applyNumberFormat="1" applyFont="1" applyFill="1" applyBorder="1" applyAlignment="1" applyProtection="1">
      <alignment horizontal="center"/>
    </xf>
    <xf numFmtId="164" fontId="74" fillId="8" borderId="1" xfId="19" applyFont="1" applyFill="1" applyBorder="1" applyAlignment="1" applyProtection="1">
      <alignment horizontal="center"/>
    </xf>
    <xf numFmtId="1" fontId="48" fillId="17" borderId="1" xfId="3" applyNumberFormat="1" applyFont="1" applyFill="1" applyBorder="1" applyAlignment="1">
      <alignment horizontal="center"/>
    </xf>
    <xf numFmtId="38" fontId="70" fillId="2" borderId="1" xfId="5" applyNumberFormat="1" applyFont="1" applyFill="1" applyBorder="1" applyAlignment="1">
      <alignment horizontal="center"/>
    </xf>
    <xf numFmtId="38" fontId="48" fillId="2" borderId="1" xfId="3" applyNumberFormat="1" applyFont="1" applyFill="1" applyBorder="1" applyAlignment="1">
      <alignment horizontal="center"/>
    </xf>
    <xf numFmtId="38" fontId="48" fillId="0" borderId="0" xfId="0" applyNumberFormat="1" applyFont="1" applyBorder="1" applyAlignment="1">
      <alignment horizontal="center"/>
    </xf>
    <xf numFmtId="38" fontId="48" fillId="17" borderId="1" xfId="3" applyNumberFormat="1" applyFont="1" applyFill="1" applyBorder="1" applyAlignment="1">
      <alignment horizontal="center"/>
    </xf>
    <xf numFmtId="38" fontId="70" fillId="12" borderId="1" xfId="5" applyNumberFormat="1" applyFont="1" applyFill="1" applyBorder="1" applyAlignment="1">
      <alignment horizontal="center"/>
    </xf>
    <xf numFmtId="38" fontId="70" fillId="0" borderId="1" xfId="5" applyNumberFormat="1" applyFont="1" applyFill="1" applyBorder="1" applyAlignment="1">
      <alignment horizontal="center"/>
    </xf>
    <xf numFmtId="38" fontId="48" fillId="12" borderId="1" xfId="3" applyNumberFormat="1" applyFont="1" applyFill="1" applyBorder="1" applyAlignment="1">
      <alignment horizontal="center"/>
    </xf>
    <xf numFmtId="38" fontId="70" fillId="8" borderId="1" xfId="3" applyNumberFormat="1" applyFont="1" applyFill="1" applyBorder="1" applyAlignment="1">
      <alignment horizontal="center"/>
    </xf>
    <xf numFmtId="38" fontId="70" fillId="8" borderId="1" xfId="6" applyNumberFormat="1" applyFont="1" applyFill="1" applyBorder="1" applyAlignment="1">
      <alignment horizontal="center"/>
    </xf>
    <xf numFmtId="38" fontId="70" fillId="8" borderId="6" xfId="6" applyNumberFormat="1" applyFont="1" applyFill="1" applyBorder="1" applyAlignment="1">
      <alignment horizontal="center"/>
    </xf>
    <xf numFmtId="38" fontId="48" fillId="0" borderId="0" xfId="0" applyNumberFormat="1" applyFont="1" applyAlignment="1">
      <alignment horizontal="center"/>
    </xf>
    <xf numFmtId="38" fontId="48" fillId="0" borderId="1" xfId="0" applyNumberFormat="1" applyFont="1" applyBorder="1" applyAlignment="1">
      <alignment horizontal="center"/>
    </xf>
    <xf numFmtId="38" fontId="70" fillId="0" borderId="0" xfId="5" applyNumberFormat="1" applyFont="1" applyFill="1" applyBorder="1" applyAlignment="1">
      <alignment horizontal="center"/>
    </xf>
    <xf numFmtId="38" fontId="70" fillId="0" borderId="1" xfId="3" applyNumberFormat="1" applyFont="1" applyFill="1" applyBorder="1" applyAlignment="1">
      <alignment horizontal="center"/>
    </xf>
    <xf numFmtId="38" fontId="48" fillId="12" borderId="1" xfId="0" applyNumberFormat="1" applyFont="1" applyFill="1" applyBorder="1" applyAlignment="1">
      <alignment horizontal="center"/>
    </xf>
    <xf numFmtId="165" fontId="83" fillId="2" borderId="0" xfId="3" applyNumberFormat="1" applyFont="1" applyFill="1" applyBorder="1" applyAlignment="1">
      <alignment horizontal="center" vertical="center" wrapText="1" shrinkToFit="1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84" fillId="0" borderId="2" xfId="4" applyFont="1" applyBorder="1" applyAlignment="1">
      <alignment horizontal="left"/>
    </xf>
    <xf numFmtId="0" fontId="84" fillId="0" borderId="3" xfId="4" applyFont="1" applyBorder="1" applyAlignment="1">
      <alignment horizontal="left"/>
    </xf>
    <xf numFmtId="0" fontId="84" fillId="0" borderId="4" xfId="4" applyFont="1" applyBorder="1" applyAlignment="1">
      <alignment horizontal="left"/>
    </xf>
    <xf numFmtId="0" fontId="72" fillId="0" borderId="2" xfId="4" applyFont="1" applyFill="1" applyBorder="1" applyAlignment="1">
      <alignment horizontal="center"/>
    </xf>
    <xf numFmtId="0" fontId="72" fillId="0" borderId="3" xfId="4" applyFont="1" applyFill="1" applyBorder="1" applyAlignment="1">
      <alignment horizontal="center"/>
    </xf>
    <xf numFmtId="0" fontId="72" fillId="0" borderId="4" xfId="4" applyFont="1" applyFill="1" applyBorder="1" applyAlignment="1">
      <alignment horizontal="center"/>
    </xf>
    <xf numFmtId="0" fontId="48" fillId="11" borderId="13" xfId="0" applyFont="1" applyFill="1" applyBorder="1" applyAlignment="1">
      <alignment horizontal="left"/>
    </xf>
    <xf numFmtId="0" fontId="48" fillId="11" borderId="4" xfId="0" applyFont="1" applyFill="1" applyBorder="1" applyAlignment="1">
      <alignment horizontal="left"/>
    </xf>
    <xf numFmtId="0" fontId="48" fillId="2" borderId="13" xfId="0" applyFont="1" applyFill="1" applyBorder="1" applyAlignment="1">
      <alignment horizontal="left"/>
    </xf>
    <xf numFmtId="0" fontId="48" fillId="2" borderId="4" xfId="0" applyFont="1" applyFill="1" applyBorder="1" applyAlignment="1">
      <alignment horizontal="left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70" fillId="2" borderId="20" xfId="0" applyFont="1" applyFill="1" applyBorder="1" applyAlignment="1">
      <alignment horizontal="center"/>
    </xf>
    <xf numFmtId="0" fontId="70" fillId="2" borderId="5" xfId="0" applyFont="1" applyFill="1" applyBorder="1" applyAlignment="1">
      <alignment horizontal="center"/>
    </xf>
    <xf numFmtId="0" fontId="48" fillId="12" borderId="1" xfId="0" applyFont="1" applyFill="1" applyBorder="1" applyAlignment="1">
      <alignment horizontal="center"/>
    </xf>
    <xf numFmtId="0" fontId="48" fillId="0" borderId="1" xfId="0" applyFont="1" applyBorder="1" applyAlignment="1">
      <alignment horizontal="left"/>
    </xf>
    <xf numFmtId="0" fontId="70" fillId="12" borderId="23" xfId="3" applyFont="1" applyFill="1" applyBorder="1" applyAlignment="1">
      <alignment horizontal="center" vertical="center"/>
    </xf>
    <xf numFmtId="0" fontId="70" fillId="12" borderId="0" xfId="3" applyFont="1" applyFill="1" applyBorder="1" applyAlignment="1">
      <alignment horizontal="center" vertical="center"/>
    </xf>
    <xf numFmtId="0" fontId="70" fillId="12" borderId="24" xfId="3" applyFont="1" applyFill="1" applyBorder="1" applyAlignment="1">
      <alignment horizontal="center" vertical="center"/>
    </xf>
    <xf numFmtId="0" fontId="48" fillId="2" borderId="3" xfId="0" applyFont="1" applyFill="1" applyBorder="1" applyAlignment="1">
      <alignment horizontal="left"/>
    </xf>
    <xf numFmtId="0" fontId="70" fillId="0" borderId="1" xfId="4" applyFont="1" applyBorder="1" applyAlignment="1">
      <alignment horizontal="left"/>
    </xf>
    <xf numFmtId="0" fontId="48" fillId="0" borderId="2" xfId="0" applyFont="1" applyBorder="1" applyAlignment="1">
      <alignment horizontal="left"/>
    </xf>
    <xf numFmtId="0" fontId="48" fillId="0" borderId="4" xfId="0" applyFont="1" applyBorder="1" applyAlignment="1">
      <alignment horizontal="left"/>
    </xf>
    <xf numFmtId="0" fontId="72" fillId="0" borderId="1" xfId="4" applyFont="1" applyFill="1" applyBorder="1" applyAlignment="1">
      <alignment horizontal="left"/>
    </xf>
    <xf numFmtId="0" fontId="48" fillId="0" borderId="3" xfId="0" applyFont="1" applyBorder="1" applyAlignment="1">
      <alignment horizontal="left"/>
    </xf>
    <xf numFmtId="0" fontId="48" fillId="2" borderId="2" xfId="0" applyFont="1" applyFill="1" applyBorder="1" applyAlignment="1">
      <alignment horizontal="left"/>
    </xf>
    <xf numFmtId="0" fontId="70" fillId="13" borderId="13" xfId="3" applyFont="1" applyFill="1" applyBorder="1" applyAlignment="1">
      <alignment horizontal="left"/>
    </xf>
    <xf numFmtId="0" fontId="70" fillId="13" borderId="3" xfId="3" applyFont="1" applyFill="1" applyBorder="1" applyAlignment="1">
      <alignment horizontal="left"/>
    </xf>
    <xf numFmtId="0" fontId="70" fillId="13" borderId="4" xfId="3" applyFont="1" applyFill="1" applyBorder="1" applyAlignment="1">
      <alignment horizontal="left"/>
    </xf>
    <xf numFmtId="0" fontId="48" fillId="0" borderId="2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70" fillId="8" borderId="13" xfId="3" applyFont="1" applyFill="1" applyBorder="1" applyAlignment="1">
      <alignment horizontal="left"/>
    </xf>
    <xf numFmtId="0" fontId="70" fillId="8" borderId="3" xfId="3" applyFont="1" applyFill="1" applyBorder="1" applyAlignment="1">
      <alignment horizontal="left"/>
    </xf>
    <xf numFmtId="0" fontId="70" fillId="8" borderId="4" xfId="3" applyFont="1" applyFill="1" applyBorder="1" applyAlignment="1">
      <alignment horizontal="left"/>
    </xf>
    <xf numFmtId="0" fontId="70" fillId="8" borderId="0" xfId="3" applyFont="1" applyFill="1" applyBorder="1" applyAlignment="1">
      <alignment vertical="center"/>
    </xf>
    <xf numFmtId="0" fontId="70" fillId="0" borderId="2" xfId="4" applyFont="1" applyBorder="1" applyAlignment="1">
      <alignment horizontal="left" vertical="center"/>
    </xf>
    <xf numFmtId="0" fontId="70" fillId="0" borderId="3" xfId="4" applyFont="1" applyBorder="1" applyAlignment="1">
      <alignment horizontal="left" vertical="center"/>
    </xf>
    <xf numFmtId="0" fontId="70" fillId="0" borderId="4" xfId="4" applyFont="1" applyBorder="1" applyAlignment="1">
      <alignment horizontal="left" vertical="center"/>
    </xf>
    <xf numFmtId="0" fontId="70" fillId="8" borderId="19" xfId="3" applyFont="1" applyFill="1" applyBorder="1" applyAlignment="1">
      <alignment horizontal="left"/>
    </xf>
    <xf numFmtId="0" fontId="70" fillId="8" borderId="8" xfId="3" applyFont="1" applyFill="1" applyBorder="1" applyAlignment="1">
      <alignment horizontal="left"/>
    </xf>
    <xf numFmtId="0" fontId="70" fillId="8" borderId="9" xfId="3" applyFont="1" applyFill="1" applyBorder="1" applyAlignment="1">
      <alignment horizontal="left"/>
    </xf>
    <xf numFmtId="0" fontId="48" fillId="12" borderId="0" xfId="0" applyFont="1" applyFill="1" applyAlignment="1">
      <alignment horizontal="center"/>
    </xf>
    <xf numFmtId="0" fontId="48" fillId="12" borderId="2" xfId="0" applyFont="1" applyFill="1" applyBorder="1" applyAlignment="1">
      <alignment horizontal="center"/>
    </xf>
    <xf numFmtId="0" fontId="48" fillId="12" borderId="3" xfId="0" applyFont="1" applyFill="1" applyBorder="1" applyAlignment="1">
      <alignment horizontal="center"/>
    </xf>
    <xf numFmtId="0" fontId="48" fillId="12" borderId="4" xfId="0" applyFont="1" applyFill="1" applyBorder="1" applyAlignment="1">
      <alignment horizontal="center"/>
    </xf>
    <xf numFmtId="0" fontId="70" fillId="12" borderId="13" xfId="3" applyFont="1" applyFill="1" applyBorder="1" applyAlignment="1">
      <alignment horizontal="center" vertical="center"/>
    </xf>
    <xf numFmtId="0" fontId="70" fillId="12" borderId="3" xfId="3" applyFont="1" applyFill="1" applyBorder="1" applyAlignment="1">
      <alignment horizontal="center" vertical="center"/>
    </xf>
    <xf numFmtId="0" fontId="70" fillId="12" borderId="4" xfId="3" applyFont="1" applyFill="1" applyBorder="1" applyAlignment="1">
      <alignment horizontal="center" vertical="center"/>
    </xf>
    <xf numFmtId="0" fontId="70" fillId="12" borderId="13" xfId="3" applyFont="1" applyFill="1" applyBorder="1" applyAlignment="1">
      <alignment horizontal="center"/>
    </xf>
    <xf numFmtId="0" fontId="70" fillId="12" borderId="3" xfId="3" applyFont="1" applyFill="1" applyBorder="1" applyAlignment="1">
      <alignment horizontal="center"/>
    </xf>
    <xf numFmtId="0" fontId="70" fillId="12" borderId="4" xfId="3" applyFont="1" applyFill="1" applyBorder="1" applyAlignment="1">
      <alignment horizontal="center"/>
    </xf>
    <xf numFmtId="0" fontId="71" fillId="17" borderId="13" xfId="3" applyFont="1" applyFill="1" applyBorder="1" applyAlignment="1">
      <alignment horizontal="center"/>
    </xf>
    <xf numFmtId="0" fontId="71" fillId="17" borderId="3" xfId="3" applyFont="1" applyFill="1" applyBorder="1" applyAlignment="1">
      <alignment horizontal="center"/>
    </xf>
    <xf numFmtId="0" fontId="71" fillId="17" borderId="4" xfId="3" applyFont="1" applyFill="1" applyBorder="1" applyAlignment="1">
      <alignment horizontal="center"/>
    </xf>
    <xf numFmtId="0" fontId="70" fillId="0" borderId="13" xfId="4" applyFont="1" applyBorder="1" applyAlignment="1">
      <alignment horizontal="left"/>
    </xf>
    <xf numFmtId="0" fontId="70" fillId="0" borderId="3" xfId="4" applyFont="1" applyBorder="1" applyAlignment="1">
      <alignment horizontal="left"/>
    </xf>
    <xf numFmtId="0" fontId="70" fillId="0" borderId="4" xfId="4" applyFont="1" applyBorder="1" applyAlignment="1">
      <alignment horizontal="left"/>
    </xf>
    <xf numFmtId="0" fontId="73" fillId="8" borderId="14" xfId="3" applyFont="1" applyFill="1" applyBorder="1" applyAlignment="1">
      <alignment horizontal="center"/>
    </xf>
    <xf numFmtId="0" fontId="73" fillId="8" borderId="11" xfId="3" applyFont="1" applyFill="1" applyBorder="1" applyAlignment="1">
      <alignment horizontal="center"/>
    </xf>
    <xf numFmtId="0" fontId="73" fillId="8" borderId="15" xfId="3" applyFont="1" applyFill="1" applyBorder="1" applyAlignment="1">
      <alignment horizontal="center"/>
    </xf>
    <xf numFmtId="0" fontId="71" fillId="12" borderId="13" xfId="3" applyFont="1" applyFill="1" applyBorder="1" applyAlignment="1">
      <alignment horizontal="center" vertical="center"/>
    </xf>
    <xf numFmtId="0" fontId="71" fillId="12" borderId="3" xfId="3" applyFont="1" applyFill="1" applyBorder="1" applyAlignment="1">
      <alignment horizontal="center" vertical="center"/>
    </xf>
    <xf numFmtId="0" fontId="71" fillId="12" borderId="4" xfId="3" applyFont="1" applyFill="1" applyBorder="1" applyAlignment="1">
      <alignment horizontal="center" vertical="center"/>
    </xf>
    <xf numFmtId="0" fontId="71" fillId="12" borderId="13" xfId="3" applyFont="1" applyFill="1" applyBorder="1" applyAlignment="1">
      <alignment horizontal="center"/>
    </xf>
    <xf numFmtId="0" fontId="71" fillId="12" borderId="3" xfId="3" applyFont="1" applyFill="1" applyBorder="1" applyAlignment="1">
      <alignment horizontal="center"/>
    </xf>
    <xf numFmtId="0" fontId="71" fillId="12" borderId="4" xfId="3" applyFont="1" applyFill="1" applyBorder="1" applyAlignment="1">
      <alignment horizontal="center"/>
    </xf>
    <xf numFmtId="0" fontId="38" fillId="8" borderId="13" xfId="3" applyFont="1" applyFill="1" applyBorder="1" applyAlignment="1">
      <alignment horizontal="left"/>
    </xf>
    <xf numFmtId="0" fontId="38" fillId="8" borderId="3" xfId="3" applyFont="1" applyFill="1" applyBorder="1" applyAlignment="1">
      <alignment horizontal="left"/>
    </xf>
    <xf numFmtId="0" fontId="38" fillId="8" borderId="4" xfId="3" applyFont="1" applyFill="1" applyBorder="1" applyAlignment="1">
      <alignment horizontal="left"/>
    </xf>
    <xf numFmtId="0" fontId="70" fillId="9" borderId="2" xfId="3" applyFont="1" applyFill="1" applyBorder="1" applyAlignment="1">
      <alignment horizontal="center"/>
    </xf>
    <xf numFmtId="0" fontId="70" fillId="9" borderId="4" xfId="3" applyFont="1" applyFill="1" applyBorder="1" applyAlignment="1">
      <alignment horizontal="center"/>
    </xf>
    <xf numFmtId="0" fontId="79" fillId="17" borderId="13" xfId="3" applyFont="1" applyFill="1" applyBorder="1" applyAlignment="1">
      <alignment horizontal="center" vertical="center"/>
    </xf>
    <xf numFmtId="0" fontId="79" fillId="17" borderId="3" xfId="3" applyFont="1" applyFill="1" applyBorder="1" applyAlignment="1">
      <alignment horizontal="center" vertical="center"/>
    </xf>
    <xf numFmtId="0" fontId="48" fillId="0" borderId="13" xfId="0" applyFont="1" applyBorder="1" applyAlignment="1">
      <alignment horizontal="left"/>
    </xf>
    <xf numFmtId="0" fontId="72" fillId="0" borderId="2" xfId="4" applyFont="1" applyFill="1" applyBorder="1" applyAlignment="1">
      <alignment horizontal="left"/>
    </xf>
    <xf numFmtId="0" fontId="72" fillId="0" borderId="3" xfId="4" applyFont="1" applyFill="1" applyBorder="1" applyAlignment="1">
      <alignment horizontal="left"/>
    </xf>
    <xf numFmtId="0" fontId="72" fillId="0" borderId="4" xfId="4" applyFont="1" applyFill="1" applyBorder="1" applyAlignment="1">
      <alignment horizontal="left"/>
    </xf>
    <xf numFmtId="0" fontId="48" fillId="0" borderId="1" xfId="0" applyFont="1" applyFill="1" applyBorder="1" applyAlignment="1">
      <alignment horizontal="center"/>
    </xf>
    <xf numFmtId="0" fontId="70" fillId="0" borderId="1" xfId="4" applyFont="1" applyFill="1" applyBorder="1" applyAlignment="1">
      <alignment horizontal="left"/>
    </xf>
    <xf numFmtId="0" fontId="70" fillId="0" borderId="2" xfId="4" applyFont="1" applyFill="1" applyBorder="1" applyAlignment="1">
      <alignment horizontal="left"/>
    </xf>
    <xf numFmtId="0" fontId="70" fillId="0" borderId="3" xfId="4" applyFont="1" applyFill="1" applyBorder="1" applyAlignment="1">
      <alignment horizontal="left"/>
    </xf>
    <xf numFmtId="0" fontId="70" fillId="0" borderId="4" xfId="4" applyFont="1" applyFill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40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8" fontId="32" fillId="8" borderId="13" xfId="3" applyNumberFormat="1" applyFont="1" applyFill="1" applyBorder="1" applyAlignment="1">
      <alignment horizontal="left" vertical="center"/>
    </xf>
    <xf numFmtId="168" fontId="32" fillId="8" borderId="3" xfId="3" applyNumberFormat="1" applyFont="1" applyFill="1" applyBorder="1" applyAlignment="1">
      <alignment horizontal="left" vertical="center"/>
    </xf>
    <xf numFmtId="168" fontId="32" fillId="8" borderId="4" xfId="3" applyNumberFormat="1" applyFont="1" applyFill="1" applyBorder="1" applyAlignment="1">
      <alignment horizontal="left" vertical="center"/>
    </xf>
    <xf numFmtId="0" fontId="87" fillId="0" borderId="0" xfId="0" applyFont="1"/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24.05000000000291</c:v>
                </c:pt>
                <c:pt idx="1">
                  <c:v>24</c:v>
                </c:pt>
                <c:pt idx="2">
                  <c:v>24</c:v>
                </c:pt>
                <c:pt idx="3">
                  <c:v>25.440000000002328</c:v>
                </c:pt>
                <c:pt idx="4">
                  <c:v>24.059999999997672</c:v>
                </c:pt>
                <c:pt idx="5">
                  <c:v>24.430000000000291</c:v>
                </c:pt>
                <c:pt idx="6">
                  <c:v>25.370000000002619</c:v>
                </c:pt>
                <c:pt idx="7">
                  <c:v>23.129999999994197</c:v>
                </c:pt>
                <c:pt idx="8">
                  <c:v>23.150000000002819</c:v>
                </c:pt>
                <c:pt idx="9">
                  <c:v>24</c:v>
                </c:pt>
                <c:pt idx="10">
                  <c:v>24</c:v>
                </c:pt>
                <c:pt idx="11">
                  <c:v>26</c:v>
                </c:pt>
                <c:pt idx="12">
                  <c:v>26</c:v>
                </c:pt>
                <c:pt idx="13">
                  <c:v>-723.44999999999982</c:v>
                </c:pt>
                <c:pt idx="14">
                  <c:v>24.489999999997963</c:v>
                </c:pt>
                <c:pt idx="15">
                  <c:v>23.510000000002037</c:v>
                </c:pt>
                <c:pt idx="16">
                  <c:v>24.30000000000291</c:v>
                </c:pt>
                <c:pt idx="17">
                  <c:v>24.019999999996799</c:v>
                </c:pt>
                <c:pt idx="18">
                  <c:v>25.080000000001746</c:v>
                </c:pt>
                <c:pt idx="19">
                  <c:v>24.240000000002965</c:v>
                </c:pt>
                <c:pt idx="20">
                  <c:v>24.219999999993888</c:v>
                </c:pt>
                <c:pt idx="21">
                  <c:v>24.410000000003492</c:v>
                </c:pt>
                <c:pt idx="22">
                  <c:v>24.25</c:v>
                </c:pt>
                <c:pt idx="23">
                  <c:v>23.489999999997963</c:v>
                </c:pt>
                <c:pt idx="24">
                  <c:v>21.84000000000151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23.860000000000582</c:v>
                </c:pt>
                <c:pt idx="29">
                  <c:v>24</c:v>
                </c:pt>
                <c:pt idx="30">
                  <c:v>23.689999999995052</c:v>
                </c:pt>
                <c:pt idx="31">
                  <c:v>1.5799999999999272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56184576"/>
        <c:axId val="156186112"/>
      </c:lineChart>
      <c:catAx>
        <c:axId val="15618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86112"/>
        <c:crosses val="autoZero"/>
        <c:auto val="1"/>
        <c:lblAlgn val="ctr"/>
        <c:lblOffset val="100"/>
        <c:noMultiLvlLbl val="0"/>
      </c:catAx>
      <c:valAx>
        <c:axId val="156186112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56184576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11.539999999989959</c:v>
                </c:pt>
                <c:pt idx="1">
                  <c:v>9.3899999999994179</c:v>
                </c:pt>
                <c:pt idx="2">
                  <c:v>12.120000000006257</c:v>
                </c:pt>
                <c:pt idx="3">
                  <c:v>9.9900000000016007</c:v>
                </c:pt>
                <c:pt idx="4">
                  <c:v>13.520000000004075</c:v>
                </c:pt>
                <c:pt idx="5">
                  <c:v>14.339999999989232</c:v>
                </c:pt>
                <c:pt idx="6">
                  <c:v>13.950000000000728</c:v>
                </c:pt>
                <c:pt idx="7">
                  <c:v>13.280000000002474</c:v>
                </c:pt>
                <c:pt idx="8">
                  <c:v>14.430000000000291</c:v>
                </c:pt>
                <c:pt idx="9">
                  <c:v>15.569999999999709</c:v>
                </c:pt>
                <c:pt idx="10">
                  <c:v>15</c:v>
                </c:pt>
                <c:pt idx="11">
                  <c:v>19.629999999997381</c:v>
                </c:pt>
                <c:pt idx="12">
                  <c:v>18.580000000001746</c:v>
                </c:pt>
                <c:pt idx="13">
                  <c:v>-383.41999999999825</c:v>
                </c:pt>
                <c:pt idx="14">
                  <c:v>12.920000000001892</c:v>
                </c:pt>
                <c:pt idx="15">
                  <c:v>17.830000000001746</c:v>
                </c:pt>
                <c:pt idx="16">
                  <c:v>8.3799999999973807</c:v>
                </c:pt>
                <c:pt idx="17">
                  <c:v>10.000000000003638</c:v>
                </c:pt>
                <c:pt idx="18">
                  <c:v>9.0900000000001455</c:v>
                </c:pt>
                <c:pt idx="19">
                  <c:v>13.929999999989377</c:v>
                </c:pt>
                <c:pt idx="20">
                  <c:v>12.419999999998254</c:v>
                </c:pt>
                <c:pt idx="21">
                  <c:v>13.330000000009022</c:v>
                </c:pt>
                <c:pt idx="22">
                  <c:v>11.669999999994616</c:v>
                </c:pt>
                <c:pt idx="23">
                  <c:v>12.640000000003056</c:v>
                </c:pt>
                <c:pt idx="24">
                  <c:v>8.9799999999995634</c:v>
                </c:pt>
                <c:pt idx="25">
                  <c:v>12.020000000000437</c:v>
                </c:pt>
                <c:pt idx="26">
                  <c:v>12</c:v>
                </c:pt>
                <c:pt idx="27">
                  <c:v>13.259999999994761</c:v>
                </c:pt>
                <c:pt idx="28">
                  <c:v>10.860000000007858</c:v>
                </c:pt>
                <c:pt idx="29">
                  <c:v>11.129999999997381</c:v>
                </c:pt>
                <c:pt idx="30">
                  <c:v>11.620000000006257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56219264"/>
        <c:axId val="156220800"/>
      </c:lineChart>
      <c:catAx>
        <c:axId val="156219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20800"/>
        <c:crosses val="autoZero"/>
        <c:auto val="1"/>
        <c:lblAlgn val="ctr"/>
        <c:lblOffset val="100"/>
        <c:noMultiLvlLbl val="0"/>
      </c:catAx>
      <c:valAx>
        <c:axId val="156220800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19264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8532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235</c:v>
                </c:pt>
                <c:pt idx="1">
                  <c:v>183</c:v>
                </c:pt>
                <c:pt idx="2">
                  <c:v>233</c:v>
                </c:pt>
                <c:pt idx="3">
                  <c:v>261</c:v>
                </c:pt>
                <c:pt idx="4">
                  <c:v>294</c:v>
                </c:pt>
                <c:pt idx="5">
                  <c:v>275</c:v>
                </c:pt>
                <c:pt idx="6">
                  <c:v>242</c:v>
                </c:pt>
                <c:pt idx="7">
                  <c:v>232</c:v>
                </c:pt>
                <c:pt idx="8">
                  <c:v>256</c:v>
                </c:pt>
                <c:pt idx="9">
                  <c:v>317</c:v>
                </c:pt>
                <c:pt idx="10">
                  <c:v>316</c:v>
                </c:pt>
                <c:pt idx="11">
                  <c:v>339</c:v>
                </c:pt>
                <c:pt idx="12">
                  <c:v>296</c:v>
                </c:pt>
                <c:pt idx="13">
                  <c:v>-1558</c:v>
                </c:pt>
                <c:pt idx="14">
                  <c:v>155</c:v>
                </c:pt>
                <c:pt idx="15">
                  <c:v>135</c:v>
                </c:pt>
                <c:pt idx="16">
                  <c:v>133</c:v>
                </c:pt>
                <c:pt idx="17">
                  <c:v>154</c:v>
                </c:pt>
                <c:pt idx="18">
                  <c:v>157</c:v>
                </c:pt>
                <c:pt idx="19">
                  <c:v>216</c:v>
                </c:pt>
                <c:pt idx="20">
                  <c:v>167</c:v>
                </c:pt>
                <c:pt idx="21">
                  <c:v>176</c:v>
                </c:pt>
                <c:pt idx="22">
                  <c:v>216</c:v>
                </c:pt>
                <c:pt idx="23">
                  <c:v>212</c:v>
                </c:pt>
                <c:pt idx="24">
                  <c:v>190</c:v>
                </c:pt>
                <c:pt idx="25">
                  <c:v>175</c:v>
                </c:pt>
                <c:pt idx="26">
                  <c:v>177</c:v>
                </c:pt>
                <c:pt idx="27">
                  <c:v>92</c:v>
                </c:pt>
                <c:pt idx="28">
                  <c:v>312</c:v>
                </c:pt>
                <c:pt idx="29">
                  <c:v>226</c:v>
                </c:pt>
                <c:pt idx="30">
                  <c:v>146</c:v>
                </c:pt>
                <c:pt idx="31">
                  <c:v>4960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75784320"/>
        <c:axId val="175785856"/>
      </c:lineChart>
      <c:catAx>
        <c:axId val="17578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785856"/>
        <c:crosses val="autoZero"/>
        <c:auto val="1"/>
        <c:lblAlgn val="ctr"/>
        <c:lblOffset val="100"/>
        <c:noMultiLvlLbl val="0"/>
      </c:catAx>
      <c:valAx>
        <c:axId val="175785856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784320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9345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918.55799999996088</c:v>
                </c:pt>
                <c:pt idx="1">
                  <c:v>983.14500000001863</c:v>
                </c:pt>
                <c:pt idx="2">
                  <c:v>1012.3479999999981</c:v>
                </c:pt>
                <c:pt idx="3">
                  <c:v>997.95200000004843</c:v>
                </c:pt>
                <c:pt idx="4">
                  <c:v>1047.8699999998789</c:v>
                </c:pt>
                <c:pt idx="5">
                  <c:v>1049.5</c:v>
                </c:pt>
                <c:pt idx="6">
                  <c:v>1030.6800000001676</c:v>
                </c:pt>
                <c:pt idx="7">
                  <c:v>1052.1799999999348</c:v>
                </c:pt>
                <c:pt idx="8">
                  <c:v>1070</c:v>
                </c:pt>
                <c:pt idx="9">
                  <c:v>1152</c:v>
                </c:pt>
                <c:pt idx="10">
                  <c:v>1118</c:v>
                </c:pt>
                <c:pt idx="11">
                  <c:v>1293</c:v>
                </c:pt>
                <c:pt idx="12">
                  <c:v>1108</c:v>
                </c:pt>
                <c:pt idx="13">
                  <c:v>745</c:v>
                </c:pt>
                <c:pt idx="14">
                  <c:v>965</c:v>
                </c:pt>
                <c:pt idx="15">
                  <c:v>1006</c:v>
                </c:pt>
                <c:pt idx="16">
                  <c:v>734.2730000000447</c:v>
                </c:pt>
                <c:pt idx="17">
                  <c:v>881.7269999999553</c:v>
                </c:pt>
                <c:pt idx="18">
                  <c:v>834.30000000004657</c:v>
                </c:pt>
                <c:pt idx="19">
                  <c:v>986.94999999995343</c:v>
                </c:pt>
                <c:pt idx="20">
                  <c:v>1017.3400000000838</c:v>
                </c:pt>
                <c:pt idx="21">
                  <c:v>1036.4099999999162</c:v>
                </c:pt>
                <c:pt idx="22">
                  <c:v>979.91999999992549</c:v>
                </c:pt>
                <c:pt idx="23">
                  <c:v>1037.0800000000745</c:v>
                </c:pt>
                <c:pt idx="24">
                  <c:v>815</c:v>
                </c:pt>
                <c:pt idx="25">
                  <c:v>936</c:v>
                </c:pt>
                <c:pt idx="26">
                  <c:v>954</c:v>
                </c:pt>
                <c:pt idx="27">
                  <c:v>971</c:v>
                </c:pt>
                <c:pt idx="28">
                  <c:v>1002</c:v>
                </c:pt>
                <c:pt idx="29">
                  <c:v>929</c:v>
                </c:pt>
                <c:pt idx="30">
                  <c:v>915.76699999999255</c:v>
                </c:pt>
                <c:pt idx="31">
                  <c:v>30580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424832"/>
        <c:axId val="176426368"/>
      </c:lineChart>
      <c:catAx>
        <c:axId val="176424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426368"/>
        <c:crosses val="autoZero"/>
        <c:auto val="1"/>
        <c:lblAlgn val="ctr"/>
        <c:lblOffset val="100"/>
        <c:noMultiLvlLbl val="0"/>
      </c:catAx>
      <c:valAx>
        <c:axId val="176426368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424832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4567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2609.5899999999965</c:v>
                </c:pt>
                <c:pt idx="1">
                  <c:v>2628.2200000000012</c:v>
                </c:pt>
                <c:pt idx="2">
                  <c:v>2641.8299999999945</c:v>
                </c:pt>
                <c:pt idx="3">
                  <c:v>2666.7100000000064</c:v>
                </c:pt>
                <c:pt idx="4">
                  <c:v>2758.0200000000041</c:v>
                </c:pt>
                <c:pt idx="5">
                  <c:v>2776.5599999999977</c:v>
                </c:pt>
                <c:pt idx="6">
                  <c:v>3066.4900000000052</c:v>
                </c:pt>
                <c:pt idx="7">
                  <c:v>2923.2899999999936</c:v>
                </c:pt>
                <c:pt idx="8">
                  <c:v>3001</c:v>
                </c:pt>
                <c:pt idx="9">
                  <c:v>3035</c:v>
                </c:pt>
                <c:pt idx="10">
                  <c:v>3148</c:v>
                </c:pt>
                <c:pt idx="11">
                  <c:v>3245</c:v>
                </c:pt>
                <c:pt idx="12">
                  <c:v>3279</c:v>
                </c:pt>
                <c:pt idx="13">
                  <c:v>-81937</c:v>
                </c:pt>
                <c:pt idx="14">
                  <c:v>2494.9000000000015</c:v>
                </c:pt>
                <c:pt idx="15">
                  <c:v>2600.0999999999985</c:v>
                </c:pt>
                <c:pt idx="16">
                  <c:v>2698</c:v>
                </c:pt>
                <c:pt idx="17">
                  <c:v>2546.4900000000016</c:v>
                </c:pt>
                <c:pt idx="18">
                  <c:v>2646.0699999999997</c:v>
                </c:pt>
                <c:pt idx="19">
                  <c:v>2507.0499999999993</c:v>
                </c:pt>
                <c:pt idx="20">
                  <c:v>2598.239999999998</c:v>
                </c:pt>
                <c:pt idx="21">
                  <c:v>2648.7000000000044</c:v>
                </c:pt>
                <c:pt idx="22">
                  <c:v>2576.25</c:v>
                </c:pt>
                <c:pt idx="23">
                  <c:v>2607.1999999999971</c:v>
                </c:pt>
                <c:pt idx="24">
                  <c:v>2591</c:v>
                </c:pt>
                <c:pt idx="25">
                  <c:v>2557</c:v>
                </c:pt>
                <c:pt idx="26">
                  <c:v>2612</c:v>
                </c:pt>
                <c:pt idx="27">
                  <c:v>2604</c:v>
                </c:pt>
                <c:pt idx="28">
                  <c:v>2606</c:v>
                </c:pt>
                <c:pt idx="29">
                  <c:v>2616</c:v>
                </c:pt>
                <c:pt idx="30">
                  <c:v>2649.2900000000009</c:v>
                </c:pt>
                <c:pt idx="31">
                  <c:v>-3.637978807091713E-12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77316608"/>
        <c:axId val="177318144"/>
      </c:lineChart>
      <c:catAx>
        <c:axId val="177316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18144"/>
        <c:crosses val="autoZero"/>
        <c:auto val="1"/>
        <c:lblAlgn val="ctr"/>
        <c:lblOffset val="100"/>
        <c:noMultiLvlLbl val="0"/>
      </c:catAx>
      <c:valAx>
        <c:axId val="177318144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16608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1246.0200000000004</c:v>
                </c:pt>
                <c:pt idx="1">
                  <c:v>1388.3099999999977</c:v>
                </c:pt>
                <c:pt idx="2">
                  <c:v>1437.6200000000026</c:v>
                </c:pt>
                <c:pt idx="3">
                  <c:v>1328.9400000000023</c:v>
                </c:pt>
                <c:pt idx="4">
                  <c:v>1448.8099999999977</c:v>
                </c:pt>
                <c:pt idx="5">
                  <c:v>1654.0999999999985</c:v>
                </c:pt>
                <c:pt idx="6">
                  <c:v>1666.4199999999983</c:v>
                </c:pt>
                <c:pt idx="7">
                  <c:v>1754.8000000000029</c:v>
                </c:pt>
                <c:pt idx="8">
                  <c:v>1514</c:v>
                </c:pt>
                <c:pt idx="9">
                  <c:v>1557</c:v>
                </c:pt>
                <c:pt idx="10">
                  <c:v>1435</c:v>
                </c:pt>
                <c:pt idx="11">
                  <c:v>1625</c:v>
                </c:pt>
                <c:pt idx="12">
                  <c:v>1533</c:v>
                </c:pt>
                <c:pt idx="13">
                  <c:v>-42390</c:v>
                </c:pt>
                <c:pt idx="14">
                  <c:v>1301.8400000000001</c:v>
                </c:pt>
                <c:pt idx="15">
                  <c:v>1269.1599999999999</c:v>
                </c:pt>
                <c:pt idx="16">
                  <c:v>1318.6000000000004</c:v>
                </c:pt>
                <c:pt idx="17">
                  <c:v>1391.7600000000002</c:v>
                </c:pt>
                <c:pt idx="18">
                  <c:v>1817.1599999999999</c:v>
                </c:pt>
                <c:pt idx="19">
                  <c:v>1491.2900000000009</c:v>
                </c:pt>
                <c:pt idx="20">
                  <c:v>1453.9699999999975</c:v>
                </c:pt>
                <c:pt idx="21">
                  <c:v>1422.8000000000029</c:v>
                </c:pt>
                <c:pt idx="22">
                  <c:v>1355.7099999999991</c:v>
                </c:pt>
                <c:pt idx="23">
                  <c:v>1181.7099999999991</c:v>
                </c:pt>
                <c:pt idx="24">
                  <c:v>1308</c:v>
                </c:pt>
                <c:pt idx="25">
                  <c:v>1248</c:v>
                </c:pt>
                <c:pt idx="26">
                  <c:v>1274</c:v>
                </c:pt>
                <c:pt idx="27">
                  <c:v>1316</c:v>
                </c:pt>
                <c:pt idx="28">
                  <c:v>1192</c:v>
                </c:pt>
                <c:pt idx="29">
                  <c:v>1206</c:v>
                </c:pt>
                <c:pt idx="30">
                  <c:v>1252.9799999999996</c:v>
                </c:pt>
                <c:pt idx="31">
                  <c:v>3.637978807091713E-12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20928"/>
        <c:axId val="177426816"/>
      </c:lineChart>
      <c:catAx>
        <c:axId val="177420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426816"/>
        <c:crosses val="autoZero"/>
        <c:auto val="1"/>
        <c:lblAlgn val="ctr"/>
        <c:lblOffset val="100"/>
        <c:noMultiLvlLbl val="0"/>
      </c:catAx>
      <c:valAx>
        <c:axId val="177426816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42092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0.40589999999999998</c:v>
                </c:pt>
                <c:pt idx="1">
                  <c:v>0.52</c:v>
                </c:pt>
                <c:pt idx="2">
                  <c:v>0.51</c:v>
                </c:pt>
                <c:pt idx="3">
                  <c:v>0.89610000000000001</c:v>
                </c:pt>
                <c:pt idx="4">
                  <c:v>1</c:v>
                </c:pt>
                <c:pt idx="5">
                  <c:v>0.57999999999999996</c:v>
                </c:pt>
                <c:pt idx="6">
                  <c:v>0.75</c:v>
                </c:pt>
                <c:pt idx="7">
                  <c:v>0.71</c:v>
                </c:pt>
                <c:pt idx="8">
                  <c:v>0.45</c:v>
                </c:pt>
                <c:pt idx="9">
                  <c:v>0.91</c:v>
                </c:pt>
                <c:pt idx="10">
                  <c:v>0.54</c:v>
                </c:pt>
                <c:pt idx="11">
                  <c:v>0.73</c:v>
                </c:pt>
                <c:pt idx="12">
                  <c:v>0.53</c:v>
                </c:pt>
                <c:pt idx="13">
                  <c:v>0.25</c:v>
                </c:pt>
                <c:pt idx="14">
                  <c:v>0.5</c:v>
                </c:pt>
                <c:pt idx="15">
                  <c:v>0.25</c:v>
                </c:pt>
                <c:pt idx="16">
                  <c:v>0.51</c:v>
                </c:pt>
                <c:pt idx="17">
                  <c:v>0.51</c:v>
                </c:pt>
                <c:pt idx="18">
                  <c:v>0.92979999999999996</c:v>
                </c:pt>
                <c:pt idx="19">
                  <c:v>1</c:v>
                </c:pt>
                <c:pt idx="20">
                  <c:v>0.71</c:v>
                </c:pt>
                <c:pt idx="21">
                  <c:v>0.97</c:v>
                </c:pt>
                <c:pt idx="22">
                  <c:v>0.61</c:v>
                </c:pt>
                <c:pt idx="23">
                  <c:v>0.75</c:v>
                </c:pt>
                <c:pt idx="24">
                  <c:v>0.92</c:v>
                </c:pt>
                <c:pt idx="25">
                  <c:v>0.87</c:v>
                </c:pt>
                <c:pt idx="26">
                  <c:v>0.74</c:v>
                </c:pt>
                <c:pt idx="27">
                  <c:v>0.63</c:v>
                </c:pt>
                <c:pt idx="28">
                  <c:v>0.76</c:v>
                </c:pt>
                <c:pt idx="29">
                  <c:v>0.46</c:v>
                </c:pt>
                <c:pt idx="30">
                  <c:v>23</c:v>
                </c:pt>
                <c:pt idx="31">
                  <c:v>1.3839290322580646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9584"/>
        <c:axId val="177461120"/>
      </c:lineChart>
      <c:catAx>
        <c:axId val="177459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461120"/>
        <c:crosses val="autoZero"/>
        <c:auto val="1"/>
        <c:lblAlgn val="ctr"/>
        <c:lblOffset val="100"/>
        <c:noMultiLvlLbl val="0"/>
      </c:catAx>
      <c:valAx>
        <c:axId val="17746112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774595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17458.849999999977</c:v>
                </c:pt>
                <c:pt idx="1">
                  <c:v>18338</c:v>
                </c:pt>
                <c:pt idx="2">
                  <c:v>19219</c:v>
                </c:pt>
                <c:pt idx="3">
                  <c:v>18612.709999999963</c:v>
                </c:pt>
                <c:pt idx="4">
                  <c:v>20830.960000000079</c:v>
                </c:pt>
                <c:pt idx="5">
                  <c:v>20612</c:v>
                </c:pt>
                <c:pt idx="6">
                  <c:v>21704.239999999991</c:v>
                </c:pt>
                <c:pt idx="7">
                  <c:v>19730.089999999967</c:v>
                </c:pt>
                <c:pt idx="8">
                  <c:v>19467</c:v>
                </c:pt>
                <c:pt idx="9">
                  <c:v>20373</c:v>
                </c:pt>
                <c:pt idx="10">
                  <c:v>21020</c:v>
                </c:pt>
                <c:pt idx="11">
                  <c:v>22339</c:v>
                </c:pt>
                <c:pt idx="12">
                  <c:v>22200</c:v>
                </c:pt>
                <c:pt idx="13">
                  <c:v>-564998</c:v>
                </c:pt>
                <c:pt idx="14">
                  <c:v>17328.710000000021</c:v>
                </c:pt>
                <c:pt idx="15">
                  <c:v>17406.289999999979</c:v>
                </c:pt>
                <c:pt idx="16">
                  <c:v>17543</c:v>
                </c:pt>
                <c:pt idx="17">
                  <c:v>18064.830000000016</c:v>
                </c:pt>
                <c:pt idx="18">
                  <c:v>18721.169999999984</c:v>
                </c:pt>
                <c:pt idx="19">
                  <c:v>17336.710000000021</c:v>
                </c:pt>
                <c:pt idx="20">
                  <c:v>18548.039999999979</c:v>
                </c:pt>
                <c:pt idx="21">
                  <c:v>19922.760000000009</c:v>
                </c:pt>
                <c:pt idx="22">
                  <c:v>19388.319999999949</c:v>
                </c:pt>
                <c:pt idx="23">
                  <c:v>16876.170000000042</c:v>
                </c:pt>
                <c:pt idx="24">
                  <c:v>16627</c:v>
                </c:pt>
                <c:pt idx="25">
                  <c:v>16892</c:v>
                </c:pt>
                <c:pt idx="26">
                  <c:v>17701</c:v>
                </c:pt>
                <c:pt idx="27">
                  <c:v>17886</c:v>
                </c:pt>
                <c:pt idx="28">
                  <c:v>17492</c:v>
                </c:pt>
                <c:pt idx="29">
                  <c:v>17529</c:v>
                </c:pt>
                <c:pt idx="30">
                  <c:v>17830.150000000023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77383680"/>
        <c:axId val="177393664"/>
      </c:lineChart>
      <c:catAx>
        <c:axId val="177383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93664"/>
        <c:crosses val="autoZero"/>
        <c:auto val="1"/>
        <c:lblAlgn val="ctr"/>
        <c:lblOffset val="100"/>
        <c:noMultiLvlLbl val="0"/>
      </c:catAx>
      <c:valAx>
        <c:axId val="177393664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83680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11.769999999999982</c:v>
                </c:pt>
                <c:pt idx="1">
                  <c:v>11.460000000000036</c:v>
                </c:pt>
                <c:pt idx="2">
                  <c:v>11</c:v>
                </c:pt>
                <c:pt idx="3">
                  <c:v>11.4699999999998</c:v>
                </c:pt>
                <c:pt idx="4">
                  <c:v>10.619999999999891</c:v>
                </c:pt>
                <c:pt idx="5">
                  <c:v>11.170000000000073</c:v>
                </c:pt>
                <c:pt idx="6">
                  <c:v>11.099999999999909</c:v>
                </c:pt>
                <c:pt idx="7">
                  <c:v>11.100000000000364</c:v>
                </c:pt>
                <c:pt idx="8">
                  <c:v>11.150000000000091</c:v>
                </c:pt>
                <c:pt idx="9">
                  <c:v>12</c:v>
                </c:pt>
                <c:pt idx="10">
                  <c:v>12</c:v>
                </c:pt>
                <c:pt idx="11">
                  <c:v>11.860000000000127</c:v>
                </c:pt>
                <c:pt idx="12">
                  <c:v>10.599999999999909</c:v>
                </c:pt>
                <c:pt idx="13">
                  <c:v>-330.36999999999944</c:v>
                </c:pt>
                <c:pt idx="14">
                  <c:v>11.019999999999527</c:v>
                </c:pt>
                <c:pt idx="15">
                  <c:v>10.619999999999891</c:v>
                </c:pt>
                <c:pt idx="16">
                  <c:v>10.850000000000364</c:v>
                </c:pt>
                <c:pt idx="17">
                  <c:v>10.069999999999709</c:v>
                </c:pt>
                <c:pt idx="18">
                  <c:v>10.730000000000473</c:v>
                </c:pt>
                <c:pt idx="19">
                  <c:v>10.329999999999927</c:v>
                </c:pt>
                <c:pt idx="20">
                  <c:v>10.309999999999491</c:v>
                </c:pt>
                <c:pt idx="21">
                  <c:v>10.75</c:v>
                </c:pt>
                <c:pt idx="22">
                  <c:v>10.220000000000255</c:v>
                </c:pt>
                <c:pt idx="23">
                  <c:v>11.329999999999927</c:v>
                </c:pt>
                <c:pt idx="24">
                  <c:v>9.6799999999998363</c:v>
                </c:pt>
                <c:pt idx="25">
                  <c:v>11</c:v>
                </c:pt>
                <c:pt idx="26">
                  <c:v>11</c:v>
                </c:pt>
                <c:pt idx="27">
                  <c:v>11.079999999999927</c:v>
                </c:pt>
                <c:pt idx="28">
                  <c:v>11</c:v>
                </c:pt>
                <c:pt idx="29">
                  <c:v>11.609999999999673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99520"/>
        <c:axId val="177509504"/>
      </c:lineChart>
      <c:catAx>
        <c:axId val="17749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509504"/>
        <c:crosses val="autoZero"/>
        <c:auto val="1"/>
        <c:lblAlgn val="ctr"/>
        <c:lblOffset val="100"/>
        <c:noMultiLvlLbl val="0"/>
      </c:catAx>
      <c:valAx>
        <c:axId val="177509504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4995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50125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297.04000000003725</c:v>
                </c:pt>
                <c:pt idx="1">
                  <c:v>284.73999999999069</c:v>
                </c:pt>
                <c:pt idx="2">
                  <c:v>303.77999999991152</c:v>
                </c:pt>
                <c:pt idx="3">
                  <c:v>301.6600000000326</c:v>
                </c:pt>
                <c:pt idx="4">
                  <c:v>302.52000000001863</c:v>
                </c:pt>
                <c:pt idx="5">
                  <c:v>301</c:v>
                </c:pt>
                <c:pt idx="6">
                  <c:v>341</c:v>
                </c:pt>
                <c:pt idx="7">
                  <c:v>316</c:v>
                </c:pt>
                <c:pt idx="8">
                  <c:v>324</c:v>
                </c:pt>
                <c:pt idx="9">
                  <c:v>287</c:v>
                </c:pt>
                <c:pt idx="10">
                  <c:v>-9145</c:v>
                </c:pt>
                <c:pt idx="11">
                  <c:v>313</c:v>
                </c:pt>
                <c:pt idx="12">
                  <c:v>304</c:v>
                </c:pt>
                <c:pt idx="13">
                  <c:v>307.90000000002328</c:v>
                </c:pt>
                <c:pt idx="14">
                  <c:v>285.25</c:v>
                </c:pt>
                <c:pt idx="15">
                  <c:v>306.34999999997672</c:v>
                </c:pt>
                <c:pt idx="16">
                  <c:v>295.15000000002328</c:v>
                </c:pt>
                <c:pt idx="17">
                  <c:v>294.76000000000931</c:v>
                </c:pt>
                <c:pt idx="18">
                  <c:v>307.70999999996275</c:v>
                </c:pt>
                <c:pt idx="19">
                  <c:v>292.69000000006054</c:v>
                </c:pt>
                <c:pt idx="20">
                  <c:v>311.18999999994412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500.70199999999932</c:v>
                </c:pt>
                <c:pt idx="1">
                  <c:v>567.1299999998937</c:v>
                </c:pt>
                <c:pt idx="2">
                  <c:v>589.11000000008971</c:v>
                </c:pt>
                <c:pt idx="3">
                  <c:v>573.73000000014326</c:v>
                </c:pt>
                <c:pt idx="4">
                  <c:v>587.65999999990891</c:v>
                </c:pt>
                <c:pt idx="5">
                  <c:v>617.80000000000291</c:v>
                </c:pt>
                <c:pt idx="6">
                  <c:v>651</c:v>
                </c:pt>
                <c:pt idx="7">
                  <c:v>622</c:v>
                </c:pt>
                <c:pt idx="8">
                  <c:v>755</c:v>
                </c:pt>
                <c:pt idx="9">
                  <c:v>647</c:v>
                </c:pt>
                <c:pt idx="10">
                  <c:v>14256</c:v>
                </c:pt>
                <c:pt idx="11">
                  <c:v>549.59999999999854</c:v>
                </c:pt>
                <c:pt idx="12">
                  <c:v>584.40000000000146</c:v>
                </c:pt>
                <c:pt idx="13">
                  <c:v>329.7730000000156</c:v>
                </c:pt>
                <c:pt idx="14">
                  <c:v>492.27699999995821</c:v>
                </c:pt>
                <c:pt idx="15">
                  <c:v>415.65000000007785</c:v>
                </c:pt>
                <c:pt idx="16">
                  <c:v>581.95999999991727</c:v>
                </c:pt>
                <c:pt idx="17">
                  <c:v>566.4000000000724</c:v>
                </c:pt>
                <c:pt idx="18">
                  <c:v>566.34999999994761</c:v>
                </c:pt>
                <c:pt idx="19">
                  <c:v>548.89999999987776</c:v>
                </c:pt>
                <c:pt idx="20">
                  <c:v>576.89000000013039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150.01000000000931</c:v>
                </c:pt>
                <c:pt idx="1">
                  <c:v>134</c:v>
                </c:pt>
                <c:pt idx="2">
                  <c:v>109.80999999999767</c:v>
                </c:pt>
                <c:pt idx="3">
                  <c:v>98.489999999990687</c:v>
                </c:pt>
                <c:pt idx="4">
                  <c:v>110.60000000000582</c:v>
                </c:pt>
                <c:pt idx="5">
                  <c:v>107</c:v>
                </c:pt>
                <c:pt idx="6">
                  <c:v>114</c:v>
                </c:pt>
                <c:pt idx="7">
                  <c:v>124</c:v>
                </c:pt>
                <c:pt idx="8">
                  <c:v>152</c:v>
                </c:pt>
                <c:pt idx="9">
                  <c:v>119</c:v>
                </c:pt>
                <c:pt idx="10">
                  <c:v>-3131</c:v>
                </c:pt>
                <c:pt idx="11">
                  <c:v>75</c:v>
                </c:pt>
                <c:pt idx="12">
                  <c:v>90</c:v>
                </c:pt>
                <c:pt idx="13">
                  <c:v>73.5</c:v>
                </c:pt>
                <c:pt idx="14">
                  <c:v>80.5</c:v>
                </c:pt>
                <c:pt idx="15">
                  <c:v>83.899999999994179</c:v>
                </c:pt>
                <c:pt idx="16">
                  <c:v>83.64000000001397</c:v>
                </c:pt>
                <c:pt idx="17">
                  <c:v>104.77999999999884</c:v>
                </c:pt>
                <c:pt idx="18">
                  <c:v>119.35000000000582</c:v>
                </c:pt>
                <c:pt idx="19">
                  <c:v>101.32999999998719</c:v>
                </c:pt>
                <c:pt idx="20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953408"/>
        <c:axId val="177967488"/>
      </c:lineChart>
      <c:catAx>
        <c:axId val="17795340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77967488"/>
        <c:crosses val="autoZero"/>
        <c:auto val="1"/>
        <c:lblAlgn val="ctr"/>
        <c:lblOffset val="100"/>
        <c:noMultiLvlLbl val="0"/>
      </c:catAx>
      <c:valAx>
        <c:axId val="1779674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779534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9355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0.23097846076142278</c:v>
                </c:pt>
                <c:pt idx="1">
                  <c:v>3469.6100000000006</c:v>
                </c:pt>
                <c:pt idx="2">
                  <c:v>3484.5699999999943</c:v>
                </c:pt>
                <c:pt idx="3">
                  <c:v>2816.8300000000017</c:v>
                </c:pt>
                <c:pt idx="4">
                  <c:v>0</c:v>
                </c:pt>
                <c:pt idx="5">
                  <c:v>3426.9199999999983</c:v>
                </c:pt>
                <c:pt idx="6">
                  <c:v>4458.75</c:v>
                </c:pt>
                <c:pt idx="7">
                  <c:v>4082.4900000000066</c:v>
                </c:pt>
                <c:pt idx="8">
                  <c:v>3894.5299999999988</c:v>
                </c:pt>
                <c:pt idx="9">
                  <c:v>4557</c:v>
                </c:pt>
                <c:pt idx="10">
                  <c:v>4736</c:v>
                </c:pt>
                <c:pt idx="11">
                  <c:v>4928</c:v>
                </c:pt>
                <c:pt idx="12">
                  <c:v>5019</c:v>
                </c:pt>
                <c:pt idx="13">
                  <c:v>-45053</c:v>
                </c:pt>
                <c:pt idx="14">
                  <c:v>3008.3700000000099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82262016"/>
        <c:axId val="182272000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782176.71</c:v>
                </c:pt>
                <c:pt idx="3">
                  <c:v>763564</c:v>
                </c:pt>
                <c:pt idx="4">
                  <c:v>0</c:v>
                </c:pt>
                <c:pt idx="5">
                  <c:v>823619.67</c:v>
                </c:pt>
                <c:pt idx="6">
                  <c:v>845323.91</c:v>
                </c:pt>
                <c:pt idx="7">
                  <c:v>865054</c:v>
                </c:pt>
                <c:pt idx="8">
                  <c:v>884521</c:v>
                </c:pt>
                <c:pt idx="9">
                  <c:v>904894</c:v>
                </c:pt>
                <c:pt idx="10">
                  <c:v>925914</c:v>
                </c:pt>
                <c:pt idx="11">
                  <c:v>948253</c:v>
                </c:pt>
                <c:pt idx="12">
                  <c:v>970453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273536"/>
        <c:axId val="182275072"/>
      </c:lineChart>
      <c:catAx>
        <c:axId val="182262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272000"/>
        <c:crosses val="autoZero"/>
        <c:auto val="1"/>
        <c:lblAlgn val="ctr"/>
        <c:lblOffset val="100"/>
        <c:noMultiLvlLbl val="0"/>
      </c:catAx>
      <c:valAx>
        <c:axId val="18227200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262016"/>
        <c:crosses val="autoZero"/>
        <c:crossBetween val="between"/>
        <c:minorUnit val="50"/>
      </c:valAx>
      <c:catAx>
        <c:axId val="182273536"/>
        <c:scaling>
          <c:orientation val="minMax"/>
        </c:scaling>
        <c:delete val="1"/>
        <c:axPos val="b"/>
        <c:majorTickMark val="out"/>
        <c:minorTickMark val="none"/>
        <c:tickLblPos val="none"/>
        <c:crossAx val="182275072"/>
        <c:crosses val="autoZero"/>
        <c:auto val="1"/>
        <c:lblAlgn val="ctr"/>
        <c:lblOffset val="100"/>
        <c:noMultiLvlLbl val="0"/>
      </c:catAx>
      <c:valAx>
        <c:axId val="18227507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273536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345280"/>
        <c:axId val="181351168"/>
      </c:lineChart>
      <c:catAx>
        <c:axId val="181345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351168"/>
        <c:crosses val="autoZero"/>
        <c:auto val="1"/>
        <c:lblAlgn val="ctr"/>
        <c:lblOffset val="100"/>
        <c:noMultiLvlLbl val="0"/>
      </c:catAx>
      <c:valAx>
        <c:axId val="181351168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34528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782176.71</c:v>
                </c:pt>
                <c:pt idx="3">
                  <c:v>763564</c:v>
                </c:pt>
                <c:pt idx="4">
                  <c:v>0</c:v>
                </c:pt>
                <c:pt idx="5">
                  <c:v>823619.67</c:v>
                </c:pt>
                <c:pt idx="6">
                  <c:v>845323.91</c:v>
                </c:pt>
                <c:pt idx="7">
                  <c:v>865054</c:v>
                </c:pt>
                <c:pt idx="8">
                  <c:v>884521</c:v>
                </c:pt>
                <c:pt idx="9">
                  <c:v>904894</c:v>
                </c:pt>
                <c:pt idx="10">
                  <c:v>925914</c:v>
                </c:pt>
                <c:pt idx="11">
                  <c:v>948253</c:v>
                </c:pt>
                <c:pt idx="12">
                  <c:v>970453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81392512"/>
        <c:axId val="181394048"/>
      </c:lineChart>
      <c:catAx>
        <c:axId val="18139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394048"/>
        <c:crosses val="autoZero"/>
        <c:auto val="1"/>
        <c:lblAlgn val="ctr"/>
        <c:lblOffset val="100"/>
        <c:noMultiLvlLbl val="0"/>
      </c:catAx>
      <c:valAx>
        <c:axId val="181394048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3925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1416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158</c:v>
                </c:pt>
                <c:pt idx="1">
                  <c:v>170</c:v>
                </c:pt>
                <c:pt idx="2">
                  <c:v>186</c:v>
                </c:pt>
                <c:pt idx="3">
                  <c:v>182</c:v>
                </c:pt>
                <c:pt idx="4">
                  <c:v>0</c:v>
                </c:pt>
                <c:pt idx="5">
                  <c:v>243</c:v>
                </c:pt>
                <c:pt idx="6">
                  <c:v>228</c:v>
                </c:pt>
                <c:pt idx="7">
                  <c:v>214</c:v>
                </c:pt>
                <c:pt idx="8">
                  <c:v>238</c:v>
                </c:pt>
                <c:pt idx="9">
                  <c:v>256</c:v>
                </c:pt>
                <c:pt idx="10">
                  <c:v>297</c:v>
                </c:pt>
                <c:pt idx="11">
                  <c:v>291</c:v>
                </c:pt>
                <c:pt idx="12">
                  <c:v>261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067584"/>
        <c:axId val="182069120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782176.71</c:v>
                </c:pt>
                <c:pt idx="3">
                  <c:v>763564</c:v>
                </c:pt>
                <c:pt idx="4">
                  <c:v>0</c:v>
                </c:pt>
                <c:pt idx="5">
                  <c:v>823619.67</c:v>
                </c:pt>
                <c:pt idx="6">
                  <c:v>845323.91</c:v>
                </c:pt>
                <c:pt idx="7">
                  <c:v>865054</c:v>
                </c:pt>
                <c:pt idx="8">
                  <c:v>884521</c:v>
                </c:pt>
                <c:pt idx="9">
                  <c:v>904894</c:v>
                </c:pt>
                <c:pt idx="10">
                  <c:v>925914</c:v>
                </c:pt>
                <c:pt idx="11">
                  <c:v>948253</c:v>
                </c:pt>
                <c:pt idx="12">
                  <c:v>970453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070656"/>
        <c:axId val="182080640"/>
      </c:lineChart>
      <c:catAx>
        <c:axId val="182067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069120"/>
        <c:crosses val="autoZero"/>
        <c:auto val="1"/>
        <c:lblAlgn val="ctr"/>
        <c:lblOffset val="100"/>
        <c:noMultiLvlLbl val="0"/>
      </c:catAx>
      <c:valAx>
        <c:axId val="182069120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067584"/>
        <c:crosses val="autoZero"/>
        <c:crossBetween val="between"/>
      </c:valAx>
      <c:catAx>
        <c:axId val="182070656"/>
        <c:scaling>
          <c:orientation val="minMax"/>
        </c:scaling>
        <c:delete val="1"/>
        <c:axPos val="b"/>
        <c:majorTickMark val="out"/>
        <c:minorTickMark val="none"/>
        <c:tickLblPos val="none"/>
        <c:crossAx val="182080640"/>
        <c:crosses val="autoZero"/>
        <c:auto val="1"/>
        <c:lblAlgn val="ctr"/>
        <c:lblOffset val="100"/>
        <c:noMultiLvlLbl val="0"/>
      </c:catAx>
      <c:valAx>
        <c:axId val="18208064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0706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48</c:v>
                </c:pt>
                <c:pt idx="1">
                  <c:v>49</c:v>
                </c:pt>
                <c:pt idx="2">
                  <c:v>35</c:v>
                </c:pt>
                <c:pt idx="3">
                  <c:v>37</c:v>
                </c:pt>
                <c:pt idx="4">
                  <c:v>0</c:v>
                </c:pt>
                <c:pt idx="5">
                  <c:v>67</c:v>
                </c:pt>
                <c:pt idx="6">
                  <c:v>58</c:v>
                </c:pt>
                <c:pt idx="7">
                  <c:v>40</c:v>
                </c:pt>
                <c:pt idx="8">
                  <c:v>46</c:v>
                </c:pt>
                <c:pt idx="9">
                  <c:v>58</c:v>
                </c:pt>
                <c:pt idx="10">
                  <c:v>85</c:v>
                </c:pt>
                <c:pt idx="11">
                  <c:v>66</c:v>
                </c:pt>
                <c:pt idx="12">
                  <c:v>43</c:v>
                </c:pt>
                <c:pt idx="13">
                  <c:v>-1576</c:v>
                </c:pt>
                <c:pt idx="1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8</c:v>
                </c:pt>
                <c:pt idx="1">
                  <c:v>10</c:v>
                </c:pt>
                <c:pt idx="2">
                  <c:v>9</c:v>
                </c:pt>
                <c:pt idx="3">
                  <c:v>9</c:v>
                </c:pt>
                <c:pt idx="4">
                  <c:v>0</c:v>
                </c:pt>
                <c:pt idx="5">
                  <c:v>9</c:v>
                </c:pt>
                <c:pt idx="6">
                  <c:v>23</c:v>
                </c:pt>
                <c:pt idx="7">
                  <c:v>33</c:v>
                </c:pt>
                <c:pt idx="8">
                  <c:v>14</c:v>
                </c:pt>
                <c:pt idx="9">
                  <c:v>8</c:v>
                </c:pt>
                <c:pt idx="10">
                  <c:v>12</c:v>
                </c:pt>
                <c:pt idx="11">
                  <c:v>5</c:v>
                </c:pt>
                <c:pt idx="12">
                  <c:v>8</c:v>
                </c:pt>
                <c:pt idx="13">
                  <c:v>-6011</c:v>
                </c:pt>
                <c:pt idx="14">
                  <c:v>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119808"/>
        <c:axId val="182121600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782176.71</c:v>
                </c:pt>
                <c:pt idx="3">
                  <c:v>763564</c:v>
                </c:pt>
                <c:pt idx="4">
                  <c:v>0</c:v>
                </c:pt>
                <c:pt idx="5">
                  <c:v>823619.67</c:v>
                </c:pt>
                <c:pt idx="6">
                  <c:v>845323.91</c:v>
                </c:pt>
                <c:pt idx="7">
                  <c:v>865054</c:v>
                </c:pt>
                <c:pt idx="8">
                  <c:v>884521</c:v>
                </c:pt>
                <c:pt idx="9">
                  <c:v>904894</c:v>
                </c:pt>
                <c:pt idx="10">
                  <c:v>925914</c:v>
                </c:pt>
                <c:pt idx="11">
                  <c:v>948253</c:v>
                </c:pt>
                <c:pt idx="12">
                  <c:v>970453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123136"/>
        <c:axId val="182595968"/>
      </c:lineChart>
      <c:catAx>
        <c:axId val="18211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121600"/>
        <c:crosses val="autoZero"/>
        <c:auto val="1"/>
        <c:lblAlgn val="ctr"/>
        <c:lblOffset val="100"/>
        <c:noMultiLvlLbl val="0"/>
      </c:catAx>
      <c:valAx>
        <c:axId val="182121600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119808"/>
        <c:crosses val="autoZero"/>
        <c:crossBetween val="between"/>
        <c:majorUnit val="2"/>
      </c:valAx>
      <c:catAx>
        <c:axId val="182123136"/>
        <c:scaling>
          <c:orientation val="minMax"/>
        </c:scaling>
        <c:delete val="1"/>
        <c:axPos val="b"/>
        <c:majorTickMark val="out"/>
        <c:minorTickMark val="none"/>
        <c:tickLblPos val="none"/>
        <c:crossAx val="182595968"/>
        <c:crosses val="autoZero"/>
        <c:auto val="1"/>
        <c:lblAlgn val="ctr"/>
        <c:lblOffset val="100"/>
        <c:noMultiLvlLbl val="0"/>
      </c:catAx>
      <c:valAx>
        <c:axId val="18259596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123136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AppData/Local/Temp/HLP%20Report/HLP%2009/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11" workbookViewId="0">
      <selection activeCell="C2" sqref="C2:C32"/>
    </sheetView>
  </sheetViews>
  <sheetFormatPr defaultColWidth="9" defaultRowHeight="15" x14ac:dyDescent="0.2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 x14ac:dyDescent="0.3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 x14ac:dyDescent="0.25">
      <c r="A2" s="272" t="s">
        <v>268</v>
      </c>
      <c r="B2" s="273">
        <v>1</v>
      </c>
      <c r="C2" s="273">
        <v>2</v>
      </c>
      <c r="D2" s="274">
        <v>2022</v>
      </c>
      <c r="E2" s="275">
        <f>(IF('Daily HLP'!H4&gt;0,'Daily HLP'!H4,0))</f>
        <v>17458.849999999977</v>
      </c>
      <c r="F2" s="276">
        <v>9</v>
      </c>
      <c r="G2" s="276">
        <f>(IF('Daily HLP'!L4&gt;0,'Daily HLP'!L4,0))</f>
        <v>918.55799999996088</v>
      </c>
      <c r="H2" s="276">
        <v>75</v>
      </c>
      <c r="I2" s="276">
        <f>(IF('Daily HLP'!O4&gt;0,'Daily HLP'!O4,0))</f>
        <v>235</v>
      </c>
      <c r="J2" s="276">
        <v>99</v>
      </c>
      <c r="K2" s="281">
        <f>Occupancy!G2</f>
        <v>126</v>
      </c>
      <c r="L2" s="275">
        <f>Occupancy!F2</f>
        <v>290</v>
      </c>
      <c r="M2" s="277" t="e">
        <f>E2*F2+G2*H2+#REF!*#REF!+I2*J2</f>
        <v>#REF!</v>
      </c>
    </row>
    <row r="3" spans="1:13" x14ac:dyDescent="0.25">
      <c r="A3" s="272" t="s">
        <v>268</v>
      </c>
      <c r="B3" s="273">
        <f>B2+1</f>
        <v>2</v>
      </c>
      <c r="C3" s="273">
        <v>2</v>
      </c>
      <c r="D3" s="274">
        <v>2022</v>
      </c>
      <c r="E3" s="275">
        <f>(IF('Daily HLP'!H5&gt;0,'Daily HLP'!H5,0))</f>
        <v>18338</v>
      </c>
      <c r="F3" s="276">
        <v>9</v>
      </c>
      <c r="G3" s="276">
        <f>(IF('Daily HLP'!L5&gt;0,'Daily HLP'!L5,0))</f>
        <v>983.14500000001863</v>
      </c>
      <c r="H3" s="276">
        <v>75</v>
      </c>
      <c r="I3" s="276">
        <f>(IF('Daily HLP'!O5&gt;0,'Daily HLP'!O5,0))</f>
        <v>183</v>
      </c>
      <c r="J3" s="276">
        <v>99</v>
      </c>
      <c r="K3" s="281">
        <f>Occupancy!G3</f>
        <v>142</v>
      </c>
      <c r="L3" s="275">
        <f>Occupancy!F3</f>
        <v>352</v>
      </c>
      <c r="M3" s="277" t="e">
        <f>E3*F3+G3*H3+#REF!*#REF!+I3*J3</f>
        <v>#REF!</v>
      </c>
    </row>
    <row r="4" spans="1:13" x14ac:dyDescent="0.25">
      <c r="A4" s="272" t="s">
        <v>268</v>
      </c>
      <c r="B4" s="273">
        <f t="shared" ref="B4:B32" si="0">B3+1</f>
        <v>3</v>
      </c>
      <c r="C4" s="273">
        <v>2</v>
      </c>
      <c r="D4" s="274">
        <v>2022</v>
      </c>
      <c r="E4" s="275">
        <f>(IF('Daily HLP'!H6&gt;0,'Daily HLP'!H6,0))</f>
        <v>19219</v>
      </c>
      <c r="F4" s="276">
        <v>9</v>
      </c>
      <c r="G4" s="276">
        <f>(IF('Daily HLP'!L6&gt;0,'Daily HLP'!L6,0))</f>
        <v>1012.3479999999981</v>
      </c>
      <c r="H4" s="276">
        <v>75</v>
      </c>
      <c r="I4" s="276">
        <f>(IF('Daily HLP'!O6&gt;0,'Daily HLP'!O6,0))</f>
        <v>233</v>
      </c>
      <c r="J4" s="276">
        <v>99</v>
      </c>
      <c r="K4" s="281">
        <f>Occupancy!G4</f>
        <v>145</v>
      </c>
      <c r="L4" s="275">
        <f>Occupancy!F4</f>
        <v>406</v>
      </c>
      <c r="M4" s="277" t="e">
        <f>E4*F4+G4*H4+#REF!*#REF!+I4*J4</f>
        <v>#REF!</v>
      </c>
    </row>
    <row r="5" spans="1:13" x14ac:dyDescent="0.25">
      <c r="A5" s="272" t="s">
        <v>268</v>
      </c>
      <c r="B5" s="273">
        <f t="shared" si="0"/>
        <v>4</v>
      </c>
      <c r="C5" s="273">
        <v>2</v>
      </c>
      <c r="D5" s="274">
        <v>2022</v>
      </c>
      <c r="E5" s="275">
        <f>(IF('Daily HLP'!H7&gt;0,'Daily HLP'!H7,0))</f>
        <v>18612.709999999963</v>
      </c>
      <c r="F5" s="276">
        <v>9</v>
      </c>
      <c r="G5" s="276">
        <f>(IF('Daily HLP'!L7&gt;0,'Daily HLP'!L7,0))</f>
        <v>997.95200000004843</v>
      </c>
      <c r="H5" s="276">
        <v>75</v>
      </c>
      <c r="I5" s="276">
        <f>(IF('Daily HLP'!O7&gt;0,'Daily HLP'!O7,0))</f>
        <v>261</v>
      </c>
      <c r="J5" s="276">
        <v>99</v>
      </c>
      <c r="K5" s="281">
        <f>Occupancy!G5</f>
        <v>166</v>
      </c>
      <c r="L5" s="275">
        <f>Occupancy!F5</f>
        <v>461</v>
      </c>
      <c r="M5" s="277" t="e">
        <f>E5*F5+G5*H5+#REF!*#REF!+I5*J5</f>
        <v>#REF!</v>
      </c>
    </row>
    <row r="6" spans="1:13" x14ac:dyDescent="0.25">
      <c r="A6" s="272" t="s">
        <v>268</v>
      </c>
      <c r="B6" s="273">
        <f t="shared" si="0"/>
        <v>5</v>
      </c>
      <c r="C6" s="273">
        <v>2</v>
      </c>
      <c r="D6" s="274">
        <v>2022</v>
      </c>
      <c r="E6" s="275">
        <f>(IF('Daily HLP'!H8&gt;0,'Daily HLP'!H8,0))</f>
        <v>20830.960000000079</v>
      </c>
      <c r="F6" s="276">
        <v>9</v>
      </c>
      <c r="G6" s="276">
        <f>(IF('Daily HLP'!L8&gt;0,'Daily HLP'!L8,0))</f>
        <v>1047.8699999998789</v>
      </c>
      <c r="H6" s="276">
        <v>75</v>
      </c>
      <c r="I6" s="276">
        <f>(IF('Daily HLP'!O8&gt;0,'Daily HLP'!O8,0))</f>
        <v>294</v>
      </c>
      <c r="J6" s="276">
        <v>99</v>
      </c>
      <c r="K6" s="281">
        <f>Occupancy!G6</f>
        <v>171</v>
      </c>
      <c r="L6" s="275">
        <f>Occupancy!F6</f>
        <v>1487</v>
      </c>
      <c r="M6" s="277" t="e">
        <f>E6*F6+G6*H6+#REF!*#REF!+I6*J6</f>
        <v>#REF!</v>
      </c>
    </row>
    <row r="7" spans="1:13" x14ac:dyDescent="0.25">
      <c r="A7" s="272" t="s">
        <v>268</v>
      </c>
      <c r="B7" s="273">
        <f t="shared" si="0"/>
        <v>6</v>
      </c>
      <c r="C7" s="273">
        <v>2</v>
      </c>
      <c r="D7" s="274">
        <v>2022</v>
      </c>
      <c r="E7" s="275">
        <f>(IF('Daily HLP'!H9&gt;0,'Daily HLP'!H9,0))</f>
        <v>20612</v>
      </c>
      <c r="F7" s="276">
        <v>9</v>
      </c>
      <c r="G7" s="276">
        <f>(IF('Daily HLP'!L9&gt;0,'Daily HLP'!L9,0))</f>
        <v>1049.5</v>
      </c>
      <c r="H7" s="276">
        <v>75</v>
      </c>
      <c r="I7" s="276">
        <f>(IF('Daily HLP'!O9&gt;0,'Daily HLP'!O9,0))</f>
        <v>275</v>
      </c>
      <c r="J7" s="276">
        <v>99</v>
      </c>
      <c r="K7" s="281">
        <f>Occupancy!G7</f>
        <v>150</v>
      </c>
      <c r="L7" s="275">
        <f>Occupancy!F7</f>
        <v>494</v>
      </c>
      <c r="M7" s="277" t="e">
        <f>E7*F7+G7*H7+#REF!*#REF!+I7*J7</f>
        <v>#REF!</v>
      </c>
    </row>
    <row r="8" spans="1:13" x14ac:dyDescent="0.25">
      <c r="A8" s="272" t="s">
        <v>268</v>
      </c>
      <c r="B8" s="273">
        <f t="shared" si="0"/>
        <v>7</v>
      </c>
      <c r="C8" s="273">
        <v>2</v>
      </c>
      <c r="D8" s="274">
        <v>2022</v>
      </c>
      <c r="E8" s="275">
        <f>(IF('Daily HLP'!H10&gt;0,'Daily HLP'!H10,0))</f>
        <v>21704.239999999991</v>
      </c>
      <c r="F8" s="276">
        <v>9</v>
      </c>
      <c r="G8" s="276">
        <f>(IF('Daily HLP'!L10&gt;0,'Daily HLP'!L10,0))</f>
        <v>1030.6800000001676</v>
      </c>
      <c r="H8" s="276">
        <v>75</v>
      </c>
      <c r="I8" s="276">
        <f>(IF('Daily HLP'!O10&gt;0,'Daily HLP'!O10,0))</f>
        <v>242</v>
      </c>
      <c r="J8" s="276">
        <v>99</v>
      </c>
      <c r="K8" s="281">
        <f>Occupancy!G8</f>
        <v>159</v>
      </c>
      <c r="L8" s="275">
        <f>Occupancy!F8</f>
        <v>704</v>
      </c>
      <c r="M8" s="277" t="e">
        <f>E8*F8+G8*H8+#REF!*#REF!+I8*J8</f>
        <v>#REF!</v>
      </c>
    </row>
    <row r="9" spans="1:13" x14ac:dyDescent="0.25">
      <c r="A9" s="272" t="s">
        <v>268</v>
      </c>
      <c r="B9" s="273">
        <f t="shared" si="0"/>
        <v>8</v>
      </c>
      <c r="C9" s="273">
        <v>2</v>
      </c>
      <c r="D9" s="274">
        <v>2022</v>
      </c>
      <c r="E9" s="275">
        <f>(IF('Daily HLP'!H11&gt;0,'Daily HLP'!H11,0))</f>
        <v>19730.089999999967</v>
      </c>
      <c r="F9" s="276">
        <v>9</v>
      </c>
      <c r="G9" s="276">
        <f>(IF('Daily HLP'!L11&gt;0,'Daily HLP'!L11,0))</f>
        <v>1052.1799999999348</v>
      </c>
      <c r="H9" s="276">
        <v>75</v>
      </c>
      <c r="I9" s="276">
        <f>(IF('Daily HLP'!O11&gt;0,'Daily HLP'!O11,0))</f>
        <v>232</v>
      </c>
      <c r="J9" s="276">
        <v>99</v>
      </c>
      <c r="K9" s="281">
        <f>Occupancy!G9</f>
        <v>129</v>
      </c>
      <c r="L9" s="275">
        <f>Occupancy!F9</f>
        <v>418</v>
      </c>
      <c r="M9" s="277" t="e">
        <f>E9*F9+G9*H9+#REF!*#REF!+I9*J9</f>
        <v>#REF!</v>
      </c>
    </row>
    <row r="10" spans="1:13" x14ac:dyDescent="0.25">
      <c r="A10" s="272" t="s">
        <v>268</v>
      </c>
      <c r="B10" s="273">
        <f t="shared" si="0"/>
        <v>9</v>
      </c>
      <c r="C10" s="273">
        <v>2</v>
      </c>
      <c r="D10" s="274">
        <v>2022</v>
      </c>
      <c r="E10" s="275">
        <f>(IF('Daily HLP'!H12&gt;0,'Daily HLP'!H12,0))</f>
        <v>19467</v>
      </c>
      <c r="F10" s="276">
        <v>9</v>
      </c>
      <c r="G10" s="276">
        <f>(IF('Daily HLP'!L12&gt;0,'Daily HLP'!L12,0))</f>
        <v>1070</v>
      </c>
      <c r="H10" s="276">
        <v>75</v>
      </c>
      <c r="I10" s="276">
        <f>(IF('Daily HLP'!O12&gt;0,'Daily HLP'!O12,0))</f>
        <v>256</v>
      </c>
      <c r="J10" s="276">
        <v>99</v>
      </c>
      <c r="K10" s="281">
        <f>Occupancy!G10</f>
        <v>144</v>
      </c>
      <c r="L10" s="275">
        <f>Occupancy!F10</f>
        <v>483</v>
      </c>
      <c r="M10" s="277" t="e">
        <f>E10*F10+G10*H10+#REF!*#REF!+I10*J10</f>
        <v>#REF!</v>
      </c>
    </row>
    <row r="11" spans="1:13" x14ac:dyDescent="0.25">
      <c r="A11" s="272" t="s">
        <v>268</v>
      </c>
      <c r="B11" s="273">
        <f t="shared" si="0"/>
        <v>10</v>
      </c>
      <c r="C11" s="273">
        <v>2</v>
      </c>
      <c r="D11" s="274">
        <v>2022</v>
      </c>
      <c r="E11" s="275">
        <f>(IF('Daily HLP'!H13&gt;0,'Daily HLP'!H13,0))</f>
        <v>20373</v>
      </c>
      <c r="F11" s="276">
        <v>9</v>
      </c>
      <c r="G11" s="276">
        <f>(IF('Daily HLP'!L13&gt;0,'Daily HLP'!L13,0))</f>
        <v>1152</v>
      </c>
      <c r="H11" s="276">
        <v>75</v>
      </c>
      <c r="I11" s="276">
        <f>(IF('Daily HLP'!O13&gt;0,'Daily HLP'!O13,0))</f>
        <v>317</v>
      </c>
      <c r="J11" s="276">
        <v>99</v>
      </c>
      <c r="K11" s="281">
        <f>Occupancy!G11</f>
        <v>149</v>
      </c>
      <c r="L11" s="275">
        <f>Occupancy!F11</f>
        <v>723</v>
      </c>
      <c r="M11" s="277" t="e">
        <f>E11*F11+G11*H11+#REF!*#REF!+I11*J11</f>
        <v>#REF!</v>
      </c>
    </row>
    <row r="12" spans="1:13" x14ac:dyDescent="0.25">
      <c r="A12" s="272" t="s">
        <v>268</v>
      </c>
      <c r="B12" s="273">
        <f t="shared" si="0"/>
        <v>11</v>
      </c>
      <c r="C12" s="273">
        <v>2</v>
      </c>
      <c r="D12" s="274">
        <v>2022</v>
      </c>
      <c r="E12" s="275">
        <f>(IF('Daily HLP'!H14&gt;0,'Daily HLP'!H14,0))</f>
        <v>21020</v>
      </c>
      <c r="F12" s="276">
        <v>9</v>
      </c>
      <c r="G12" s="276">
        <f>(IF('Daily HLP'!L14&gt;0,'Daily HLP'!L14,0))</f>
        <v>1118</v>
      </c>
      <c r="H12" s="276">
        <v>75</v>
      </c>
      <c r="I12" s="276">
        <f>(IF('Daily HLP'!O14&gt;0,'Daily HLP'!O14,0))</f>
        <v>316</v>
      </c>
      <c r="J12" s="276">
        <v>99</v>
      </c>
      <c r="K12" s="281">
        <f>Occupancy!G12</f>
        <v>148</v>
      </c>
      <c r="L12" s="275">
        <f>Occupancy!F12</f>
        <v>899</v>
      </c>
      <c r="M12" s="277" t="e">
        <f>E12*F12+G12*H12+#REF!*#REF!+I12*J12</f>
        <v>#REF!</v>
      </c>
    </row>
    <row r="13" spans="1:13" x14ac:dyDescent="0.25">
      <c r="A13" s="272" t="s">
        <v>268</v>
      </c>
      <c r="B13" s="273">
        <f t="shared" si="0"/>
        <v>12</v>
      </c>
      <c r="C13" s="273">
        <v>2</v>
      </c>
      <c r="D13" s="274">
        <v>2022</v>
      </c>
      <c r="E13" s="275">
        <f>(IF('Daily HLP'!H15&gt;0,'Daily HLP'!H15,0))</f>
        <v>22339</v>
      </c>
      <c r="F13" s="276">
        <v>9</v>
      </c>
      <c r="G13" s="276">
        <f>(IF('Daily HLP'!L15&gt;0,'Daily HLP'!L15,0))</f>
        <v>1293</v>
      </c>
      <c r="H13" s="276">
        <v>75</v>
      </c>
      <c r="I13" s="276">
        <f>(IF('Daily HLP'!O15&gt;0,'Daily HLP'!O15,0))</f>
        <v>339</v>
      </c>
      <c r="J13" s="276">
        <v>99</v>
      </c>
      <c r="K13" s="281">
        <f>Occupancy!G13</f>
        <v>154</v>
      </c>
      <c r="L13" s="275">
        <f>Occupancy!F13</f>
        <v>683</v>
      </c>
      <c r="M13" s="277" t="e">
        <f>E13*F13+G13*H13+#REF!*#REF!+I13*J13</f>
        <v>#REF!</v>
      </c>
    </row>
    <row r="14" spans="1:13" x14ac:dyDescent="0.25">
      <c r="A14" s="272" t="s">
        <v>268</v>
      </c>
      <c r="B14" s="273">
        <f t="shared" si="0"/>
        <v>13</v>
      </c>
      <c r="C14" s="273">
        <v>2</v>
      </c>
      <c r="D14" s="274">
        <v>2022</v>
      </c>
      <c r="E14" s="275">
        <f>(IF('Daily HLP'!H16&gt;0,'Daily HLP'!H16,0))</f>
        <v>22200</v>
      </c>
      <c r="F14" s="276">
        <v>9</v>
      </c>
      <c r="G14" s="276">
        <f>(IF('Daily HLP'!L16&gt;0,'Daily HLP'!L16,0))</f>
        <v>1108</v>
      </c>
      <c r="H14" s="276">
        <v>75</v>
      </c>
      <c r="I14" s="276">
        <f>(IF('Daily HLP'!O16&gt;0,'Daily HLP'!O16,0))</f>
        <v>296</v>
      </c>
      <c r="J14" s="276">
        <v>99</v>
      </c>
      <c r="K14" s="281">
        <f>Occupancy!G14</f>
        <v>142</v>
      </c>
      <c r="L14" s="275">
        <f>Occupancy!F14</f>
        <v>1001</v>
      </c>
      <c r="M14" s="277" t="e">
        <f>E14*F14+G14*H14+#REF!*#REF!+I14*J14</f>
        <v>#REF!</v>
      </c>
    </row>
    <row r="15" spans="1:13" x14ac:dyDescent="0.25">
      <c r="A15" s="272" t="s">
        <v>268</v>
      </c>
      <c r="B15" s="273">
        <f t="shared" si="0"/>
        <v>14</v>
      </c>
      <c r="C15" s="273">
        <v>2</v>
      </c>
      <c r="D15" s="274">
        <v>2022</v>
      </c>
      <c r="E15" s="275">
        <f>(IF('Daily HLP'!H17&gt;0,'Daily HLP'!H17,0))</f>
        <v>0</v>
      </c>
      <c r="F15" s="276">
        <v>9</v>
      </c>
      <c r="G15" s="276">
        <f>(IF('Daily HLP'!L17&gt;0,'Daily HLP'!L17,0))</f>
        <v>745</v>
      </c>
      <c r="H15" s="276">
        <v>75</v>
      </c>
      <c r="I15" s="276">
        <f>(IF('Daily HLP'!O17&gt;0,'Daily HLP'!O17,0))</f>
        <v>0</v>
      </c>
      <c r="J15" s="276">
        <v>99</v>
      </c>
      <c r="K15" s="281">
        <f>Occupancy!G15</f>
        <v>0</v>
      </c>
      <c r="L15" s="275">
        <f>Occupancy!F15</f>
        <v>0</v>
      </c>
      <c r="M15" s="277" t="e">
        <f>E15*F15+G15*H15+#REF!*#REF!+I15*J15</f>
        <v>#REF!</v>
      </c>
    </row>
    <row r="16" spans="1:13" x14ac:dyDescent="0.25">
      <c r="A16" s="272" t="s">
        <v>268</v>
      </c>
      <c r="B16" s="273">
        <f t="shared" si="0"/>
        <v>15</v>
      </c>
      <c r="C16" s="273">
        <v>2</v>
      </c>
      <c r="D16" s="274">
        <v>2022</v>
      </c>
      <c r="E16" s="275">
        <f>(IF('Daily HLP'!H18&gt;0,'Daily HLP'!H18,0))</f>
        <v>17328.710000000021</v>
      </c>
      <c r="F16" s="276">
        <v>9</v>
      </c>
      <c r="G16" s="276">
        <f>(IF('Daily HLP'!L18&gt;0,'Daily HLP'!L18,0))</f>
        <v>965</v>
      </c>
      <c r="H16" s="276">
        <v>75</v>
      </c>
      <c r="I16" s="276">
        <f>(IF('Daily HLP'!O18&gt;0,'Daily HLP'!O18,0))</f>
        <v>155</v>
      </c>
      <c r="J16" s="276">
        <v>99</v>
      </c>
      <c r="K16" s="281">
        <f>Occupancy!G16</f>
        <v>0</v>
      </c>
      <c r="L16" s="275">
        <f>Occupancy!F16</f>
        <v>0</v>
      </c>
      <c r="M16" s="277" t="e">
        <f>E16*F16+G16*H16+#REF!*#REF!+I16*J16</f>
        <v>#REF!</v>
      </c>
    </row>
    <row r="17" spans="1:13" x14ac:dyDescent="0.25">
      <c r="A17" s="272" t="s">
        <v>268</v>
      </c>
      <c r="B17" s="273">
        <f t="shared" si="0"/>
        <v>16</v>
      </c>
      <c r="C17" s="273">
        <v>2</v>
      </c>
      <c r="D17" s="274">
        <v>2022</v>
      </c>
      <c r="E17" s="275">
        <f>(IF('Daily HLP'!H19&gt;0,'Daily HLP'!H19,0))</f>
        <v>17406.289999999979</v>
      </c>
      <c r="F17" s="276">
        <v>9</v>
      </c>
      <c r="G17" s="276">
        <f>(IF('Daily HLP'!L19&gt;0,'Daily HLP'!L19,0))</f>
        <v>1006</v>
      </c>
      <c r="H17" s="276">
        <v>75</v>
      </c>
      <c r="I17" s="276">
        <f>(IF('Daily HLP'!O19&gt;0,'Daily HLP'!O19,0))</f>
        <v>135</v>
      </c>
      <c r="J17" s="276">
        <v>99</v>
      </c>
      <c r="K17" s="281">
        <f>Occupancy!G17</f>
        <v>0</v>
      </c>
      <c r="L17" s="275">
        <f>Occupancy!F17</f>
        <v>0</v>
      </c>
      <c r="M17" s="277" t="e">
        <f>E17*F17+G17*H17+#REF!*#REF!+I17*J17</f>
        <v>#REF!</v>
      </c>
    </row>
    <row r="18" spans="1:13" x14ac:dyDescent="0.25">
      <c r="A18" s="272" t="s">
        <v>268</v>
      </c>
      <c r="B18" s="273">
        <f t="shared" si="0"/>
        <v>17</v>
      </c>
      <c r="C18" s="273">
        <v>2</v>
      </c>
      <c r="D18" s="274">
        <v>2022</v>
      </c>
      <c r="E18" s="275">
        <f>(IF('Daily HLP'!H20&gt;0,'Daily HLP'!H20,0))</f>
        <v>17543</v>
      </c>
      <c r="F18" s="276">
        <v>9</v>
      </c>
      <c r="G18" s="276">
        <f>(IF('Daily HLP'!L20&gt;0,'Daily HLP'!L20,0))</f>
        <v>734.2730000000447</v>
      </c>
      <c r="H18" s="276">
        <v>75</v>
      </c>
      <c r="I18" s="276">
        <f>(IF('Daily HLP'!O20&gt;0,'Daily HLP'!O20,0))</f>
        <v>133</v>
      </c>
      <c r="J18" s="276">
        <v>99</v>
      </c>
      <c r="K18" s="281">
        <f>Occupancy!G18</f>
        <v>0</v>
      </c>
      <c r="L18" s="275">
        <f>Occupancy!F18</f>
        <v>0</v>
      </c>
      <c r="M18" s="277" t="e">
        <f>E18*F18+G18*H18+#REF!*#REF!+I18*J18</f>
        <v>#REF!</v>
      </c>
    </row>
    <row r="19" spans="1:13" x14ac:dyDescent="0.25">
      <c r="A19" s="272" t="s">
        <v>268</v>
      </c>
      <c r="B19" s="273">
        <f t="shared" si="0"/>
        <v>18</v>
      </c>
      <c r="C19" s="273">
        <v>2</v>
      </c>
      <c r="D19" s="274">
        <v>2022</v>
      </c>
      <c r="E19" s="275">
        <f>(IF('Daily HLP'!H21&gt;0,'Daily HLP'!H21,0))</f>
        <v>18064.830000000016</v>
      </c>
      <c r="F19" s="276">
        <v>9</v>
      </c>
      <c r="G19" s="276">
        <f>(IF('Daily HLP'!L21&gt;0,'Daily HLP'!L21,0))</f>
        <v>881.7269999999553</v>
      </c>
      <c r="H19" s="276">
        <v>75</v>
      </c>
      <c r="I19" s="276">
        <f>(IF('Daily HLP'!O21&gt;0,'Daily HLP'!O21,0))</f>
        <v>154</v>
      </c>
      <c r="J19" s="276">
        <v>99</v>
      </c>
      <c r="K19" s="281">
        <f>Occupancy!G19</f>
        <v>0</v>
      </c>
      <c r="L19" s="275">
        <f>Occupancy!F19</f>
        <v>0</v>
      </c>
      <c r="M19" s="277" t="e">
        <f>E19*F19+G19*H19+#REF!*#REF!+I19*J19</f>
        <v>#REF!</v>
      </c>
    </row>
    <row r="20" spans="1:13" x14ac:dyDescent="0.25">
      <c r="A20" s="272" t="s">
        <v>268</v>
      </c>
      <c r="B20" s="273">
        <f t="shared" si="0"/>
        <v>19</v>
      </c>
      <c r="C20" s="273">
        <v>2</v>
      </c>
      <c r="D20" s="274">
        <v>2022</v>
      </c>
      <c r="E20" s="275">
        <f>(IF('Daily HLP'!H22&gt;0,'Daily HLP'!H22,0))</f>
        <v>18721.169999999984</v>
      </c>
      <c r="F20" s="276">
        <v>9</v>
      </c>
      <c r="G20" s="276">
        <f>(IF('Daily HLP'!L22&gt;0,'Daily HLP'!L22,0))</f>
        <v>834.30000000004657</v>
      </c>
      <c r="H20" s="276">
        <v>75</v>
      </c>
      <c r="I20" s="276">
        <f>(IF('Daily HLP'!O22&gt;0,'Daily HLP'!O22,0))</f>
        <v>157</v>
      </c>
      <c r="J20" s="276">
        <v>99</v>
      </c>
      <c r="K20" s="281">
        <f>Occupancy!G20</f>
        <v>0</v>
      </c>
      <c r="L20" s="275">
        <f>Occupancy!F20</f>
        <v>0</v>
      </c>
      <c r="M20" s="277" t="e">
        <f>E20*F20+G20*H20+#REF!*#REF!+I20*J20</f>
        <v>#REF!</v>
      </c>
    </row>
    <row r="21" spans="1:13" x14ac:dyDescent="0.25">
      <c r="A21" s="272" t="s">
        <v>268</v>
      </c>
      <c r="B21" s="273">
        <f t="shared" si="0"/>
        <v>20</v>
      </c>
      <c r="C21" s="273">
        <v>2</v>
      </c>
      <c r="D21" s="274">
        <v>2022</v>
      </c>
      <c r="E21" s="275">
        <f>(IF('Daily HLP'!H23&gt;0,'Daily HLP'!H23,0))</f>
        <v>17336.710000000021</v>
      </c>
      <c r="F21" s="276">
        <v>9</v>
      </c>
      <c r="G21" s="276">
        <f>(IF('Daily HLP'!L23&gt;0,'Daily HLP'!L23,0))</f>
        <v>986.94999999995343</v>
      </c>
      <c r="H21" s="276">
        <v>75</v>
      </c>
      <c r="I21" s="276">
        <f>(IF('Daily HLP'!O23&gt;0,'Daily HLP'!O23,0))</f>
        <v>216</v>
      </c>
      <c r="J21" s="276">
        <v>99</v>
      </c>
      <c r="K21" s="281">
        <f>Occupancy!G21</f>
        <v>0</v>
      </c>
      <c r="L21" s="275">
        <f>Occupancy!F21</f>
        <v>0</v>
      </c>
      <c r="M21" s="277" t="e">
        <f>E21*F21+G21*H21+#REF!*#REF!+I21*J21</f>
        <v>#REF!</v>
      </c>
    </row>
    <row r="22" spans="1:13" x14ac:dyDescent="0.25">
      <c r="A22" s="272" t="s">
        <v>268</v>
      </c>
      <c r="B22" s="273">
        <f t="shared" si="0"/>
        <v>21</v>
      </c>
      <c r="C22" s="273">
        <v>2</v>
      </c>
      <c r="D22" s="274">
        <v>2022</v>
      </c>
      <c r="E22" s="275">
        <f>(IF('Daily HLP'!H24&gt;0,'Daily HLP'!H24,0))</f>
        <v>18548.039999999979</v>
      </c>
      <c r="F22" s="276">
        <v>9</v>
      </c>
      <c r="G22" s="276">
        <f>(IF('Daily HLP'!L24&gt;0,'Daily HLP'!L24,0))</f>
        <v>1017.3400000000838</v>
      </c>
      <c r="H22" s="276">
        <v>75</v>
      </c>
      <c r="I22" s="276">
        <f>(IF('Daily HLP'!O24&gt;0,'Daily HLP'!O24,0))</f>
        <v>167</v>
      </c>
      <c r="J22" s="276">
        <v>99</v>
      </c>
      <c r="K22" s="281">
        <f>Occupancy!G22</f>
        <v>0</v>
      </c>
      <c r="L22" s="275">
        <f>Occupancy!F22</f>
        <v>0</v>
      </c>
      <c r="M22" s="277" t="e">
        <f>E22*F22+G22*H22+#REF!*#REF!+I22*J22</f>
        <v>#REF!</v>
      </c>
    </row>
    <row r="23" spans="1:13" x14ac:dyDescent="0.25">
      <c r="A23" s="272" t="s">
        <v>268</v>
      </c>
      <c r="B23" s="273">
        <f t="shared" si="0"/>
        <v>22</v>
      </c>
      <c r="C23" s="273">
        <v>2</v>
      </c>
      <c r="D23" s="274">
        <v>2022</v>
      </c>
      <c r="E23" s="275">
        <f>(IF('Daily HLP'!H25&gt;0,'Daily HLP'!H25,0))</f>
        <v>19922.760000000009</v>
      </c>
      <c r="F23" s="276">
        <v>9</v>
      </c>
      <c r="G23" s="276">
        <f>(IF('Daily HLP'!L25&gt;0,'Daily HLP'!L25,0))</f>
        <v>1036.4099999999162</v>
      </c>
      <c r="H23" s="276">
        <v>75</v>
      </c>
      <c r="I23" s="276">
        <f>(IF('Daily HLP'!O25&gt;0,'Daily HLP'!O25,0))</f>
        <v>176</v>
      </c>
      <c r="J23" s="276">
        <v>99</v>
      </c>
      <c r="K23" s="281">
        <f>Occupancy!G23</f>
        <v>0</v>
      </c>
      <c r="L23" s="275">
        <f>Occupancy!F23</f>
        <v>0</v>
      </c>
      <c r="M23" s="277" t="e">
        <f>E23*F23+G23*H23+#REF!*#REF!+I23*J23</f>
        <v>#REF!</v>
      </c>
    </row>
    <row r="24" spans="1:13" x14ac:dyDescent="0.25">
      <c r="A24" s="272" t="s">
        <v>268</v>
      </c>
      <c r="B24" s="273">
        <f t="shared" si="0"/>
        <v>23</v>
      </c>
      <c r="C24" s="273">
        <v>2</v>
      </c>
      <c r="D24" s="274">
        <v>2022</v>
      </c>
      <c r="E24" s="275">
        <f>(IF('Daily HLP'!H26&gt;0,'Daily HLP'!H26,0))</f>
        <v>19388.319999999949</v>
      </c>
      <c r="F24" s="276">
        <v>9</v>
      </c>
      <c r="G24" s="276">
        <f>(IF('Daily HLP'!L26&gt;0,'Daily HLP'!L26,0))</f>
        <v>979.91999999992549</v>
      </c>
      <c r="H24" s="276">
        <v>75</v>
      </c>
      <c r="I24" s="276">
        <f>(IF('Daily HLP'!O26&gt;0,'Daily HLP'!O26,0))</f>
        <v>216</v>
      </c>
      <c r="J24" s="276">
        <v>99</v>
      </c>
      <c r="K24" s="281">
        <f>Occupancy!G24</f>
        <v>0</v>
      </c>
      <c r="L24" s="275">
        <f>Occupancy!F24</f>
        <v>0</v>
      </c>
      <c r="M24" s="277" t="e">
        <f>E24*F24+G24*H24+#REF!*#REF!+I24*J24</f>
        <v>#REF!</v>
      </c>
    </row>
    <row r="25" spans="1:13" x14ac:dyDescent="0.25">
      <c r="A25" s="272" t="s">
        <v>268</v>
      </c>
      <c r="B25" s="273">
        <f t="shared" si="0"/>
        <v>24</v>
      </c>
      <c r="C25" s="273">
        <v>2</v>
      </c>
      <c r="D25" s="274">
        <v>2022</v>
      </c>
      <c r="E25" s="275">
        <f>(IF('Daily HLP'!H27&gt;0,'Daily HLP'!H27,0))</f>
        <v>16876.170000000042</v>
      </c>
      <c r="F25" s="276">
        <v>9</v>
      </c>
      <c r="G25" s="276">
        <f>(IF('Daily HLP'!L27&gt;0,'Daily HLP'!L27,0))</f>
        <v>1037.0800000000745</v>
      </c>
      <c r="H25" s="276">
        <v>75</v>
      </c>
      <c r="I25" s="276">
        <f>(IF('Daily HLP'!O27&gt;0,'Daily HLP'!O27,0))</f>
        <v>212</v>
      </c>
      <c r="J25" s="276">
        <v>99</v>
      </c>
      <c r="K25" s="281">
        <f>Occupancy!G25</f>
        <v>0</v>
      </c>
      <c r="L25" s="275">
        <f>Occupancy!F25</f>
        <v>0</v>
      </c>
      <c r="M25" s="277" t="e">
        <f>E25*F25+G25*H25+#REF!*#REF!+I25*J25</f>
        <v>#REF!</v>
      </c>
    </row>
    <row r="26" spans="1:13" x14ac:dyDescent="0.25">
      <c r="A26" s="272" t="s">
        <v>268</v>
      </c>
      <c r="B26" s="273">
        <f>B25+1</f>
        <v>25</v>
      </c>
      <c r="C26" s="273">
        <v>2</v>
      </c>
      <c r="D26" s="274">
        <v>2022</v>
      </c>
      <c r="E26" s="275">
        <f>(IF('Daily HLP'!H28&gt;0,'Daily HLP'!H28,0))</f>
        <v>16627</v>
      </c>
      <c r="F26" s="276">
        <v>9</v>
      </c>
      <c r="G26" s="276">
        <f>(IF('Daily HLP'!L28&gt;0,'Daily HLP'!L28,0))</f>
        <v>815</v>
      </c>
      <c r="H26" s="276">
        <v>75</v>
      </c>
      <c r="I26" s="276">
        <f>(IF('Daily HLP'!O28&gt;0,'Daily HLP'!O28,0))</f>
        <v>190</v>
      </c>
      <c r="J26" s="276">
        <v>99</v>
      </c>
      <c r="K26" s="281">
        <f>Occupancy!G26</f>
        <v>0</v>
      </c>
      <c r="L26" s="275">
        <f>Occupancy!F26</f>
        <v>0</v>
      </c>
      <c r="M26" s="277" t="e">
        <f>E26*F26+G26*H26+#REF!*#REF!+I26*J26</f>
        <v>#REF!</v>
      </c>
    </row>
    <row r="27" spans="1:13" x14ac:dyDescent="0.25">
      <c r="A27" s="272" t="s">
        <v>268</v>
      </c>
      <c r="B27" s="273">
        <f t="shared" si="0"/>
        <v>26</v>
      </c>
      <c r="C27" s="273">
        <v>2</v>
      </c>
      <c r="D27" s="274">
        <v>2022</v>
      </c>
      <c r="E27" s="275">
        <f>(IF('Daily HLP'!H29&gt;0,'Daily HLP'!H29,0))</f>
        <v>16892</v>
      </c>
      <c r="F27" s="276">
        <v>9</v>
      </c>
      <c r="G27" s="276">
        <f>(IF('Daily HLP'!L29&gt;0,'Daily HLP'!L29,0))</f>
        <v>936</v>
      </c>
      <c r="H27" s="276">
        <v>75</v>
      </c>
      <c r="I27" s="276">
        <f>(IF('Daily HLP'!O29&gt;0,'Daily HLP'!O29,0))</f>
        <v>175</v>
      </c>
      <c r="J27" s="276">
        <v>99</v>
      </c>
      <c r="K27" s="281">
        <f>Occupancy!G27</f>
        <v>0</v>
      </c>
      <c r="L27" s="275">
        <f>Occupancy!F27</f>
        <v>0</v>
      </c>
      <c r="M27" s="277" t="e">
        <f>E27*F27+G27*H27+#REF!*#REF!+I27*J27</f>
        <v>#REF!</v>
      </c>
    </row>
    <row r="28" spans="1:13" x14ac:dyDescent="0.25">
      <c r="A28" s="272" t="s">
        <v>268</v>
      </c>
      <c r="B28" s="273">
        <f t="shared" si="0"/>
        <v>27</v>
      </c>
      <c r="C28" s="273">
        <v>2</v>
      </c>
      <c r="D28" s="274">
        <v>2022</v>
      </c>
      <c r="E28" s="275">
        <f>(IF('Daily HLP'!H30&gt;0,'Daily HLP'!H30,0))</f>
        <v>17701</v>
      </c>
      <c r="F28" s="276">
        <v>9</v>
      </c>
      <c r="G28" s="276">
        <f>(IF('Daily HLP'!L30&gt;0,'Daily HLP'!L30,0))</f>
        <v>954</v>
      </c>
      <c r="H28" s="276">
        <v>75</v>
      </c>
      <c r="I28" s="276">
        <f>(IF('Daily HLP'!O30&gt;0,'Daily HLP'!O30,0))</f>
        <v>177</v>
      </c>
      <c r="J28" s="276">
        <v>99</v>
      </c>
      <c r="K28" s="281">
        <f>Occupancy!G28</f>
        <v>0</v>
      </c>
      <c r="L28" s="275">
        <f>Occupancy!F28</f>
        <v>0</v>
      </c>
      <c r="M28" s="277" t="e">
        <f>E28*F28+G28*H28+#REF!*#REF!+I28*J28</f>
        <v>#REF!</v>
      </c>
    </row>
    <row r="29" spans="1:13" x14ac:dyDescent="0.25">
      <c r="A29" s="272" t="s">
        <v>268</v>
      </c>
      <c r="B29" s="273">
        <f t="shared" si="0"/>
        <v>28</v>
      </c>
      <c r="C29" s="273">
        <v>2</v>
      </c>
      <c r="D29" s="274">
        <v>2022</v>
      </c>
      <c r="E29" s="275">
        <f>(IF('Daily HLP'!H31&gt;0,'Daily HLP'!H31,0))</f>
        <v>17886</v>
      </c>
      <c r="F29" s="276">
        <v>9</v>
      </c>
      <c r="G29" s="276">
        <f>(IF('Daily HLP'!L31&gt;0,'Daily HLP'!L31,0))</f>
        <v>971</v>
      </c>
      <c r="H29" s="276">
        <v>75</v>
      </c>
      <c r="I29" s="276">
        <f>(IF('Daily HLP'!O31&gt;0,'Daily HLP'!O31,0))</f>
        <v>92</v>
      </c>
      <c r="J29" s="276">
        <v>99</v>
      </c>
      <c r="K29" s="281">
        <f>Occupancy!G29</f>
        <v>0</v>
      </c>
      <c r="L29" s="275">
        <f>Occupancy!F29</f>
        <v>0</v>
      </c>
      <c r="M29" s="277" t="e">
        <f>E29*F29+G29*H29+#REF!*#REF!+I29*J29</f>
        <v>#REF!</v>
      </c>
    </row>
    <row r="30" spans="1:13" x14ac:dyDescent="0.25">
      <c r="A30" s="272" t="s">
        <v>268</v>
      </c>
      <c r="B30" s="273">
        <f t="shared" si="0"/>
        <v>29</v>
      </c>
      <c r="C30" s="273">
        <v>2</v>
      </c>
      <c r="D30" s="274">
        <v>2022</v>
      </c>
      <c r="E30" s="275">
        <f>(IF('Daily HLP'!H32&gt;0,'Daily HLP'!H32,0))</f>
        <v>17492</v>
      </c>
      <c r="F30" s="276">
        <v>9</v>
      </c>
      <c r="G30" s="276">
        <f>(IF('Daily HLP'!L32&gt;0,'Daily HLP'!L32,0))</f>
        <v>1002</v>
      </c>
      <c r="H30" s="276">
        <v>75</v>
      </c>
      <c r="I30" s="276">
        <f>(IF('Daily HLP'!O32&gt;0,'Daily HLP'!O32,0))</f>
        <v>312</v>
      </c>
      <c r="J30" s="276">
        <v>99</v>
      </c>
      <c r="K30" s="281">
        <f>Occupancy!G30</f>
        <v>0</v>
      </c>
      <c r="L30" s="275">
        <f>Occupancy!F30</f>
        <v>0</v>
      </c>
      <c r="M30" s="277" t="e">
        <f>E30*F30+G30*H30+#REF!*#REF!+I30*J30</f>
        <v>#REF!</v>
      </c>
    </row>
    <row r="31" spans="1:13" x14ac:dyDescent="0.25">
      <c r="A31" s="272" t="s">
        <v>268</v>
      </c>
      <c r="B31" s="273">
        <f t="shared" si="0"/>
        <v>30</v>
      </c>
      <c r="C31" s="273">
        <v>2</v>
      </c>
      <c r="D31" s="274">
        <v>2022</v>
      </c>
      <c r="E31" s="275">
        <f>(IF('Daily HLP'!H33&gt;0,'Daily HLP'!H33,0))</f>
        <v>17529</v>
      </c>
      <c r="F31" s="276">
        <v>9</v>
      </c>
      <c r="G31" s="276">
        <f>(IF('Daily HLP'!L33&gt;0,'Daily HLP'!L33,0))</f>
        <v>929</v>
      </c>
      <c r="H31" s="276">
        <v>75</v>
      </c>
      <c r="I31" s="276">
        <f>(IF('Daily HLP'!O33&gt;0,'Daily HLP'!O33,0))</f>
        <v>226</v>
      </c>
      <c r="J31" s="276">
        <v>99</v>
      </c>
      <c r="K31" s="281">
        <f>Occupancy!G31</f>
        <v>0</v>
      </c>
      <c r="L31" s="275">
        <f>Occupancy!F31</f>
        <v>0</v>
      </c>
      <c r="M31" s="277" t="e">
        <f>E31*F31+G31*H31+#REF!*#REF!+I31*J31</f>
        <v>#REF!</v>
      </c>
    </row>
    <row r="32" spans="1:13" s="275" customFormat="1" x14ac:dyDescent="0.25">
      <c r="A32" s="272" t="s">
        <v>268</v>
      </c>
      <c r="B32" s="273">
        <f t="shared" si="0"/>
        <v>31</v>
      </c>
      <c r="C32" s="273">
        <v>2</v>
      </c>
      <c r="D32" s="274">
        <v>2022</v>
      </c>
      <c r="E32" s="275">
        <f>(IF('Daily HLP'!H34&gt;0,'Daily HLP'!H34,0))</f>
        <v>17830.150000000023</v>
      </c>
      <c r="F32" s="276">
        <v>9</v>
      </c>
      <c r="G32" s="276">
        <f>(IF('Daily HLP'!L34&gt;0,'Daily HLP'!L34,0))</f>
        <v>915.76699999999255</v>
      </c>
      <c r="H32" s="276">
        <v>75</v>
      </c>
      <c r="I32" s="276">
        <f>(IF('Daily HLP'!O34&gt;0,'Daily HLP'!O34,0))</f>
        <v>146</v>
      </c>
      <c r="J32" s="276">
        <v>99</v>
      </c>
      <c r="K32" s="281">
        <f>Occupancy!G32</f>
        <v>0</v>
      </c>
      <c r="L32" s="275">
        <f>Occupancy!F32</f>
        <v>0</v>
      </c>
      <c r="M32" s="278"/>
    </row>
    <row r="33" spans="1:13" s="275" customFormat="1" x14ac:dyDescent="0.25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 x14ac:dyDescent="0.25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 x14ac:dyDescent="0.25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 x14ac:dyDescent="0.25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 x14ac:dyDescent="0.25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 x14ac:dyDescent="0.25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 x14ac:dyDescent="0.2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 x14ac:dyDescent="0.25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 x14ac:dyDescent="0.25">
      <c r="A2" s="287" t="s">
        <v>268</v>
      </c>
      <c r="B2" s="288">
        <v>1</v>
      </c>
      <c r="C2" s="288">
        <v>2</v>
      </c>
      <c r="D2" s="288">
        <v>2022</v>
      </c>
      <c r="E2" s="294">
        <f>(IF('Section Load'!F5&gt;0,'Section Load'!F5,0))</f>
        <v>2185.1000000000022</v>
      </c>
      <c r="F2" s="294">
        <f>(IF('Section Load'!G5&gt;0,'Section Load'!G5,0))</f>
        <v>1554.1100000000006</v>
      </c>
      <c r="G2" s="294">
        <f>(IF('Section Load'!H5&gt;0,'Section Load'!H5,0))</f>
        <v>1620.2699999999968</v>
      </c>
      <c r="H2" s="294">
        <f>(IF('Section Load'!I5&gt;0,'Section Load'!I5,0))</f>
        <v>2609.5899999999965</v>
      </c>
      <c r="I2" s="294">
        <f>(IF('Section Load'!J5&gt;0,'Section Load'!J5,0))</f>
        <v>3987.7899999999936</v>
      </c>
      <c r="J2" s="294">
        <f>(IF('Section Load'!K5&gt;0,'Section Load'!K5,0))</f>
        <v>1901.929999999993</v>
      </c>
      <c r="K2" s="294">
        <f>(IF('Section Load'!L5&gt;0,'Section Load'!L5,0))</f>
        <v>938.92000000000553</v>
      </c>
      <c r="L2" s="294">
        <f>(IF('Section Load'!M5&gt;0,'Section Load'!M5,0))</f>
        <v>710.76000000000204</v>
      </c>
      <c r="M2" s="294">
        <f>(IF('Section Load'!N5&gt;0,'Section Load'!N5,0))</f>
        <v>61</v>
      </c>
      <c r="N2" s="294">
        <f>(IF('Section Load'!O5&gt;0,'Section Load'!O5,0))</f>
        <v>1</v>
      </c>
      <c r="O2" s="294">
        <f>(IF('Section Load'!P5&gt;0,'Section Load'!P5,0))</f>
        <v>0</v>
      </c>
      <c r="P2" s="294">
        <f>(IF('Section Load'!Q5&gt;0,'Section Load'!Q5,0))</f>
        <v>165.58999999999651</v>
      </c>
      <c r="Q2" s="294">
        <f>(IF('Section Load'!R5&gt;0,'Section Load'!R5,0))</f>
        <v>73.470000000001164</v>
      </c>
      <c r="R2" s="294">
        <f>(IF('Section Load'!S5&gt;0,'Section Load'!S5,0))</f>
        <v>12.779999999999745</v>
      </c>
      <c r="S2" s="294">
        <f>(IF('Section Load'!T5&gt;0,'Section Load'!T5,0))</f>
        <v>394</v>
      </c>
      <c r="T2" s="294">
        <f>(IF('Section Load'!U5&gt;0,'Section Load'!U5,0))</f>
        <v>196</v>
      </c>
      <c r="U2" s="294">
        <f>(IF('Section Load'!V5&gt;0,'Section Load'!V5,0))</f>
        <v>369.28000000002794</v>
      </c>
      <c r="V2" s="294">
        <f>(IF('Section Load'!W5&gt;0,'Section Load'!W5,0))</f>
        <v>195.04000000003725</v>
      </c>
      <c r="W2" s="294">
        <f>(IF('Section Load'!X5&gt;0,'Section Load'!X5,0))</f>
        <v>29</v>
      </c>
      <c r="X2" s="294">
        <f>(IF('Section Load'!Y5&gt;0,'Section Load'!Y5,0))</f>
        <v>187.13000000000011</v>
      </c>
      <c r="Y2" s="294">
        <f>(IF('Section Load'!Z5&gt;0,'Section Load'!Z5,0))</f>
        <v>226</v>
      </c>
      <c r="Z2" s="294">
        <f>(IF('Section Load'!AA5&gt;0,'Section Load'!AA5,0))</f>
        <v>48.28000000002794</v>
      </c>
      <c r="AA2" s="294">
        <f>(IF('Section Load'!AB5&gt;0,'Section Load'!AB5,0))</f>
        <v>42</v>
      </c>
      <c r="AB2" s="294">
        <f>(IF('Section Load'!AC5&gt;0,'Section Load'!AC5,0))</f>
        <v>0</v>
      </c>
      <c r="AC2" s="294">
        <f>(IF('Section Load'!AD5&gt;0,'Section Load'!AD5,0))</f>
        <v>32.199999999994361</v>
      </c>
      <c r="AD2" s="294">
        <f>(IF('Section Load'!AE5&gt;0,'Section Load'!AE5,0))</f>
        <v>0</v>
      </c>
      <c r="AE2" s="294">
        <f>(IF('Section Load'!AF5&gt;0,'Section Load'!AF5,0))</f>
        <v>21.820000000000164</v>
      </c>
      <c r="AF2" s="294">
        <f>(IF('Section Load'!AG5&gt;0,'Section Load'!AG5,0))</f>
        <v>310.5</v>
      </c>
      <c r="AG2" s="294">
        <f>(IF('Section Load'!AH5&gt;0,'Section Load'!AH5,0))</f>
        <v>441.15000000002328</v>
      </c>
      <c r="AH2" s="294">
        <f>(IF('Section Load'!AI5&gt;0,'Section Load'!AI5,0))</f>
        <v>414.13999999999942</v>
      </c>
      <c r="AI2" s="294">
        <f>(IF('Section Load'!AJ5&gt;0,'Section Load'!AJ5,0))</f>
        <v>720.88000000000466</v>
      </c>
      <c r="AJ2" s="294">
        <f>(IF('Section Load'!AK5&gt;0,'Section Load'!AK5,0))</f>
        <v>206.03000000001339</v>
      </c>
      <c r="AK2" s="294">
        <f>(IF('Section Load'!AL5&gt;0,'Section Load'!AL5,0))</f>
        <v>261.25</v>
      </c>
      <c r="AL2" s="294">
        <f>(IF('Section Load'!AM5&gt;0,'Section Load'!AM5,0))</f>
        <v>492.57000000000698</v>
      </c>
      <c r="AM2" s="295">
        <f>(IF('Water Report'!$D$7&gt;0,'Water Report'!$D$7,0))</f>
        <v>63</v>
      </c>
      <c r="AN2" s="295">
        <f>(IF('Water Report'!$D$8&gt;0,'Water Report'!$D$8,0))</f>
        <v>132</v>
      </c>
      <c r="AO2" s="295">
        <f>(IF('Water Report'!$D$9&gt;0,'Water Report'!$D$9,0))</f>
        <v>71</v>
      </c>
      <c r="AP2" s="295">
        <f>(IF('Water Report'!$D$10&gt;0,'Water Report'!$D$10,0))</f>
        <v>17</v>
      </c>
      <c r="AQ2" s="295">
        <f>(IF('Water Report'!$D$11&gt;0,'Water Report'!$D$11,0))</f>
        <v>14</v>
      </c>
      <c r="AR2" s="295">
        <f>(IF('Water Report'!$D$13&gt;0,'Water Report'!$D$13,0))</f>
        <v>39</v>
      </c>
      <c r="AS2" s="295">
        <f>(IF('Water Report'!$D$14&gt;0,'Water Report'!$D$14,0))</f>
        <v>9</v>
      </c>
      <c r="AT2" s="295">
        <f>(IF('Water Report'!$D$15&gt;0,'Water Report'!$D$15,0))</f>
        <v>8</v>
      </c>
      <c r="AU2" s="295">
        <f>(IF('Water Report'!$D$17&gt;0,'Water Report'!$D$17,0))</f>
        <v>0</v>
      </c>
      <c r="AV2" s="295">
        <f>(IF('Water Report'!$D$18&gt;0,'Water Report'!$D$18,0))</f>
        <v>11</v>
      </c>
      <c r="AW2" s="295">
        <f>(IF('Water Report'!$D$19&gt;0,'Water Report'!$D$19,0))</f>
        <v>10</v>
      </c>
      <c r="AX2" s="301">
        <f>(IF('Water Report'!$D$21&gt;0,'Water Report'!$D$21,0))</f>
        <v>43</v>
      </c>
      <c r="AY2" s="301">
        <f>(IF('Water Report'!$D$22&gt;0,'Water Report'!$D$22,0))</f>
        <v>29</v>
      </c>
      <c r="AZ2" s="301">
        <f>(IF('Water Report'!$D$23&gt;0,'Water Report'!$D$23,0))</f>
        <v>3</v>
      </c>
      <c r="BA2" s="301">
        <f>(IF('Water Report'!$D$14&gt;0,'Water Report'!$D$14,0))</f>
        <v>9</v>
      </c>
      <c r="BB2" s="301">
        <f>(IF('Water Report'!$D$15&gt;0,'Water Report'!$D$15,0))</f>
        <v>8</v>
      </c>
      <c r="BC2" s="301">
        <f>(IF('Water Report'!$D$13&gt;0,'Water Report'!$D$13,0))</f>
        <v>39</v>
      </c>
      <c r="BD2" s="301">
        <f>(IF('Water Report'!$D$24&gt;0,'Water Report'!$D$24,0))</f>
        <v>235</v>
      </c>
      <c r="BE2" s="301">
        <f>(IF('Water Report'!$D$25&gt;0,'Water Report'!$D$25,0))</f>
        <v>119</v>
      </c>
      <c r="BF2" s="301">
        <f>(IF('Water Report'!$D$27&gt;0,'Water Report'!$D$27,0))</f>
        <v>85</v>
      </c>
      <c r="BG2" s="296">
        <f>(IF('Section Load'!AN5&gt;0,'Section Load'!AN5,0))</f>
        <v>918.55799999996088</v>
      </c>
      <c r="BH2" s="296">
        <f>(IF('Section Load'!AO5&gt;0,'Section Load'!AO5,0))</f>
        <v>314.53100000007544</v>
      </c>
      <c r="BI2" s="296">
        <f>(IF('Section Load'!AP5&gt;0,'Section Load'!AP5,0))</f>
        <v>0</v>
      </c>
      <c r="BJ2" s="296">
        <f>(IF('Section Load'!AQ5&gt;0,'Section Load'!AQ5,0))</f>
        <v>91.059999999997672</v>
      </c>
      <c r="BK2" s="296">
        <f>(IF('Section Load'!AR5&gt;0,'Section Load'!AR5,0))</f>
        <v>29.700000000004366</v>
      </c>
      <c r="BL2" s="296">
        <f>(IF('Section Load'!AS5&gt;0,'Section Load'!AS5,0))</f>
        <v>0</v>
      </c>
      <c r="BM2" s="296">
        <f>(IF('Section Load'!AT5&gt;0,'Section Load'!AT5,0))</f>
        <v>483.26699999988341</v>
      </c>
    </row>
    <row r="3" spans="1:65" x14ac:dyDescent="0.25">
      <c r="A3" s="287" t="s">
        <v>268</v>
      </c>
      <c r="B3" s="288">
        <f>B2+1</f>
        <v>2</v>
      </c>
      <c r="C3" s="288">
        <v>2</v>
      </c>
      <c r="D3" s="288">
        <v>2022</v>
      </c>
      <c r="E3" s="294">
        <f>(IF('Section Load'!F6&gt;0,'Section Load'!F6,0))</f>
        <v>2435.0399999999972</v>
      </c>
      <c r="F3" s="294">
        <f>(IF('Section Load'!G6&gt;0,'Section Load'!G6,0))</f>
        <v>1547.1000000000058</v>
      </c>
      <c r="G3" s="294">
        <f>(IF('Section Load'!H6&gt;0,'Section Load'!H6,0))</f>
        <v>1758.7900000000009</v>
      </c>
      <c r="H3" s="294">
        <f>(IF('Section Load'!I6&gt;0,'Section Load'!I6,0))</f>
        <v>2628.2200000000012</v>
      </c>
      <c r="I3" s="294">
        <f>(IF('Section Load'!J6&gt;0,'Section Load'!J6,0))</f>
        <v>3469.6100000000006</v>
      </c>
      <c r="J3" s="294">
        <f>(IF('Section Load'!K6&gt;0,'Section Load'!K6,0))</f>
        <v>1997.1600000000035</v>
      </c>
      <c r="K3" s="294">
        <f>(IF('Section Load'!L6&gt;0,'Section Load'!L6,0))</f>
        <v>987.52999999999884</v>
      </c>
      <c r="L3" s="294">
        <f>(IF('Section Load'!M6&gt;0,'Section Load'!M6,0))</f>
        <v>811.5</v>
      </c>
      <c r="M3" s="294">
        <f>(IF('Section Load'!N6&gt;0,'Section Load'!N6,0))</f>
        <v>59</v>
      </c>
      <c r="N3" s="294">
        <f>(IF('Section Load'!O6&gt;0,'Section Load'!O6,0))</f>
        <v>2</v>
      </c>
      <c r="O3" s="294">
        <f>(IF('Section Load'!P6&gt;0,'Section Load'!P6,0))</f>
        <v>10.600000000005821</v>
      </c>
      <c r="P3" s="294">
        <f>(IF('Section Load'!Q6&gt;0,'Section Load'!Q6,0))</f>
        <v>176.63000000000466</v>
      </c>
      <c r="Q3" s="294">
        <f>(IF('Section Load'!R6&gt;0,'Section Load'!R6,0))</f>
        <v>71.670000000001892</v>
      </c>
      <c r="R3" s="294">
        <f>(IF('Section Load'!S6&gt;0,'Section Load'!S6,0))</f>
        <v>13.710000000000036</v>
      </c>
      <c r="S3" s="294">
        <f>(IF('Section Load'!T6&gt;0,'Section Load'!T6,0))</f>
        <v>392</v>
      </c>
      <c r="T3" s="294">
        <f>(IF('Section Load'!U6&gt;0,'Section Load'!U6,0))</f>
        <v>210</v>
      </c>
      <c r="U3" s="294">
        <f>(IF('Section Load'!V6&gt;0,'Section Load'!V6,0))</f>
        <v>396.31999999994878</v>
      </c>
      <c r="V3" s="294">
        <f>(IF('Section Load'!W6&gt;0,'Section Load'!W6,0))</f>
        <v>266.23999999999069</v>
      </c>
      <c r="W3" s="294">
        <f>(IF('Section Load'!X6&gt;0,'Section Load'!X6,0))</f>
        <v>24.690000000000055</v>
      </c>
      <c r="X3" s="294">
        <f>(IF('Section Load'!Y6&gt;0,'Section Load'!Y6,0))</f>
        <v>198.44999999999982</v>
      </c>
      <c r="Y3" s="294">
        <f>(IF('Section Load'!Z6&gt;0,'Section Load'!Z6,0))</f>
        <v>317</v>
      </c>
      <c r="Z3" s="294">
        <f>(IF('Section Load'!AA6&gt;0,'Section Load'!AA6,0))</f>
        <v>52.839999999967404</v>
      </c>
      <c r="AA3" s="294">
        <f>(IF('Section Load'!AB6&gt;0,'Section Load'!AB6,0))</f>
        <v>38.100000000005821</v>
      </c>
      <c r="AB3" s="294">
        <f>(IF('Section Load'!AC6&gt;0,'Section Load'!AC6,0))</f>
        <v>0</v>
      </c>
      <c r="AC3" s="294">
        <f>(IF('Section Load'!AD6&gt;0,'Section Load'!AD6,0))</f>
        <v>36.30000000000291</v>
      </c>
      <c r="AD3" s="294">
        <f>(IF('Section Load'!AE6&gt;0,'Section Load'!AE6,0))</f>
        <v>0</v>
      </c>
      <c r="AE3" s="294">
        <f>(IF('Section Load'!AF6&gt;0,'Section Load'!AF6,0))</f>
        <v>35.460000000000036</v>
      </c>
      <c r="AF3" s="294">
        <f>(IF('Section Load'!AG6&gt;0,'Section Load'!AG6,0))</f>
        <v>318.04000000000815</v>
      </c>
      <c r="AG3" s="294">
        <f>(IF('Section Load'!AH6&gt;0,'Section Load'!AH6,0))</f>
        <v>423.19000000000233</v>
      </c>
      <c r="AH3" s="294">
        <f>(IF('Section Load'!AI6&gt;0,'Section Load'!AI6,0))</f>
        <v>417.20999999999913</v>
      </c>
      <c r="AI3" s="294">
        <f>(IF('Section Load'!AJ6&gt;0,'Section Load'!AJ6,0))</f>
        <v>713.23999999999069</v>
      </c>
      <c r="AJ3" s="294">
        <f>(IF('Section Load'!AK6&gt;0,'Section Load'!AK6,0))</f>
        <v>214.61000000000058</v>
      </c>
      <c r="AK3" s="294">
        <f>(IF('Section Load'!AL6&gt;0,'Section Load'!AL6,0))</f>
        <v>257.38999999998487</v>
      </c>
      <c r="AL3" s="294">
        <f>(IF('Section Load'!AM6&gt;0,'Section Load'!AM6,0))</f>
        <v>568.0399999999936</v>
      </c>
      <c r="AM3" s="295">
        <f>(IF('Water Report'!$E$7&gt;0,'Water Report'!$E$7,0))</f>
        <v>105</v>
      </c>
      <c r="AN3" s="295">
        <f>(IF('Water Report'!$E$8&gt;0,'Water Report'!$E$8,0))</f>
        <v>159</v>
      </c>
      <c r="AO3" s="295">
        <f>(IF('Water Report'!$E$9&gt;0,'Water Report'!$E$9,0))</f>
        <v>71</v>
      </c>
      <c r="AP3" s="295">
        <f>(IF('Water Report'!$E$10&gt;0,'Water Report'!$E$10,0))</f>
        <v>20</v>
      </c>
      <c r="AQ3" s="295">
        <f>(IF('Water Report'!$E$11&gt;0,'Water Report'!$E$11,0))</f>
        <v>20</v>
      </c>
      <c r="AR3" s="295">
        <f>(IF('Water Report'!$E$13&gt;0,'Water Report'!$E$13,0))</f>
        <v>30</v>
      </c>
      <c r="AS3" s="295">
        <f>(IF('Water Report'!$E$14&gt;0,'Water Report'!$E$14,0))</f>
        <v>19</v>
      </c>
      <c r="AT3" s="295">
        <f>(IF('Water Report'!$E$15&gt;0,'Water Report'!$E$15,0))</f>
        <v>10</v>
      </c>
      <c r="AU3" s="295">
        <f>(IF('Water Report'!$E$17&gt;0,'Water Report'!$E$17,0))</f>
        <v>0</v>
      </c>
      <c r="AV3" s="295">
        <f>(IF('Water Report'!$E$18&gt;0,'Water Report'!$E$18,0))</f>
        <v>11</v>
      </c>
      <c r="AW3" s="295">
        <f>(IF('Water Report'!$E$19&gt;0,'Water Report'!$E$19,0))</f>
        <v>9</v>
      </c>
      <c r="AX3" s="301">
        <f>(IF('Water Report'!$E$21&gt;0,'Water Report'!$E$21,0))</f>
        <v>90</v>
      </c>
      <c r="AY3" s="301">
        <f>(IF('Water Report'!$E$22&gt;0,'Water Report'!$E$22,0))</f>
        <v>37</v>
      </c>
      <c r="AZ3" s="301">
        <f>(IF('Water Report'!$E$23&gt;0,'Water Report'!$E$23,0))</f>
        <v>5</v>
      </c>
      <c r="BA3" s="301">
        <f>(IF('Water Report'!$E$14&gt;0,'Water Report'!$E$14,0))</f>
        <v>19</v>
      </c>
      <c r="BB3" s="301">
        <f>(IF('Water Report'!$E$15&gt;0,'Water Report'!$E$15,0))</f>
        <v>10</v>
      </c>
      <c r="BC3" s="301">
        <f>(IF('Water Report'!$E$13&gt;0,'Water Report'!$E$13,0))</f>
        <v>30</v>
      </c>
      <c r="BD3" s="301">
        <f>(IF('Water Report'!$E$24&gt;0,'Water Report'!$E$24,0))</f>
        <v>183</v>
      </c>
      <c r="BE3" s="301">
        <f>(IF('Water Report'!$E$25&gt;0,'Water Report'!$E$25,0))</f>
        <v>140</v>
      </c>
      <c r="BF3" s="301">
        <f>(IF('Water Report'!$E$27&gt;0,'Water Report'!$E$27,0))</f>
        <v>125</v>
      </c>
      <c r="BG3" s="296">
        <f>(IF('Section Load'!AN6&gt;0,'Section Load'!AN6,0))</f>
        <v>983.14500000001863</v>
      </c>
      <c r="BH3" s="296">
        <f>(IF('Section Load'!AO6&gt;0,'Section Load'!AO6,0))</f>
        <v>311.03599999996368</v>
      </c>
      <c r="BI3" s="296">
        <f>(IF('Section Load'!AP6&gt;0,'Section Load'!AP6,0))</f>
        <v>0</v>
      </c>
      <c r="BJ3" s="296">
        <f>(IF('Section Load'!AQ6&gt;0,'Section Load'!AQ6,0))</f>
        <v>115.70999999999185</v>
      </c>
      <c r="BK3" s="296">
        <f>(IF('Section Load'!AR6&gt;0,'Section Load'!AR6,0))</f>
        <v>49.19999999999709</v>
      </c>
      <c r="BL3" s="296">
        <f>(IF('Section Load'!AS6&gt;0,'Section Load'!AS6,0))</f>
        <v>1.7000000000007276</v>
      </c>
      <c r="BM3" s="296">
        <f>(IF('Section Load'!AT6&gt;0,'Section Load'!AT6,0))</f>
        <v>505.49900000006528</v>
      </c>
    </row>
    <row r="4" spans="1:65" x14ac:dyDescent="0.25">
      <c r="A4" s="287" t="s">
        <v>268</v>
      </c>
      <c r="B4" s="288">
        <f t="shared" ref="B4:B32" si="0">B3+1</f>
        <v>3</v>
      </c>
      <c r="C4" s="288">
        <v>2</v>
      </c>
      <c r="D4" s="288">
        <v>2022</v>
      </c>
      <c r="E4" s="294">
        <f>(IF('Section Load'!F7&gt;0,'Section Load'!F7,0))</f>
        <v>2503.1700000000019</v>
      </c>
      <c r="F4" s="294">
        <f>(IF('Section Load'!G7&gt;0,'Section Load'!G7,0))</f>
        <v>1552.1100000000006</v>
      </c>
      <c r="G4" s="294">
        <f>(IF('Section Load'!H7&gt;0,'Section Load'!H7,0))</f>
        <v>1668.1500000000015</v>
      </c>
      <c r="H4" s="294">
        <f>(IF('Section Load'!I7&gt;0,'Section Load'!I7,0))</f>
        <v>2641.8299999999945</v>
      </c>
      <c r="I4" s="294">
        <f>(IF('Section Load'!J7&gt;0,'Section Load'!J7,0))</f>
        <v>3484.5699999999943</v>
      </c>
      <c r="J4" s="294">
        <f>(IF('Section Load'!K7&gt;0,'Section Load'!K7,0))</f>
        <v>2229.6699999999983</v>
      </c>
      <c r="K4" s="294">
        <f>(IF('Section Load'!L7&gt;0,'Section Load'!L7,0))</f>
        <v>1070.0599999999977</v>
      </c>
      <c r="L4" s="294">
        <f>(IF('Section Load'!M7&gt;0,'Section Load'!M7,0))</f>
        <v>935.69999999999709</v>
      </c>
      <c r="M4" s="294">
        <f>(IF('Section Load'!N7&gt;0,'Section Load'!N7,0))</f>
        <v>78</v>
      </c>
      <c r="N4" s="294">
        <f>(IF('Section Load'!O7&gt;0,'Section Load'!O7,0))</f>
        <v>1</v>
      </c>
      <c r="O4" s="294">
        <f>(IF('Section Load'!P7&gt;0,'Section Load'!P7,0))</f>
        <v>1.1999999999970896</v>
      </c>
      <c r="P4" s="294">
        <f>(IF('Section Load'!Q7&gt;0,'Section Load'!Q7,0))</f>
        <v>159.29999999999563</v>
      </c>
      <c r="Q4" s="294">
        <f>(IF('Section Load'!R7&gt;0,'Section Load'!R7,0))</f>
        <v>63.109999999996944</v>
      </c>
      <c r="R4" s="294">
        <f>(IF('Section Load'!S7&gt;0,'Section Load'!S7,0))</f>
        <v>14.670000000000073</v>
      </c>
      <c r="S4" s="294">
        <f>(IF('Section Load'!T7&gt;0,'Section Load'!T7,0))</f>
        <v>417</v>
      </c>
      <c r="T4" s="294">
        <f>(IF('Section Load'!U7&gt;0,'Section Load'!U7,0))</f>
        <v>210</v>
      </c>
      <c r="U4" s="294">
        <f>(IF('Section Load'!V7&gt;0,'Section Load'!V7,0))</f>
        <v>377.88000000000466</v>
      </c>
      <c r="V4" s="294">
        <f>(IF('Section Load'!W7&gt;0,'Section Load'!W7,0))</f>
        <v>244.64000000001397</v>
      </c>
      <c r="W4" s="294">
        <f>(IF('Section Load'!X7&gt;0,'Section Load'!X7,0))</f>
        <v>26.450000000000273</v>
      </c>
      <c r="X4" s="294">
        <f>(IF('Section Load'!Y7&gt;0,'Section Load'!Y7,0))</f>
        <v>202.4399999999996</v>
      </c>
      <c r="Y4" s="294">
        <f>(IF('Section Load'!Z7&gt;0,'Section Load'!Z7,0))</f>
        <v>193</v>
      </c>
      <c r="Z4" s="294">
        <f>(IF('Section Load'!AA7&gt;0,'Section Load'!AA7,0))</f>
        <v>53.559999999997672</v>
      </c>
      <c r="AA4" s="294">
        <f>(IF('Section Load'!AB7&gt;0,'Section Load'!AB7,0))</f>
        <v>39.80000000000291</v>
      </c>
      <c r="AB4" s="294">
        <f>(IF('Section Load'!AC7&gt;0,'Section Load'!AC7,0))</f>
        <v>0</v>
      </c>
      <c r="AC4" s="294">
        <f>(IF('Section Load'!AD7&gt;0,'Section Load'!AD7,0))</f>
        <v>33.699999999999818</v>
      </c>
      <c r="AD4" s="294">
        <f>(IF('Section Load'!AE7&gt;0,'Section Load'!AE7,0))</f>
        <v>0</v>
      </c>
      <c r="AE4" s="294">
        <f>(IF('Section Load'!AF7&gt;0,'Section Load'!AF7,0))</f>
        <v>20.509999999999764</v>
      </c>
      <c r="AF4" s="294">
        <f>(IF('Section Load'!AG7&gt;0,'Section Load'!AG7,0))</f>
        <v>331.33999999999651</v>
      </c>
      <c r="AG4" s="294">
        <f>(IF('Section Load'!AH7&gt;0,'Section Load'!AH7,0))</f>
        <v>418.71999999997206</v>
      </c>
      <c r="AH4" s="294">
        <f>(IF('Section Load'!AI7&gt;0,'Section Load'!AI7,0))</f>
        <v>433.95999999999913</v>
      </c>
      <c r="AI4" s="294">
        <f>(IF('Section Load'!AJ7&gt;0,'Section Load'!AJ7,0))</f>
        <v>734.20000000001164</v>
      </c>
      <c r="AJ4" s="294">
        <f>(IF('Section Load'!AK7&gt;0,'Section Load'!AK7,0))</f>
        <v>250.57999999998719</v>
      </c>
      <c r="AK4" s="294">
        <f>(IF('Section Load'!AL7&gt;0,'Section Load'!AL7,0))</f>
        <v>255.67999999999302</v>
      </c>
      <c r="AL4" s="294">
        <f>(IF('Section Load'!AM7&gt;0,'Section Load'!AM7,0))</f>
        <v>565.15000000000873</v>
      </c>
      <c r="AM4" s="295">
        <f>(IF('Water Report'!$F$7&gt;0,'Water Report'!$F$7,0))</f>
        <v>74</v>
      </c>
      <c r="AN4" s="295">
        <f>(IF('Water Report'!$F$8&gt;0,'Water Report'!$F$8,0))</f>
        <v>132</v>
      </c>
      <c r="AO4" s="295">
        <f>(IF('Water Report'!$F$9&gt;0,'Water Report'!$G$9,0))</f>
        <v>87</v>
      </c>
      <c r="AP4" s="295">
        <f>(IF('Water Report'!$F$10&gt;0,'Water Report'!$F$10,0))</f>
        <v>22</v>
      </c>
      <c r="AQ4" s="295">
        <f>(IF('Water Report'!$F$11&gt;0,'Water Report'!$F$11,0))</f>
        <v>20</v>
      </c>
      <c r="AR4" s="295">
        <f>(IF('Water Report'!$F$13&gt;0,'Water Report'!$F$13,0))</f>
        <v>28</v>
      </c>
      <c r="AS4" s="295">
        <f>(IF('Water Report'!$F$14&gt;0,'Water Report'!$F$14,0))</f>
        <v>9</v>
      </c>
      <c r="AT4" s="295">
        <f>(IF('Water Report'!$F$15&gt;0,'Water Report'!$F$15,0))</f>
        <v>9</v>
      </c>
      <c r="AU4" s="295">
        <f>(IF('Water Report'!$F$17&gt;0,'Water Report'!$F$17,0))</f>
        <v>0</v>
      </c>
      <c r="AV4" s="295">
        <f>(IF('Water Report'!$F$18&gt;0,'Water Report'!$F$18,0))</f>
        <v>12</v>
      </c>
      <c r="AW4" s="295">
        <f>(IF('Water Report'!$F$19&gt;0,'Water Report'!$F$19,0))</f>
        <v>9</v>
      </c>
      <c r="AX4" s="301">
        <f>(IF('Water Report'!$F$21&gt;0,'Water Report'!$F$21,0))</f>
        <v>9</v>
      </c>
      <c r="AY4" s="301">
        <f>(IF('Water Report'!$F$22&gt;0,'Water Report'!$F$22,0))</f>
        <v>34</v>
      </c>
      <c r="AZ4" s="301">
        <f>(IF('Water Report'!$F$23&gt;0,'Water Report'!$F$23,0))</f>
        <v>11</v>
      </c>
      <c r="BA4" s="301">
        <f>(IF('Water Report'!$F$14&gt;0,'Water Report'!$F$14,0))</f>
        <v>9</v>
      </c>
      <c r="BB4" s="301">
        <f>(IF('Water Report'!$F$15&gt;0,'Water Report'!$F$15,0))</f>
        <v>9</v>
      </c>
      <c r="BC4" s="301">
        <f>(IF('Water Report'!$F$13&gt;0,'Water Report'!$F$13,0))</f>
        <v>28</v>
      </c>
      <c r="BD4" s="301">
        <f>(IF('Water Report'!$F$24&gt;0,'Water Report'!$F$24,0))</f>
        <v>233</v>
      </c>
      <c r="BE4" s="301">
        <f>(IF('Water Report'!$F$25&gt;0,'Water Report'!$F$25,0))</f>
        <v>154</v>
      </c>
      <c r="BF4" s="301">
        <f>(IF('Water Report'!$F$27&gt;0,'Water Report'!$F$27,0))</f>
        <v>48</v>
      </c>
      <c r="BG4" s="296">
        <f>(IF('Section Load'!AN7&gt;0,'Section Load'!AN7,0))</f>
        <v>1012.3479999999981</v>
      </c>
      <c r="BH4" s="296">
        <f>(IF('Section Load'!AO7&gt;0,'Section Load'!AO7,0))</f>
        <v>310.54399999999441</v>
      </c>
      <c r="BI4" s="296">
        <f>(IF('Section Load'!AP7&gt;0,'Section Load'!AP7,0))</f>
        <v>0</v>
      </c>
      <c r="BJ4" s="296">
        <f>(IF('Section Load'!AQ7&gt;0,'Section Load'!AQ7,0))</f>
        <v>122.32000000000698</v>
      </c>
      <c r="BK4" s="296">
        <f>(IF('Section Load'!AR7&gt;0,'Section Load'!AR7,0))</f>
        <v>46.400000000001455</v>
      </c>
      <c r="BL4" s="296">
        <f>(IF('Section Load'!AS7&gt;0,'Section Load'!AS7,0))</f>
        <v>1.5999999999985448</v>
      </c>
      <c r="BM4" s="296">
        <f>(IF('Section Load'!AT7&gt;0,'Section Load'!AT7,0))</f>
        <v>531.48399999999674</v>
      </c>
    </row>
    <row r="5" spans="1:65" x14ac:dyDescent="0.25">
      <c r="A5" s="287" t="s">
        <v>268</v>
      </c>
      <c r="B5" s="288">
        <f t="shared" si="0"/>
        <v>4</v>
      </c>
      <c r="C5" s="288">
        <v>2</v>
      </c>
      <c r="D5" s="288">
        <v>2022</v>
      </c>
      <c r="E5" s="294">
        <f>(IF('Section Load'!F8&gt;0,'Section Load'!F8,0))</f>
        <v>2682.8700000000026</v>
      </c>
      <c r="F5" s="294">
        <f>(IF('Section Load'!G8&gt;0,'Section Load'!G8,0))</f>
        <v>1614.0999999999985</v>
      </c>
      <c r="G5" s="294">
        <f>(IF('Section Load'!H8&gt;0,'Section Load'!H8,0))</f>
        <v>1858.4700000000012</v>
      </c>
      <c r="H5" s="294">
        <f>(IF('Section Load'!I8&gt;0,'Section Load'!I8,0))</f>
        <v>2666.7100000000064</v>
      </c>
      <c r="I5" s="294">
        <f>(IF('Section Load'!J8&gt;0,'Section Load'!J8,0))</f>
        <v>2816.8300000000017</v>
      </c>
      <c r="J5" s="294">
        <f>(IF('Section Load'!K8&gt;0,'Section Load'!K8,0))</f>
        <v>2395.179999999993</v>
      </c>
      <c r="K5" s="294">
        <f>(IF('Section Load'!L8&gt;0,'Section Load'!L8,0))</f>
        <v>1149.75</v>
      </c>
      <c r="L5" s="294">
        <f>(IF('Section Load'!M8&gt;0,'Section Load'!M8,0))</f>
        <v>861.87000000000262</v>
      </c>
      <c r="M5" s="294">
        <f>(IF('Section Load'!N8&gt;0,'Section Load'!N8,0))</f>
        <v>102</v>
      </c>
      <c r="N5" s="294">
        <f>(IF('Section Load'!O8&gt;0,'Section Load'!O8,0))</f>
        <v>3</v>
      </c>
      <c r="O5" s="294">
        <f>(IF('Section Load'!P8&gt;0,'Section Load'!P8,0))</f>
        <v>1.1999999999970896</v>
      </c>
      <c r="P5" s="294">
        <f>(IF('Section Load'!Q8&gt;0,'Section Load'!Q8,0))</f>
        <v>187.95999999999913</v>
      </c>
      <c r="Q5" s="294">
        <f>(IF('Section Load'!R8&gt;0,'Section Load'!R8,0))</f>
        <v>65.520000000000437</v>
      </c>
      <c r="R5" s="294">
        <f>(IF('Section Load'!S8&gt;0,'Section Load'!S8,0))</f>
        <v>14.8100000000004</v>
      </c>
      <c r="S5" s="294">
        <f>(IF('Section Load'!T8&gt;0,'Section Load'!T8,0))</f>
        <v>381</v>
      </c>
      <c r="T5" s="294">
        <f>(IF('Section Load'!U8&gt;0,'Section Load'!U8,0))</f>
        <v>212</v>
      </c>
      <c r="U5" s="294">
        <f>(IF('Section Load'!V8&gt;0,'Section Load'!V8,0))</f>
        <v>396.43999999994412</v>
      </c>
      <c r="V5" s="294">
        <f>(IF('Section Load'!W8&gt;0,'Section Load'!W8,0))</f>
        <v>309.43999999994412</v>
      </c>
      <c r="W5" s="294">
        <f>(IF('Section Load'!X8&gt;0,'Section Load'!X8,0))</f>
        <v>27.959999999999582</v>
      </c>
      <c r="X5" s="294">
        <f>(IF('Section Load'!Y8&gt;0,'Section Load'!Y8,0))</f>
        <v>201.18000000000029</v>
      </c>
      <c r="Y5" s="294">
        <f>(IF('Section Load'!Z8&gt;0,'Section Load'!Z8,0))</f>
        <v>257</v>
      </c>
      <c r="Z5" s="294">
        <f>(IF('Section Load'!AA8&gt;0,'Section Load'!AA8,0))</f>
        <v>57.239999999990687</v>
      </c>
      <c r="AA5" s="294">
        <f>(IF('Section Load'!AB8&gt;0,'Section Load'!AB8,0))</f>
        <v>34</v>
      </c>
      <c r="AB5" s="294">
        <f>(IF('Section Load'!AC8&gt;0,'Section Load'!AC8,0))</f>
        <v>0</v>
      </c>
      <c r="AC5" s="294">
        <f>(IF('Section Load'!AD8&gt;0,'Section Load'!AD8,0))</f>
        <v>33.099999999993997</v>
      </c>
      <c r="AD5" s="294">
        <f>(IF('Section Load'!AE8&gt;0,'Section Load'!AE8,0))</f>
        <v>8.07</v>
      </c>
      <c r="AE5" s="294">
        <f>(IF('Section Load'!AF8&gt;0,'Section Load'!AF8,0))</f>
        <v>77.290000000000418</v>
      </c>
      <c r="AF5" s="294">
        <f>(IF('Section Load'!AG8&gt;0,'Section Load'!AG8,0))</f>
        <v>342.33999999999651</v>
      </c>
      <c r="AG5" s="294">
        <f>(IF('Section Load'!AH8&gt;0,'Section Load'!AH8,0))</f>
        <v>410.06000000002678</v>
      </c>
      <c r="AH5" s="294">
        <f>(IF('Section Load'!AI8&gt;0,'Section Load'!AI8,0))</f>
        <v>427.38999999999942</v>
      </c>
      <c r="AI5" s="294">
        <f>(IF('Section Load'!AJ8&gt;0,'Section Load'!AJ8,0))</f>
        <v>720.55999999999767</v>
      </c>
      <c r="AJ5" s="294">
        <f>(IF('Section Load'!AK8&gt;0,'Section Load'!AK8,0))</f>
        <v>251.76000000000931</v>
      </c>
      <c r="AK5" s="294">
        <f>(IF('Section Load'!AL8&gt;0,'Section Load'!AL8,0))</f>
        <v>260.30999999999767</v>
      </c>
      <c r="AL5" s="294">
        <f>(IF('Section Load'!AM8&gt;0,'Section Load'!AM8,0))</f>
        <v>690.82999999998719</v>
      </c>
      <c r="AM5" s="295">
        <f>(IF('Water Report'!$G$7&gt;0,'Water Report'!$F$7,0))</f>
        <v>74</v>
      </c>
      <c r="AN5" s="295">
        <f>(IF('Water Report'!$G$8&gt;0,'Water Report'!$F$8,0))</f>
        <v>132</v>
      </c>
      <c r="AO5" s="295">
        <f>(IF('Water Report'!$G$9&gt;0,'Water Report'!$H$9,0))</f>
        <v>100</v>
      </c>
      <c r="AP5" s="295">
        <f>(IF('Water Report'!$G$10&gt;0,'Water Report'!$G$10,0))</f>
        <v>30</v>
      </c>
      <c r="AQ5" s="295">
        <f>(IF('Water Report'!$G$11&gt;0,'Water Report'!$G$11,0))</f>
        <v>25</v>
      </c>
      <c r="AR5" s="295">
        <f>(IF('Water Report'!$G$13&gt;0,'Water Report'!$G$13,0))</f>
        <v>28</v>
      </c>
      <c r="AS5" s="295">
        <f>(IF('Water Report'!$G$14&gt;0,'Water Report'!$G$14,0))</f>
        <v>7</v>
      </c>
      <c r="AT5" s="295">
        <f>(IF('Water Report'!$G$15&gt;0,'Water Report'!$G$15,0))</f>
        <v>9</v>
      </c>
      <c r="AU5" s="295">
        <f>(IF('Water Report'!$G$17&gt;0,'Water Report'!$G$17,0))</f>
        <v>0</v>
      </c>
      <c r="AV5" s="295">
        <f>(IF('Water Report'!$G$18&gt;0,'Water Report'!$G$18,0))</f>
        <v>12</v>
      </c>
      <c r="AW5" s="295">
        <f>(IF('Water Report'!$G$19&gt;0,'Water Report'!$G$19,0))</f>
        <v>10</v>
      </c>
      <c r="AX5" s="301">
        <f>(IF('Water Report'!$G$21&gt;0,'Water Report'!$G$21,0))</f>
        <v>87</v>
      </c>
      <c r="AY5" s="301">
        <f>(IF('Water Report'!$G$22&gt;0,'Water Report'!$G$22,0))</f>
        <v>23</v>
      </c>
      <c r="AZ5" s="301">
        <f>(IF('Water Report'!$G$23&gt;0,'Water Report'!$G$23,0))</f>
        <v>10</v>
      </c>
      <c r="BA5" s="301">
        <f>(IF('Water Report'!$G$14&gt;0,'Water Report'!$G$14,0))</f>
        <v>7</v>
      </c>
      <c r="BB5" s="301">
        <f>(IF('Water Report'!$G$15&gt;0,'Water Report'!$G$15,0))</f>
        <v>9</v>
      </c>
      <c r="BC5" s="301">
        <f>(IF('Water Report'!$G$13&gt;0,'Water Report'!$G$13,0))</f>
        <v>28</v>
      </c>
      <c r="BD5" s="301">
        <f>(IF('Water Report'!$G$24&gt;0,'Water Report'!$G$24,0))</f>
        <v>261</v>
      </c>
      <c r="BE5" s="301">
        <f>(IF('Water Report'!$G$25&gt;0,'Water Report'!$G$25,0))</f>
        <v>158</v>
      </c>
      <c r="BF5" s="301">
        <f>(IF('Water Report'!$G$27&gt;0,'Water Report'!$G$27,0))</f>
        <v>125</v>
      </c>
      <c r="BG5" s="296">
        <f>(IF('Section Load'!AN8&gt;0,'Section Load'!AN8,0))</f>
        <v>997.95200000004843</v>
      </c>
      <c r="BH5" s="296">
        <f>(IF('Section Load'!AO8&gt;0,'Section Load'!AO8,0))</f>
        <v>297.04000000003725</v>
      </c>
      <c r="BI5" s="296">
        <f>(IF('Section Load'!AP8&gt;0,'Section Load'!AP8,0))</f>
        <v>0</v>
      </c>
      <c r="BJ5" s="296">
        <f>(IF('Section Load'!AQ8&gt;0,'Section Load'!AQ8,0))</f>
        <v>150.01000000000931</v>
      </c>
      <c r="BK5" s="296">
        <f>(IF('Section Load'!AR8&gt;0,'Section Load'!AR8,0))</f>
        <v>47.900000000001455</v>
      </c>
      <c r="BL5" s="296">
        <f>(IF('Section Load'!AS8&gt;0,'Section Load'!AS8,0))</f>
        <v>2.3000000000010914</v>
      </c>
      <c r="BM5" s="296">
        <f>(IF('Section Load'!AT8&gt;0,'Section Load'!AT8,0))</f>
        <v>500.70199999999932</v>
      </c>
    </row>
    <row r="6" spans="1:65" x14ac:dyDescent="0.25">
      <c r="A6" s="287" t="s">
        <v>268</v>
      </c>
      <c r="B6" s="288">
        <f t="shared" si="0"/>
        <v>5</v>
      </c>
      <c r="C6" s="288">
        <v>2</v>
      </c>
      <c r="D6" s="288">
        <v>2022</v>
      </c>
      <c r="E6" s="294">
        <f>(IF('Section Load'!F9&gt;0,'Section Load'!F9,0))</f>
        <v>2888.9999999999964</v>
      </c>
      <c r="F6" s="294">
        <f>(IF('Section Load'!G9&gt;0,'Section Load'!G9,0))</f>
        <v>1683.9199999999983</v>
      </c>
      <c r="G6" s="294">
        <f>(IF('Section Load'!H9&gt;0,'Section Load'!H9,0))</f>
        <v>1939.4400000000023</v>
      </c>
      <c r="H6" s="294">
        <f>(IF('Section Load'!I9&gt;0,'Section Load'!I9,0))</f>
        <v>2758.0200000000041</v>
      </c>
      <c r="I6" s="294">
        <f>(IF('Section Load'!J9&gt;0,'Section Load'!J9,0))</f>
        <v>3196.3899999999994</v>
      </c>
      <c r="J6" s="294">
        <f>(IF('Section Load'!K9&gt;0,'Section Load'!K9,0))</f>
        <v>2237.7600000000093</v>
      </c>
      <c r="K6" s="294">
        <f>(IF('Section Load'!L9&gt;0,'Section Load'!L9,0))</f>
        <v>1526.75</v>
      </c>
      <c r="L6" s="294">
        <f>(IF('Section Load'!M9&gt;0,'Section Load'!M9,0))</f>
        <v>1353.260000000002</v>
      </c>
      <c r="M6" s="294">
        <f>(IF('Section Load'!N9&gt;0,'Section Load'!N9,0))</f>
        <v>97</v>
      </c>
      <c r="N6" s="294">
        <f>(IF('Section Load'!O9&gt;0,'Section Load'!O9,0))</f>
        <v>11</v>
      </c>
      <c r="O6" s="294">
        <f>(IF('Section Load'!P9&gt;0,'Section Load'!P9,0))</f>
        <v>1.1999999999970896</v>
      </c>
      <c r="P6" s="294">
        <f>(IF('Section Load'!Q9&gt;0,'Section Load'!Q9,0))</f>
        <v>186.5</v>
      </c>
      <c r="Q6" s="294">
        <f>(IF('Section Load'!R9&gt;0,'Section Load'!R9,0))</f>
        <v>68.260000000002037</v>
      </c>
      <c r="R6" s="294">
        <f>(IF('Section Load'!S9&gt;0,'Section Load'!S9,0))</f>
        <v>8.2599999999993088</v>
      </c>
      <c r="S6" s="294">
        <f>(IF('Section Load'!T9&gt;0,'Section Load'!T9,0))</f>
        <v>450</v>
      </c>
      <c r="T6" s="294">
        <f>(IF('Section Load'!U9&gt;0,'Section Load'!U9,0))</f>
        <v>213</v>
      </c>
      <c r="U6" s="294">
        <f>(IF('Section Load'!V9&gt;0,'Section Load'!V9,0))</f>
        <v>414.56000000005588</v>
      </c>
      <c r="V6" s="294">
        <f>(IF('Section Load'!W9&gt;0,'Section Load'!W9,0))</f>
        <v>385.44000000006054</v>
      </c>
      <c r="W6" s="294">
        <f>(IF('Section Load'!X9&gt;0,'Section Load'!X9,0))</f>
        <v>27.8100000000004</v>
      </c>
      <c r="X6" s="294">
        <f>(IF('Section Load'!Y9&gt;0,'Section Load'!Y9,0))</f>
        <v>243.92000000000007</v>
      </c>
      <c r="Y6" s="294">
        <f>(IF('Section Load'!Z9&gt;0,'Section Load'!Z9,0))</f>
        <v>255</v>
      </c>
      <c r="Z6" s="294">
        <f>(IF('Section Load'!AA9&gt;0,'Section Load'!AA9,0))</f>
        <v>56.520000000018626</v>
      </c>
      <c r="AA6" s="294">
        <f>(IF('Section Load'!AB9&gt;0,'Section Load'!AB9,0))</f>
        <v>33.899999999994179</v>
      </c>
      <c r="AB6" s="294">
        <f>(IF('Section Load'!AC9&gt;0,'Section Load'!AC9,0))</f>
        <v>0</v>
      </c>
      <c r="AC6" s="294">
        <f>(IF('Section Load'!AD9&gt;0,'Section Load'!AD9,0))</f>
        <v>33.5</v>
      </c>
      <c r="AD6" s="294">
        <f>(IF('Section Load'!AE9&gt;0,'Section Load'!AE9,0))</f>
        <v>27.28</v>
      </c>
      <c r="AE6" s="294">
        <f>(IF('Section Load'!AF9&gt;0,'Section Load'!AF9,0))</f>
        <v>109.17999999999984</v>
      </c>
      <c r="AF6" s="294">
        <f>(IF('Section Load'!AG9&gt;0,'Section Load'!AG9,0))</f>
        <v>341.54000000000815</v>
      </c>
      <c r="AG6" s="294">
        <f>(IF('Section Load'!AH9&gt;0,'Section Load'!AH9,0))</f>
        <v>387.07999999998719</v>
      </c>
      <c r="AH6" s="294">
        <f>(IF('Section Load'!AI9&gt;0,'Section Load'!AI9,0))</f>
        <v>409.87000000000262</v>
      </c>
      <c r="AI6" s="294">
        <f>(IF('Section Load'!AJ9&gt;0,'Section Load'!AJ9,0))</f>
        <v>720.76000000000931</v>
      </c>
      <c r="AJ6" s="294">
        <f>(IF('Section Load'!AK9&gt;0,'Section Load'!AK9,0))</f>
        <v>259.33000000000175</v>
      </c>
      <c r="AK6" s="294">
        <f>(IF('Section Load'!AL9&gt;0,'Section Load'!AL9,0))</f>
        <v>248.3300000000163</v>
      </c>
      <c r="AL6" s="294">
        <f>(IF('Section Load'!AM9&gt;0,'Section Load'!AM9,0))</f>
        <v>692.97000000000116</v>
      </c>
      <c r="AM6" s="295">
        <f>(IF('Water Report'!$H$7&gt;0,'Water Report'!$H$7,0))</f>
        <v>136</v>
      </c>
      <c r="AN6" s="295">
        <f>(IF('Water Report'!$H$8&gt;0,'Water Report'!$H$8,0))</f>
        <v>128</v>
      </c>
      <c r="AO6" s="295">
        <f>(IF('Water Report'!$H$9&gt;0,'Water Report'!$H$9,0))</f>
        <v>100</v>
      </c>
      <c r="AP6" s="295">
        <f>(IF('Water Report'!$H$10&gt;0,'Water Report'!$H$10,0))</f>
        <v>48</v>
      </c>
      <c r="AQ6" s="295">
        <f>(IF('Water Report'!$H$11&gt;0,'Water Report'!$H$11,0))</f>
        <v>26</v>
      </c>
      <c r="AR6" s="295">
        <f>(IF('Water Report'!$H$13&gt;0,'Water Report'!$H$13,0))</f>
        <v>33</v>
      </c>
      <c r="AS6" s="295">
        <f>(IF('Water Report'!$H$14&gt;0,'Water Report'!$H$14,0))</f>
        <v>8</v>
      </c>
      <c r="AT6" s="295">
        <f>(IF('Water Report'!$H$15&gt;0,'Water Report'!$H$15,0))</f>
        <v>9</v>
      </c>
      <c r="AU6" s="295">
        <f>(IF('Water Report'!$H$17&gt;0,'Water Report'!$H$17,0))</f>
        <v>0</v>
      </c>
      <c r="AV6" s="295">
        <f>(IF('Water Report'!$H$18&gt;0,'Water Report'!$H$18,0))</f>
        <v>15</v>
      </c>
      <c r="AW6" s="295">
        <f>(IF('Water Report'!$H$19&gt;0,'Water Report'!$H$19,0))</f>
        <v>11</v>
      </c>
      <c r="AX6" s="301">
        <f>(IF('Water Report'!$H$21&gt;0,'Water Report'!$H$21,0))</f>
        <v>64</v>
      </c>
      <c r="AY6" s="301">
        <f>(IF('Water Report'!$H$22&gt;0,'Water Report'!$H$22,0))</f>
        <v>32</v>
      </c>
      <c r="AZ6" s="301">
        <f>(IF('Water Report'!$H$23&gt;0,'Water Report'!$H$23,0))</f>
        <v>17</v>
      </c>
      <c r="BA6" s="301">
        <f>(IF('Water Report'!$H$14&gt;0,'Water Report'!$H$14,0))</f>
        <v>8</v>
      </c>
      <c r="BB6" s="301">
        <f>(IF('Water Report'!$H$15&gt;0,'Water Report'!$H$15,0))</f>
        <v>9</v>
      </c>
      <c r="BC6" s="301">
        <f>(IF('Water Report'!$H$13&gt;0,'Water Report'!$H$13,0))</f>
        <v>33</v>
      </c>
      <c r="BD6" s="301">
        <f>(IF('Water Report'!$H$24&gt;0,'Water Report'!$H$24,0))</f>
        <v>294</v>
      </c>
      <c r="BE6" s="301">
        <f>(IF('Water Report'!$H$25&gt;0,'Water Report'!$H$25,0))</f>
        <v>191</v>
      </c>
      <c r="BF6" s="301">
        <f>(IF('Water Report'!$H$27&gt;0,'Water Report'!$H$27,0))</f>
        <v>114</v>
      </c>
      <c r="BG6" s="296">
        <f>(IF('Section Load'!AN9&gt;0,'Section Load'!AN9,0))</f>
        <v>1047.8699999998789</v>
      </c>
      <c r="BH6" s="296">
        <f>(IF('Section Load'!AO9&gt;0,'Section Load'!AO9,0))</f>
        <v>284.73999999999069</v>
      </c>
      <c r="BI6" s="296">
        <f>(IF('Section Load'!AP9&gt;0,'Section Load'!AP9,0))</f>
        <v>0</v>
      </c>
      <c r="BJ6" s="296">
        <f>(IF('Section Load'!AQ9&gt;0,'Section Load'!AQ9,0))</f>
        <v>134</v>
      </c>
      <c r="BK6" s="296">
        <f>(IF('Section Load'!AR9&gt;0,'Section Load'!AR9,0))</f>
        <v>59.799999999995634</v>
      </c>
      <c r="BL6" s="296">
        <f>(IF('Section Load'!AS9&gt;0,'Section Load'!AS9,0))</f>
        <v>2.1999999999989086</v>
      </c>
      <c r="BM6" s="296">
        <f>(IF('Section Load'!AT9&gt;0,'Section Load'!AT9,0))</f>
        <v>567.1299999998937</v>
      </c>
    </row>
    <row r="7" spans="1:65" x14ac:dyDescent="0.25">
      <c r="A7" s="287" t="s">
        <v>268</v>
      </c>
      <c r="B7" s="288">
        <f t="shared" si="0"/>
        <v>6</v>
      </c>
      <c r="C7" s="288">
        <v>2</v>
      </c>
      <c r="D7" s="288">
        <v>2022</v>
      </c>
      <c r="E7" s="294">
        <f>(IF('Section Load'!F10&gt;0,'Section Load'!F10,0))</f>
        <v>3019.2900000000009</v>
      </c>
      <c r="F7" s="294">
        <f>(IF('Section Load'!G10&gt;0,'Section Load'!G10,0))</f>
        <v>1645.6599999999962</v>
      </c>
      <c r="G7" s="294">
        <f>(IF('Section Load'!H10&gt;0,'Section Load'!H10,0))</f>
        <v>1915.0299999999988</v>
      </c>
      <c r="H7" s="294">
        <f>(IF('Section Load'!I10&gt;0,'Section Load'!I10,0))</f>
        <v>2776.5599999999977</v>
      </c>
      <c r="I7" s="294">
        <f>(IF('Section Load'!J10&gt;0,'Section Load'!J10,0))</f>
        <v>3426.9199999999983</v>
      </c>
      <c r="J7" s="294">
        <f>(IF('Section Load'!K10&gt;0,'Section Load'!K10,0))</f>
        <v>2145.3499999999913</v>
      </c>
      <c r="K7" s="294">
        <f>(IF('Section Load'!L10&gt;0,'Section Load'!L10,0))</f>
        <v>1272.5999999999985</v>
      </c>
      <c r="L7" s="294">
        <f>(IF('Section Load'!M10&gt;0,'Section Load'!M10,0))</f>
        <v>902.15999999999622</v>
      </c>
      <c r="M7" s="294">
        <f>(IF('Section Load'!N10&gt;0,'Section Load'!N10,0))</f>
        <v>89</v>
      </c>
      <c r="N7" s="294">
        <f>(IF('Section Load'!O10&gt;0,'Section Load'!O10,0))</f>
        <v>5</v>
      </c>
      <c r="O7" s="294">
        <f>(IF('Section Load'!P10&gt;0,'Section Load'!P10,0))</f>
        <v>0.80000000000291038</v>
      </c>
      <c r="P7" s="294">
        <f>(IF('Section Load'!Q10&gt;0,'Section Load'!Q10,0))</f>
        <v>166.01000000000204</v>
      </c>
      <c r="Q7" s="294">
        <f>(IF('Section Load'!R10&gt;0,'Section Load'!R10,0))</f>
        <v>66.869999999998981</v>
      </c>
      <c r="R7" s="294">
        <f>(IF('Section Load'!S10&gt;0,'Section Load'!S10,0))</f>
        <v>7.180000000000291</v>
      </c>
      <c r="S7" s="294">
        <f>(IF('Section Load'!T10&gt;0,'Section Load'!T10,0))</f>
        <v>456</v>
      </c>
      <c r="T7" s="294">
        <f>(IF('Section Load'!U10&gt;0,'Section Load'!U10,0))</f>
        <v>212</v>
      </c>
      <c r="U7" s="294">
        <f>(IF('Section Load'!V10&gt;0,'Section Load'!V10,0))</f>
        <v>394.1600000000326</v>
      </c>
      <c r="V7" s="294">
        <f>(IF('Section Load'!W10&gt;0,'Section Load'!W10,0))</f>
        <v>355.52000000001863</v>
      </c>
      <c r="W7" s="294">
        <f>(IF('Section Load'!X10&gt;0,'Section Load'!X10,0))</f>
        <v>29.339999999999691</v>
      </c>
      <c r="X7" s="294">
        <f>(IF('Section Load'!Y10&gt;0,'Section Load'!Y10,0))</f>
        <v>227.27999999999975</v>
      </c>
      <c r="Y7" s="294">
        <f>(IF('Section Load'!Z10&gt;0,'Section Load'!Z10,0))</f>
        <v>241</v>
      </c>
      <c r="Z7" s="294">
        <f>(IF('Section Load'!AA10&gt;0,'Section Load'!AA10,0))</f>
        <v>31.840000000025611</v>
      </c>
      <c r="AA7" s="294">
        <f>(IF('Section Load'!AB10&gt;0,'Section Load'!AB10,0))</f>
        <v>18.100000000005821</v>
      </c>
      <c r="AB7" s="294">
        <f>(IF('Section Load'!AC10&gt;0,'Section Load'!AC10,0))</f>
        <v>0</v>
      </c>
      <c r="AC7" s="294">
        <f>(IF('Section Load'!AD10&gt;0,'Section Load'!AD10,0))</f>
        <v>34.600000000005821</v>
      </c>
      <c r="AD7" s="294">
        <f>(IF('Section Load'!AE10&gt;0,'Section Load'!AE10,0))</f>
        <v>236.35</v>
      </c>
      <c r="AE7" s="294">
        <f>(IF('Section Load'!AF10&gt;0,'Section Load'!AF10,0))</f>
        <v>118.32000000000016</v>
      </c>
      <c r="AF7" s="294">
        <f>(IF('Section Load'!AG10&gt;0,'Section Load'!AG10,0))</f>
        <v>326.33999999999651</v>
      </c>
      <c r="AG7" s="294">
        <f>(IF('Section Load'!AH10&gt;0,'Section Load'!AH10,0))</f>
        <v>386.94000000000233</v>
      </c>
      <c r="AH7" s="294">
        <f>(IF('Section Load'!AI10&gt;0,'Section Load'!AI10,0))</f>
        <v>394</v>
      </c>
      <c r="AI7" s="294">
        <f>(IF('Section Load'!AJ10&gt;0,'Section Load'!AJ10,0))</f>
        <v>732.44000000000233</v>
      </c>
      <c r="AJ7" s="294">
        <f>(IF('Section Load'!AK10&gt;0,'Section Load'!AK10,0))</f>
        <v>222.33000000000175</v>
      </c>
      <c r="AK7" s="294">
        <f>(IF('Section Load'!AL10&gt;0,'Section Load'!AL10,0))</f>
        <v>250.45999999999185</v>
      </c>
      <c r="AL7" s="294">
        <f>(IF('Section Load'!AM10&gt;0,'Section Load'!AM10,0))</f>
        <v>622.38999999999942</v>
      </c>
      <c r="AM7" s="295">
        <f>(IF('Water Report'!$I$7&gt;0,'Water Report'!$I$7,0))</f>
        <v>143</v>
      </c>
      <c r="AN7" s="295">
        <f>(IF('Water Report'!$I$8&gt;0,'Water Report'!$I$8,0))</f>
        <v>132</v>
      </c>
      <c r="AO7" s="295">
        <f>(IF('Water Report'!$I$9&gt;0,'Water Report'!$I$9,0))</f>
        <v>110</v>
      </c>
      <c r="AP7" s="295">
        <f>(IF('Water Report'!$I$10&gt;0,'Water Report'!$I$10,0))</f>
        <v>26</v>
      </c>
      <c r="AQ7" s="295">
        <f>(IF('Water Report'!$I$11&gt;0,'Water Report'!$I$11,0))</f>
        <v>31</v>
      </c>
      <c r="AR7" s="295">
        <f>(IF('Water Report'!$I$13&gt;0,'Water Report'!$I$13,0))</f>
        <v>56</v>
      </c>
      <c r="AS7" s="295">
        <f>(IF('Water Report'!$I$14&gt;0,'Water Report'!$I$14,0))</f>
        <v>11</v>
      </c>
      <c r="AT7" s="295">
        <f>(IF('Water Report'!$I$15&gt;0,'Water Report'!$I$15,0))</f>
        <v>9</v>
      </c>
      <c r="AU7" s="295">
        <f>(IF('Water Report'!$I$17&gt;0,'Water Report'!$I$17,0))</f>
        <v>0</v>
      </c>
      <c r="AV7" s="295">
        <f>(IF('Water Report'!$I$18&gt;0,'Water Report'!$I$18,0))</f>
        <v>16</v>
      </c>
      <c r="AW7" s="295">
        <f>(IF('Water Report'!$I$19&gt;0,'Water Report'!$I$19,0))</f>
        <v>11</v>
      </c>
      <c r="AX7" s="301">
        <f>(IF('Water Report'!$I$21&gt;0,'Water Report'!$I$21,0))</f>
        <v>41</v>
      </c>
      <c r="AY7" s="301">
        <f>(IF('Water Report'!$I$22&gt;0,'Water Report'!$I$22,0))</f>
        <v>70</v>
      </c>
      <c r="AZ7" s="301">
        <f>(IF('Water Report'!$I$23&gt;0,'Water Report'!$I$23,0))</f>
        <v>0</v>
      </c>
      <c r="BA7" s="301">
        <f>(IF('Water Report'!$I$14&gt;0,'Water Report'!$I$14,0))</f>
        <v>11</v>
      </c>
      <c r="BB7" s="301">
        <f>(IF('Water Report'!$I$15&gt;0,'Water Report'!$I$15,0))</f>
        <v>9</v>
      </c>
      <c r="BC7" s="301">
        <f>(IF('Water Report'!$I$13&gt;0,'Water Report'!$I$13,0))</f>
        <v>56</v>
      </c>
      <c r="BD7" s="301">
        <f>(IF('Water Report'!$I$24&gt;0,'Water Report'!$I$24,0))</f>
        <v>275</v>
      </c>
      <c r="BE7" s="301">
        <f>(IF('Water Report'!$I$25&gt;0,'Water Report'!$I$25,0))</f>
        <v>187</v>
      </c>
      <c r="BF7" s="301">
        <f>(IF('Water Report'!$I$27&gt;0,'Water Report'!$I$27,0))</f>
        <v>97</v>
      </c>
      <c r="BG7" s="296">
        <f>(IF('Section Load'!AN10&gt;0,'Section Load'!AN10,0))</f>
        <v>1049.5</v>
      </c>
      <c r="BH7" s="296">
        <f>(IF('Section Load'!AO10&gt;0,'Section Load'!AO10,0))</f>
        <v>303.77999999991152</v>
      </c>
      <c r="BI7" s="296">
        <f>(IF('Section Load'!AP10&gt;0,'Section Load'!AP10,0))</f>
        <v>0</v>
      </c>
      <c r="BJ7" s="296">
        <f>(IF('Section Load'!AQ10&gt;0,'Section Load'!AQ10,0))</f>
        <v>109.80999999999767</v>
      </c>
      <c r="BK7" s="296">
        <f>(IF('Section Load'!AR10&gt;0,'Section Load'!AR10,0))</f>
        <v>45.5</v>
      </c>
      <c r="BL7" s="296">
        <f>(IF('Section Load'!AS10&gt;0,'Section Load'!AS10,0))</f>
        <v>1.3000000000010914</v>
      </c>
      <c r="BM7" s="296">
        <f>(IF('Section Load'!AT10&gt;0,'Section Load'!AT10,0))</f>
        <v>589.11000000008971</v>
      </c>
    </row>
    <row r="8" spans="1:65" x14ac:dyDescent="0.25">
      <c r="A8" s="287" t="s">
        <v>268</v>
      </c>
      <c r="B8" s="288">
        <f t="shared" si="0"/>
        <v>7</v>
      </c>
      <c r="C8" s="288">
        <v>2</v>
      </c>
      <c r="D8" s="288">
        <v>2022</v>
      </c>
      <c r="E8" s="294">
        <f>(IF('Section Load'!F11&gt;0,'Section Load'!F11,0))</f>
        <v>3100.3399999999965</v>
      </c>
      <c r="F8" s="294">
        <f>(IF('Section Load'!G11&gt;0,'Section Load'!G11,0))</f>
        <v>1658.8400000000038</v>
      </c>
      <c r="G8" s="294">
        <f>(IF('Section Load'!H11&gt;0,'Section Load'!H11,0))</f>
        <v>2017.739999999998</v>
      </c>
      <c r="H8" s="294">
        <f>(IF('Section Load'!I11&gt;0,'Section Load'!I11,0))</f>
        <v>3066.4900000000052</v>
      </c>
      <c r="I8" s="294">
        <f>(IF('Section Load'!J11&gt;0,'Section Load'!J11,0))</f>
        <v>4458.75</v>
      </c>
      <c r="J8" s="294">
        <f>(IF('Section Load'!K11&gt;0,'Section Load'!K11,0))</f>
        <v>2208.6800000000076</v>
      </c>
      <c r="K8" s="294">
        <f>(IF('Section Load'!L11&gt;0,'Section Load'!L11,0))</f>
        <v>1415.6200000000026</v>
      </c>
      <c r="L8" s="294">
        <f>(IF('Section Load'!M11&gt;0,'Section Load'!M11,0))</f>
        <v>840.56999999999971</v>
      </c>
      <c r="M8" s="294">
        <f>(IF('Section Load'!N11&gt;0,'Section Load'!N11,0))</f>
        <v>80</v>
      </c>
      <c r="N8" s="294">
        <f>(IF('Section Load'!O11&gt;0,'Section Load'!O11,0))</f>
        <v>33</v>
      </c>
      <c r="O8" s="294">
        <f>(IF('Section Load'!P11&gt;0,'Section Load'!P11,0))</f>
        <v>1</v>
      </c>
      <c r="P8" s="294">
        <f>(IF('Section Load'!Q11&gt;0,'Section Load'!Q11,0))</f>
        <v>180.29000000000087</v>
      </c>
      <c r="Q8" s="294">
        <f>(IF('Section Load'!R11&gt;0,'Section Load'!R11,0))</f>
        <v>74.799999999999272</v>
      </c>
      <c r="R8" s="294">
        <f>(IF('Section Load'!S11&gt;0,'Section Load'!S11,0))</f>
        <v>12.600000000000364</v>
      </c>
      <c r="S8" s="294">
        <f>(IF('Section Load'!T11&gt;0,'Section Load'!T11,0))</f>
        <v>464</v>
      </c>
      <c r="T8" s="294">
        <f>(IF('Section Load'!U11&gt;0,'Section Load'!U11,0))</f>
        <v>217</v>
      </c>
      <c r="U8" s="294">
        <f>(IF('Section Load'!V11&gt;0,'Section Load'!V11,0))</f>
        <v>413.27999999991152</v>
      </c>
      <c r="V8" s="294">
        <f>(IF('Section Load'!W11&gt;0,'Section Load'!W11,0))</f>
        <v>328.47999999998137</v>
      </c>
      <c r="W8" s="294">
        <f>(IF('Section Load'!X11&gt;0,'Section Load'!X11,0))</f>
        <v>26.360000000000127</v>
      </c>
      <c r="X8" s="294">
        <f>(IF('Section Load'!Y11&gt;0,'Section Load'!Y11,0))</f>
        <v>195.38000000000011</v>
      </c>
      <c r="Y8" s="294">
        <f>(IF('Section Load'!Z11&gt;0,'Section Load'!Z11,0))</f>
        <v>251</v>
      </c>
      <c r="Z8" s="294">
        <f>(IF('Section Load'!AA11&gt;0,'Section Load'!AA11,0))</f>
        <v>38.599999999976717</v>
      </c>
      <c r="AA8" s="294">
        <f>(IF('Section Load'!AB11&gt;0,'Section Load'!AB11,0))</f>
        <v>39.399999999994179</v>
      </c>
      <c r="AB8" s="294">
        <f>(IF('Section Load'!AC11&gt;0,'Section Load'!AC11,0))</f>
        <v>0</v>
      </c>
      <c r="AC8" s="294">
        <f>(IF('Section Load'!AD11&gt;0,'Section Load'!AD11,0))</f>
        <v>37.200000000003456</v>
      </c>
      <c r="AD8" s="294">
        <f>(IF('Section Load'!AE11&gt;0,'Section Load'!AE11,0))</f>
        <v>370.46999999999997</v>
      </c>
      <c r="AE8" s="294">
        <f>(IF('Section Load'!AF11&gt;0,'Section Load'!AF11,0))</f>
        <v>148.92999999999984</v>
      </c>
      <c r="AF8" s="294">
        <f>(IF('Section Load'!AG11&gt;0,'Section Load'!AG11,0))</f>
        <v>355.13999999998487</v>
      </c>
      <c r="AG8" s="294">
        <f>(IF('Section Load'!AH11&gt;0,'Section Load'!AH11,0))</f>
        <v>394.38000000000466</v>
      </c>
      <c r="AH8" s="294">
        <f>(IF('Section Load'!AI11&gt;0,'Section Load'!AI11,0))</f>
        <v>421.58000000000175</v>
      </c>
      <c r="AI8" s="294">
        <f>(IF('Section Load'!AJ11&gt;0,'Section Load'!AJ11,0))</f>
        <v>749.55999999999767</v>
      </c>
      <c r="AJ8" s="294">
        <f>(IF('Section Load'!AK11&gt;0,'Section Load'!AK11,0))</f>
        <v>205.54999999998836</v>
      </c>
      <c r="AK8" s="294">
        <f>(IF('Section Load'!AL11&gt;0,'Section Load'!AL11,0))</f>
        <v>250.39999999999418</v>
      </c>
      <c r="AL8" s="294">
        <f>(IF('Section Load'!AM11&gt;0,'Section Load'!AM11,0))</f>
        <v>677.02999999999884</v>
      </c>
      <c r="AM8" s="295">
        <f>(IF('Water Report'!$J$7&gt;0,'Water Report'!$J$7,0))</f>
        <v>142</v>
      </c>
      <c r="AN8" s="295">
        <f>(IF('Water Report'!$J$8&gt;0,'Water Report'!$J$8,0))</f>
        <v>124</v>
      </c>
      <c r="AO8" s="295">
        <f>(IF('Water Report'!$J$9&gt;0,'Water Report'!$J$9,0))</f>
        <v>96</v>
      </c>
      <c r="AP8" s="295">
        <f>(IF('Water Report'!$J$10&gt;0,'Water Report'!$J$10,0))</f>
        <v>21</v>
      </c>
      <c r="AQ8" s="295">
        <f>(IF('Water Report'!$J$11&gt;0,'Water Report'!$J$11,0))</f>
        <v>30</v>
      </c>
      <c r="AR8" s="295">
        <f>(IF('Water Report'!$J$13&gt;0,'Water Report'!$J$13,0))</f>
        <v>43</v>
      </c>
      <c r="AS8" s="295">
        <f>(IF('Water Report'!$J$14&gt;0,'Water Report'!$J$14,0))</f>
        <v>15</v>
      </c>
      <c r="AT8" s="295">
        <f>(IF('Water Report'!$J$15&gt;0,'Water Report'!$J$15,0))</f>
        <v>23</v>
      </c>
      <c r="AU8" s="295">
        <f>(IF('Water Report'!$J$17&gt;0,'Water Report'!$J$17,0))</f>
        <v>0</v>
      </c>
      <c r="AV8" s="295">
        <f>(IF('Water Report'!$J$18&gt;0,'Water Report'!$J$18,0))</f>
        <v>14</v>
      </c>
      <c r="AW8" s="295">
        <f>(IF('Water Report'!$J$19&gt;0,'Water Report'!$J$19,0))</f>
        <v>10</v>
      </c>
      <c r="AX8" s="301">
        <f>(IF('Water Report'!$J$21&gt;0,'Water Report'!$J$21,0))</f>
        <v>68</v>
      </c>
      <c r="AY8" s="301">
        <f>(IF('Water Report'!$J$22&gt;0,'Water Report'!$J$22,0))</f>
        <v>45</v>
      </c>
      <c r="AZ8" s="301">
        <f>(IF('Water Report'!$J$23&gt;0,'Water Report'!$J$23,0))</f>
        <v>0</v>
      </c>
      <c r="BA8" s="301">
        <f>(IF('Water Report'!$J$14&gt;0,'Water Report'!$J$14,0))</f>
        <v>15</v>
      </c>
      <c r="BB8" s="301">
        <f>(IF('Water Report'!$J$15&gt;0,'Water Report'!$J$15,0))</f>
        <v>23</v>
      </c>
      <c r="BC8" s="301">
        <f>(IF('Water Report'!$J$13&gt;0,'Water Report'!$J$13,0))</f>
        <v>43</v>
      </c>
      <c r="BD8" s="301">
        <f>(IF('Water Report'!$J$24&gt;0,'Water Report'!$J$24,0))</f>
        <v>242</v>
      </c>
      <c r="BE8" s="301">
        <f>(IF('Water Report'!$J$25&gt;0,'Water Report'!$J$25,0))</f>
        <v>185</v>
      </c>
      <c r="BF8" s="301">
        <f>(IF('Water Report'!$J$27&gt;0,'Water Report'!$J$27,0))</f>
        <v>111</v>
      </c>
      <c r="BG8" s="296">
        <f>(IF('Section Load'!AN11&gt;0,'Section Load'!AN11,0))</f>
        <v>1030.6800000001676</v>
      </c>
      <c r="BH8" s="296">
        <f>(IF('Section Load'!AO11&gt;0,'Section Load'!AO11,0))</f>
        <v>301.6600000000326</v>
      </c>
      <c r="BI8" s="296">
        <f>(IF('Section Load'!AP11&gt;0,'Section Load'!AP11,0))</f>
        <v>0</v>
      </c>
      <c r="BJ8" s="296">
        <f>(IF('Section Load'!AQ11&gt;0,'Section Load'!AQ11,0))</f>
        <v>98.489999999990687</v>
      </c>
      <c r="BK8" s="296">
        <f>(IF('Section Load'!AR11&gt;0,'Section Load'!AR11,0))</f>
        <v>55.900000000001455</v>
      </c>
      <c r="BL8" s="296">
        <f>(IF('Section Load'!AS11&gt;0,'Section Load'!AS11,0))</f>
        <v>0.8999999999996362</v>
      </c>
      <c r="BM8" s="296">
        <f>(IF('Section Load'!AT11&gt;0,'Section Load'!AT11,0))</f>
        <v>573.73000000014326</v>
      </c>
    </row>
    <row r="9" spans="1:65" x14ac:dyDescent="0.25">
      <c r="A9" s="287" t="s">
        <v>268</v>
      </c>
      <c r="B9" s="288">
        <f t="shared" si="0"/>
        <v>8</v>
      </c>
      <c r="C9" s="288">
        <v>2</v>
      </c>
      <c r="D9" s="288">
        <v>2022</v>
      </c>
      <c r="E9" s="294">
        <f>(IF('Section Load'!F12&gt;0,'Section Load'!F12,0))</f>
        <v>3021.0200000000041</v>
      </c>
      <c r="F9" s="294">
        <f>(IF('Section Load'!G12&gt;0,'Section Load'!G12,0))</f>
        <v>1609.0699999999997</v>
      </c>
      <c r="G9" s="294">
        <f>(IF('Section Load'!H12&gt;0,'Section Load'!H12,0))</f>
        <v>1914.6800000000003</v>
      </c>
      <c r="H9" s="294">
        <f>(IF('Section Load'!I12&gt;0,'Section Load'!I12,0))</f>
        <v>2923.2899999999936</v>
      </c>
      <c r="I9" s="294">
        <f>(IF('Section Load'!J12&gt;0,'Section Load'!J12,0))</f>
        <v>4082.4900000000066</v>
      </c>
      <c r="J9" s="294">
        <f>(IF('Section Load'!K12&gt;0,'Section Load'!K12,0))</f>
        <v>2123.6699999999983</v>
      </c>
      <c r="K9" s="294">
        <f>(IF('Section Load'!L12&gt;0,'Section Load'!L12,0))</f>
        <v>1131.1399999999994</v>
      </c>
      <c r="L9" s="294">
        <f>(IF('Section Load'!M12&gt;0,'Section Load'!M12,0))</f>
        <v>799.44000000000233</v>
      </c>
      <c r="M9" s="294">
        <f>(IF('Section Load'!N12&gt;0,'Section Load'!N12,0))</f>
        <v>70</v>
      </c>
      <c r="N9" s="294">
        <f>(IF('Section Load'!O12&gt;0,'Section Load'!O12,0))</f>
        <v>1</v>
      </c>
      <c r="O9" s="294">
        <f>(IF('Section Load'!P12&gt;0,'Section Load'!P12,0))</f>
        <v>2</v>
      </c>
      <c r="P9" s="294">
        <f>(IF('Section Load'!Q12&gt;0,'Section Load'!Q12,0))</f>
        <v>169.13999999999942</v>
      </c>
      <c r="Q9" s="294">
        <f>(IF('Section Load'!R12&gt;0,'Section Load'!R12,0))</f>
        <v>66.200000000000728</v>
      </c>
      <c r="R9" s="294">
        <f>(IF('Section Load'!S12&gt;0,'Section Load'!S12,0))</f>
        <v>14.149999999999636</v>
      </c>
      <c r="S9" s="294">
        <f>(IF('Section Load'!T12&gt;0,'Section Load'!T12,0))</f>
        <v>405</v>
      </c>
      <c r="T9" s="294">
        <f>(IF('Section Load'!U12&gt;0,'Section Load'!U12,0))</f>
        <v>208</v>
      </c>
      <c r="U9" s="294">
        <f>(IF('Section Load'!V12&gt;0,'Section Load'!V12,0))</f>
        <v>426.56000000005588</v>
      </c>
      <c r="V9" s="294">
        <f>(IF('Section Load'!W12&gt;0,'Section Load'!W12,0))</f>
        <v>300.23999999999069</v>
      </c>
      <c r="W9" s="294">
        <f>(IF('Section Load'!X12&gt;0,'Section Load'!X12,0))</f>
        <v>31</v>
      </c>
      <c r="X9" s="294">
        <f>(IF('Section Load'!Y12&gt;0,'Section Load'!Y12,0))</f>
        <v>202.01000000000022</v>
      </c>
      <c r="Y9" s="294">
        <f>(IF('Section Load'!Z12&gt;0,'Section Load'!Z12,0))</f>
        <v>233</v>
      </c>
      <c r="Z9" s="294">
        <f>(IF('Section Load'!AA12&gt;0,'Section Load'!AA12,0))</f>
        <v>44.559999999997672</v>
      </c>
      <c r="AA9" s="294">
        <f>(IF('Section Load'!AB12&gt;0,'Section Load'!AB12,0))</f>
        <v>42.30000000000291</v>
      </c>
      <c r="AB9" s="294">
        <f>(IF('Section Load'!AC12&gt;0,'Section Load'!AC12,0))</f>
        <v>0</v>
      </c>
      <c r="AC9" s="294">
        <f>(IF('Section Load'!AD12&gt;0,'Section Load'!AD12,0))</f>
        <v>46.299999999993815</v>
      </c>
      <c r="AD9" s="294">
        <f>(IF('Section Load'!AE12&gt;0,'Section Load'!AE12,0))</f>
        <v>290.83000000000004</v>
      </c>
      <c r="AE9" s="294">
        <f>(IF('Section Load'!AF12&gt;0,'Section Load'!AF12,0))</f>
        <v>177.53999999999996</v>
      </c>
      <c r="AF9" s="294">
        <f>(IF('Section Load'!AG12&gt;0,'Section Load'!AG12,0))</f>
        <v>372.45000000001164</v>
      </c>
      <c r="AG9" s="294">
        <f>(IF('Section Load'!AH12&gt;0,'Section Load'!AH12,0))</f>
        <v>401.92999999999302</v>
      </c>
      <c r="AH9" s="294">
        <f>(IF('Section Load'!AI12&gt;0,'Section Load'!AI12,0))</f>
        <v>424.23999999999796</v>
      </c>
      <c r="AI9" s="294">
        <f>(IF('Section Load'!AJ12&gt;0,'Section Load'!AJ12,0))</f>
        <v>705.92999999999302</v>
      </c>
      <c r="AJ9" s="294">
        <f>(IF('Section Load'!AK12&gt;0,'Section Load'!AK12,0))</f>
        <v>206.63000000000466</v>
      </c>
      <c r="AK9" s="294">
        <f>(IF('Section Load'!AL12&gt;0,'Section Load'!AL12,0))</f>
        <v>252.23000000001048</v>
      </c>
      <c r="AL9" s="294">
        <f>(IF('Section Load'!AM12&gt;0,'Section Load'!AM12,0))</f>
        <v>647.32000000000698</v>
      </c>
      <c r="AM9" s="295">
        <f>(IF('Water Report'!$K$7&gt;0,'Water Report'!$K$7,0))</f>
        <v>128</v>
      </c>
      <c r="AN9" s="295">
        <f>(IF('Water Report'!$K$8&gt;0,'Water Report'!$K$8,0))</f>
        <v>103</v>
      </c>
      <c r="AO9" s="295">
        <f>(IF('Water Report'!$K$9&gt;0,'Water Report'!$K$9,0))</f>
        <v>106</v>
      </c>
      <c r="AP9" s="295">
        <f>(IF('Water Report'!$K$10&gt;0,'Water Report'!$K$10,0))</f>
        <v>19</v>
      </c>
      <c r="AQ9" s="295">
        <f>(IF('Water Report'!$K$11&gt;0,'Water Report'!$K$11,0))</f>
        <v>16</v>
      </c>
      <c r="AR9" s="295">
        <f>(IF('Water Report'!$K$13&gt;0,'Water Report'!$K$13,0))</f>
        <v>30</v>
      </c>
      <c r="AS9" s="295">
        <f>(IF('Water Report'!$K$14&gt;0,'Water Report'!$K$14,0))</f>
        <v>10</v>
      </c>
      <c r="AT9" s="295">
        <f>(IF('Water Report'!$K$15&gt;0,'Water Report'!$K$15,0))</f>
        <v>33</v>
      </c>
      <c r="AU9" s="295">
        <f>(IF('Water Report'!$K$17&gt;0,'Water Report'!$K$17,0))</f>
        <v>0</v>
      </c>
      <c r="AV9" s="295">
        <f>(IF('Water Report'!$K$18&gt;0,'Water Report'!$K$18,0))</f>
        <v>17</v>
      </c>
      <c r="AW9" s="295">
        <f>(IF('Water Report'!$K$19&gt;0,'Water Report'!$K$19,0))</f>
        <v>12</v>
      </c>
      <c r="AX9" s="301">
        <f>(IF('Water Report'!$K$21&gt;0,'Water Report'!$K$21,0))</f>
        <v>46</v>
      </c>
      <c r="AY9" s="301">
        <f>(IF('Water Report'!$K$22&gt;0,'Water Report'!$K$22,0))</f>
        <v>25</v>
      </c>
      <c r="AZ9" s="301">
        <f>(IF('Water Report'!$K$23&gt;0,'Water Report'!$K$23,0))</f>
        <v>17</v>
      </c>
      <c r="BA9" s="301">
        <f>(IF('Water Report'!$K$14&gt;0,'Water Report'!$K$14,0))</f>
        <v>10</v>
      </c>
      <c r="BB9" s="301">
        <f>(IF('Water Report'!$K$15&gt;0,'Water Report'!$K$15,0))</f>
        <v>33</v>
      </c>
      <c r="BC9" s="301">
        <f>(IF('Water Report'!$K$13&gt;0,'Water Report'!$K$13,0))</f>
        <v>30</v>
      </c>
      <c r="BD9" s="301">
        <f>(IF('Water Report'!$K$24&gt;0,'Water Report'!$K$24,0))</f>
        <v>232</v>
      </c>
      <c r="BE9" s="301">
        <f>(IF('Water Report'!$K$25&gt;0,'Water Report'!$K$25,0))</f>
        <v>184</v>
      </c>
      <c r="BF9" s="301">
        <f>(IF('Water Report'!$K$27&gt;0,'Water Report'!$K$27,0))</f>
        <v>93</v>
      </c>
      <c r="BG9" s="296">
        <f>(IF('Section Load'!AN12&gt;0,'Section Load'!AN12,0))</f>
        <v>1052.1799999999348</v>
      </c>
      <c r="BH9" s="296">
        <f>(IF('Section Load'!AO12&gt;0,'Section Load'!AO12,0))</f>
        <v>302.52000000001863</v>
      </c>
      <c r="BI9" s="296">
        <f>(IF('Section Load'!AP12&gt;0,'Section Load'!AP12,0))</f>
        <v>0</v>
      </c>
      <c r="BJ9" s="296">
        <f>(IF('Section Load'!AQ12&gt;0,'Section Load'!AQ12,0))</f>
        <v>110.60000000000582</v>
      </c>
      <c r="BK9" s="296">
        <f>(IF('Section Load'!AR12&gt;0,'Section Load'!AR12,0))</f>
        <v>50.400000000001455</v>
      </c>
      <c r="BL9" s="296">
        <f>(IF('Section Load'!AS12&gt;0,'Section Load'!AS12,0))</f>
        <v>1</v>
      </c>
      <c r="BM9" s="296">
        <f>(IF('Section Load'!AT12&gt;0,'Section Load'!AT12,0))</f>
        <v>587.65999999990891</v>
      </c>
    </row>
    <row r="10" spans="1:65" x14ac:dyDescent="0.25">
      <c r="A10" s="287" t="s">
        <v>268</v>
      </c>
      <c r="B10" s="288">
        <f t="shared" si="0"/>
        <v>9</v>
      </c>
      <c r="C10" s="288">
        <v>2</v>
      </c>
      <c r="D10" s="288">
        <v>2022</v>
      </c>
      <c r="E10" s="294">
        <f>(IF('Section Load'!F13&gt;0,'Section Load'!F13,0))</f>
        <v>2906</v>
      </c>
      <c r="F10" s="294">
        <f>(IF('Section Load'!G13&gt;0,'Section Load'!G13,0))</f>
        <v>1638</v>
      </c>
      <c r="G10" s="294">
        <f>(IF('Section Load'!H13&gt;0,'Section Load'!H13,0))</f>
        <v>1923</v>
      </c>
      <c r="H10" s="294">
        <f>(IF('Section Load'!I13&gt;0,'Section Load'!I13,0))</f>
        <v>3001</v>
      </c>
      <c r="I10" s="294">
        <f>(IF('Section Load'!J13&gt;0,'Section Load'!J13,0))</f>
        <v>3894.5299999999988</v>
      </c>
      <c r="J10" s="294">
        <f>(IF('Section Load'!K13&gt;0,'Section Load'!K13,0))</f>
        <v>2087</v>
      </c>
      <c r="K10" s="294">
        <f>(IF('Section Load'!L13&gt;0,'Section Load'!L13,0))</f>
        <v>1118</v>
      </c>
      <c r="L10" s="294">
        <f>(IF('Section Load'!M13&gt;0,'Section Load'!M13,0))</f>
        <v>779</v>
      </c>
      <c r="M10" s="294">
        <f>(IF('Section Load'!N13&gt;0,'Section Load'!N13,0))</f>
        <v>79</v>
      </c>
      <c r="N10" s="294">
        <f>(IF('Section Load'!O13&gt;0,'Section Load'!O13,0))</f>
        <v>2</v>
      </c>
      <c r="O10" s="294">
        <f>(IF('Section Load'!P13&gt;0,'Section Load'!P13,0))</f>
        <v>1</v>
      </c>
      <c r="P10" s="294">
        <f>(IF('Section Load'!Q13&gt;0,'Section Load'!Q13,0))</f>
        <v>180</v>
      </c>
      <c r="Q10" s="294">
        <f>(IF('Section Load'!R13&gt;0,'Section Load'!R13,0))</f>
        <v>71</v>
      </c>
      <c r="R10" s="294">
        <f>(IF('Section Load'!S13&gt;0,'Section Load'!S13,0))</f>
        <v>14</v>
      </c>
      <c r="S10" s="294">
        <f>(IF('Section Load'!T13&gt;0,'Section Load'!T13,0))</f>
        <v>408</v>
      </c>
      <c r="T10" s="294">
        <f>(IF('Section Load'!U13&gt;0,'Section Load'!U13,0))</f>
        <v>213</v>
      </c>
      <c r="U10" s="294">
        <f>(IF('Section Load'!V13&gt;0,'Section Load'!V13,0))</f>
        <v>388</v>
      </c>
      <c r="V10" s="294">
        <f>(IF('Section Load'!W13&gt;0,'Section Load'!W13,0))</f>
        <v>244</v>
      </c>
      <c r="W10" s="294">
        <f>(IF('Section Load'!X13&gt;0,'Section Load'!X13,0))</f>
        <v>26</v>
      </c>
      <c r="X10" s="294">
        <f>(IF('Section Load'!Y13&gt;0,'Section Load'!Y13,0))</f>
        <v>285</v>
      </c>
      <c r="Y10" s="294">
        <f>(IF('Section Load'!Z13&gt;0,'Section Load'!Z13,0))</f>
        <v>218</v>
      </c>
      <c r="Z10" s="294">
        <f>(IF('Section Load'!AA13&gt;0,'Section Load'!AA13,0))</f>
        <v>18</v>
      </c>
      <c r="AA10" s="294">
        <f>(IF('Section Load'!AB13&gt;0,'Section Load'!AB13,0))</f>
        <v>38</v>
      </c>
      <c r="AB10" s="294">
        <f>(IF('Section Load'!AC13&gt;0,'Section Load'!AC13,0))</f>
        <v>0</v>
      </c>
      <c r="AC10" s="294">
        <f>(IF('Section Load'!AD13&gt;0,'Section Load'!AD13,0))</f>
        <v>72</v>
      </c>
      <c r="AD10" s="294">
        <f>(IF('Section Load'!AE13&gt;0,'Section Load'!AE13,0))</f>
        <v>290</v>
      </c>
      <c r="AE10" s="294">
        <f>(IF('Section Load'!AF13&gt;0,'Section Load'!AF13,0))</f>
        <v>216</v>
      </c>
      <c r="AF10" s="294">
        <f>(IF('Section Load'!AG13&gt;0,'Section Load'!AG13,0))</f>
        <v>383</v>
      </c>
      <c r="AG10" s="294">
        <f>(IF('Section Load'!AH13&gt;0,'Section Load'!AH13,0))</f>
        <v>435</v>
      </c>
      <c r="AH10" s="294">
        <f>(IF('Section Load'!AI13&gt;0,'Section Load'!AI13,0))</f>
        <v>443</v>
      </c>
      <c r="AI10" s="294">
        <f>(IF('Section Load'!AJ13&gt;0,'Section Load'!AJ13,0))</f>
        <v>741</v>
      </c>
      <c r="AJ10" s="294">
        <f>(IF('Section Load'!AK13&gt;0,'Section Load'!AK13,0))</f>
        <v>263</v>
      </c>
      <c r="AK10" s="294">
        <f>(IF('Section Load'!AL13&gt;0,'Section Load'!AL13,0))</f>
        <v>254</v>
      </c>
      <c r="AL10" s="294">
        <f>(IF('Section Load'!AM13&gt;0,'Section Load'!AM13,0))</f>
        <v>658</v>
      </c>
      <c r="AM10" s="295">
        <f>(IF('Water Report'!$L$7&gt;0,'Water Report'!$L$7,0))</f>
        <v>142</v>
      </c>
      <c r="AN10" s="295">
        <f>(IF('Water Report'!$L$8&gt;0,'Water Report'!$L$8,0))</f>
        <v>90</v>
      </c>
      <c r="AO10" s="295">
        <f>(IF('Water Report'!$L$9&gt;0,'Water Report'!$L$9,0))</f>
        <v>103</v>
      </c>
      <c r="AP10" s="295">
        <f>(IF('Water Report'!$L$10&gt;0,'Water Report'!$L$10,0))</f>
        <v>20</v>
      </c>
      <c r="AQ10" s="295">
        <f>(IF('Water Report'!$L$11&gt;0,'Water Report'!$L$11,0))</f>
        <v>55</v>
      </c>
      <c r="AR10" s="295">
        <f>(IF('Water Report'!$L$13&gt;0,'Water Report'!$L$13,0))</f>
        <v>37</v>
      </c>
      <c r="AS10" s="295">
        <f>(IF('Water Report'!$L$14&gt;0,'Water Report'!$L$14,0))</f>
        <v>9</v>
      </c>
      <c r="AT10" s="295">
        <f>(IF('Water Report'!$L$15&gt;0,'Water Report'!$L$15,0))</f>
        <v>14</v>
      </c>
      <c r="AU10" s="295">
        <f>(IF('Water Report'!$L$17&gt;0,'Water Report'!$L$17,0))</f>
        <v>5</v>
      </c>
      <c r="AV10" s="295">
        <f>(IF('Water Report'!$L$18&gt;0,'Water Report'!$L$18,0))</f>
        <v>12</v>
      </c>
      <c r="AW10" s="295">
        <f>(IF('Water Report'!$L$19&gt;0,'Water Report'!$L$19,0))</f>
        <v>12</v>
      </c>
      <c r="AX10" s="301">
        <f>(IF('Water Report'!$L$21&gt;0,'Water Report'!$L$21,0))</f>
        <v>38</v>
      </c>
      <c r="AY10" s="301">
        <f>(IF('Water Report'!$L$22&gt;0,'Water Report'!$L$22,0))</f>
        <v>35</v>
      </c>
      <c r="AZ10" s="301">
        <f>(IF('Water Report'!$L$23&gt;0,'Water Report'!$L$23,0))</f>
        <v>5</v>
      </c>
      <c r="BA10" s="301">
        <f>(IF('Water Report'!$L$14&gt;0,'Water Report'!$L$14,0))</f>
        <v>9</v>
      </c>
      <c r="BB10" s="301">
        <f>(IF('Water Report'!$L$15&gt;0,'Water Report'!$L$15,0))</f>
        <v>14</v>
      </c>
      <c r="BC10" s="301">
        <f>(IF('Water Report'!$L$13&gt;0,'Water Report'!$L$13,0))</f>
        <v>37</v>
      </c>
      <c r="BD10" s="301">
        <f>(IF('Water Report'!$L$24&gt;0,'Water Report'!$L$24,0))</f>
        <v>256</v>
      </c>
      <c r="BE10" s="301">
        <f>(IF('Water Report'!$L$25&gt;0,'Water Report'!$L$25,0))</f>
        <v>201</v>
      </c>
      <c r="BF10" s="301">
        <f>(IF('Water Report'!$L$27&gt;0,'Water Report'!$L$27,0))</f>
        <v>80</v>
      </c>
      <c r="BG10" s="296">
        <f>(IF('Section Load'!AN13&gt;0,'Section Load'!AN13,0))</f>
        <v>1070</v>
      </c>
      <c r="BH10" s="296">
        <f>(IF('Section Load'!AO13&gt;0,'Section Load'!AO13,0))</f>
        <v>301</v>
      </c>
      <c r="BI10" s="296">
        <f>(IF('Section Load'!AP13&gt;0,'Section Load'!AP13,0))</f>
        <v>0.19999999999708962</v>
      </c>
      <c r="BJ10" s="296">
        <f>(IF('Section Load'!AQ13&gt;0,'Section Load'!AQ13,0))</f>
        <v>107</v>
      </c>
      <c r="BK10" s="296">
        <f>(IF('Section Load'!AR13&gt;0,'Section Load'!AR13,0))</f>
        <v>43</v>
      </c>
      <c r="BL10" s="296">
        <f>(IF('Section Load'!AS13&gt;0,'Section Load'!AS13,0))</f>
        <v>1</v>
      </c>
      <c r="BM10" s="296">
        <f>(IF('Section Load'!AT13&gt;0,'Section Load'!AT13,0))</f>
        <v>617.80000000000291</v>
      </c>
    </row>
    <row r="11" spans="1:65" x14ac:dyDescent="0.25">
      <c r="A11" s="287" t="s">
        <v>268</v>
      </c>
      <c r="B11" s="288">
        <f t="shared" si="0"/>
        <v>10</v>
      </c>
      <c r="C11" s="288">
        <v>2</v>
      </c>
      <c r="D11" s="288">
        <v>2022</v>
      </c>
      <c r="E11" s="294">
        <f>(IF('Section Load'!F14&gt;0,'Section Load'!F14,0))</f>
        <v>2839</v>
      </c>
      <c r="F11" s="294">
        <f>(IF('Section Load'!G14&gt;0,'Section Load'!G14,0))</f>
        <v>1647</v>
      </c>
      <c r="G11" s="294">
        <f>(IF('Section Load'!H14&gt;0,'Section Load'!H14,0))</f>
        <v>1955</v>
      </c>
      <c r="H11" s="294">
        <f>(IF('Section Load'!I14&gt;0,'Section Load'!I14,0))</f>
        <v>3035</v>
      </c>
      <c r="I11" s="294">
        <f>(IF('Section Load'!J14&gt;0,'Section Load'!J14,0))</f>
        <v>4557</v>
      </c>
      <c r="J11" s="294">
        <f>(IF('Section Load'!K14&gt;0,'Section Load'!K14,0))</f>
        <v>2097</v>
      </c>
      <c r="K11" s="294">
        <f>(IF('Section Load'!L14&gt;0,'Section Load'!L14,0))</f>
        <v>1144</v>
      </c>
      <c r="L11" s="294">
        <f>(IF('Section Load'!M14&gt;0,'Section Load'!M14,0))</f>
        <v>1084</v>
      </c>
      <c r="M11" s="294">
        <f>(IF('Section Load'!N14&gt;0,'Section Load'!N14,0))</f>
        <v>74</v>
      </c>
      <c r="N11" s="294">
        <f>(IF('Section Load'!O14&gt;0,'Section Load'!O14,0))</f>
        <v>2</v>
      </c>
      <c r="O11" s="294">
        <f>(IF('Section Load'!P14&gt;0,'Section Load'!P14,0))</f>
        <v>1</v>
      </c>
      <c r="P11" s="294">
        <f>(IF('Section Load'!Q14&gt;0,'Section Load'!Q14,0))</f>
        <v>176</v>
      </c>
      <c r="Q11" s="294">
        <f>(IF('Section Load'!R14&gt;0,'Section Load'!R14,0))</f>
        <v>69</v>
      </c>
      <c r="R11" s="294">
        <f>(IF('Section Load'!S14&gt;0,'Section Load'!S14,0))</f>
        <v>16</v>
      </c>
      <c r="S11" s="294">
        <f>(IF('Section Load'!T14&gt;0,'Section Load'!T14,0))</f>
        <v>410</v>
      </c>
      <c r="T11" s="294">
        <f>(IF('Section Load'!U14&gt;0,'Section Load'!U14,0))</f>
        <v>224</v>
      </c>
      <c r="U11" s="294">
        <f>(IF('Section Load'!V14&gt;0,'Section Load'!V14,0))</f>
        <v>398</v>
      </c>
      <c r="V11" s="294">
        <f>(IF('Section Load'!W14&gt;0,'Section Load'!W14,0))</f>
        <v>286</v>
      </c>
      <c r="W11" s="294">
        <f>(IF('Section Load'!X14&gt;0,'Section Load'!X14,0))</f>
        <v>30</v>
      </c>
      <c r="X11" s="294">
        <f>(IF('Section Load'!Y14&gt;0,'Section Load'!Y14,0))</f>
        <v>197</v>
      </c>
      <c r="Y11" s="294">
        <f>(IF('Section Load'!Z14&gt;0,'Section Load'!Z14,0))</f>
        <v>226</v>
      </c>
      <c r="Z11" s="294">
        <f>(IF('Section Load'!AA14&gt;0,'Section Load'!AA14,0))</f>
        <v>15</v>
      </c>
      <c r="AA11" s="294">
        <f>(IF('Section Load'!AB14&gt;0,'Section Load'!AB14,0))</f>
        <v>42</v>
      </c>
      <c r="AB11" s="294">
        <f>(IF('Section Load'!AC14&gt;0,'Section Load'!AC14,0))</f>
        <v>0</v>
      </c>
      <c r="AC11" s="294">
        <f>(IF('Section Load'!AD14&gt;0,'Section Load'!AD14,0))</f>
        <v>93</v>
      </c>
      <c r="AD11" s="294">
        <f>(IF('Section Load'!AE14&gt;0,'Section Load'!AE14,0))</f>
        <v>328</v>
      </c>
      <c r="AE11" s="294">
        <f>(IF('Section Load'!AF14&gt;0,'Section Load'!AF14,0))</f>
        <v>114</v>
      </c>
      <c r="AF11" s="294">
        <f>(IF('Section Load'!AG14&gt;0,'Section Load'!AG14,0))</f>
        <v>412</v>
      </c>
      <c r="AG11" s="294">
        <f>(IF('Section Load'!AH14&gt;0,'Section Load'!AH14,0))</f>
        <v>419</v>
      </c>
      <c r="AH11" s="294">
        <f>(IF('Section Load'!AI14&gt;0,'Section Load'!AI14,0))</f>
        <v>445</v>
      </c>
      <c r="AI11" s="294">
        <f>(IF('Section Load'!AJ14&gt;0,'Section Load'!AJ14,0))</f>
        <v>735</v>
      </c>
      <c r="AJ11" s="294">
        <f>(IF('Section Load'!AK14&gt;0,'Section Load'!AK14,0))</f>
        <v>143</v>
      </c>
      <c r="AK11" s="294">
        <f>(IF('Section Load'!AL14&gt;0,'Section Load'!AL14,0))</f>
        <v>254</v>
      </c>
      <c r="AL11" s="294">
        <f>(IF('Section Load'!AM14&gt;0,'Section Load'!AM14,0))</f>
        <v>522</v>
      </c>
      <c r="AM11" s="295">
        <f>(IF('Water Report'!$M$7&gt;0,'Water Report'!$M$7,0))</f>
        <v>170</v>
      </c>
      <c r="AN11" s="295">
        <f>(IF('Water Report'!$M$8&gt;0,'Water Report'!$M$8,0))</f>
        <v>129</v>
      </c>
      <c r="AO11" s="295">
        <f>(IF('Water Report'!$M$9&gt;0,'Water Report'!$M$9,0))</f>
        <v>105</v>
      </c>
      <c r="AP11" s="295">
        <f>(IF('Water Report'!$M$10&gt;0,'Water Report'!$M$10,0))</f>
        <v>20</v>
      </c>
      <c r="AQ11" s="295">
        <f>(IF('Water Report'!$M$11&gt;0,'Water Report'!$M$11,0))</f>
        <v>65</v>
      </c>
      <c r="AR11" s="295">
        <f>(IF('Water Report'!$M$13&gt;0,'Water Report'!$M$13,0))</f>
        <v>40</v>
      </c>
      <c r="AS11" s="295">
        <f>(IF('Water Report'!$M$14&gt;0,'Water Report'!$M$14,0))</f>
        <v>18</v>
      </c>
      <c r="AT11" s="295">
        <f>(IF('Water Report'!$M$15&gt;0,'Water Report'!$M$15,0))</f>
        <v>8</v>
      </c>
      <c r="AU11" s="295">
        <f>(IF('Water Report'!$M$17&gt;0,'Water Report'!$M$17,0))</f>
        <v>1</v>
      </c>
      <c r="AV11" s="295">
        <f>(IF('Water Report'!$M$18&gt;0,'Water Report'!$M$18,0))</f>
        <v>14</v>
      </c>
      <c r="AW11" s="295">
        <f>(IF('Water Report'!$M$19&gt;0,'Water Report'!$M$19,0))</f>
        <v>12</v>
      </c>
      <c r="AX11" s="301">
        <f>(IF('Water Report'!$M$21&gt;0,'Water Report'!$M$21,0))</f>
        <v>47</v>
      </c>
      <c r="AY11" s="301">
        <f>(IF('Water Report'!$M$22&gt;0,'Water Report'!$M$22,0))</f>
        <v>0</v>
      </c>
      <c r="AZ11" s="301">
        <f>(IF('Water Report'!$M$23&gt;0,'Water Report'!$M$23,0))</f>
        <v>0</v>
      </c>
      <c r="BA11" s="301">
        <f>(IF('Water Report'!$M$14&gt;0,'Water Report'!$M$14,0))</f>
        <v>18</v>
      </c>
      <c r="BB11" s="301">
        <f>(IF('Water Report'!$M$15&gt;0,'Water Report'!$M$15,0))</f>
        <v>8</v>
      </c>
      <c r="BC11" s="301">
        <f>(IF('Water Report'!$M$13&gt;0,'Water Report'!$M$13,0))</f>
        <v>40</v>
      </c>
      <c r="BD11" s="301">
        <f>(IF('Water Report'!$M$24&gt;0,'Water Report'!$M$24,0))</f>
        <v>317</v>
      </c>
      <c r="BE11" s="301">
        <f>(IF('Water Report'!$M$25&gt;0,'Water Report'!$M$25,0))</f>
        <v>216</v>
      </c>
      <c r="BF11" s="301">
        <f>(IF('Water Report'!$M$27&gt;0,'Water Report'!$M$27,0))</f>
        <v>87</v>
      </c>
      <c r="BG11" s="296">
        <f>(IF('Section Load'!AN14&gt;0,'Section Load'!AN14,0))</f>
        <v>1152</v>
      </c>
      <c r="BH11" s="296">
        <f>(IF('Section Load'!AO14&gt;0,'Section Load'!AO14,0))</f>
        <v>341</v>
      </c>
      <c r="BI11" s="296">
        <f>(IF('Section Load'!AP14&gt;0,'Section Load'!AP14,0))</f>
        <v>0</v>
      </c>
      <c r="BJ11" s="296">
        <f>(IF('Section Load'!AQ14&gt;0,'Section Load'!AQ14,0))</f>
        <v>114</v>
      </c>
      <c r="BK11" s="296">
        <f>(IF('Section Load'!AR14&gt;0,'Section Load'!AR14,0))</f>
        <v>43</v>
      </c>
      <c r="BL11" s="296">
        <f>(IF('Section Load'!AS14&gt;0,'Section Load'!AS14,0))</f>
        <v>3</v>
      </c>
      <c r="BM11" s="296">
        <f>(IF('Section Load'!AT14&gt;0,'Section Load'!AT14,0))</f>
        <v>651</v>
      </c>
    </row>
    <row r="12" spans="1:65" x14ac:dyDescent="0.25">
      <c r="A12" s="287" t="s">
        <v>268</v>
      </c>
      <c r="B12" s="288">
        <f t="shared" si="0"/>
        <v>11</v>
      </c>
      <c r="C12" s="288">
        <v>2</v>
      </c>
      <c r="D12" s="288">
        <v>2022</v>
      </c>
      <c r="E12" s="294">
        <f>(IF('Section Load'!F15&gt;0,'Section Load'!F15,0))</f>
        <v>2776</v>
      </c>
      <c r="F12" s="294">
        <f>(IF('Section Load'!G15&gt;0,'Section Load'!G15,0))</f>
        <v>1684</v>
      </c>
      <c r="G12" s="294">
        <f>(IF('Section Load'!H15&gt;0,'Section Load'!H15,0))</f>
        <v>2076</v>
      </c>
      <c r="H12" s="294">
        <f>(IF('Section Load'!I15&gt;0,'Section Load'!I15,0))</f>
        <v>3148</v>
      </c>
      <c r="I12" s="294">
        <f>(IF('Section Load'!J15&gt;0,'Section Load'!J15,0))</f>
        <v>4736</v>
      </c>
      <c r="J12" s="294">
        <f>(IF('Section Load'!K15&gt;0,'Section Load'!K15,0))</f>
        <v>2112</v>
      </c>
      <c r="K12" s="294">
        <f>(IF('Section Load'!L15&gt;0,'Section Load'!L15,0))</f>
        <v>1282</v>
      </c>
      <c r="L12" s="294">
        <f>(IF('Section Load'!M15&gt;0,'Section Load'!M15,0))</f>
        <v>1077</v>
      </c>
      <c r="M12" s="294">
        <f>(IF('Section Load'!N15&gt;0,'Section Load'!N15,0))</f>
        <v>116</v>
      </c>
      <c r="N12" s="294">
        <f>(IF('Section Load'!O15&gt;0,'Section Load'!O15,0))</f>
        <v>13</v>
      </c>
      <c r="O12" s="294">
        <f>(IF('Section Load'!P15&gt;0,'Section Load'!P15,0))</f>
        <v>6</v>
      </c>
      <c r="P12" s="294">
        <f>(IF('Section Load'!Q15&gt;0,'Section Load'!Q15,0))</f>
        <v>190</v>
      </c>
      <c r="Q12" s="294">
        <f>(IF('Section Load'!R15&gt;0,'Section Load'!R15,0))</f>
        <v>70</v>
      </c>
      <c r="R12" s="294">
        <f>(IF('Section Load'!S15&gt;0,'Section Load'!S15,0))</f>
        <v>14</v>
      </c>
      <c r="S12" s="294">
        <f>(IF('Section Load'!T15&gt;0,'Section Load'!T15,0))</f>
        <v>421</v>
      </c>
      <c r="T12" s="294">
        <f>(IF('Section Load'!U15&gt;0,'Section Load'!U15,0))</f>
        <v>203</v>
      </c>
      <c r="U12" s="294">
        <f>(IF('Section Load'!V15&gt;0,'Section Load'!V15,0))</f>
        <v>412</v>
      </c>
      <c r="V12" s="294">
        <f>(IF('Section Load'!W15&gt;0,'Section Load'!W15,0))</f>
        <v>330</v>
      </c>
      <c r="W12" s="294">
        <f>(IF('Section Load'!X15&gt;0,'Section Load'!X15,0))</f>
        <v>23</v>
      </c>
      <c r="X12" s="294">
        <f>(IF('Section Load'!Y15&gt;0,'Section Load'!Y15,0))</f>
        <v>202</v>
      </c>
      <c r="Y12" s="294">
        <f>(IF('Section Load'!Z15&gt;0,'Section Load'!Z15,0))</f>
        <v>217</v>
      </c>
      <c r="Z12" s="294">
        <f>(IF('Section Load'!AA15&gt;0,'Section Load'!AA15,0))</f>
        <v>20</v>
      </c>
      <c r="AA12" s="294">
        <f>(IF('Section Load'!AB15&gt;0,'Section Load'!AB15,0))</f>
        <v>36</v>
      </c>
      <c r="AB12" s="294">
        <f>(IF('Section Load'!AC15&gt;0,'Section Load'!AC15,0))</f>
        <v>0</v>
      </c>
      <c r="AC12" s="294">
        <f>(IF('Section Load'!AD15&gt;0,'Section Load'!AD15,0))</f>
        <v>92</v>
      </c>
      <c r="AD12" s="294">
        <f>(IF('Section Load'!AE15&gt;0,'Section Load'!AE15,0))</f>
        <v>370</v>
      </c>
      <c r="AE12" s="294">
        <f>(IF('Section Load'!AF15&gt;0,'Section Load'!AF15,0))</f>
        <v>289</v>
      </c>
      <c r="AF12" s="294">
        <f>(IF('Section Load'!AG15&gt;0,'Section Load'!AG15,0))</f>
        <v>404</v>
      </c>
      <c r="AG12" s="294">
        <f>(IF('Section Load'!AH15&gt;0,'Section Load'!AH15,0))</f>
        <v>435</v>
      </c>
      <c r="AH12" s="294">
        <f>(IF('Section Load'!AI15&gt;0,'Section Load'!AI15,0))</f>
        <v>443</v>
      </c>
      <c r="AI12" s="294">
        <f>(IF('Section Load'!AJ15&gt;0,'Section Load'!AJ15,0))</f>
        <v>721</v>
      </c>
      <c r="AJ12" s="294">
        <f>(IF('Section Load'!AK15&gt;0,'Section Load'!AK15,0))</f>
        <v>212</v>
      </c>
      <c r="AK12" s="294">
        <f>(IF('Section Load'!AL15&gt;0,'Section Load'!AL15,0))</f>
        <v>250</v>
      </c>
      <c r="AL12" s="294">
        <f>(IF('Section Load'!AM15&gt;0,'Section Load'!AM15,0))</f>
        <v>494</v>
      </c>
      <c r="AM12" s="295">
        <f>(IF('Water Report'!$N$7&gt;0,'Water Report'!$N$7,0))</f>
        <v>181</v>
      </c>
      <c r="AN12" s="295">
        <f>(IF('Water Report'!$N$8&gt;0,'Water Report'!$N$8,0))</f>
        <v>136</v>
      </c>
      <c r="AO12" s="295">
        <f>(IF('Water Report'!$N$9&gt;0,'Water Report'!$N$9,0))</f>
        <v>104</v>
      </c>
      <c r="AP12" s="295">
        <f>(IF('Water Report'!$N$10&gt;0,'Water Report'!$N$10,0))</f>
        <v>31</v>
      </c>
      <c r="AQ12" s="295">
        <f>(IF('Water Report'!$N$11&gt;0,'Water Report'!$N$11,0))</f>
        <v>65</v>
      </c>
      <c r="AR12" s="295">
        <f>(IF('Water Report'!$N$13&gt;0,'Water Report'!$N$13,0))</f>
        <v>53</v>
      </c>
      <c r="AS12" s="295">
        <f>(IF('Water Report'!$N$14&gt;0,'Water Report'!$N$14,0))</f>
        <v>32</v>
      </c>
      <c r="AT12" s="295">
        <f>(IF('Water Report'!$N$15&gt;0,'Water Report'!$N$15,0))</f>
        <v>12</v>
      </c>
      <c r="AU12" s="295">
        <f>(IF('Water Report'!$N$17&gt;0,'Water Report'!$N$17,0))</f>
        <v>0</v>
      </c>
      <c r="AV12" s="295">
        <f>(IF('Water Report'!$N$18&gt;0,'Water Report'!$N$18,0))</f>
        <v>12</v>
      </c>
      <c r="AW12" s="295">
        <f>(IF('Water Report'!$N$19&gt;0,'Water Report'!$N$19,0))</f>
        <v>12</v>
      </c>
      <c r="AX12" s="301">
        <f>(IF('Water Report'!$N$21&gt;0,'Water Report'!$N$21,0))</f>
        <v>30</v>
      </c>
      <c r="AY12" s="301">
        <f>(IF('Water Report'!$N$22&gt;0,'Water Report'!$N$22,0))</f>
        <v>24</v>
      </c>
      <c r="AZ12" s="301">
        <f>(IF('Water Report'!$N$23&gt;0,'Water Report'!$N$23,0))</f>
        <v>2</v>
      </c>
      <c r="BA12" s="301">
        <f>(IF('Water Report'!$N$14&gt;0,'Water Report'!$N$14,0))</f>
        <v>32</v>
      </c>
      <c r="BB12" s="301">
        <f>(IF('Water Report'!$N$15&gt;0,'Water Report'!$N$15,0))</f>
        <v>12</v>
      </c>
      <c r="BC12" s="301">
        <f>(IF('Water Report'!$N$13&gt;0,'Water Report'!$N$13,0))</f>
        <v>53</v>
      </c>
      <c r="BD12" s="301">
        <f>(IF('Water Report'!$N$24&gt;0,'Water Report'!$N$24,0))</f>
        <v>316</v>
      </c>
      <c r="BE12" s="301">
        <f>(IF('Water Report'!$N$25&gt;0,'Water Report'!$N$25,0))</f>
        <v>244</v>
      </c>
      <c r="BF12" s="301">
        <f>(IF('Water Report'!$N$27&gt;0,'Water Report'!$N$27,0))</f>
        <v>85</v>
      </c>
      <c r="BG12" s="296">
        <f>(IF('Section Load'!AN15&gt;0,'Section Load'!AN15,0))</f>
        <v>1118</v>
      </c>
      <c r="BH12" s="296">
        <f>(IF('Section Load'!AO15&gt;0,'Section Load'!AO15,0))</f>
        <v>316</v>
      </c>
      <c r="BI12" s="296">
        <f>(IF('Section Load'!AP15&gt;0,'Section Load'!AP15,0))</f>
        <v>0</v>
      </c>
      <c r="BJ12" s="296">
        <f>(IF('Section Load'!AQ15&gt;0,'Section Load'!AQ15,0))</f>
        <v>124</v>
      </c>
      <c r="BK12" s="296">
        <f>(IF('Section Load'!AR15&gt;0,'Section Load'!AR15,0))</f>
        <v>53</v>
      </c>
      <c r="BL12" s="296">
        <f>(IF('Section Load'!AS15&gt;0,'Section Load'!AS15,0))</f>
        <v>3</v>
      </c>
      <c r="BM12" s="296">
        <f>(IF('Section Load'!AT15&gt;0,'Section Load'!AT15,0))</f>
        <v>622</v>
      </c>
    </row>
    <row r="13" spans="1:65" x14ac:dyDescent="0.25">
      <c r="A13" s="287" t="s">
        <v>268</v>
      </c>
      <c r="B13" s="288">
        <f t="shared" si="0"/>
        <v>12</v>
      </c>
      <c r="C13" s="288">
        <v>2</v>
      </c>
      <c r="D13" s="288">
        <v>2022</v>
      </c>
      <c r="E13" s="294">
        <f>(IF('Section Load'!F16&gt;0,'Section Load'!F16,0))</f>
        <v>3199</v>
      </c>
      <c r="F13" s="294">
        <f>(IF('Section Load'!G16&gt;0,'Section Load'!G16,0))</f>
        <v>1783</v>
      </c>
      <c r="G13" s="294">
        <f>(IF('Section Load'!H16&gt;0,'Section Load'!H16,0))</f>
        <v>2162</v>
      </c>
      <c r="H13" s="294">
        <f>(IF('Section Load'!I16&gt;0,'Section Load'!I16,0))</f>
        <v>3245</v>
      </c>
      <c r="I13" s="294">
        <f>(IF('Section Load'!J16&gt;0,'Section Load'!J16,0))</f>
        <v>4928</v>
      </c>
      <c r="J13" s="294">
        <f>(IF('Section Load'!K16&gt;0,'Section Load'!K16,0))</f>
        <v>2226</v>
      </c>
      <c r="K13" s="294">
        <f>(IF('Section Load'!L16&gt;0,'Section Load'!L16,0))</f>
        <v>1310</v>
      </c>
      <c r="L13" s="294">
        <f>(IF('Section Load'!M16&gt;0,'Section Load'!M16,0))</f>
        <v>1194</v>
      </c>
      <c r="M13" s="294">
        <f>(IF('Section Load'!N16&gt;0,'Section Load'!N16,0))</f>
        <v>96</v>
      </c>
      <c r="N13" s="294">
        <f>(IF('Section Load'!O16&gt;0,'Section Load'!O16,0))</f>
        <v>7</v>
      </c>
      <c r="O13" s="294">
        <f>(IF('Section Load'!P16&gt;0,'Section Load'!P16,0))</f>
        <v>0</v>
      </c>
      <c r="P13" s="294">
        <f>(IF('Section Load'!Q16&gt;0,'Section Load'!Q16,0))</f>
        <v>187</v>
      </c>
      <c r="Q13" s="294">
        <f>(IF('Section Load'!R16&gt;0,'Section Load'!R16,0))</f>
        <v>70</v>
      </c>
      <c r="R13" s="294">
        <f>(IF('Section Load'!S16&gt;0,'Section Load'!S16,0))</f>
        <v>9</v>
      </c>
      <c r="S13" s="294">
        <f>(IF('Section Load'!T16&gt;0,'Section Load'!T16,0))</f>
        <v>471</v>
      </c>
      <c r="T13" s="294">
        <f>(IF('Section Load'!U16&gt;0,'Section Load'!U16,0))</f>
        <v>220</v>
      </c>
      <c r="U13" s="294">
        <f>(IF('Section Load'!V16&gt;0,'Section Load'!V16,0))</f>
        <v>442</v>
      </c>
      <c r="V13" s="294">
        <f>(IF('Section Load'!W16&gt;0,'Section Load'!W16,0))</f>
        <v>383</v>
      </c>
      <c r="W13" s="294">
        <f>(IF('Section Load'!X16&gt;0,'Section Load'!X16,0))</f>
        <v>31</v>
      </c>
      <c r="X13" s="294">
        <f>(IF('Section Load'!Y16&gt;0,'Section Load'!Y16,0))</f>
        <v>231</v>
      </c>
      <c r="Y13" s="294">
        <f>(IF('Section Load'!Z16&gt;0,'Section Load'!Z16,0))</f>
        <v>279</v>
      </c>
      <c r="Z13" s="294">
        <f>(IF('Section Load'!AA16&gt;0,'Section Load'!AA16,0))</f>
        <v>18</v>
      </c>
      <c r="AA13" s="294">
        <f>(IF('Section Load'!AB16&gt;0,'Section Load'!AB16,0))</f>
        <v>21</v>
      </c>
      <c r="AB13" s="294">
        <f>(IF('Section Load'!AC16&gt;0,'Section Load'!AC16,0))</f>
        <v>3.7700000000004366</v>
      </c>
      <c r="AC13" s="294">
        <f>(IF('Section Load'!AD16&gt;0,'Section Load'!AD16,0))</f>
        <v>81</v>
      </c>
      <c r="AD13" s="294">
        <f>(IF('Section Load'!AE16&gt;0,'Section Load'!AE16,0))</f>
        <v>484</v>
      </c>
      <c r="AE13" s="294">
        <f>(IF('Section Load'!AF16&gt;0,'Section Load'!AF16,0))</f>
        <v>196</v>
      </c>
      <c r="AF13" s="294">
        <f>(IF('Section Load'!AG16&gt;0,'Section Load'!AG16,0))</f>
        <v>406</v>
      </c>
      <c r="AG13" s="294">
        <f>(IF('Section Load'!AH16&gt;0,'Section Load'!AH16,0))</f>
        <v>440</v>
      </c>
      <c r="AH13" s="294">
        <f>(IF('Section Load'!AI16&gt;0,'Section Load'!AI16,0))</f>
        <v>413</v>
      </c>
      <c r="AI13" s="294">
        <f>(IF('Section Load'!AJ16&gt;0,'Section Load'!AJ16,0))</f>
        <v>776</v>
      </c>
      <c r="AJ13" s="294">
        <f>(IF('Section Load'!AK16&gt;0,'Section Load'!AK16,0))</f>
        <v>184</v>
      </c>
      <c r="AK13" s="294">
        <f>(IF('Section Load'!AL16&gt;0,'Section Load'!AL16,0))</f>
        <v>263</v>
      </c>
      <c r="AL13" s="294">
        <f>(IF('Section Load'!AM16&gt;0,'Section Load'!AM16,0))</f>
        <v>698</v>
      </c>
      <c r="AM13" s="295">
        <f>(IF('Water Report'!$O$7&gt;0,'Water Report'!$O$7,0))</f>
        <v>177</v>
      </c>
      <c r="AN13" s="295">
        <f>(IF('Water Report'!$O$8&gt;0,'Water Report'!$O$8,0))</f>
        <v>182</v>
      </c>
      <c r="AO13" s="295">
        <f>(IF('Water Report'!$O$9&gt;0,'Water Report'!$O$9,0))</f>
        <v>126</v>
      </c>
      <c r="AP13" s="295">
        <f>(IF('Water Report'!$O$10&gt;0,'Water Report'!$O$10,0))</f>
        <v>28</v>
      </c>
      <c r="AQ13" s="295">
        <f>(IF('Water Report'!$O$11&gt;0,'Water Report'!$O$11,0))</f>
        <v>66</v>
      </c>
      <c r="AR13" s="295">
        <f>(IF('Water Report'!$O$13&gt;0,'Water Report'!$O$13,0))</f>
        <v>52</v>
      </c>
      <c r="AS13" s="295">
        <f>(IF('Water Report'!$O$14&gt;0,'Water Report'!$O$14,0))</f>
        <v>14</v>
      </c>
      <c r="AT13" s="295">
        <f>(IF('Water Report'!$O$15&gt;0,'Water Report'!$O$15,0))</f>
        <v>5</v>
      </c>
      <c r="AU13" s="295">
        <f>(IF('Water Report'!$O$17&gt;0,'Water Report'!$O$17,0))</f>
        <v>0</v>
      </c>
      <c r="AV13" s="295">
        <f>(IF('Water Report'!$O$18&gt;0,'Water Report'!$O$18,0))</f>
        <v>17</v>
      </c>
      <c r="AW13" s="295">
        <f>(IF('Water Report'!$O$19&gt;0,'Water Report'!$O$19,0))</f>
        <v>14</v>
      </c>
      <c r="AX13" s="301">
        <f>(IF('Water Report'!$O$21&gt;0,'Water Report'!$O$21,0))</f>
        <v>95</v>
      </c>
      <c r="AY13" s="301">
        <f>(IF('Water Report'!$O$22&gt;0,'Water Report'!$O$22,0))</f>
        <v>20</v>
      </c>
      <c r="AZ13" s="301">
        <f>(IF('Water Report'!$O$23&gt;0,'Water Report'!$O$23,0))</f>
        <v>10</v>
      </c>
      <c r="BA13" s="301">
        <f>(IF('Water Report'!$O$14&gt;0,'Water Report'!$O$14,0))</f>
        <v>14</v>
      </c>
      <c r="BB13" s="301">
        <f>(IF('Water Report'!$O$15&gt;0,'Water Report'!$O$15,0))</f>
        <v>5</v>
      </c>
      <c r="BC13" s="301">
        <f>(IF('Water Report'!$O$13&gt;0,'Water Report'!$O$13,0))</f>
        <v>52</v>
      </c>
      <c r="BD13" s="301">
        <f>(IF('Water Report'!$O$24&gt;0,'Water Report'!$O$24,0))</f>
        <v>339</v>
      </c>
      <c r="BE13" s="301">
        <f>(IF('Water Report'!$O$25&gt;0,'Water Report'!$O$25,0))</f>
        <v>239</v>
      </c>
      <c r="BF13" s="301">
        <f>(IF('Water Report'!$O$27&gt;0,'Water Report'!$O$27,0))</f>
        <v>157</v>
      </c>
      <c r="BG13" s="296">
        <f>(IF('Section Load'!AN16&gt;0,'Section Load'!AN16,0))</f>
        <v>1293</v>
      </c>
      <c r="BH13" s="296">
        <f>(IF('Section Load'!AO16&gt;0,'Section Load'!AO16,0))</f>
        <v>324</v>
      </c>
      <c r="BI13" s="296">
        <f>(IF('Section Load'!AP16&gt;0,'Section Load'!AP16,0))</f>
        <v>0</v>
      </c>
      <c r="BJ13" s="296">
        <f>(IF('Section Load'!AQ16&gt;0,'Section Load'!AQ16,0))</f>
        <v>152</v>
      </c>
      <c r="BK13" s="296">
        <f>(IF('Section Load'!AR16&gt;0,'Section Load'!AR16,0))</f>
        <v>58</v>
      </c>
      <c r="BL13" s="296">
        <f>(IF('Section Load'!AS16&gt;0,'Section Load'!AS16,0))</f>
        <v>4</v>
      </c>
      <c r="BM13" s="296">
        <f>(IF('Section Load'!AT16&gt;0,'Section Load'!AT16,0))</f>
        <v>755</v>
      </c>
    </row>
    <row r="14" spans="1:65" x14ac:dyDescent="0.25">
      <c r="A14" s="287" t="s">
        <v>268</v>
      </c>
      <c r="B14" s="288">
        <f t="shared" si="0"/>
        <v>13</v>
      </c>
      <c r="C14" s="288">
        <v>2</v>
      </c>
      <c r="D14" s="288">
        <v>2022</v>
      </c>
      <c r="E14" s="294">
        <f>(IF('Section Load'!F17&gt;0,'Section Load'!F17,0))</f>
        <v>2981</v>
      </c>
      <c r="F14" s="294">
        <f>(IF('Section Load'!G17&gt;0,'Section Load'!G17,0))</f>
        <v>1781</v>
      </c>
      <c r="G14" s="294">
        <f>(IF('Section Load'!H17&gt;0,'Section Load'!H17,0))</f>
        <v>2029</v>
      </c>
      <c r="H14" s="294">
        <f>(IF('Section Load'!I17&gt;0,'Section Load'!I17,0))</f>
        <v>3279</v>
      </c>
      <c r="I14" s="294">
        <f>(IF('Section Load'!J17&gt;0,'Section Load'!J17,0))</f>
        <v>5019</v>
      </c>
      <c r="J14" s="294">
        <f>(IF('Section Load'!K17&gt;0,'Section Load'!K17,0))</f>
        <v>2145</v>
      </c>
      <c r="K14" s="294">
        <f>(IF('Section Load'!L17&gt;0,'Section Load'!L17,0))</f>
        <v>1558</v>
      </c>
      <c r="L14" s="294">
        <f>(IF('Section Load'!M17&gt;0,'Section Load'!M17,0))</f>
        <v>1069</v>
      </c>
      <c r="M14" s="294">
        <f>(IF('Section Load'!N17&gt;0,'Section Load'!N17,0))</f>
        <v>148</v>
      </c>
      <c r="N14" s="294">
        <f>(IF('Section Load'!O17&gt;0,'Section Load'!O17,0))</f>
        <v>20</v>
      </c>
      <c r="O14" s="294">
        <f>(IF('Section Load'!P17&gt;0,'Section Load'!P17,0))</f>
        <v>0</v>
      </c>
      <c r="P14" s="294">
        <f>(IF('Section Load'!Q17&gt;0,'Section Load'!Q17,0))</f>
        <v>179</v>
      </c>
      <c r="Q14" s="294">
        <f>(IF('Section Load'!R17&gt;0,'Section Load'!R17,0))</f>
        <v>70</v>
      </c>
      <c r="R14" s="294">
        <f>(IF('Section Load'!S17&gt;0,'Section Load'!S17,0))</f>
        <v>10</v>
      </c>
      <c r="S14" s="294">
        <f>(IF('Section Load'!T17&gt;0,'Section Load'!T17,0))</f>
        <v>472</v>
      </c>
      <c r="T14" s="294">
        <f>(IF('Section Load'!U17&gt;0,'Section Load'!U17,0))</f>
        <v>208</v>
      </c>
      <c r="U14" s="294">
        <f>(IF('Section Load'!V17&gt;0,'Section Load'!V17,0))</f>
        <v>443</v>
      </c>
      <c r="V14" s="294">
        <f>(IF('Section Load'!W17&gt;0,'Section Load'!W17,0))</f>
        <v>364</v>
      </c>
      <c r="W14" s="294">
        <f>(IF('Section Load'!X17&gt;0,'Section Load'!X17,0))</f>
        <v>30</v>
      </c>
      <c r="X14" s="294">
        <f>(IF('Section Load'!Y17&gt;0,'Section Load'!Y17,0))</f>
        <v>196</v>
      </c>
      <c r="Y14" s="294">
        <f>(IF('Section Load'!Z17&gt;0,'Section Load'!Z17,0))</f>
        <v>230</v>
      </c>
      <c r="Z14" s="294">
        <f>(IF('Section Load'!AA17&gt;0,'Section Load'!AA17,0))</f>
        <v>17</v>
      </c>
      <c r="AA14" s="294">
        <f>(IF('Section Load'!AB17&gt;0,'Section Load'!AB17,0))</f>
        <v>20</v>
      </c>
      <c r="AB14" s="294">
        <f>(IF('Section Load'!AC17&gt;0,'Section Load'!AC17,0))</f>
        <v>0</v>
      </c>
      <c r="AC14" s="294">
        <f>(IF('Section Load'!AD17&gt;0,'Section Load'!AD17,0))</f>
        <v>83</v>
      </c>
      <c r="AD14" s="294">
        <f>(IF('Section Load'!AE17&gt;0,'Section Load'!AE17,0))</f>
        <v>446</v>
      </c>
      <c r="AE14" s="294">
        <f>(IF('Section Load'!AF17&gt;0,'Section Load'!AF17,0))</f>
        <v>219</v>
      </c>
      <c r="AF14" s="294">
        <f>(IF('Section Load'!AG17&gt;0,'Section Load'!AG17,0))</f>
        <v>412</v>
      </c>
      <c r="AG14" s="294">
        <f>(IF('Section Load'!AH17&gt;0,'Section Load'!AH17,0))</f>
        <v>426</v>
      </c>
      <c r="AH14" s="294">
        <f>(IF('Section Load'!AI17&gt;0,'Section Load'!AI17,0))</f>
        <v>409</v>
      </c>
      <c r="AI14" s="294">
        <f>(IF('Section Load'!AJ17&gt;0,'Section Load'!AJ17,0))</f>
        <v>757</v>
      </c>
      <c r="AJ14" s="294">
        <f>(IF('Section Load'!AK17&gt;0,'Section Load'!AK17,0))</f>
        <v>260</v>
      </c>
      <c r="AK14" s="294">
        <f>(IF('Section Load'!AL17&gt;0,'Section Load'!AL17,0))</f>
        <v>259</v>
      </c>
      <c r="AL14" s="294">
        <f>(IF('Section Load'!AM17&gt;0,'Section Load'!AM17,0))</f>
        <v>676</v>
      </c>
      <c r="AM14" s="295">
        <f>(IF('Water Report'!$P$7&gt;0,'Water Report'!$P$7,0))</f>
        <v>177</v>
      </c>
      <c r="AN14" s="295">
        <f>(IF('Water Report'!$P$8&gt;0,'Water Report'!$P$8,0))</f>
        <v>140</v>
      </c>
      <c r="AO14" s="295">
        <f>(IF('Water Report'!$P$9&gt;0,'Water Report'!$P$9,0))</f>
        <v>112</v>
      </c>
      <c r="AP14" s="295">
        <f>(IF('Water Report'!$P$10&gt;0,'Water Report'!$P$10,0))</f>
        <v>27</v>
      </c>
      <c r="AQ14" s="295">
        <f>(IF('Water Report'!$P$11&gt;0,'Water Report'!$P$11,0))</f>
        <v>71</v>
      </c>
      <c r="AR14" s="295">
        <f>(IF('Water Report'!$P$13&gt;0,'Water Report'!$P$13,0))</f>
        <v>32</v>
      </c>
      <c r="AS14" s="295">
        <f>(IF('Water Report'!$P$14&gt;0,'Water Report'!$P$14,0))</f>
        <v>11</v>
      </c>
      <c r="AT14" s="295">
        <f>(IF('Water Report'!$P$15&gt;0,'Water Report'!$P$15,0))</f>
        <v>8</v>
      </c>
      <c r="AU14" s="295">
        <f>(IF('Water Report'!$P$17&gt;0,'Water Report'!$P$17,0))</f>
        <v>0</v>
      </c>
      <c r="AV14" s="295">
        <f>(IF('Water Report'!$P$18&gt;0,'Water Report'!$P$18,0))</f>
        <v>12</v>
      </c>
      <c r="AW14" s="295">
        <f>(IF('Water Report'!$P$19&gt;0,'Water Report'!$P$19,0))</f>
        <v>13</v>
      </c>
      <c r="AX14" s="301">
        <f>(IF('Water Report'!$P$21&gt;0,'Water Report'!$P$21,0))</f>
        <v>42</v>
      </c>
      <c r="AY14" s="301">
        <f>(IF('Water Report'!$P$22&gt;0,'Water Report'!$P$22,0))</f>
        <v>31</v>
      </c>
      <c r="AZ14" s="301">
        <f>(IF('Water Report'!$P$23&gt;0,'Water Report'!$P$23,0))</f>
        <v>0</v>
      </c>
      <c r="BA14" s="301">
        <f>(IF('Water Report'!$P$14&gt;0,'Water Report'!$P$14,0))</f>
        <v>11</v>
      </c>
      <c r="BB14" s="301">
        <f>(IF('Water Report'!$P$15&gt;0,'Water Report'!$P$15,0))</f>
        <v>8</v>
      </c>
      <c r="BC14" s="301">
        <f>(IF('Water Report'!$P$13&gt;0,'Water Report'!$P$13,0))</f>
        <v>32</v>
      </c>
      <c r="BD14" s="301">
        <f>(IF('Water Report'!$P$24&gt;0,'Water Report'!$P$24,0))</f>
        <v>296</v>
      </c>
      <c r="BE14" s="301">
        <f>(IF('Water Report'!$P$25&gt;0,'Water Report'!$P$25,0))</f>
        <v>229</v>
      </c>
      <c r="BF14" s="301">
        <f>(IF('Water Report'!$P$27&gt;0,'Water Report'!$P$27,0))</f>
        <v>74</v>
      </c>
      <c r="BG14" s="296">
        <f>(IF('Section Load'!AN17&gt;0,'Section Load'!AN17,0))</f>
        <v>1108</v>
      </c>
      <c r="BH14" s="296">
        <f>(IF('Section Load'!AO17&gt;0,'Section Load'!AO17,0))</f>
        <v>287</v>
      </c>
      <c r="BI14" s="296">
        <f>(IF('Section Load'!AP17&gt;0,'Section Load'!AP17,0))</f>
        <v>0</v>
      </c>
      <c r="BJ14" s="296">
        <f>(IF('Section Load'!AQ17&gt;0,'Section Load'!AQ17,0))</f>
        <v>119</v>
      </c>
      <c r="BK14" s="296">
        <f>(IF('Section Load'!AR17&gt;0,'Section Load'!AR17,0))</f>
        <v>52</v>
      </c>
      <c r="BL14" s="296">
        <f>(IF('Section Load'!AS17&gt;0,'Section Load'!AS17,0))</f>
        <v>3</v>
      </c>
      <c r="BM14" s="296">
        <f>(IF('Section Load'!AT17&gt;0,'Section Load'!AT17,0))</f>
        <v>647</v>
      </c>
    </row>
    <row r="15" spans="1:65" x14ac:dyDescent="0.25">
      <c r="A15" s="287" t="s">
        <v>268</v>
      </c>
      <c r="B15" s="288">
        <f t="shared" si="0"/>
        <v>14</v>
      </c>
      <c r="C15" s="288">
        <v>2</v>
      </c>
      <c r="D15" s="288">
        <v>2022</v>
      </c>
      <c r="E15" s="294">
        <f>(IF('Section Load'!F18&gt;0,'Section Load'!F18,0))</f>
        <v>0</v>
      </c>
      <c r="F15" s="294">
        <f>(IF('Section Load'!G18&gt;0,'Section Load'!G18,0))</f>
        <v>0</v>
      </c>
      <c r="G15" s="294">
        <f>(IF('Section Load'!H18&gt;0,'Section Load'!H18,0))</f>
        <v>0</v>
      </c>
      <c r="H15" s="294">
        <f>(IF('Section Load'!I18&gt;0,'Section Load'!I18,0))</f>
        <v>0</v>
      </c>
      <c r="I15" s="294">
        <f>(IF('Section Load'!J18&gt;0,'Section Load'!J18,0))</f>
        <v>0</v>
      </c>
      <c r="J15" s="294">
        <f>(IF('Section Load'!K18&gt;0,'Section Load'!K18,0))</f>
        <v>2011</v>
      </c>
      <c r="K15" s="294">
        <f>(IF('Section Load'!L18&gt;0,'Section Load'!L18,0))</f>
        <v>0</v>
      </c>
      <c r="L15" s="294">
        <f>(IF('Section Load'!M18&gt;0,'Section Load'!M18,0))</f>
        <v>0</v>
      </c>
      <c r="M15" s="294">
        <f>(IF('Section Load'!N18&gt;0,'Section Load'!N18,0))</f>
        <v>0</v>
      </c>
      <c r="N15" s="294">
        <f>(IF('Section Load'!O18&gt;0,'Section Load'!O18,0))</f>
        <v>0</v>
      </c>
      <c r="O15" s="294">
        <f>(IF('Section Load'!P18&gt;0,'Section Load'!P18,0))</f>
        <v>0</v>
      </c>
      <c r="P15" s="294">
        <f>(IF('Section Load'!Q18&gt;0,'Section Load'!Q18,0))</f>
        <v>0</v>
      </c>
      <c r="Q15" s="294">
        <f>(IF('Section Load'!R18&gt;0,'Section Load'!R18,0))</f>
        <v>0</v>
      </c>
      <c r="R15" s="294">
        <f>(IF('Section Load'!S18&gt;0,'Section Load'!S18,0))</f>
        <v>0</v>
      </c>
      <c r="S15" s="294">
        <f>(IF('Section Load'!T18&gt;0,'Section Load'!T18,0))</f>
        <v>0</v>
      </c>
      <c r="T15" s="294">
        <f>(IF('Section Load'!U18&gt;0,'Section Load'!U18,0))</f>
        <v>0</v>
      </c>
      <c r="U15" s="294">
        <f>(IF('Section Load'!V18&gt;0,'Section Load'!V18,0))</f>
        <v>0</v>
      </c>
      <c r="V15" s="294">
        <f>(IF('Section Load'!W18&gt;0,'Section Load'!W18,0))</f>
        <v>0</v>
      </c>
      <c r="W15" s="294">
        <f>(IF('Section Load'!X18&gt;0,'Section Load'!X18,0))</f>
        <v>0</v>
      </c>
      <c r="X15" s="294">
        <f>(IF('Section Load'!Y18&gt;0,'Section Load'!Y18,0))</f>
        <v>0</v>
      </c>
      <c r="Y15" s="294">
        <f>(IF('Section Load'!Z18&gt;0,'Section Load'!Z18,0))</f>
        <v>0</v>
      </c>
      <c r="Z15" s="294">
        <f>(IF('Section Load'!AA18&gt;0,'Section Load'!AA18,0))</f>
        <v>0</v>
      </c>
      <c r="AA15" s="294">
        <f>(IF('Section Load'!AB18&gt;0,'Section Load'!AB18,0))</f>
        <v>0</v>
      </c>
      <c r="AB15" s="294">
        <f>(IF('Section Load'!AC18&gt;0,'Section Load'!AC18,0))</f>
        <v>0</v>
      </c>
      <c r="AC15" s="294">
        <f>(IF('Section Load'!AD18&gt;0,'Section Load'!AD18,0))</f>
        <v>0</v>
      </c>
      <c r="AD15" s="294">
        <f>(IF('Section Load'!AE18&gt;0,'Section Load'!AE18,0))</f>
        <v>0</v>
      </c>
      <c r="AE15" s="294">
        <f>(IF('Section Load'!AF18&gt;0,'Section Load'!AF18,0))</f>
        <v>0</v>
      </c>
      <c r="AF15" s="294">
        <f>(IF('Section Load'!AG18&gt;0,'Section Load'!AG18,0))</f>
        <v>0</v>
      </c>
      <c r="AG15" s="294">
        <f>(IF('Section Load'!AH18&gt;0,'Section Load'!AH18,0))</f>
        <v>0</v>
      </c>
      <c r="AH15" s="294">
        <f>(IF('Section Load'!AI18&gt;0,'Section Load'!AI18,0))</f>
        <v>0</v>
      </c>
      <c r="AI15" s="294">
        <f>(IF('Section Load'!AJ18&gt;0,'Section Load'!AJ18,0))</f>
        <v>0</v>
      </c>
      <c r="AJ15" s="294">
        <f>(IF('Section Load'!AK18&gt;0,'Section Load'!AK18,0))</f>
        <v>0</v>
      </c>
      <c r="AK15" s="294">
        <f>(IF('Section Load'!AL18&gt;0,'Section Load'!AL18,0))</f>
        <v>0</v>
      </c>
      <c r="AL15" s="294">
        <f>(IF('Section Load'!AM18&gt;0,'Section Load'!AM18,0))</f>
        <v>0</v>
      </c>
      <c r="AM15" s="295">
        <f>(IF('Water Report'!$Q$7&gt;0,'Water Report'!$Q$7,0))</f>
        <v>0</v>
      </c>
      <c r="AN15" s="295">
        <f>(IF('Water Report'!$Q$8&gt;0,'Water Report'!$Q$8,0))</f>
        <v>49</v>
      </c>
      <c r="AO15" s="295">
        <f>(IF('Water Report'!$Q$9&gt;0,'Water Report'!$Q$9,0))</f>
        <v>0</v>
      </c>
      <c r="AP15" s="295">
        <f>(IF('Water Report'!$Q$10&gt;0,'Water Report'!$Q$10,0))</f>
        <v>0</v>
      </c>
      <c r="AQ15" s="295">
        <f>(IF('Water Report'!$Q$11&gt;0,'Water Report'!$Q$11,0))</f>
        <v>0</v>
      </c>
      <c r="AR15" s="295">
        <f>(IF('Water Report'!$Q$13&gt;0,'Water Report'!$Q$13,0))</f>
        <v>0</v>
      </c>
      <c r="AS15" s="295">
        <f>(IF('Water Report'!$Q$14&gt;0,'Water Report'!$Q$14,0))</f>
        <v>0</v>
      </c>
      <c r="AT15" s="295">
        <f>(IF('Water Report'!$Q$15&gt;0,'Water Report'!$Q$15,0))</f>
        <v>0</v>
      </c>
      <c r="AU15" s="295">
        <f>(IF('Water Report'!$Q$17&gt;0,'Water Report'!$Q$17,0))</f>
        <v>0</v>
      </c>
      <c r="AV15" s="295">
        <f>(IF('Water Report'!$Q$18&gt;0,'Water Report'!$Q$18,0))</f>
        <v>5</v>
      </c>
      <c r="AW15" s="295">
        <f>(IF('Water Report'!$Q$19&gt;0,'Water Report'!$Q$19,0))</f>
        <v>0</v>
      </c>
      <c r="AX15" s="301">
        <f>(IF('Water Report'!$Q$21&gt;0,'Water Report'!$Q$21,0))</f>
        <v>0</v>
      </c>
      <c r="AY15" s="301">
        <f>(IF('Water Report'!$Q$22&gt;0,'Water Report'!$Q$22,0))</f>
        <v>0</v>
      </c>
      <c r="AZ15" s="301">
        <f>(IF('Water Report'!$Q$23&gt;0,'Water Report'!$Q$23,0))</f>
        <v>0</v>
      </c>
      <c r="BA15" s="301">
        <f>(IF('Water Report'!$Q$14&gt;0,'Water Report'!$Q$14,0))</f>
        <v>0</v>
      </c>
      <c r="BB15" s="301">
        <f>(IF('Water Report'!$Q$15&gt;0,'Water Report'!$Q$15,0))</f>
        <v>0</v>
      </c>
      <c r="BC15" s="301">
        <f>(IF('Water Report'!$Q$13&gt;0,'Water Report'!$Q$13,0))</f>
        <v>0</v>
      </c>
      <c r="BD15" s="301">
        <f>(IF('Water Report'!$Q$24&gt;0,'Water Report'!$Q$24,0))</f>
        <v>0</v>
      </c>
      <c r="BE15" s="301">
        <f>(IF('Water Report'!$Q$25&gt;0,'Water Report'!$Q$25,0))</f>
        <v>0</v>
      </c>
      <c r="BF15" s="301">
        <f>(IF('Water Report'!$Q$27&gt;0,'Water Report'!$Q$27,0))</f>
        <v>0</v>
      </c>
      <c r="BG15" s="296">
        <f>(IF('Section Load'!AN18&gt;0,'Section Load'!AN18,0))</f>
        <v>745</v>
      </c>
      <c r="BH15" s="296">
        <f>(IF('Section Load'!AO18&gt;0,'Section Load'!AO18,0))</f>
        <v>0</v>
      </c>
      <c r="BI15" s="296">
        <f>(IF('Section Load'!AP18&gt;0,'Section Load'!AP18,0))</f>
        <v>0</v>
      </c>
      <c r="BJ15" s="296">
        <f>(IF('Section Load'!AQ18&gt;0,'Section Load'!AQ18,0))</f>
        <v>0</v>
      </c>
      <c r="BK15" s="296">
        <f>(IF('Section Load'!AR18&gt;0,'Section Load'!AR18,0))</f>
        <v>0</v>
      </c>
      <c r="BL15" s="296">
        <f>(IF('Section Load'!AS18&gt;0,'Section Load'!AS18,0))</f>
        <v>0</v>
      </c>
      <c r="BM15" s="296">
        <f>(IF('Section Load'!AT18&gt;0,'Section Load'!AT18,0))</f>
        <v>14256</v>
      </c>
    </row>
    <row r="16" spans="1:65" x14ac:dyDescent="0.25">
      <c r="A16" s="287" t="s">
        <v>268</v>
      </c>
      <c r="B16" s="288">
        <f t="shared" si="0"/>
        <v>15</v>
      </c>
      <c r="C16" s="288">
        <v>2</v>
      </c>
      <c r="D16" s="288">
        <v>2022</v>
      </c>
      <c r="E16" s="294">
        <f>(IF('Section Load'!F19&gt;0,'Section Load'!F19,0))</f>
        <v>2552.4300000000003</v>
      </c>
      <c r="F16" s="294">
        <f>(IF('Section Load'!G19&gt;0,'Section Load'!G19,0))</f>
        <v>1497.7399999999998</v>
      </c>
      <c r="G16" s="294">
        <f>(IF('Section Load'!H19&gt;0,'Section Load'!H19,0))</f>
        <v>1386.9500000000007</v>
      </c>
      <c r="H16" s="294">
        <f>(IF('Section Load'!I19&gt;0,'Section Load'!I19,0))</f>
        <v>2494.9000000000015</v>
      </c>
      <c r="I16" s="294">
        <f>(IF('Section Load'!J19&gt;0,'Section Load'!J19,0))</f>
        <v>3008.3700000000099</v>
      </c>
      <c r="J16" s="294">
        <f>(IF('Section Load'!K19&gt;0,'Section Load'!K19,0))</f>
        <v>2012.7100000000064</v>
      </c>
      <c r="K16" s="294">
        <f>(IF('Section Load'!L19&gt;0,'Section Load'!L19,0))</f>
        <v>902.7300000000032</v>
      </c>
      <c r="L16" s="294">
        <f>(IF('Section Load'!M19&gt;0,'Section Load'!M19,0))</f>
        <v>573.68999999999869</v>
      </c>
      <c r="M16" s="294">
        <f>(IF('Section Load'!N19&gt;0,'Section Load'!N19,0))</f>
        <v>56</v>
      </c>
      <c r="N16" s="294">
        <f>(IF('Section Load'!O19&gt;0,'Section Load'!O19,0))</f>
        <v>1</v>
      </c>
      <c r="O16" s="294">
        <f>(IF('Section Load'!P19&gt;0,'Section Load'!P19,0))</f>
        <v>0</v>
      </c>
      <c r="P16" s="294">
        <f>(IF('Section Load'!Q19&gt;0,'Section Load'!Q19,0))</f>
        <v>175.9800000000032</v>
      </c>
      <c r="Q16" s="294">
        <f>(IF('Section Load'!R19&gt;0,'Section Load'!R19,0))</f>
        <v>71.919999999998254</v>
      </c>
      <c r="R16" s="294">
        <f>(IF('Section Load'!S19&gt;0,'Section Load'!S19,0))</f>
        <v>14.420000000000073</v>
      </c>
      <c r="S16" s="294">
        <f>(IF('Section Load'!T19&gt;0,'Section Load'!T19,0))</f>
        <v>381</v>
      </c>
      <c r="T16" s="294">
        <f>(IF('Section Load'!U19&gt;0,'Section Load'!U19,0))</f>
        <v>231</v>
      </c>
      <c r="U16" s="294">
        <f>(IF('Section Load'!V19&gt;0,'Section Load'!V19,0))</f>
        <v>390.8399999999674</v>
      </c>
      <c r="V16" s="294">
        <f>(IF('Section Load'!W19&gt;0,'Section Load'!W19,0))</f>
        <v>181.56000000005588</v>
      </c>
      <c r="W16" s="294">
        <f>(IF('Section Load'!X19&gt;0,'Section Load'!X19,0))</f>
        <v>26.070000000000164</v>
      </c>
      <c r="X16" s="294">
        <f>(IF('Section Load'!Y19&gt;0,'Section Load'!Y19,0))</f>
        <v>179.03999999999996</v>
      </c>
      <c r="Y16" s="294">
        <f>(IF('Section Load'!Z19&gt;0,'Section Load'!Z19,0))</f>
        <v>238</v>
      </c>
      <c r="Z16" s="294">
        <f>(IF('Section Load'!AA19&gt;0,'Section Load'!AA19,0))</f>
        <v>8.0399999999790452</v>
      </c>
      <c r="AA16" s="294">
        <f>(IF('Section Load'!AB19&gt;0,'Section Load'!AB19,0))</f>
        <v>38.30000000000291</v>
      </c>
      <c r="AB16" s="294">
        <f>(IF('Section Load'!AC19&gt;0,'Section Load'!AC19,0))</f>
        <v>2.0000000000436557E-2</v>
      </c>
      <c r="AC16" s="294">
        <f>(IF('Section Load'!AD19&gt;0,'Section Load'!AD19,0))</f>
        <v>59.600000000005821</v>
      </c>
      <c r="AD16" s="294">
        <f>(IF('Section Load'!AE19&gt;0,'Section Load'!AE19,0))</f>
        <v>0</v>
      </c>
      <c r="AE16" s="294">
        <f>(IF('Section Load'!AF19&gt;0,'Section Load'!AF19,0))</f>
        <v>23.873999999999796</v>
      </c>
      <c r="AF16" s="294">
        <f>(IF('Section Load'!AG19&gt;0,'Section Load'!AG19,0))</f>
        <v>324.19000000000233</v>
      </c>
      <c r="AG16" s="294">
        <f>(IF('Section Load'!AH19&gt;0,'Section Load'!AH19,0))</f>
        <v>345.26999999998952</v>
      </c>
      <c r="AH16" s="294">
        <f>(IF('Section Load'!AI19&gt;0,'Section Load'!AI19,0))</f>
        <v>418</v>
      </c>
      <c r="AI16" s="294">
        <f>(IF('Section Load'!AJ19&gt;0,'Section Load'!AJ19,0))</f>
        <v>645.19000000000233</v>
      </c>
      <c r="AJ16" s="294">
        <f>(IF('Section Load'!AK19&gt;0,'Section Load'!AK19,0))</f>
        <v>183.83999999999651</v>
      </c>
      <c r="AK16" s="294">
        <f>(IF('Section Load'!AL19&gt;0,'Section Load'!AL19,0))</f>
        <v>230.64000000001397</v>
      </c>
      <c r="AL16" s="294">
        <f>(IF('Section Load'!AM19&gt;0,'Section Load'!AM19,0))</f>
        <v>398.27000000000407</v>
      </c>
      <c r="AM16" s="295">
        <f>(IF('Water Report'!$R$7&gt;0,'Water Report'!$R$7,0))</f>
        <v>79</v>
      </c>
      <c r="AN16" s="295">
        <f>(IF('Water Report'!$R$8&gt;0,'Water Report'!$R$8,0))</f>
        <v>95</v>
      </c>
      <c r="AO16" s="295">
        <f>(IF('Water Report'!$R$9&gt;0,'Water Report'!$R$9,0))</f>
        <v>70</v>
      </c>
      <c r="AP16" s="295">
        <f>(IF('Water Report'!$R$10&gt;0,'Water Report'!$R$10,0))</f>
        <v>17</v>
      </c>
      <c r="AQ16" s="295">
        <f>(IF('Water Report'!$R$11&gt;0,'Water Report'!$R$11,0))</f>
        <v>23</v>
      </c>
      <c r="AR16" s="295">
        <f>(IF('Water Report'!$R$13&gt;0,'Water Report'!$R$13,0))</f>
        <v>23</v>
      </c>
      <c r="AS16" s="295">
        <f>(IF('Water Report'!$R$14&gt;0,'Water Report'!$R$14,0))</f>
        <v>11</v>
      </c>
      <c r="AT16" s="295">
        <f>(IF('Water Report'!$R$15&gt;0,'Water Report'!$R$15,0))</f>
        <v>7</v>
      </c>
      <c r="AU16" s="295">
        <f>(IF('Water Report'!$R$17&gt;0,'Water Report'!$R$17,0))</f>
        <v>0</v>
      </c>
      <c r="AV16" s="295">
        <f>(IF('Water Report'!$R$18&gt;0,'Water Report'!$R$18,0))</f>
        <v>10</v>
      </c>
      <c r="AW16" s="295">
        <f>(IF('Water Report'!$R$19&gt;0,'Water Report'!$R$19,0))</f>
        <v>13</v>
      </c>
      <c r="AX16" s="301">
        <f>(IF('Water Report'!$R$21&gt;0,'Water Report'!$R$21,0))</f>
        <v>72</v>
      </c>
      <c r="AY16" s="301">
        <f>(IF('Water Report'!$R$22&gt;0,'Water Report'!$R$22,0))</f>
        <v>20</v>
      </c>
      <c r="AZ16" s="301">
        <f>(IF('Water Report'!$R$23&gt;0,'Water Report'!$R$23,0))</f>
        <v>11</v>
      </c>
      <c r="BA16" s="301">
        <f>(IF('Water Report'!$R$14&gt;0,'Water Report'!$R$14,0))</f>
        <v>11</v>
      </c>
      <c r="BB16" s="301">
        <f>(IF('Water Report'!$R$15&gt;0,'Water Report'!$R$15,0))</f>
        <v>7</v>
      </c>
      <c r="BC16" s="301">
        <f>(IF('Water Report'!$R$13&gt;0,'Water Report'!$R$13,0))</f>
        <v>23</v>
      </c>
      <c r="BD16" s="301">
        <f>(IF('Water Report'!$R$24&gt;0,'Water Report'!$R$24,0))</f>
        <v>155</v>
      </c>
      <c r="BE16" s="301">
        <f>(IF('Water Report'!$R$25&gt;0,'Water Report'!$R$25,0))</f>
        <v>128</v>
      </c>
      <c r="BF16" s="301">
        <f>(IF('Water Report'!$R$27&gt;0,'Water Report'!$R$27,0))</f>
        <v>106</v>
      </c>
      <c r="BG16" s="296">
        <f>(IF('Section Load'!AN19&gt;0,'Section Load'!AN19,0))</f>
        <v>965</v>
      </c>
      <c r="BH16" s="296">
        <f>(IF('Section Load'!AO19&gt;0,'Section Load'!AO19,0))</f>
        <v>313</v>
      </c>
      <c r="BI16" s="296">
        <f>(IF('Section Load'!AP19&gt;0,'Section Load'!AP19,0))</f>
        <v>0</v>
      </c>
      <c r="BJ16" s="296">
        <f>(IF('Section Load'!AQ19&gt;0,'Section Load'!AQ19,0))</f>
        <v>75</v>
      </c>
      <c r="BK16" s="296">
        <f>(IF('Section Load'!AR19&gt;0,'Section Load'!AR19,0))</f>
        <v>26.400000000001455</v>
      </c>
      <c r="BL16" s="296">
        <f>(IF('Section Load'!AS19&gt;0,'Section Load'!AS19,0))</f>
        <v>1</v>
      </c>
      <c r="BM16" s="296">
        <f>(IF('Section Load'!AT19&gt;0,'Section Load'!AT19,0))</f>
        <v>549.59999999999854</v>
      </c>
    </row>
    <row r="17" spans="1:65" x14ac:dyDescent="0.25">
      <c r="A17" s="287" t="s">
        <v>268</v>
      </c>
      <c r="B17" s="288">
        <f t="shared" si="0"/>
        <v>16</v>
      </c>
      <c r="C17" s="288">
        <v>2</v>
      </c>
      <c r="D17" s="288">
        <v>2022</v>
      </c>
      <c r="E17" s="294">
        <f>(IF('Section Load'!F20&gt;0,'Section Load'!F20,0))</f>
        <v>2589.5699999999997</v>
      </c>
      <c r="F17" s="294">
        <f>(IF('Section Load'!G20&gt;0,'Section Load'!G20,0))</f>
        <v>1483.2600000000002</v>
      </c>
      <c r="G17" s="294">
        <f>(IF('Section Load'!H20&gt;0,'Section Load'!H20,0))</f>
        <v>1625.0499999999993</v>
      </c>
      <c r="H17" s="294">
        <f>(IF('Section Load'!I20&gt;0,'Section Load'!I20,0))</f>
        <v>2600.0999999999985</v>
      </c>
      <c r="I17" s="294">
        <f>(IF('Section Load'!J20&gt;0,'Section Load'!J20,0))</f>
        <v>3032.7699999999968</v>
      </c>
      <c r="J17" s="294">
        <f>(IF('Section Load'!K20&gt;0,'Section Load'!K20,0))</f>
        <v>2071.2899999999936</v>
      </c>
      <c r="K17" s="294">
        <f>(IF('Section Load'!L20&gt;0,'Section Load'!L20,0))</f>
        <v>868.2699999999968</v>
      </c>
      <c r="L17" s="294">
        <f>(IF('Section Load'!M20&gt;0,'Section Load'!M20,0))</f>
        <v>587.31000000000131</v>
      </c>
      <c r="M17" s="294">
        <f>(IF('Section Load'!N20&gt;0,'Section Load'!N20,0))</f>
        <v>59</v>
      </c>
      <c r="N17" s="294">
        <f>(IF('Section Load'!O20&gt;0,'Section Load'!O20,0))</f>
        <v>0</v>
      </c>
      <c r="O17" s="294">
        <f>(IF('Section Load'!P20&gt;0,'Section Load'!P20,0))</f>
        <v>0</v>
      </c>
      <c r="P17" s="294">
        <f>(IF('Section Load'!Q20&gt;0,'Section Load'!Q20,0))</f>
        <v>165.0199999999968</v>
      </c>
      <c r="Q17" s="294">
        <f>(IF('Section Load'!R20&gt;0,'Section Load'!R20,0))</f>
        <v>76.080000000001746</v>
      </c>
      <c r="R17" s="294">
        <f>(IF('Section Load'!S20&gt;0,'Section Load'!S20,0))</f>
        <v>15.579999999999927</v>
      </c>
      <c r="S17" s="294">
        <f>(IF('Section Load'!T20&gt;0,'Section Load'!T20,0))</f>
        <v>441</v>
      </c>
      <c r="T17" s="294">
        <f>(IF('Section Load'!U20&gt;0,'Section Load'!U20,0))</f>
        <v>226</v>
      </c>
      <c r="U17" s="294">
        <f>(IF('Section Load'!V20&gt;0,'Section Load'!V20,0))</f>
        <v>336.1600000000326</v>
      </c>
      <c r="V17" s="294">
        <f>(IF('Section Load'!W20&gt;0,'Section Load'!W20,0))</f>
        <v>163.43999999994412</v>
      </c>
      <c r="W17" s="294">
        <f>(IF('Section Load'!X20&gt;0,'Section Load'!X20,0))</f>
        <v>22.929999999999836</v>
      </c>
      <c r="X17" s="294">
        <f>(IF('Section Load'!Y20&gt;0,'Section Load'!Y20,0))</f>
        <v>187.96000000000004</v>
      </c>
      <c r="Y17" s="294">
        <f>(IF('Section Load'!Z20&gt;0,'Section Load'!Z20,0))</f>
        <v>224</v>
      </c>
      <c r="Z17" s="294">
        <f>(IF('Section Load'!AA20&gt;0,'Section Load'!AA20,0))</f>
        <v>6.9600000000209548</v>
      </c>
      <c r="AA17" s="294">
        <f>(IF('Section Load'!AB20&gt;0,'Section Load'!AB20,0))</f>
        <v>13.69999999999709</v>
      </c>
      <c r="AB17" s="294">
        <f>(IF('Section Load'!AC20&gt;0,'Section Load'!AC20,0))</f>
        <v>0</v>
      </c>
      <c r="AC17" s="294">
        <f>(IF('Section Load'!AD20&gt;0,'Section Load'!AD20,0))</f>
        <v>36.399999999994179</v>
      </c>
      <c r="AD17" s="294">
        <f>(IF('Section Load'!AE20&gt;0,'Section Load'!AE20,0))</f>
        <v>0</v>
      </c>
      <c r="AE17" s="294">
        <f>(IF('Section Load'!AF20&gt;0,'Section Load'!AF20,0))</f>
        <v>23.126000000000204</v>
      </c>
      <c r="AF17" s="294">
        <f>(IF('Section Load'!AG20&gt;0,'Section Load'!AG20,0))</f>
        <v>306.80999999999767</v>
      </c>
      <c r="AG17" s="294">
        <f>(IF('Section Load'!AH20&gt;0,'Section Load'!AH20,0))</f>
        <v>457.73000000001048</v>
      </c>
      <c r="AH17" s="294">
        <f>(IF('Section Load'!AI20&gt;0,'Section Load'!AI20,0))</f>
        <v>435</v>
      </c>
      <c r="AI17" s="294">
        <f>(IF('Section Load'!AJ20&gt;0,'Section Load'!AJ20,0))</f>
        <v>669.80999999999767</v>
      </c>
      <c r="AJ17" s="294">
        <f>(IF('Section Load'!AK20&gt;0,'Section Load'!AK20,0))</f>
        <v>168.16000000000349</v>
      </c>
      <c r="AK17" s="294">
        <f>(IF('Section Load'!AL20&gt;0,'Section Load'!AL20,0))</f>
        <v>270.35999999998603</v>
      </c>
      <c r="AL17" s="294">
        <f>(IF('Section Load'!AM20&gt;0,'Section Load'!AM20,0))</f>
        <v>468.72999999999593</v>
      </c>
      <c r="AM17" s="295">
        <f>(IF('Water Report'!$S$7&gt;0,'Water Report'!$S$7,0))</f>
        <v>66</v>
      </c>
      <c r="AN17" s="295">
        <f>(IF('Water Report'!$S$8&gt;0,'Water Report'!$S$8,0))</f>
        <v>91</v>
      </c>
      <c r="AO17" s="295">
        <f>(IF('Water Report'!$S$9&gt;0,'Water Report'!$S$9,0))</f>
        <v>62</v>
      </c>
      <c r="AP17" s="295">
        <f>(IF('Water Report'!$S$10&gt;0,'Water Report'!$D$10,0))</f>
        <v>17</v>
      </c>
      <c r="AQ17" s="295">
        <f>(IF('Water Report'!$S$11&gt;0,'Water Report'!$D$11,0))</f>
        <v>14</v>
      </c>
      <c r="AR17" s="295">
        <f>(IF('Water Report'!$S$13&gt;0,'Water Report'!$D$13,0))</f>
        <v>39</v>
      </c>
      <c r="AS17" s="295">
        <f>(IF('Water Report'!$S$14&gt;0,'Water Report'!$D$14,0))</f>
        <v>9</v>
      </c>
      <c r="AT17" s="295">
        <f>(IF('Water Report'!$S$15&gt;0,'Water Report'!$D$15,0))</f>
        <v>8</v>
      </c>
      <c r="AU17" s="295">
        <f>(IF('Water Report'!$S$17&gt;0,'Water Report'!$D$17,0))</f>
        <v>0</v>
      </c>
      <c r="AV17" s="295">
        <f>(IF('Water Report'!$S$18&gt;0,'Water Report'!$D$18,0))</f>
        <v>11</v>
      </c>
      <c r="AW17" s="295">
        <f>(IF('Water Report'!$S$19&gt;0,'Water Report'!$D$19,0))</f>
        <v>10</v>
      </c>
      <c r="AX17" s="301">
        <f>(IF('Water Report'!$S$21&gt;0,'Water Report'!$D$21,0))</f>
        <v>43</v>
      </c>
      <c r="AY17" s="301">
        <f>(IF('Water Report'!$S$22&gt;0,'Water Report'!$D$22,0))</f>
        <v>29</v>
      </c>
      <c r="AZ17" s="301">
        <f>(IF('Water Report'!$S$23&gt;0,'Water Report'!$D$23,0))</f>
        <v>3</v>
      </c>
      <c r="BA17" s="301">
        <f>(IF('Water Report'!$S$14&gt;0,'Water Report'!$D$14,0))</f>
        <v>9</v>
      </c>
      <c r="BB17" s="301">
        <f>(IF('Water Report'!$S$15&gt;0,'Water Report'!$D$15,0))</f>
        <v>8</v>
      </c>
      <c r="BC17" s="301">
        <f>(IF('Water Report'!$S$13&gt;0,'Water Report'!$D$13,0))</f>
        <v>39</v>
      </c>
      <c r="BD17" s="301">
        <f>(IF('Water Report'!$S$24&gt;0,'Water Report'!$D$24,0))</f>
        <v>235</v>
      </c>
      <c r="BE17" s="301">
        <f>(IF('Water Report'!$S$25&gt;0,'Water Report'!$D$25,0))</f>
        <v>119</v>
      </c>
      <c r="BF17" s="301">
        <f>(IF('Water Report'!$S$27&gt;0,'Water Report'!$D$27,0))</f>
        <v>85</v>
      </c>
      <c r="BG17" s="296">
        <f>(IF('Section Load'!AN20&gt;0,'Section Load'!AN20,0))</f>
        <v>1006</v>
      </c>
      <c r="BH17" s="296">
        <f>(IF('Section Load'!AO20&gt;0,'Section Load'!AO20,0))</f>
        <v>304</v>
      </c>
      <c r="BI17" s="296">
        <f>(IF('Section Load'!AP20&gt;0,'Section Load'!AP20,0))</f>
        <v>0</v>
      </c>
      <c r="BJ17" s="296">
        <f>(IF('Section Load'!AQ20&gt;0,'Section Load'!AQ20,0))</f>
        <v>90</v>
      </c>
      <c r="BK17" s="296">
        <f>(IF('Section Load'!AR20&gt;0,'Section Load'!AR20,0))</f>
        <v>26.599999999998545</v>
      </c>
      <c r="BL17" s="296">
        <f>(IF('Section Load'!AS20&gt;0,'Section Load'!AS20,0))</f>
        <v>1</v>
      </c>
      <c r="BM17" s="296">
        <f>(IF('Section Load'!AT20&gt;0,'Section Load'!AT20,0))</f>
        <v>584.40000000000146</v>
      </c>
    </row>
    <row r="18" spans="1:65" x14ac:dyDescent="0.25">
      <c r="A18" s="287" t="s">
        <v>268</v>
      </c>
      <c r="B18" s="288">
        <f t="shared" si="0"/>
        <v>17</v>
      </c>
      <c r="C18" s="288">
        <v>2</v>
      </c>
      <c r="D18" s="288">
        <v>2022</v>
      </c>
      <c r="E18" s="294">
        <f>(IF('Section Load'!F21&gt;0,'Section Load'!F21,0))</f>
        <v>2686.2100000000009</v>
      </c>
      <c r="F18" s="294">
        <f>(IF('Section Load'!G21&gt;0,'Section Load'!G21,0))</f>
        <v>1510.42</v>
      </c>
      <c r="G18" s="294">
        <f>(IF('Section Load'!H21&gt;0,'Section Load'!H21,0))</f>
        <v>1604.1599999999999</v>
      </c>
      <c r="H18" s="294">
        <f>(IF('Section Load'!I21&gt;0,'Section Load'!I21,0))</f>
        <v>2698</v>
      </c>
      <c r="I18" s="294">
        <f>(IF('Section Load'!J21&gt;0,'Section Load'!J21,0))</f>
        <v>3005.1699999999983</v>
      </c>
      <c r="J18" s="294">
        <f>(IF('Section Load'!K21&gt;0,'Section Load'!K21,0))</f>
        <v>2219.1499999999942</v>
      </c>
      <c r="K18" s="294">
        <f>(IF('Section Load'!L21&gt;0,'Section Load'!L21,0))</f>
        <v>838.52999999999884</v>
      </c>
      <c r="L18" s="294">
        <f>(IF('Section Load'!M21&gt;0,'Section Load'!M21,0))</f>
        <v>592.45999999999913</v>
      </c>
      <c r="M18" s="294">
        <f>(IF('Section Load'!N21&gt;0,'Section Load'!N21,0))</f>
        <v>60</v>
      </c>
      <c r="N18" s="294">
        <f>(IF('Section Load'!O21&gt;0,'Section Load'!O21,0))</f>
        <v>0</v>
      </c>
      <c r="O18" s="294">
        <f>(IF('Section Load'!P21&gt;0,'Section Load'!P21,0))</f>
        <v>0</v>
      </c>
      <c r="P18" s="294">
        <f>(IF('Section Load'!Q21&gt;0,'Section Load'!Q21,0))</f>
        <v>158.80000000000291</v>
      </c>
      <c r="Q18" s="294">
        <f>(IF('Section Load'!R21&gt;0,'Section Load'!R21,0))</f>
        <v>78.090000000000146</v>
      </c>
      <c r="R18" s="294">
        <f>(IF('Section Load'!S21&gt;0,'Section Load'!S21,0))</f>
        <v>14.340000000000146</v>
      </c>
      <c r="S18" s="294">
        <f>(IF('Section Load'!T21&gt;0,'Section Load'!T21,0))</f>
        <v>428</v>
      </c>
      <c r="T18" s="294">
        <f>(IF('Section Load'!U21&gt;0,'Section Load'!U21,0))</f>
        <v>233</v>
      </c>
      <c r="U18" s="294">
        <f>(IF('Section Load'!V21&gt;0,'Section Load'!V21,0))</f>
        <v>330</v>
      </c>
      <c r="V18" s="294">
        <f>(IF('Section Load'!W21&gt;0,'Section Load'!W21,0))</f>
        <v>164</v>
      </c>
      <c r="W18" s="294">
        <f>(IF('Section Load'!X21&gt;0,'Section Load'!X21,0))</f>
        <v>27.510000000000218</v>
      </c>
      <c r="X18" s="294">
        <f>(IF('Section Load'!Y21&gt;0,'Section Load'!Y21,0))</f>
        <v>17.599999999999909</v>
      </c>
      <c r="Y18" s="294">
        <f>(IF('Section Load'!Z21&gt;0,'Section Load'!Z21,0))</f>
        <v>213</v>
      </c>
      <c r="Z18" s="294">
        <f>(IF('Section Load'!AA21&gt;0,'Section Load'!AA21,0))</f>
        <v>7</v>
      </c>
      <c r="AA18" s="294">
        <f>(IF('Section Load'!AB21&gt;0,'Section Load'!AB21,0))</f>
        <v>37</v>
      </c>
      <c r="AB18" s="294">
        <f>(IF('Section Load'!AC21&gt;0,'Section Load'!AC21,0))</f>
        <v>0</v>
      </c>
      <c r="AC18" s="294">
        <f>(IF('Section Load'!AD21&gt;0,'Section Load'!AD21,0))</f>
        <v>62.599999999996726</v>
      </c>
      <c r="AD18" s="294">
        <f>(IF('Section Load'!AE21&gt;0,'Section Load'!AE21,0))</f>
        <v>0</v>
      </c>
      <c r="AE18" s="294">
        <f>(IF('Section Load'!AF21&gt;0,'Section Load'!AF21,0))</f>
        <v>22.9699999999998</v>
      </c>
      <c r="AF18" s="294">
        <f>(IF('Section Load'!AG21&gt;0,'Section Load'!AG21,0))</f>
        <v>337</v>
      </c>
      <c r="AG18" s="294">
        <f>(IF('Section Load'!AH21&gt;0,'Section Load'!AH21,0))</f>
        <v>457</v>
      </c>
      <c r="AH18" s="294">
        <f>(IF('Section Load'!AI21&gt;0,'Section Load'!AI21,0))</f>
        <v>434.40000000000146</v>
      </c>
      <c r="AI18" s="294">
        <f>(IF('Section Load'!AJ21&gt;0,'Section Load'!AJ21,0))</f>
        <v>691</v>
      </c>
      <c r="AJ18" s="294">
        <f>(IF('Section Load'!AK21&gt;0,'Section Load'!AK21,0))</f>
        <v>185.44000000000233</v>
      </c>
      <c r="AK18" s="294">
        <f>(IF('Section Load'!AL21&gt;0,'Section Load'!AL21,0))</f>
        <v>256.63000000000466</v>
      </c>
      <c r="AL18" s="294">
        <f>(IF('Section Load'!AM21&gt;0,'Section Load'!AM21,0))</f>
        <v>488.60000000000582</v>
      </c>
      <c r="AM18" s="295">
        <f>(IF('Water Report'!$T$7&gt;0,'Water Report'!$T$7,0))</f>
        <v>66</v>
      </c>
      <c r="AN18" s="295">
        <f>(IF('Water Report'!$T$8&gt;0,'Water Report'!$T$8,0))</f>
        <v>84</v>
      </c>
      <c r="AO18" s="295">
        <f>(IF('Water Report'!$T$9&gt;0,'Water Report'!$T$9,0))</f>
        <v>65</v>
      </c>
      <c r="AP18" s="295">
        <f>(IF('Water Report'!$T$10&gt;0,'Water Report'!$T$10,0))</f>
        <v>15</v>
      </c>
      <c r="AQ18" s="295">
        <f>(IF('Water Report'!$T$11&gt;0,'Water Report'!$T$11,0))</f>
        <v>19</v>
      </c>
      <c r="AR18" s="295">
        <f>(IF('Water Report'!$T$13&gt;0,'Water Report'!$T$13,0))</f>
        <v>21</v>
      </c>
      <c r="AS18" s="295">
        <f>(IF('Water Report'!$T$14&gt;0,'Water Report'!$T$14,0))</f>
        <v>8</v>
      </c>
      <c r="AT18" s="295">
        <f>(IF('Water Report'!$T$15&gt;0,'Water Report'!$T$15,0))</f>
        <v>7</v>
      </c>
      <c r="AU18" s="295">
        <f>(IF('Water Report'!$T$17&gt;0,'Water Report'!$T$17,0))</f>
        <v>0</v>
      </c>
      <c r="AV18" s="295">
        <f>(IF('Water Report'!$T$18&gt;0,'Water Report'!$T$18,0))</f>
        <v>0</v>
      </c>
      <c r="AW18" s="295">
        <f>(IF('Water Report'!$T$19&gt;0,'Water Report'!$T$19,0))</f>
        <v>7</v>
      </c>
      <c r="AX18" s="301">
        <f>(IF('Water Report'!$T$21&gt;0,'Water Report'!$T$21,0))</f>
        <v>60</v>
      </c>
      <c r="AY18" s="301">
        <f>(IF('Water Report'!$T$22&gt;0,'Water Report'!$T$22,0))</f>
        <v>27</v>
      </c>
      <c r="AZ18" s="301">
        <f>(IF('Water Report'!$T$23&gt;0,'Water Report'!$T$23,0))</f>
        <v>1</v>
      </c>
      <c r="BA18" s="301">
        <f>(IF('Water Report'!$T$14&gt;0,'Water Report'!$T$14,0))</f>
        <v>8</v>
      </c>
      <c r="BB18" s="301">
        <f>(IF('Water Report'!$T$15&gt;0,'Water Report'!$T$15,0))</f>
        <v>7</v>
      </c>
      <c r="BC18" s="301">
        <f>(IF('Water Report'!$T$13&gt;0,'Water Report'!$T$13,0))</f>
        <v>21</v>
      </c>
      <c r="BD18" s="301">
        <f>(IF('Water Report'!$T$24&gt;0,'Water Report'!$T$24,0))</f>
        <v>133</v>
      </c>
      <c r="BE18" s="301">
        <f>(IF('Water Report'!$T$25&gt;0,'Water Report'!$T$25,0))</f>
        <v>114</v>
      </c>
      <c r="BF18" s="301">
        <f>(IF('Water Report'!$T$27&gt;0,'Water Report'!$T$27,0))</f>
        <v>82</v>
      </c>
      <c r="BG18" s="296">
        <f>(IF('Section Load'!AN21&gt;0,'Section Load'!AN21,0))</f>
        <v>734.2730000000447</v>
      </c>
      <c r="BH18" s="296">
        <f>(IF('Section Load'!AO21&gt;0,'Section Load'!AO21,0))</f>
        <v>307.90000000002328</v>
      </c>
      <c r="BI18" s="296">
        <f>(IF('Section Load'!AP21&gt;0,'Section Load'!AP21,0))</f>
        <v>0</v>
      </c>
      <c r="BJ18" s="296">
        <f>(IF('Section Load'!AQ21&gt;0,'Section Load'!AQ21,0))</f>
        <v>73.5</v>
      </c>
      <c r="BK18" s="296">
        <f>(IF('Section Load'!AR21&gt;0,'Section Load'!AR21,0))</f>
        <v>23.30000000000291</v>
      </c>
      <c r="BL18" s="296">
        <f>(IF('Section Load'!AS21&gt;0,'Section Load'!AS21,0))</f>
        <v>0</v>
      </c>
      <c r="BM18" s="296">
        <f>(IF('Section Load'!AT21&gt;0,'Section Load'!AT21,0))</f>
        <v>329.7730000000156</v>
      </c>
    </row>
    <row r="19" spans="1:65" x14ac:dyDescent="0.25">
      <c r="A19" s="287" t="s">
        <v>268</v>
      </c>
      <c r="B19" s="288">
        <f t="shared" si="0"/>
        <v>18</v>
      </c>
      <c r="C19" s="288">
        <v>2</v>
      </c>
      <c r="D19" s="288">
        <v>2022</v>
      </c>
      <c r="E19" s="294">
        <f>(IF('Section Load'!F22&gt;0,'Section Load'!F22,0))</f>
        <v>2634.4799999999996</v>
      </c>
      <c r="F19" s="294">
        <f>(IF('Section Load'!G22&gt;0,'Section Load'!G22,0))</f>
        <v>1562.5499999999993</v>
      </c>
      <c r="G19" s="294">
        <f>(IF('Section Load'!H22&gt;0,'Section Load'!H22,0))</f>
        <v>1696.2999999999993</v>
      </c>
      <c r="H19" s="294">
        <f>(IF('Section Load'!I22&gt;0,'Section Load'!I22,0))</f>
        <v>2546.4900000000016</v>
      </c>
      <c r="I19" s="294">
        <f>(IF('Section Load'!J22&gt;0,'Section Load'!J22,0))</f>
        <v>3090.5200000000041</v>
      </c>
      <c r="J19" s="294">
        <f>(IF('Section Load'!K22&gt;0,'Section Load'!K22,0))</f>
        <v>2338</v>
      </c>
      <c r="K19" s="294">
        <f>(IF('Section Load'!L22&gt;0,'Section Load'!L22,0))</f>
        <v>921.40000000000146</v>
      </c>
      <c r="L19" s="294">
        <f>(IF('Section Load'!M22&gt;0,'Section Load'!M22,0))</f>
        <v>600.90000000000146</v>
      </c>
      <c r="M19" s="294">
        <f>(IF('Section Load'!N22&gt;0,'Section Load'!N22,0))</f>
        <v>60</v>
      </c>
      <c r="N19" s="294">
        <f>(IF('Section Load'!O22&gt;0,'Section Load'!O22,0))</f>
        <v>1</v>
      </c>
      <c r="O19" s="294">
        <f>(IF('Section Load'!P22&gt;0,'Section Load'!P22,0))</f>
        <v>0</v>
      </c>
      <c r="P19" s="294">
        <f>(IF('Section Load'!Q22&gt;0,'Section Load'!Q22,0))</f>
        <v>171.84999999999854</v>
      </c>
      <c r="Q19" s="294">
        <f>(IF('Section Load'!R22&gt;0,'Section Load'!R22,0))</f>
        <v>80.540000000000873</v>
      </c>
      <c r="R19" s="294">
        <f>(IF('Section Load'!S22&gt;0,'Section Load'!S22,0))</f>
        <v>14.849999999999454</v>
      </c>
      <c r="S19" s="294">
        <f>(IF('Section Load'!T22&gt;0,'Section Load'!T22,0))</f>
        <v>366</v>
      </c>
      <c r="T19" s="294">
        <f>(IF('Section Load'!U22&gt;0,'Section Load'!U22,0))</f>
        <v>220</v>
      </c>
      <c r="U19" s="294">
        <f>(IF('Section Load'!V22&gt;0,'Section Load'!V22,0))</f>
        <v>304.56000000005588</v>
      </c>
      <c r="V19" s="294">
        <f>(IF('Section Load'!W22&gt;0,'Section Load'!W22,0))</f>
        <v>155.43999999994412</v>
      </c>
      <c r="W19" s="294">
        <f>(IF('Section Load'!X22&gt;0,'Section Load'!X22,0))</f>
        <v>24.949999999999818</v>
      </c>
      <c r="X19" s="294">
        <f>(IF('Section Load'!Y22&gt;0,'Section Load'!Y22,0))</f>
        <v>131.88000000000011</v>
      </c>
      <c r="Y19" s="294">
        <f>(IF('Section Load'!Z22&gt;0,'Section Load'!Z22,0))</f>
        <v>254</v>
      </c>
      <c r="Z19" s="294">
        <f>(IF('Section Load'!AA22&gt;0,'Section Load'!AA22,0))</f>
        <v>7.5599999999976717</v>
      </c>
      <c r="AA19" s="294">
        <f>(IF('Section Load'!AB22&gt;0,'Section Load'!AB22,0))</f>
        <v>40.30000000000291</v>
      </c>
      <c r="AB19" s="294">
        <f>(IF('Section Load'!AC22&gt;0,'Section Load'!AC22,0))</f>
        <v>1.8699999999989814</v>
      </c>
      <c r="AC19" s="294">
        <f>(IF('Section Load'!AD22&gt;0,'Section Load'!AD22,0))</f>
        <v>71.900000000003274</v>
      </c>
      <c r="AD19" s="294">
        <f>(IF('Section Load'!AE22&gt;0,'Section Load'!AE22,0))</f>
        <v>0</v>
      </c>
      <c r="AE19" s="294">
        <f>(IF('Section Load'!AF22&gt;0,'Section Load'!AF22,0))</f>
        <v>23.140000000000327</v>
      </c>
      <c r="AF19" s="294">
        <f>(IF('Section Load'!AG22&gt;0,'Section Load'!AG22,0))</f>
        <v>351.48999999999069</v>
      </c>
      <c r="AG19" s="294">
        <f>(IF('Section Load'!AH22&gt;0,'Section Load'!AH22,0))</f>
        <v>441.04999999998836</v>
      </c>
      <c r="AH19" s="294">
        <f>(IF('Section Load'!AI22&gt;0,'Section Load'!AI22,0))</f>
        <v>434.66999999999825</v>
      </c>
      <c r="AI19" s="294">
        <f>(IF('Section Load'!AJ22&gt;0,'Section Load'!AJ22,0))</f>
        <v>651</v>
      </c>
      <c r="AJ19" s="294">
        <f>(IF('Section Load'!AK22&gt;0,'Section Load'!AK22,0))</f>
        <v>168.55999999999767</v>
      </c>
      <c r="AK19" s="294">
        <f>(IF('Section Load'!AL22&gt;0,'Section Load'!AL22,0))</f>
        <v>264.95999999999185</v>
      </c>
      <c r="AL19" s="294">
        <f>(IF('Section Load'!AM22&gt;0,'Section Load'!AM22,0))</f>
        <v>500.79999999998836</v>
      </c>
      <c r="AM19" s="295">
        <f>(IF('Water Report'!$U$7&gt;0,'Water Report'!$U$7,0))</f>
        <v>69</v>
      </c>
      <c r="AN19" s="295">
        <f>(IF('Water Report'!$U$8&gt;0,'Water Report'!$U$8,0))</f>
        <v>124</v>
      </c>
      <c r="AO19" s="295">
        <f>(IF('Water Report'!$U$9&gt;0,'Water Report'!$U$9,0))</f>
        <v>64</v>
      </c>
      <c r="AP19" s="295">
        <f>(IF('Water Report'!$U$10&gt;0,'Water Report'!$U$10,0))</f>
        <v>11</v>
      </c>
      <c r="AQ19" s="295">
        <f>(IF('Water Report'!$U$11&gt;0,'Water Report'!$U$11,0))</f>
        <v>22</v>
      </c>
      <c r="AR19" s="295">
        <f>(IF('Water Report'!$U$13&gt;0,'Water Report'!$U$13,0))</f>
        <v>55</v>
      </c>
      <c r="AS19" s="295">
        <f>(IF('Water Report'!$U$14&gt;0,'Water Report'!$U$14,0))</f>
        <v>12</v>
      </c>
      <c r="AT19" s="295">
        <f>(IF('Water Report'!$U$15&gt;0,'Water Report'!$U$15,0))</f>
        <v>4</v>
      </c>
      <c r="AU19" s="295">
        <f>(IF('Water Report'!$U$17&gt;0,'Water Report'!$U$17,0))</f>
        <v>0</v>
      </c>
      <c r="AV19" s="295">
        <f>(IF('Water Report'!$U$18&gt;0,'Water Report'!$U$18,0))</f>
        <v>13</v>
      </c>
      <c r="AW19" s="295">
        <f>(IF('Water Report'!$U$19&gt;0,'Water Report'!$U$19,0))</f>
        <v>10</v>
      </c>
      <c r="AX19" s="301">
        <f>(IF('Water Report'!$U$21&gt;0,'Water Report'!$U$21,0))</f>
        <v>64</v>
      </c>
      <c r="AY19" s="301">
        <f>(IF('Water Report'!$U$22&gt;0,'Water Report'!$U$22,0))</f>
        <v>54</v>
      </c>
      <c r="AZ19" s="301">
        <f>(IF('Water Report'!$U$23&gt;0,'Water Report'!$U$23,0))</f>
        <v>15</v>
      </c>
      <c r="BA19" s="301">
        <f>(IF('Water Report'!$U$14&gt;0,'Water Report'!$U$14,0))</f>
        <v>12</v>
      </c>
      <c r="BB19" s="301">
        <f>(IF('Water Report'!$U$15&gt;0,'Water Report'!$U$15,0))</f>
        <v>4</v>
      </c>
      <c r="BC19" s="301">
        <f>(IF('Water Report'!$U$13&gt;0,'Water Report'!$U$13,0))</f>
        <v>55</v>
      </c>
      <c r="BD19" s="301">
        <f>(IF('Water Report'!$U$24&gt;0,'Water Report'!$U$24,0))</f>
        <v>154</v>
      </c>
      <c r="BE19" s="301">
        <f>(IF('Water Report'!$U$25&gt;0,'Water Report'!$U$25,0))</f>
        <v>113</v>
      </c>
      <c r="BF19" s="301">
        <f>(IF('Water Report'!$U$27&gt;0,'Water Report'!$U$27,0))</f>
        <v>134</v>
      </c>
      <c r="BG19" s="296">
        <f>(IF('Section Load'!AN22&gt;0,'Section Load'!AN22,0))</f>
        <v>881.7269999999553</v>
      </c>
      <c r="BH19" s="296">
        <f>(IF('Section Load'!AO22&gt;0,'Section Load'!AO22,0))</f>
        <v>285.25</v>
      </c>
      <c r="BI19" s="296">
        <f>(IF('Section Load'!AP22&gt;0,'Section Load'!AP22,0))</f>
        <v>0</v>
      </c>
      <c r="BJ19" s="296">
        <f>(IF('Section Load'!AQ22&gt;0,'Section Load'!AQ22,0))</f>
        <v>80.5</v>
      </c>
      <c r="BK19" s="296">
        <f>(IF('Section Load'!AR22&gt;0,'Section Load'!AR22,0))</f>
        <v>22.69999999999709</v>
      </c>
      <c r="BL19" s="296">
        <f>(IF('Section Load'!AS22&gt;0,'Section Load'!AS22,0))</f>
        <v>1</v>
      </c>
      <c r="BM19" s="296">
        <f>(IF('Section Load'!AT22&gt;0,'Section Load'!AT22,0))</f>
        <v>492.27699999995821</v>
      </c>
    </row>
    <row r="20" spans="1:65" x14ac:dyDescent="0.25">
      <c r="A20" s="287" t="s">
        <v>268</v>
      </c>
      <c r="B20" s="288">
        <f t="shared" si="0"/>
        <v>19</v>
      </c>
      <c r="C20" s="288">
        <v>2</v>
      </c>
      <c r="D20" s="288">
        <v>2022</v>
      </c>
      <c r="E20" s="294">
        <f>(IF('Section Load'!F23&gt;0,'Section Load'!F23,0))</f>
        <v>2941.6499999999996</v>
      </c>
      <c r="F20" s="294">
        <f>(IF('Section Load'!G23&gt;0,'Section Load'!G23,0))</f>
        <v>1596.17</v>
      </c>
      <c r="G20" s="294">
        <f>(IF('Section Load'!H23&gt;0,'Section Load'!H23,0))</f>
        <v>1623.5400000000009</v>
      </c>
      <c r="H20" s="294">
        <f>(IF('Section Load'!I23&gt;0,'Section Load'!I23,0))</f>
        <v>2646.0699999999997</v>
      </c>
      <c r="I20" s="294">
        <f>(IF('Section Load'!J23&gt;0,'Section Load'!J23,0))</f>
        <v>2846.1399999999994</v>
      </c>
      <c r="J20" s="294">
        <f>(IF('Section Load'!K23&gt;0,'Section Load'!K23,0))</f>
        <v>2372.3700000000099</v>
      </c>
      <c r="K20" s="294">
        <f>(IF('Section Load'!L23&gt;0,'Section Load'!L23,0))</f>
        <v>975.76000000000204</v>
      </c>
      <c r="L20" s="294">
        <f>(IF('Section Load'!M23&gt;0,'Section Load'!M23,0))</f>
        <v>661.59999999999854</v>
      </c>
      <c r="M20" s="294">
        <f>(IF('Section Load'!N23&gt;0,'Section Load'!N23,0))</f>
        <v>59</v>
      </c>
      <c r="N20" s="294">
        <f>(IF('Section Load'!O23&gt;0,'Section Load'!O23,0))</f>
        <v>0</v>
      </c>
      <c r="O20" s="294">
        <f>(IF('Section Load'!P23&gt;0,'Section Load'!P23,0))</f>
        <v>0</v>
      </c>
      <c r="P20" s="294">
        <f>(IF('Section Load'!Q23&gt;0,'Section Load'!Q23,0))</f>
        <v>171.04999999999563</v>
      </c>
      <c r="Q20" s="294">
        <f>(IF('Section Load'!R23&gt;0,'Section Load'!R23,0))</f>
        <v>66.610000000000582</v>
      </c>
      <c r="R20" s="294">
        <f>(IF('Section Load'!S23&gt;0,'Section Load'!S23,0))</f>
        <v>16.210000000000036</v>
      </c>
      <c r="S20" s="294">
        <f>(IF('Section Load'!T23&gt;0,'Section Load'!T23,0))</f>
        <v>407</v>
      </c>
      <c r="T20" s="294">
        <f>(IF('Section Load'!U23&gt;0,'Section Load'!U23,0))</f>
        <v>220</v>
      </c>
      <c r="U20" s="294">
        <f>(IF('Section Load'!V23&gt;0,'Section Load'!V23,0))</f>
        <v>351.07999999995809</v>
      </c>
      <c r="V20" s="294">
        <f>(IF('Section Load'!W23&gt;0,'Section Load'!W23,0))</f>
        <v>166.08000000007451</v>
      </c>
      <c r="W20" s="294">
        <f>(IF('Section Load'!X23&gt;0,'Section Load'!X23,0))</f>
        <v>24.059999999999945</v>
      </c>
      <c r="X20" s="294">
        <f>(IF('Section Load'!Y23&gt;0,'Section Load'!Y23,0))</f>
        <v>161.78999999999996</v>
      </c>
      <c r="Y20" s="294">
        <f>(IF('Section Load'!Z23&gt;0,'Section Load'!Z23,0))</f>
        <v>190</v>
      </c>
      <c r="Z20" s="294">
        <f>(IF('Section Load'!AA23&gt;0,'Section Load'!AA23,0))</f>
        <v>7.2000000000116415</v>
      </c>
      <c r="AA20" s="294">
        <f>(IF('Section Load'!AB23&gt;0,'Section Load'!AB23,0))</f>
        <v>42.099999999991269</v>
      </c>
      <c r="AB20" s="294">
        <f>(IF('Section Load'!AC23&gt;0,'Section Load'!AC23,0))</f>
        <v>0.20999999999912689</v>
      </c>
      <c r="AC20" s="294">
        <f>(IF('Section Load'!AD23&gt;0,'Section Load'!AD23,0))</f>
        <v>68.80000000000291</v>
      </c>
      <c r="AD20" s="294">
        <f>(IF('Section Load'!AE23&gt;0,'Section Load'!AE23,0))</f>
        <v>0</v>
      </c>
      <c r="AE20" s="294">
        <f>(IF('Section Load'!AF23&gt;0,'Section Load'!AF23,0))</f>
        <v>23.339999999999691</v>
      </c>
      <c r="AF20" s="294">
        <f>(IF('Section Load'!AG23&gt;0,'Section Load'!AG23,0))</f>
        <v>365.60000000000582</v>
      </c>
      <c r="AG20" s="294">
        <f>(IF('Section Load'!AH23&gt;0,'Section Load'!AH23,0))</f>
        <v>443.40000000002328</v>
      </c>
      <c r="AH20" s="294">
        <f>(IF('Section Load'!AI23&gt;0,'Section Load'!AI23,0))</f>
        <v>407.05999999999767</v>
      </c>
      <c r="AI20" s="294">
        <f>(IF('Section Load'!AJ23&gt;0,'Section Load'!AJ23,0))</f>
        <v>665.42999999999302</v>
      </c>
      <c r="AJ20" s="294">
        <f>(IF('Section Load'!AK23&gt;0,'Section Load'!AK23,0))</f>
        <v>173.49000000000524</v>
      </c>
      <c r="AK20" s="294">
        <f>(IF('Section Load'!AL23&gt;0,'Section Load'!AL23,0))</f>
        <v>278.76000000000931</v>
      </c>
      <c r="AL20" s="294">
        <f>(IF('Section Load'!AM23&gt;0,'Section Load'!AM23,0))</f>
        <v>668.02999999999884</v>
      </c>
      <c r="AM20" s="295">
        <f>(IF('Water Report'!$V$7&gt;0,'Water Report'!$V$7,0))</f>
        <v>60</v>
      </c>
      <c r="AN20" s="295">
        <f>(IF('Water Report'!$V$8&gt;0,'Water Report'!$V$8,0))</f>
        <v>93</v>
      </c>
      <c r="AO20" s="295">
        <f>(IF('Water Report'!$V$9&gt;0,'Water Report'!$V$9,0))</f>
        <v>63</v>
      </c>
      <c r="AP20" s="295">
        <f>(IF('Water Report'!$V$10&gt;0,'Water Report'!$V$10,0))</f>
        <v>15</v>
      </c>
      <c r="AQ20" s="295">
        <f>(IF('Water Report'!$V$11&gt;0,'Water Report'!$V$11,0))</f>
        <v>23</v>
      </c>
      <c r="AR20" s="295">
        <f>(IF('Water Report'!$V$13&gt;0,'Water Report'!$V$13,0))</f>
        <v>30</v>
      </c>
      <c r="AS20" s="295">
        <f>(IF('Water Report'!$V$14&gt;0,'Water Report'!$V$14,0))</f>
        <v>8</v>
      </c>
      <c r="AT20" s="295">
        <f>(IF('Water Report'!$V$15&gt;0,'Water Report'!$V$15,0))</f>
        <v>6.1000000000003638</v>
      </c>
      <c r="AU20" s="295">
        <f>(IF('Water Report'!$V$17&gt;0,'Water Report'!$V$17,0))</f>
        <v>0</v>
      </c>
      <c r="AV20" s="295">
        <f>(IF('Water Report'!$V$18&gt;0,'Water Report'!$V$18,0))</f>
        <v>9</v>
      </c>
      <c r="AW20" s="295">
        <f>(IF('Water Report'!$V$19&gt;0,'Water Report'!$V$19,0))</f>
        <v>9</v>
      </c>
      <c r="AX20" s="301">
        <f>(IF('Water Report'!$V$21&gt;0,'Water Report'!$V$21,0))</f>
        <v>35</v>
      </c>
      <c r="AY20" s="301">
        <f>(IF('Water Report'!$V$22&gt;0,'Water Report'!$V$22,0))</f>
        <v>4</v>
      </c>
      <c r="AZ20" s="301">
        <f>(IF('Water Report'!$V$23&gt;0,'Water Report'!$V$23,0))</f>
        <v>0</v>
      </c>
      <c r="BA20" s="301">
        <f>(IF('Water Report'!$V$14&gt;0,'Water Report'!$V$14,0))</f>
        <v>8</v>
      </c>
      <c r="BB20" s="301">
        <f>(IF('Water Report'!$V$15&gt;0,'Water Report'!$V$15,0))</f>
        <v>6.1000000000003638</v>
      </c>
      <c r="BC20" s="301">
        <f>(IF('Water Report'!$V$13&gt;0,'Water Report'!$V$13,0))</f>
        <v>30</v>
      </c>
      <c r="BD20" s="301">
        <f>(IF('Water Report'!$V$24&gt;0,'Water Report'!$V$24,0))</f>
        <v>157</v>
      </c>
      <c r="BE20" s="301">
        <f>(IF('Water Report'!$V$25&gt;0,'Water Report'!$V$25,0))</f>
        <v>115.10000000000036</v>
      </c>
      <c r="BF20" s="301">
        <f>(IF('Water Report'!$V$27&gt;0,'Water Report'!$V$27,0))</f>
        <v>65</v>
      </c>
      <c r="BG20" s="296">
        <f>(IF('Section Load'!AN23&gt;0,'Section Load'!AN23,0))</f>
        <v>834.30000000004657</v>
      </c>
      <c r="BH20" s="296">
        <f>(IF('Section Load'!AO23&gt;0,'Section Load'!AO23,0))</f>
        <v>306.34999999997672</v>
      </c>
      <c r="BI20" s="296">
        <f>(IF('Section Load'!AP23&gt;0,'Section Load'!AP23,0))</f>
        <v>0</v>
      </c>
      <c r="BJ20" s="296">
        <f>(IF('Section Load'!AQ23&gt;0,'Section Load'!AQ23,0))</f>
        <v>83.899999999994179</v>
      </c>
      <c r="BK20" s="296">
        <f>(IF('Section Load'!AR23&gt;0,'Section Load'!AR23,0))</f>
        <v>27.099999999998545</v>
      </c>
      <c r="BL20" s="296">
        <f>(IF('Section Load'!AS23&gt;0,'Section Load'!AS23,0))</f>
        <v>1.2999999999992724</v>
      </c>
      <c r="BM20" s="296">
        <f>(IF('Section Load'!AT23&gt;0,'Section Load'!AT23,0))</f>
        <v>415.65000000007785</v>
      </c>
    </row>
    <row r="21" spans="1:65" x14ac:dyDescent="0.25">
      <c r="A21" s="287" t="s">
        <v>268</v>
      </c>
      <c r="B21" s="288">
        <f t="shared" si="0"/>
        <v>20</v>
      </c>
      <c r="C21" s="288">
        <v>2</v>
      </c>
      <c r="D21" s="288">
        <v>2022</v>
      </c>
      <c r="E21" s="294">
        <f>(IF('Section Load'!F24&gt;0,'Section Load'!F24,0))</f>
        <v>2570.5700000000015</v>
      </c>
      <c r="F21" s="294">
        <f>(IF('Section Load'!G24&gt;0,'Section Load'!G24,0))</f>
        <v>1537.7799999999988</v>
      </c>
      <c r="G21" s="294">
        <f>(IF('Section Load'!H24&gt;0,'Section Load'!H24,0))</f>
        <v>1612.8499999999985</v>
      </c>
      <c r="H21" s="294">
        <f>(IF('Section Load'!I24&gt;0,'Section Load'!I24,0))</f>
        <v>2507.0499999999993</v>
      </c>
      <c r="I21" s="294">
        <f>(IF('Section Load'!J24&gt;0,'Section Load'!J24,0))</f>
        <v>2588.6399999999994</v>
      </c>
      <c r="J21" s="294">
        <f>(IF('Section Load'!K24&gt;0,'Section Load'!K24,0))</f>
        <v>2313.4700000000012</v>
      </c>
      <c r="K21" s="294">
        <f>(IF('Section Load'!L24&gt;0,'Section Load'!L24,0))</f>
        <v>914.65999999999622</v>
      </c>
      <c r="L21" s="294">
        <f>(IF('Section Load'!M24&gt;0,'Section Load'!M24,0))</f>
        <v>594.86000000000058</v>
      </c>
      <c r="M21" s="294">
        <f>(IF('Section Load'!N24&gt;0,'Section Load'!N24,0))</f>
        <v>57</v>
      </c>
      <c r="N21" s="294">
        <f>(IF('Section Load'!O24&gt;0,'Section Load'!O24,0))</f>
        <v>1</v>
      </c>
      <c r="O21" s="294">
        <f>(IF('Section Load'!P24&gt;0,'Section Load'!P24,0))</f>
        <v>19</v>
      </c>
      <c r="P21" s="294">
        <f>(IF('Section Load'!Q24&gt;0,'Section Load'!Q24,0))</f>
        <v>163.31999999999971</v>
      </c>
      <c r="Q21" s="294">
        <f>(IF('Section Load'!R24&gt;0,'Section Load'!R24,0))</f>
        <v>74.889999999999418</v>
      </c>
      <c r="R21" s="294">
        <f>(IF('Section Load'!S24&gt;0,'Section Load'!S24,0))</f>
        <v>14.880000000000109</v>
      </c>
      <c r="S21" s="294">
        <f>(IF('Section Load'!T24&gt;0,'Section Load'!T24,0))</f>
        <v>346</v>
      </c>
      <c r="T21" s="294">
        <f>(IF('Section Load'!U24&gt;0,'Section Load'!U24,0))</f>
        <v>226</v>
      </c>
      <c r="U21" s="294">
        <f>(IF('Section Load'!V24&gt;0,'Section Load'!V24,0))</f>
        <v>347.35999999998603</v>
      </c>
      <c r="V21" s="294">
        <f>(IF('Section Load'!W24&gt;0,'Section Load'!W24,0))</f>
        <v>160.47999999998137</v>
      </c>
      <c r="W21" s="294">
        <f>(IF('Section Load'!X24&gt;0,'Section Load'!X24,0))</f>
        <v>26.25</v>
      </c>
      <c r="X21" s="294">
        <f>(IF('Section Load'!Y24&gt;0,'Section Load'!Y24,0))</f>
        <v>256.7199999999998</v>
      </c>
      <c r="Y21" s="294">
        <f>(IF('Section Load'!Z24&gt;0,'Section Load'!Z24,0))</f>
        <v>212</v>
      </c>
      <c r="Z21" s="294">
        <f>(IF('Section Load'!AA24&gt;0,'Section Load'!AA24,0))</f>
        <v>6.4799999999813735</v>
      </c>
      <c r="AA21" s="294">
        <f>(IF('Section Load'!AB24&gt;0,'Section Load'!AB24,0))</f>
        <v>36.100000000005821</v>
      </c>
      <c r="AB21" s="294">
        <f>(IF('Section Load'!AC24&gt;0,'Section Load'!AC24,0))</f>
        <v>0</v>
      </c>
      <c r="AC21" s="294">
        <f>(IF('Section Load'!AD24&gt;0,'Section Load'!AD24,0))</f>
        <v>53.30000000000291</v>
      </c>
      <c r="AD21" s="294">
        <f>(IF('Section Load'!AE24&gt;0,'Section Load'!AE24,0))</f>
        <v>0</v>
      </c>
      <c r="AE21" s="294">
        <f>(IF('Section Load'!AF24&gt;0,'Section Load'!AF24,0))</f>
        <v>22.680000000000291</v>
      </c>
      <c r="AF21" s="294">
        <f>(IF('Section Load'!AG24&gt;0,'Section Load'!AG24,0))</f>
        <v>343.23999999999069</v>
      </c>
      <c r="AG21" s="294">
        <f>(IF('Section Load'!AH24&gt;0,'Section Load'!AH24,0))</f>
        <v>432.47999999998137</v>
      </c>
      <c r="AH21" s="294">
        <f>(IF('Section Load'!AI24&gt;0,'Section Load'!AI24,0))</f>
        <v>402.74000000000524</v>
      </c>
      <c r="AI21" s="294">
        <f>(IF('Section Load'!AJ24&gt;0,'Section Load'!AJ24,0))</f>
        <v>607.0800000000163</v>
      </c>
      <c r="AJ21" s="294">
        <f>(IF('Section Load'!AK24&gt;0,'Section Load'!AK24,0))</f>
        <v>154.1299999999901</v>
      </c>
      <c r="AK21" s="294">
        <f>(IF('Section Load'!AL24&gt;0,'Section Load'!AL24,0))</f>
        <v>273.07000000000698</v>
      </c>
      <c r="AL21" s="294">
        <f>(IF('Section Load'!AM24&gt;0,'Section Load'!AM24,0))</f>
        <v>655.39000000001397</v>
      </c>
      <c r="AM21" s="295">
        <f>(IF('Water Report'!$W$7&gt;0,'Water Report'!$W$7,0))</f>
        <v>69</v>
      </c>
      <c r="AN21" s="295">
        <f>(IF('Water Report'!$W$8&gt;0,'Water Report'!$W$8,0))</f>
        <v>105</v>
      </c>
      <c r="AO21" s="295">
        <f>(IF('Water Report'!$W$9&gt;0,'Water Report'!$W$9,0))</f>
        <v>72</v>
      </c>
      <c r="AP21" s="295">
        <f>(IF('Water Report'!$W$10&gt;0,'Water Report'!$W$10,0))</f>
        <v>10</v>
      </c>
      <c r="AQ21" s="295">
        <f>(IF('Water Report'!$W$11&gt;0,'Water Report'!$W$11,0))</f>
        <v>23</v>
      </c>
      <c r="AR21" s="295">
        <f>(IF('Water Report'!$W$13&gt;0,'Water Report'!$W$13,0))</f>
        <v>50</v>
      </c>
      <c r="AS21" s="295">
        <f>(IF('Water Report'!$W$14&gt;0,'Water Report'!$W$14,0))</f>
        <v>14</v>
      </c>
      <c r="AT21" s="295">
        <f>(IF('Water Report'!$W$15&gt;0,'Water Report'!$W$15,0))</f>
        <v>4.8999999999996362</v>
      </c>
      <c r="AU21" s="295">
        <f>(IF('Water Report'!$W$17&gt;0,'Water Report'!$W$17,0))</f>
        <v>0</v>
      </c>
      <c r="AV21" s="295">
        <f>(IF('Water Report'!$W$18&gt;0,'Water Report'!$W$18,0))</f>
        <v>12</v>
      </c>
      <c r="AW21" s="295">
        <f>(IF('Water Report'!$W$19&gt;0,'Water Report'!$W$19,0))</f>
        <v>12</v>
      </c>
      <c r="AX21" s="301">
        <f>(IF('Water Report'!$W$21&gt;0,'Water Report'!$W$21,0))</f>
        <v>41</v>
      </c>
      <c r="AY21" s="301">
        <f>(IF('Water Report'!$W$22&gt;0,'Water Report'!$W$22,0))</f>
        <v>0</v>
      </c>
      <c r="AZ21" s="301">
        <f>(IF('Water Report'!$W$23&gt;0,'Water Report'!$W$23,0))</f>
        <v>12</v>
      </c>
      <c r="BA21" s="301">
        <f>(IF('Water Report'!$W$14&gt;0,'Water Report'!$W$14,0))</f>
        <v>14</v>
      </c>
      <c r="BB21" s="301">
        <f>(IF('Water Report'!$W$15&gt;0,'Water Report'!$W$15,0))</f>
        <v>4.8999999999996362</v>
      </c>
      <c r="BC21" s="301">
        <f>(IF('Water Report'!$W$13&gt;0,'Water Report'!$W$13,0))</f>
        <v>50</v>
      </c>
      <c r="BD21" s="301">
        <f>(IF('Water Report'!$W$24&gt;0,'Water Report'!$W$24,0))</f>
        <v>216</v>
      </c>
      <c r="BE21" s="301">
        <f>(IF('Water Report'!$W$25&gt;0,'Water Report'!$W$25,0))</f>
        <v>123.89999999999964</v>
      </c>
      <c r="BF21" s="301">
        <f>(IF('Water Report'!$W$27&gt;0,'Water Report'!$W$27,0))</f>
        <v>103</v>
      </c>
      <c r="BG21" s="296">
        <f>(IF('Section Load'!AN24&gt;0,'Section Load'!AN24,0))</f>
        <v>986.94999999995343</v>
      </c>
      <c r="BH21" s="296">
        <f>(IF('Section Load'!AO24&gt;0,'Section Load'!AO24,0))</f>
        <v>295.15000000002328</v>
      </c>
      <c r="BI21" s="296">
        <f>(IF('Section Load'!AP24&gt;0,'Section Load'!AP24,0))</f>
        <v>0</v>
      </c>
      <c r="BJ21" s="296">
        <f>(IF('Section Load'!AQ24&gt;0,'Section Load'!AQ24,0))</f>
        <v>83.64000000001397</v>
      </c>
      <c r="BK21" s="296">
        <f>(IF('Section Load'!AR24&gt;0,'Section Load'!AR24,0))</f>
        <v>25.599999999998545</v>
      </c>
      <c r="BL21" s="296">
        <f>(IF('Section Load'!AS24&gt;0,'Section Load'!AS24,0))</f>
        <v>0.6000000000003638</v>
      </c>
      <c r="BM21" s="296">
        <f>(IF('Section Load'!AT24&gt;0,'Section Load'!AT24,0))</f>
        <v>581.95999999991727</v>
      </c>
    </row>
    <row r="22" spans="1:65" x14ac:dyDescent="0.25">
      <c r="A22" s="287" t="s">
        <v>268</v>
      </c>
      <c r="B22" s="288">
        <f t="shared" si="0"/>
        <v>21</v>
      </c>
      <c r="C22" s="288">
        <v>2</v>
      </c>
      <c r="D22" s="288">
        <v>2022</v>
      </c>
      <c r="E22" s="294">
        <f>(IF('Section Load'!F25&gt;0,'Section Load'!F25,0))</f>
        <v>2555.7699999999968</v>
      </c>
      <c r="F22" s="294">
        <f>(IF('Section Load'!G25&gt;0,'Section Load'!G25,0))</f>
        <v>1565.5</v>
      </c>
      <c r="G22" s="294">
        <f>(IF('Section Load'!H25&gt;0,'Section Load'!H25,0))</f>
        <v>1671.4500000000007</v>
      </c>
      <c r="H22" s="294">
        <f>(IF('Section Load'!I25&gt;0,'Section Load'!I25,0))</f>
        <v>2598.239999999998</v>
      </c>
      <c r="I22" s="294">
        <f>(IF('Section Load'!J25&gt;0,'Section Load'!J25,0))</f>
        <v>2838.3999999999942</v>
      </c>
      <c r="J22" s="294">
        <f>(IF('Section Load'!K25&gt;0,'Section Load'!K25,0))</f>
        <v>2339.9399999999878</v>
      </c>
      <c r="K22" s="294">
        <f>(IF('Section Load'!L25&gt;0,'Section Load'!L25,0))</f>
        <v>1160.0500000000029</v>
      </c>
      <c r="L22" s="294">
        <f>(IF('Section Load'!M25&gt;0,'Section Load'!M25,0))</f>
        <v>661.91000000000349</v>
      </c>
      <c r="M22" s="294">
        <f>(IF('Section Load'!N25&gt;0,'Section Load'!N25,0))</f>
        <v>68</v>
      </c>
      <c r="N22" s="294">
        <f>(IF('Section Load'!O25&gt;0,'Section Load'!O25,0))</f>
        <v>2</v>
      </c>
      <c r="O22" s="294">
        <f>(IF('Section Load'!P25&gt;0,'Section Load'!P25,0))</f>
        <v>1.5</v>
      </c>
      <c r="P22" s="294">
        <f>(IF('Section Load'!Q25&gt;0,'Section Load'!Q25,0))</f>
        <v>183.9600000000064</v>
      </c>
      <c r="Q22" s="294">
        <f>(IF('Section Load'!R25&gt;0,'Section Load'!R25,0))</f>
        <v>82.779999999998836</v>
      </c>
      <c r="R22" s="294">
        <f>(IF('Section Load'!S25&gt;0,'Section Load'!S25,0))</f>
        <v>15.119999999999891</v>
      </c>
      <c r="S22" s="294">
        <f>(IF('Section Load'!T25&gt;0,'Section Load'!T25,0))</f>
        <v>369</v>
      </c>
      <c r="T22" s="294">
        <f>(IF('Section Load'!U25&gt;0,'Section Load'!U25,0))</f>
        <v>227</v>
      </c>
      <c r="U22" s="294">
        <f>(IF('Section Load'!V25&gt;0,'Section Load'!V25,0))</f>
        <v>376.11999999999534</v>
      </c>
      <c r="V22" s="294">
        <f>(IF('Section Load'!W25&gt;0,'Section Load'!W25,0))</f>
        <v>154.88000000000466</v>
      </c>
      <c r="W22" s="294">
        <f>(IF('Section Load'!X25&gt;0,'Section Load'!X25,0))</f>
        <v>23.769999999999982</v>
      </c>
      <c r="X22" s="294">
        <f>(IF('Section Load'!Y25&gt;0,'Section Load'!Y25,0))</f>
        <v>234.19000000000005</v>
      </c>
      <c r="Y22" s="294">
        <f>(IF('Section Load'!Z25&gt;0,'Section Load'!Z25,0))</f>
        <v>226</v>
      </c>
      <c r="Z22" s="294">
        <f>(IF('Section Load'!AA25&gt;0,'Section Load'!AA25,0))</f>
        <v>101.76000000000931</v>
      </c>
      <c r="AA22" s="294">
        <f>(IF('Section Load'!AB25&gt;0,'Section Load'!AB25,0))</f>
        <v>41.80000000000291</v>
      </c>
      <c r="AB22" s="294">
        <f>(IF('Section Load'!AC25&gt;0,'Section Load'!AC25,0))</f>
        <v>0</v>
      </c>
      <c r="AC22" s="294">
        <f>(IF('Section Load'!AD25&gt;0,'Section Load'!AD25,0))</f>
        <v>54.100000000000364</v>
      </c>
      <c r="AD22" s="294">
        <f>(IF('Section Load'!AE25&gt;0,'Section Load'!AE25,0))</f>
        <v>0</v>
      </c>
      <c r="AE22" s="294">
        <f>(IF('Section Load'!AF25&gt;0,'Section Load'!AF25,0))</f>
        <v>23.139999999999873</v>
      </c>
      <c r="AF22" s="294">
        <f>(IF('Section Load'!AG25&gt;0,'Section Load'!AG25,0))</f>
        <v>333.44000000000233</v>
      </c>
      <c r="AG22" s="294">
        <f>(IF('Section Load'!AH25&gt;0,'Section Load'!AH25,0))</f>
        <v>440.86000000001513</v>
      </c>
      <c r="AH22" s="294">
        <f>(IF('Section Load'!AI25&gt;0,'Section Load'!AI25,0))</f>
        <v>411.36000000000058</v>
      </c>
      <c r="AI22" s="294">
        <f>(IF('Section Load'!AJ25&gt;0,'Section Load'!AJ25,0))</f>
        <v>673.20000000001164</v>
      </c>
      <c r="AJ22" s="294">
        <f>(IF('Section Load'!AK25&gt;0,'Section Load'!AK25,0))</f>
        <v>203.35000000000582</v>
      </c>
      <c r="AK22" s="294">
        <f>(IF('Section Load'!AL25&gt;0,'Section Load'!AL25,0))</f>
        <v>265.57999999998719</v>
      </c>
      <c r="AL22" s="294">
        <f>(IF('Section Load'!AM25&gt;0,'Section Load'!AM25,0))</f>
        <v>655.83999999999651</v>
      </c>
      <c r="AM22" s="295">
        <f>(IF('Water Report'!$X$7&gt;0,'Water Report'!$X$7,0))</f>
        <v>60</v>
      </c>
      <c r="AN22" s="295">
        <f>(IF('Water Report'!$X$8&gt;0,'Water Report'!$X$8,0))</f>
        <v>96</v>
      </c>
      <c r="AO22" s="295">
        <f>(IF('Water Report'!$X$9&gt;0,'Water Report'!$X$9,0))</f>
        <v>72</v>
      </c>
      <c r="AP22" s="295">
        <f>(IF('Water Report'!$X$10&gt;0,'Water Report'!$X$10,0))</f>
        <v>12</v>
      </c>
      <c r="AQ22" s="295">
        <f>(IF('Water Report'!$X$11&gt;0,'Water Report'!$X$11,0))</f>
        <v>20</v>
      </c>
      <c r="AR22" s="295">
        <f>(IF('Water Report'!$X$13&gt;0,'Water Report'!$X$13,0))</f>
        <v>34</v>
      </c>
      <c r="AS22" s="295">
        <f>(IF('Water Report'!$X$14&gt;0,'Water Report'!$X$14,0))</f>
        <v>8</v>
      </c>
      <c r="AT22" s="295">
        <f>(IF('Water Report'!$X$15&gt;0,'Water Report'!$X$15,0))</f>
        <v>4</v>
      </c>
      <c r="AU22" s="295">
        <f>(IF('Water Report'!$X$17&gt;0,'Water Report'!$X$17,0))</f>
        <v>0</v>
      </c>
      <c r="AV22" s="295">
        <f>(IF('Water Report'!$X$18&gt;0,'Water Report'!$X$18,0))</f>
        <v>11</v>
      </c>
      <c r="AW22" s="295">
        <f>(IF('Water Report'!$X$19&gt;0,'Water Report'!$X$19,0))</f>
        <v>10</v>
      </c>
      <c r="AX22" s="301">
        <f>(IF('Water Report'!$X$21&gt;0,'Water Report'!$X$21,0))</f>
        <v>61</v>
      </c>
      <c r="AY22" s="301">
        <f>(IF('Water Report'!$X$22&gt;0,'Water Report'!$X$22,0))</f>
        <v>20</v>
      </c>
      <c r="AZ22" s="301">
        <f>(IF('Water Report'!$X$23&gt;0,'Water Report'!$X$23,0))</f>
        <v>14</v>
      </c>
      <c r="BA22" s="301">
        <f>(IF('Water Report'!$X$14&gt;0,'Water Report'!$X$14,0))</f>
        <v>8</v>
      </c>
      <c r="BB22" s="301">
        <f>(IF('Water Report'!$X$15&gt;0,'Water Report'!$X$15,0))</f>
        <v>4</v>
      </c>
      <c r="BC22" s="301">
        <f>(IF('Water Report'!$X$13&gt;0,'Water Report'!$X$13,0))</f>
        <v>34</v>
      </c>
      <c r="BD22" s="301">
        <f>(IF('Water Report'!$X$24&gt;0,'Water Report'!$X$24,0))</f>
        <v>167</v>
      </c>
      <c r="BE22" s="301">
        <f>(IF('Water Report'!$X$25&gt;0,'Water Report'!$X$25,0))</f>
        <v>116</v>
      </c>
      <c r="BF22" s="301">
        <f>(IF('Water Report'!$X$27&gt;0,'Water Report'!$X$27,0))</f>
        <v>109</v>
      </c>
      <c r="BG22" s="296">
        <f>(IF('Section Load'!AN25&gt;0,'Section Load'!AN25,0))</f>
        <v>1017.3400000000838</v>
      </c>
      <c r="BH22" s="296">
        <f>(IF('Section Load'!AO25&gt;0,'Section Load'!AO25,0))</f>
        <v>294.76000000000931</v>
      </c>
      <c r="BI22" s="296">
        <f>(IF('Section Load'!AP25&gt;0,'Section Load'!AP25,0))</f>
        <v>0</v>
      </c>
      <c r="BJ22" s="296">
        <f>(IF('Section Load'!AQ25&gt;0,'Section Load'!AQ25,0))</f>
        <v>104.77999999999884</v>
      </c>
      <c r="BK22" s="296">
        <f>(IF('Section Load'!AR25&gt;0,'Section Load'!AR25,0))</f>
        <v>50.30000000000291</v>
      </c>
      <c r="BL22" s="296">
        <f>(IF('Section Load'!AS25&gt;0,'Section Load'!AS25,0))</f>
        <v>1.1000000000003638</v>
      </c>
      <c r="BM22" s="296">
        <f>(IF('Section Load'!AT25&gt;0,'Section Load'!AT25,0))</f>
        <v>566.4000000000724</v>
      </c>
    </row>
    <row r="23" spans="1:65" x14ac:dyDescent="0.25">
      <c r="A23" s="287" t="s">
        <v>268</v>
      </c>
      <c r="B23" s="288">
        <f t="shared" si="0"/>
        <v>22</v>
      </c>
      <c r="C23" s="288">
        <v>2</v>
      </c>
      <c r="D23" s="288">
        <v>2022</v>
      </c>
      <c r="E23" s="294">
        <f>(IF('Section Load'!F26&gt;0,'Section Load'!F26,0))</f>
        <v>2596.6300000000028</v>
      </c>
      <c r="F23" s="294">
        <f>(IF('Section Load'!G26&gt;0,'Section Load'!G26,0))</f>
        <v>1587.0900000000001</v>
      </c>
      <c r="G23" s="294">
        <f>(IF('Section Load'!H26&gt;0,'Section Load'!H26,0))</f>
        <v>1787.2400000000016</v>
      </c>
      <c r="H23" s="294">
        <f>(IF('Section Load'!I26&gt;0,'Section Load'!I26,0))</f>
        <v>2648.7000000000044</v>
      </c>
      <c r="I23" s="294">
        <f>(IF('Section Load'!J26&gt;0,'Section Load'!J26,0))</f>
        <v>3073.5800000000017</v>
      </c>
      <c r="J23" s="294">
        <f>(IF('Section Load'!K26&gt;0,'Section Load'!K26,0))</f>
        <v>2333.4200000000128</v>
      </c>
      <c r="K23" s="294">
        <f>(IF('Section Load'!L26&gt;0,'Section Load'!L26,0))</f>
        <v>1510.6999999999971</v>
      </c>
      <c r="L23" s="294">
        <f>(IF('Section Load'!M26&gt;0,'Section Load'!M26,0))</f>
        <v>834.2899999999936</v>
      </c>
      <c r="M23" s="294">
        <f>(IF('Section Load'!N26&gt;0,'Section Load'!N26,0))</f>
        <v>107</v>
      </c>
      <c r="N23" s="294">
        <f>(IF('Section Load'!O26&gt;0,'Section Load'!O26,0))</f>
        <v>9</v>
      </c>
      <c r="O23" s="294">
        <f>(IF('Section Load'!P26&gt;0,'Section Load'!P26,0))</f>
        <v>1.5299999999988358</v>
      </c>
      <c r="P23" s="294">
        <f>(IF('Section Load'!Q26&gt;0,'Section Load'!Q26,0))</f>
        <v>192.63999999999942</v>
      </c>
      <c r="Q23" s="294">
        <f>(IF('Section Load'!R26&gt;0,'Section Load'!R26,0))</f>
        <v>79.819999999999709</v>
      </c>
      <c r="R23" s="294">
        <f>(IF('Section Load'!S26&gt;0,'Section Load'!S26,0))</f>
        <v>14.800000000000182</v>
      </c>
      <c r="S23" s="294">
        <f>(IF('Section Load'!T26&gt;0,'Section Load'!T26,0))</f>
        <v>446</v>
      </c>
      <c r="T23" s="294">
        <f>(IF('Section Load'!U26&gt;0,'Section Load'!U26,0))</f>
        <v>229</v>
      </c>
      <c r="U23" s="294">
        <f>(IF('Section Load'!V26&gt;0,'Section Load'!V26,0))</f>
        <v>492</v>
      </c>
      <c r="V23" s="294">
        <f>(IF('Section Load'!W26&gt;0,'Section Load'!W26,0))</f>
        <v>202.55999999993946</v>
      </c>
      <c r="W23" s="294">
        <f>(IF('Section Load'!X26&gt;0,'Section Load'!X26,0))</f>
        <v>27.960000000000036</v>
      </c>
      <c r="X23" s="294">
        <f>(IF('Section Load'!Y26&gt;0,'Section Load'!Y26,0))</f>
        <v>243.45000000000027</v>
      </c>
      <c r="Y23" s="294">
        <f>(IF('Section Load'!Z26&gt;0,'Section Load'!Z26,0))</f>
        <v>219</v>
      </c>
      <c r="Z23" s="294">
        <f>(IF('Section Load'!AA26&gt;0,'Section Load'!AA26,0))</f>
        <v>218</v>
      </c>
      <c r="AA23" s="294">
        <f>(IF('Section Load'!AB26&gt;0,'Section Load'!AB26,0))</f>
        <v>29.30000000000291</v>
      </c>
      <c r="AB23" s="294">
        <f>(IF('Section Load'!AC26&gt;0,'Section Load'!AC26,0))</f>
        <v>0</v>
      </c>
      <c r="AC23" s="294">
        <f>(IF('Section Load'!AD26&gt;0,'Section Load'!AD26,0))</f>
        <v>37.599999999996726</v>
      </c>
      <c r="AD23" s="294">
        <f>(IF('Section Load'!AE26&gt;0,'Section Load'!AE26,0))</f>
        <v>0</v>
      </c>
      <c r="AE23" s="294">
        <f>(IF('Section Load'!AF26&gt;0,'Section Load'!AF26,0))</f>
        <v>23.110000000000127</v>
      </c>
      <c r="AF23" s="294">
        <f>(IF('Section Load'!AG26&gt;0,'Section Load'!AG26,0))</f>
        <v>312.96000000002095</v>
      </c>
      <c r="AG23" s="294">
        <f>(IF('Section Load'!AH26&gt;0,'Section Load'!AH26,0))</f>
        <v>408.85999999998603</v>
      </c>
      <c r="AH23" s="294">
        <f>(IF('Section Load'!AI26&gt;0,'Section Load'!AI26,0))</f>
        <v>424.18000000000029</v>
      </c>
      <c r="AI23" s="294">
        <f>(IF('Section Load'!AJ26&gt;0,'Section Load'!AJ26,0))</f>
        <v>705.19999999995343</v>
      </c>
      <c r="AJ23" s="294">
        <f>(IF('Section Load'!AK26&gt;0,'Section Load'!AK26,0))</f>
        <v>222.64999999999418</v>
      </c>
      <c r="AK23" s="294">
        <f>(IF('Section Load'!AL26&gt;0,'Section Load'!AL26,0))</f>
        <v>271.79999999998836</v>
      </c>
      <c r="AL23" s="294">
        <f>(IF('Section Load'!AM26&gt;0,'Section Load'!AM26,0))</f>
        <v>653.44000000000233</v>
      </c>
      <c r="AM23" s="295">
        <f>(IF('Water Report'!$Y$7&gt;0,'Water Report'!$Y$7,0))</f>
        <v>72</v>
      </c>
      <c r="AN23" s="295">
        <f>(IF('Water Report'!$Y$8&gt;0,'Water Report'!$Y$8,0))</f>
        <v>108</v>
      </c>
      <c r="AO23" s="295">
        <f>(IF('Water Report'!$Y$9&gt;0,'Water Report'!$Y$9,0))</f>
        <v>75</v>
      </c>
      <c r="AP23" s="295">
        <f>(IF('Water Report'!$Y$10&gt;0,'Water Report'!$Y$10,0))</f>
        <v>14</v>
      </c>
      <c r="AQ23" s="295">
        <f>(IF('Water Report'!$Y$11&gt;0,'Water Report'!$Y$11,0))</f>
        <v>20</v>
      </c>
      <c r="AR23" s="295">
        <f>(IF('Water Report'!$Y$13&gt;0,'Water Report'!$Y$13,0))</f>
        <v>45</v>
      </c>
      <c r="AS23" s="295">
        <f>(IF('Water Report'!$Y$14&gt;0,'Water Report'!$Y$14,0))</f>
        <v>8</v>
      </c>
      <c r="AT23" s="295">
        <f>(IF('Water Report'!$Y$15&gt;0,'Water Report'!$Y$15,0))</f>
        <v>6</v>
      </c>
      <c r="AU23" s="295">
        <f>(IF('Water Report'!$Y$17&gt;0,'Water Report'!$Y$17,0))</f>
        <v>0</v>
      </c>
      <c r="AV23" s="295">
        <f>(IF('Water Report'!$Y$18&gt;0,'Water Report'!$Y$18,0))</f>
        <v>12</v>
      </c>
      <c r="AW23" s="295">
        <f>(IF('Water Report'!$Y$19&gt;0,'Water Report'!$Y$19,0))</f>
        <v>10</v>
      </c>
      <c r="AX23" s="301">
        <f>(IF('Water Report'!$Y$21&gt;0,'Water Report'!$Y$21,0))</f>
        <v>0</v>
      </c>
      <c r="AY23" s="301">
        <f>(IF('Water Report'!$Y$22&gt;0,'Water Report'!$Y$22,0))</f>
        <v>14</v>
      </c>
      <c r="AZ23" s="301">
        <f>(IF('Water Report'!$Y$23&gt;0,'Water Report'!$Y$23,0))</f>
        <v>5</v>
      </c>
      <c r="BA23" s="301">
        <f>(IF('Water Report'!$Y$14&gt;0,'Water Report'!$Y$14,0))</f>
        <v>8</v>
      </c>
      <c r="BB23" s="301">
        <f>(IF('Water Report'!$Y$15&gt;0,'Water Report'!$Y$15,0))</f>
        <v>6</v>
      </c>
      <c r="BC23" s="301">
        <f>(IF('Water Report'!$Y$13&gt;0,'Water Report'!$Y$13,0))</f>
        <v>45</v>
      </c>
      <c r="BD23" s="301">
        <f>(IF('Water Report'!$Y$24&gt;0,'Water Report'!$Y$24,0))</f>
        <v>176</v>
      </c>
      <c r="BE23" s="301">
        <f>(IF('Water Report'!$Y$25&gt;0,'Water Report'!$Y$25,0))</f>
        <v>123</v>
      </c>
      <c r="BF23" s="301">
        <f>(IF('Water Report'!$Y$27&gt;0,'Water Report'!$Y$27,0))</f>
        <v>50</v>
      </c>
      <c r="BG23" s="296">
        <f>(IF('Section Load'!AN26&gt;0,'Section Load'!AN26,0))</f>
        <v>1036.4099999999162</v>
      </c>
      <c r="BH23" s="296">
        <f>(IF('Section Load'!AO26&gt;0,'Section Load'!AO26,0))</f>
        <v>307.70999999996275</v>
      </c>
      <c r="BI23" s="296">
        <f>(IF('Section Load'!AP26&gt;0,'Section Load'!AP26,0))</f>
        <v>0</v>
      </c>
      <c r="BJ23" s="296">
        <f>(IF('Section Load'!AQ26&gt;0,'Section Load'!AQ26,0))</f>
        <v>119.35000000000582</v>
      </c>
      <c r="BK23" s="296">
        <f>(IF('Section Load'!AR26&gt;0,'Section Load'!AR26,0))</f>
        <v>40</v>
      </c>
      <c r="BL23" s="296">
        <f>(IF('Section Load'!AS26&gt;0,'Section Load'!AS26,0))</f>
        <v>3</v>
      </c>
      <c r="BM23" s="296">
        <f>(IF('Section Load'!AT26&gt;0,'Section Load'!AT26,0))</f>
        <v>566.34999999994761</v>
      </c>
    </row>
    <row r="24" spans="1:65" x14ac:dyDescent="0.25">
      <c r="A24" s="287" t="s">
        <v>268</v>
      </c>
      <c r="B24" s="288">
        <f t="shared" si="0"/>
        <v>23</v>
      </c>
      <c r="C24" s="288">
        <v>2</v>
      </c>
      <c r="D24" s="288">
        <v>2022</v>
      </c>
      <c r="E24" s="294">
        <f>(IF('Section Load'!F27&gt;0,'Section Load'!F27,0))</f>
        <v>2448.6800000000003</v>
      </c>
      <c r="F24" s="294">
        <f>(IF('Section Load'!G27&gt;0,'Section Load'!G27,0))</f>
        <v>1571.9800000000032</v>
      </c>
      <c r="G24" s="294">
        <f>(IF('Section Load'!H27&gt;0,'Section Load'!H27,0))</f>
        <v>1932.0699999999997</v>
      </c>
      <c r="H24" s="294">
        <f>(IF('Section Load'!I27&gt;0,'Section Load'!I27,0))</f>
        <v>2576.25</v>
      </c>
      <c r="I24" s="294">
        <f>(IF('Section Load'!J27&gt;0,'Section Load'!J27,0))</f>
        <v>2695.2200000000012</v>
      </c>
      <c r="J24" s="294">
        <f>(IF('Section Load'!K27&gt;0,'Section Load'!K27,0))</f>
        <v>2339.2399999999907</v>
      </c>
      <c r="K24" s="294">
        <f>(IF('Section Load'!L27&gt;0,'Section Load'!L27,0))</f>
        <v>1627.260000000002</v>
      </c>
      <c r="L24" s="294">
        <f>(IF('Section Load'!M27&gt;0,'Section Load'!M27,0))</f>
        <v>1155.2800000000061</v>
      </c>
      <c r="M24" s="294">
        <f>(IF('Section Load'!N27&gt;0,'Section Load'!N27,0))</f>
        <v>109</v>
      </c>
      <c r="N24" s="294">
        <f>(IF('Section Load'!O27&gt;0,'Section Load'!O27,0))</f>
        <v>5</v>
      </c>
      <c r="O24" s="294">
        <f>(IF('Section Load'!P27&gt;0,'Section Load'!P27,0))</f>
        <v>2</v>
      </c>
      <c r="P24" s="294">
        <f>(IF('Section Load'!Q27&gt;0,'Section Load'!Q27,0))</f>
        <v>183.70999999999913</v>
      </c>
      <c r="Q24" s="294">
        <f>(IF('Section Load'!R27&gt;0,'Section Load'!R27,0))</f>
        <v>78.540000000000873</v>
      </c>
      <c r="R24" s="294">
        <f>(IF('Section Load'!S27&gt;0,'Section Load'!S27,0))</f>
        <v>14.0600000000004</v>
      </c>
      <c r="S24" s="294">
        <f>(IF('Section Load'!T27&gt;0,'Section Load'!T27,0))</f>
        <v>417</v>
      </c>
      <c r="T24" s="294">
        <f>(IF('Section Load'!U27&gt;0,'Section Load'!U27,0))</f>
        <v>221</v>
      </c>
      <c r="U24" s="294">
        <f>(IF('Section Load'!V27&gt;0,'Section Load'!V27,0))</f>
        <v>421.8399999999674</v>
      </c>
      <c r="V24" s="294">
        <f>(IF('Section Load'!W27&gt;0,'Section Load'!W27,0))</f>
        <v>267.52000000001863</v>
      </c>
      <c r="W24" s="294">
        <f>(IF('Section Load'!X27&gt;0,'Section Load'!X27,0))</f>
        <v>27.119999999999891</v>
      </c>
      <c r="X24" s="294">
        <f>(IF('Section Load'!Y27&gt;0,'Section Load'!Y27,0))</f>
        <v>225.96000000000004</v>
      </c>
      <c r="Y24" s="294">
        <f>(IF('Section Load'!Z27&gt;0,'Section Load'!Z27,0))</f>
        <v>238</v>
      </c>
      <c r="Z24" s="294">
        <f>(IF('Section Load'!AA27&gt;0,'Section Load'!AA27,0))</f>
        <v>16</v>
      </c>
      <c r="AA24" s="294">
        <f>(IF('Section Load'!AB27&gt;0,'Section Load'!AB27,0))</f>
        <v>14.299999999988358</v>
      </c>
      <c r="AB24" s="294">
        <f>(IF('Section Load'!AC27&gt;0,'Section Load'!AC27,0))</f>
        <v>2.0100000000020373</v>
      </c>
      <c r="AC24" s="294">
        <f>(IF('Section Load'!AD27&gt;0,'Section Load'!AD27,0))</f>
        <v>35.099999999996726</v>
      </c>
      <c r="AD24" s="294">
        <f>(IF('Section Load'!AE27&gt;0,'Section Load'!AE27,0))</f>
        <v>0</v>
      </c>
      <c r="AE24" s="294">
        <f>(IF('Section Load'!AF27&gt;0,'Section Load'!AF27,0))</f>
        <v>23.099999999999909</v>
      </c>
      <c r="AF24" s="294">
        <f>(IF('Section Load'!AG27&gt;0,'Section Load'!AG27,0))</f>
        <v>340.17999999999302</v>
      </c>
      <c r="AG24" s="294">
        <f>(IF('Section Load'!AH27&gt;0,'Section Load'!AH27,0))</f>
        <v>417.17999999999302</v>
      </c>
      <c r="AH24" s="294">
        <f>(IF('Section Load'!AI27&gt;0,'Section Load'!AI27,0))</f>
        <v>406.45999999999913</v>
      </c>
      <c r="AI24" s="294">
        <f>(IF('Section Load'!AJ27&gt;0,'Section Load'!AJ27,0))</f>
        <v>664.1600000000326</v>
      </c>
      <c r="AJ24" s="294">
        <f>(IF('Section Load'!AK27&gt;0,'Section Load'!AK27,0))</f>
        <v>209.97000000000116</v>
      </c>
      <c r="AK24" s="294">
        <f>(IF('Section Load'!AL27&gt;0,'Section Load'!AL27,0))</f>
        <v>273.30999999999767</v>
      </c>
      <c r="AL24" s="294">
        <f>(IF('Section Load'!AM27&gt;0,'Section Load'!AM27,0))</f>
        <v>661.32999999998719</v>
      </c>
      <c r="AM24" s="295">
        <f>(IF('Water Report'!$Z$7&gt;0,'Water Report'!$Z$7,0))</f>
        <v>119</v>
      </c>
      <c r="AN24" s="295">
        <f>(IF('Water Report'!$Z$8&gt;0,'Water Report'!$Z$8,0))</f>
        <v>126</v>
      </c>
      <c r="AO24" s="295">
        <f>(IF('Water Report'!$Z$9&gt;0,'Water Report'!$Z$9,0))</f>
        <v>88</v>
      </c>
      <c r="AP24" s="295">
        <f>(IF('Water Report'!$Z$10&gt;0,'Water Report'!$Z$10,0))</f>
        <v>23</v>
      </c>
      <c r="AQ24" s="295">
        <f>(IF('Water Report'!$Z$11&gt;0,'Water Report'!$Z$11,0))</f>
        <v>25</v>
      </c>
      <c r="AR24" s="295">
        <f>(IF('Water Report'!$Z$13&gt;0,'Water Report'!$Z$13,0))</f>
        <v>42</v>
      </c>
      <c r="AS24" s="295">
        <f>(IF('Water Report'!$Z$14&gt;0,'Water Report'!$Z$14,0))</f>
        <v>31</v>
      </c>
      <c r="AT24" s="295">
        <f>(IF('Water Report'!$Z$15&gt;0,'Water Report'!$Z$15,0))</f>
        <v>6</v>
      </c>
      <c r="AU24" s="295">
        <f>(IF('Water Report'!$Z$17&gt;0,'Water Report'!$Z$17,0))</f>
        <v>0</v>
      </c>
      <c r="AV24" s="295">
        <f>(IF('Water Report'!$Z$18&gt;0,'Water Report'!$Z$18,0))</f>
        <v>13</v>
      </c>
      <c r="AW24" s="295">
        <f>(IF('Water Report'!$Z$19&gt;0,'Water Report'!$Z$19,0))</f>
        <v>11</v>
      </c>
      <c r="AX24" s="301">
        <f>(IF('Water Report'!$Z$21&gt;0,'Water Report'!$Z$21,0))</f>
        <v>104</v>
      </c>
      <c r="AY24" s="301">
        <f>(IF('Water Report'!$Z$22&gt;0,'Water Report'!$Z$22,0))</f>
        <v>52</v>
      </c>
      <c r="AZ24" s="301">
        <f>(IF('Water Report'!$Z$23&gt;0,'Water Report'!$Z$23,0))</f>
        <v>2</v>
      </c>
      <c r="BA24" s="301">
        <f>(IF('Water Report'!$Z$14&gt;0,'Water Report'!$Z$14,0))</f>
        <v>31</v>
      </c>
      <c r="BB24" s="301">
        <f>(IF('Water Report'!$Z$15&gt;0,'Water Report'!$Z$15,0))</f>
        <v>6</v>
      </c>
      <c r="BC24" s="301">
        <f>(IF('Water Report'!$Z$13&gt;0,'Water Report'!$Z$13,0))</f>
        <v>42</v>
      </c>
      <c r="BD24" s="301">
        <f>(IF('Water Report'!$Z$24&gt;0,'Water Report'!$Z$24,0))</f>
        <v>216</v>
      </c>
      <c r="BE24" s="301">
        <f>(IF('Water Report'!$Z$25&gt;0,'Water Report'!$Z$25,0))</f>
        <v>173</v>
      </c>
      <c r="BF24" s="301">
        <f>(IF('Water Report'!$Z$27&gt;0,'Water Report'!$Z$27,0))</f>
        <v>148</v>
      </c>
      <c r="BG24" s="296">
        <f>(IF('Section Load'!AN27&gt;0,'Section Load'!AN27,0))</f>
        <v>979.91999999992549</v>
      </c>
      <c r="BH24" s="296">
        <f>(IF('Section Load'!AO27&gt;0,'Section Load'!AO27,0))</f>
        <v>292.69000000006054</v>
      </c>
      <c r="BI24" s="296">
        <f>(IF('Section Load'!AP27&gt;0,'Section Load'!AP27,0))</f>
        <v>0</v>
      </c>
      <c r="BJ24" s="296">
        <f>(IF('Section Load'!AQ27&gt;0,'Section Load'!AQ27,0))</f>
        <v>101.32999999998719</v>
      </c>
      <c r="BK24" s="296">
        <f>(IF('Section Load'!AR27&gt;0,'Section Load'!AR27,0))</f>
        <v>36</v>
      </c>
      <c r="BL24" s="296">
        <f>(IF('Section Load'!AS27&gt;0,'Section Load'!AS27,0))</f>
        <v>1</v>
      </c>
      <c r="BM24" s="296">
        <f>(IF('Section Load'!AT27&gt;0,'Section Load'!AT27,0))</f>
        <v>548.89999999987776</v>
      </c>
    </row>
    <row r="25" spans="1:65" x14ac:dyDescent="0.25">
      <c r="A25" s="287" t="s">
        <v>268</v>
      </c>
      <c r="B25" s="288">
        <f t="shared" si="0"/>
        <v>24</v>
      </c>
      <c r="C25" s="288">
        <v>2</v>
      </c>
      <c r="D25" s="288">
        <v>2022</v>
      </c>
      <c r="E25" s="294">
        <f>(IF('Section Load'!F28&gt;0,'Section Load'!F28,0))</f>
        <v>2037.0099999999984</v>
      </c>
      <c r="F25" s="294">
        <f>(IF('Section Load'!G28&gt;0,'Section Load'!G28,0))</f>
        <v>1645.5099999999984</v>
      </c>
      <c r="G25" s="294">
        <f>(IF('Section Load'!H28&gt;0,'Section Load'!H28,0))</f>
        <v>1826.3899999999994</v>
      </c>
      <c r="H25" s="294">
        <f>(IF('Section Load'!I28&gt;0,'Section Load'!I28,0))</f>
        <v>2607.1999999999971</v>
      </c>
      <c r="I25" s="294">
        <f>(IF('Section Load'!J28&gt;0,'Section Load'!J28,0))</f>
        <v>2484.3300000000017</v>
      </c>
      <c r="J25" s="294">
        <f>(IF('Section Load'!K28&gt;0,'Section Load'!K28,0))</f>
        <v>2087.4100000000035</v>
      </c>
      <c r="K25" s="294">
        <f>(IF('Section Load'!L28&gt;0,'Section Load'!L28,0))</f>
        <v>1014.6399999999994</v>
      </c>
      <c r="L25" s="294">
        <f>(IF('Section Load'!M28&gt;0,'Section Load'!M28,0))</f>
        <v>656.69999999999709</v>
      </c>
      <c r="M25" s="294">
        <f>(IF('Section Load'!N28&gt;0,'Section Load'!N28,0))</f>
        <v>64</v>
      </c>
      <c r="N25" s="294">
        <f>(IF('Section Load'!O28&gt;0,'Section Load'!O28,0))</f>
        <v>0</v>
      </c>
      <c r="O25" s="294">
        <f>(IF('Section Load'!P28&gt;0,'Section Load'!P28,0))</f>
        <v>0</v>
      </c>
      <c r="P25" s="294">
        <f>(IF('Section Load'!Q28&gt;0,'Section Load'!Q28,0))</f>
        <v>173.66999999999825</v>
      </c>
      <c r="Q25" s="294">
        <f>(IF('Section Load'!R28&gt;0,'Section Load'!R28,0))</f>
        <v>81.729999999999563</v>
      </c>
      <c r="R25" s="294">
        <f>(IF('Section Load'!S28&gt;0,'Section Load'!S28,0))</f>
        <v>6.7399999999997817</v>
      </c>
      <c r="S25" s="294">
        <f>(IF('Section Load'!T28&gt;0,'Section Load'!T28,0))</f>
        <v>398</v>
      </c>
      <c r="T25" s="294">
        <f>(IF('Section Load'!U28&gt;0,'Section Load'!U28,0))</f>
        <v>213</v>
      </c>
      <c r="U25" s="294">
        <f>(IF('Section Load'!V28&gt;0,'Section Load'!V28,0))</f>
        <v>318.04000000003725</v>
      </c>
      <c r="V25" s="294">
        <f>(IF('Section Load'!W28&gt;0,'Section Load'!W28,0))</f>
        <v>154.04000000003725</v>
      </c>
      <c r="W25" s="294">
        <f>(IF('Section Load'!X28&gt;0,'Section Load'!X28,0))</f>
        <v>34.380000000000109</v>
      </c>
      <c r="X25" s="294">
        <f>(IF('Section Load'!Y28&gt;0,'Section Load'!Y28,0))</f>
        <v>214.40999999999985</v>
      </c>
      <c r="Y25" s="294">
        <f>(IF('Section Load'!Z28&gt;0,'Section Load'!Z28,0))</f>
        <v>207</v>
      </c>
      <c r="Z25" s="294">
        <f>(IF('Section Load'!AA28&gt;0,'Section Load'!AA28,0))</f>
        <v>69.520000000018626</v>
      </c>
      <c r="AA25" s="294">
        <f>(IF('Section Load'!AB28&gt;0,'Section Load'!AB28,0))</f>
        <v>34.100000000005821</v>
      </c>
      <c r="AB25" s="294">
        <f>(IF('Section Load'!AC28&gt;0,'Section Load'!AC28,0))</f>
        <v>0</v>
      </c>
      <c r="AC25" s="294">
        <f>(IF('Section Load'!AD28&gt;0,'Section Load'!AD28,0))</f>
        <v>71.600000000000364</v>
      </c>
      <c r="AD25" s="294">
        <f>(IF('Section Load'!AE28&gt;0,'Section Load'!AE28,0))</f>
        <v>0</v>
      </c>
      <c r="AE25" s="294">
        <f>(IF('Section Load'!AF28&gt;0,'Section Load'!AF28,0))</f>
        <v>22.519999999999982</v>
      </c>
      <c r="AF25" s="294">
        <f>(IF('Section Load'!AG28&gt;0,'Section Load'!AG28,0))</f>
        <v>376.08999999999651</v>
      </c>
      <c r="AG25" s="294">
        <f>(IF('Section Load'!AH28&gt;0,'Section Load'!AH28,0))</f>
        <v>407.17000000001281</v>
      </c>
      <c r="AH25" s="294">
        <f>(IF('Section Load'!AI28&gt;0,'Section Load'!AI28,0))</f>
        <v>413.89999999999418</v>
      </c>
      <c r="AI25" s="294">
        <f>(IF('Section Load'!AJ28&gt;0,'Section Load'!AJ28,0))</f>
        <v>659.92999999999302</v>
      </c>
      <c r="AJ25" s="294">
        <f>(IF('Section Load'!AK28&gt;0,'Section Load'!AK28,0))</f>
        <v>187.41000000000349</v>
      </c>
      <c r="AK25" s="294">
        <f>(IF('Section Load'!AL28&gt;0,'Section Load'!AL28,0))</f>
        <v>265.89000000001397</v>
      </c>
      <c r="AL25" s="294">
        <f>(IF('Section Load'!AM28&gt;0,'Section Load'!AM28,0))</f>
        <v>437.57000000000698</v>
      </c>
      <c r="AM25" s="295">
        <f>(IF('Water Report'!$AA$7&gt;0,'Water Report'!$AA$7,0))</f>
        <v>124</v>
      </c>
      <c r="AN25" s="295">
        <f>(IF('Water Report'!$AA$8&gt;0,'Water Report'!$AA$8,0))</f>
        <v>68</v>
      </c>
      <c r="AO25" s="295">
        <f>(IF('Water Report'!$AA$9&gt;0,'Water Report'!$AA$9,0))</f>
        <v>103</v>
      </c>
      <c r="AP25" s="295">
        <f>(IF('Water Report'!$AA$10&gt;0,'Water Report'!$AA$10,0))</f>
        <v>14</v>
      </c>
      <c r="AQ25" s="295">
        <f>(IF('Water Report'!$AA$11&gt;0,'Water Report'!$AA$11,0))</f>
        <v>25</v>
      </c>
      <c r="AR25" s="295">
        <f>(IF('Water Report'!$AA$13&gt;0,'Water Report'!$AA$13,0))</f>
        <v>33</v>
      </c>
      <c r="AS25" s="295">
        <f>(IF('Water Report'!$AA$14&gt;0,'Water Report'!$AA$14,0))</f>
        <v>31</v>
      </c>
      <c r="AT25" s="295">
        <f>(IF('Water Report'!$AA$15&gt;0,'Water Report'!$AA$15,0))</f>
        <v>8</v>
      </c>
      <c r="AU25" s="295">
        <f>(IF('Water Report'!$AA$17&gt;0,'Water Report'!$AA$17,0))</f>
        <v>0</v>
      </c>
      <c r="AV25" s="295">
        <f>(IF('Water Report'!$AA$18&gt;0,'Water Report'!$AA$18,0))</f>
        <v>14</v>
      </c>
      <c r="AW25" s="295">
        <f>(IF('Water Report'!$AA$19&gt;0,'Water Report'!$AA$19,0))</f>
        <v>10</v>
      </c>
      <c r="AX25" s="301">
        <f>(IF('Water Report'!$AA$21&gt;0,'Water Report'!$AA$21,0))</f>
        <v>42</v>
      </c>
      <c r="AY25" s="301">
        <f>(IF('Water Report'!$AA$22&gt;0,'Water Report'!$AA$22,0))</f>
        <v>30</v>
      </c>
      <c r="AZ25" s="301">
        <f>(IF('Water Report'!$AA$23&gt;0,'Water Report'!$AA$23,0))</f>
        <v>7</v>
      </c>
      <c r="BA25" s="301">
        <f>(IF('Water Report'!$AA$14&gt;0,'Water Report'!$AA$14,0))</f>
        <v>31</v>
      </c>
      <c r="BB25" s="301">
        <f>(IF('Water Report'!$AA$15&gt;0,'Water Report'!$AA$15,0))</f>
        <v>8</v>
      </c>
      <c r="BC25" s="301">
        <f>(IF('Water Report'!$AA$13&gt;0,'Water Report'!$AA$13,0))</f>
        <v>33</v>
      </c>
      <c r="BD25" s="301">
        <f>(IF('Water Report'!$AA$24&gt;0,'Water Report'!$AA$24,0))</f>
        <v>212</v>
      </c>
      <c r="BE25" s="301">
        <f>(IF('Water Report'!$AA$25&gt;0,'Water Report'!$AA$25,0))</f>
        <v>181</v>
      </c>
      <c r="BF25" s="301">
        <f>(IF('Water Report'!$AA$27&gt;0,'Water Report'!$AA$27,0))</f>
        <v>82</v>
      </c>
      <c r="BG25" s="296">
        <f>(IF('Section Load'!AN28&gt;0,'Section Load'!AN28,0))</f>
        <v>1037.0800000000745</v>
      </c>
      <c r="BH25" s="296">
        <f>(IF('Section Load'!AO28&gt;0,'Section Load'!AO28,0))</f>
        <v>311.18999999994412</v>
      </c>
      <c r="BI25" s="296">
        <f>(IF('Section Load'!AP28&gt;0,'Section Load'!AP28,0))</f>
        <v>0</v>
      </c>
      <c r="BJ25" s="296">
        <f>(IF('Section Load'!AQ28&gt;0,'Section Load'!AQ28,0))</f>
        <v>114</v>
      </c>
      <c r="BK25" s="296">
        <f>(IF('Section Load'!AR28&gt;0,'Section Load'!AR28,0))</f>
        <v>34</v>
      </c>
      <c r="BL25" s="296">
        <f>(IF('Section Load'!AS28&gt;0,'Section Load'!AS28,0))</f>
        <v>1</v>
      </c>
      <c r="BM25" s="296">
        <f>(IF('Section Load'!AT28&gt;0,'Section Load'!AT28,0))</f>
        <v>576.89000000013039</v>
      </c>
    </row>
    <row r="26" spans="1:65" x14ac:dyDescent="0.25">
      <c r="A26" s="287" t="s">
        <v>268</v>
      </c>
      <c r="B26" s="288">
        <f>B25+1</f>
        <v>25</v>
      </c>
      <c r="C26" s="288">
        <v>2</v>
      </c>
      <c r="D26" s="288">
        <v>2022</v>
      </c>
      <c r="E26" s="294">
        <f>(IF('Section Load'!F29&gt;0,'Section Load'!F29,0))</f>
        <v>2140</v>
      </c>
      <c r="F26" s="294">
        <f>(IF('Section Load'!G29&gt;0,'Section Load'!G29,0))</f>
        <v>1608</v>
      </c>
      <c r="G26" s="294">
        <f>(IF('Section Load'!H29&gt;0,'Section Load'!H29,0))</f>
        <v>1761</v>
      </c>
      <c r="H26" s="294">
        <f>(IF('Section Load'!I29&gt;0,'Section Load'!I29,0))</f>
        <v>2591</v>
      </c>
      <c r="I26" s="294">
        <f>(IF('Section Load'!J29&gt;0,'Section Load'!J29,0))</f>
        <v>3028.3999999999942</v>
      </c>
      <c r="J26" s="294">
        <f>(IF('Section Load'!K29&gt;0,'Section Load'!K29,0))</f>
        <v>1958</v>
      </c>
      <c r="K26" s="294">
        <f>(IF('Section Load'!L29&gt;0,'Section Load'!L29,0))</f>
        <v>1011</v>
      </c>
      <c r="L26" s="294">
        <f>(IF('Section Load'!M29&gt;0,'Section Load'!M29,0))</f>
        <v>600</v>
      </c>
      <c r="M26" s="294">
        <f>(IF('Section Load'!N29&gt;0,'Section Load'!N29,0))</f>
        <v>76</v>
      </c>
      <c r="N26" s="294">
        <f>(IF('Section Load'!O29&gt;0,'Section Load'!O29,0))</f>
        <v>1</v>
      </c>
      <c r="O26" s="294">
        <f>(IF('Section Load'!P29&gt;0,'Section Load'!P29,0))</f>
        <v>0</v>
      </c>
      <c r="P26" s="294">
        <f>(IF('Section Load'!Q29&gt;0,'Section Load'!Q29,0))</f>
        <v>173</v>
      </c>
      <c r="Q26" s="294">
        <f>(IF('Section Load'!R29&gt;0,'Section Load'!R29,0))</f>
        <v>65</v>
      </c>
      <c r="R26" s="294">
        <f>(IF('Section Load'!S29&gt;0,'Section Load'!S29,0))</f>
        <v>6</v>
      </c>
      <c r="S26" s="294">
        <f>(IF('Section Load'!T29&gt;0,'Section Load'!T29,0))</f>
        <v>402</v>
      </c>
      <c r="T26" s="294">
        <f>(IF('Section Load'!U29&gt;0,'Section Load'!U29,0))</f>
        <v>204</v>
      </c>
      <c r="U26" s="294">
        <f>(IF('Section Load'!V29&gt;0,'Section Load'!V29,0))</f>
        <v>365</v>
      </c>
      <c r="V26" s="294">
        <f>(IF('Section Load'!W29&gt;0,'Section Load'!W29,0))</f>
        <v>158</v>
      </c>
      <c r="W26" s="294">
        <f>(IF('Section Load'!X29&gt;0,'Section Load'!X29,0))</f>
        <v>26</v>
      </c>
      <c r="X26" s="294">
        <f>(IF('Section Load'!Y29&gt;0,'Section Load'!Y29,0))</f>
        <v>110</v>
      </c>
      <c r="Y26" s="294">
        <f>(IF('Section Load'!Z29&gt;0,'Section Load'!Z29,0))</f>
        <v>250</v>
      </c>
      <c r="Z26" s="294">
        <f>(IF('Section Load'!AA29&gt;0,'Section Load'!AA29,0))</f>
        <v>20.479999999981374</v>
      </c>
      <c r="AA26" s="294">
        <f>(IF('Section Load'!AB29&gt;0,'Section Load'!AB29,0))</f>
        <v>38</v>
      </c>
      <c r="AB26" s="294">
        <f>(IF('Section Load'!AC29&gt;0,'Section Load'!AC29,0))</f>
        <v>0</v>
      </c>
      <c r="AC26" s="294">
        <f>(IF('Section Load'!AD29&gt;0,'Section Load'!AD29,0))</f>
        <v>36</v>
      </c>
      <c r="AD26" s="294">
        <f>(IF('Section Load'!AE29&gt;0,'Section Load'!AE29,0))</f>
        <v>0</v>
      </c>
      <c r="AE26" s="294">
        <f>(IF('Section Load'!AF29&gt;0,'Section Load'!AF29,0))</f>
        <v>23</v>
      </c>
      <c r="AF26" s="294">
        <f>(IF('Section Load'!AG29&gt;0,'Section Load'!AG29,0))</f>
        <v>338</v>
      </c>
      <c r="AG26" s="294">
        <f>(IF('Section Load'!AH29&gt;0,'Section Load'!AH29,0))</f>
        <v>419</v>
      </c>
      <c r="AH26" s="294">
        <f>(IF('Section Load'!AI29&gt;0,'Section Load'!AI29,0))</f>
        <v>406.2300000000032</v>
      </c>
      <c r="AI26" s="294">
        <f>(IF('Section Load'!AJ29&gt;0,'Section Load'!AJ29,0))</f>
        <v>710</v>
      </c>
      <c r="AJ26" s="294">
        <f>(IF('Section Load'!AK29&gt;0,'Section Load'!AK29,0))</f>
        <v>179</v>
      </c>
      <c r="AK26" s="294">
        <f>(IF('Section Load'!AL29&gt;0,'Section Load'!AL29,0))</f>
        <v>263</v>
      </c>
      <c r="AL26" s="294">
        <f>(IF('Section Load'!AM29&gt;0,'Section Load'!AM29,0))</f>
        <v>397</v>
      </c>
      <c r="AM26" s="295">
        <f>(IF('Water Report'!$AB$7&gt;0,'Water Report'!$AB$7,0))</f>
        <v>102</v>
      </c>
      <c r="AN26" s="295">
        <f>(IF('Water Report'!$AB$8&gt;0,'Water Report'!$AB$8,0))</f>
        <v>164</v>
      </c>
      <c r="AO26" s="295">
        <f>(IF('Water Report'!$AB$9&gt;0,'Water Report'!$AB$9,0))</f>
        <v>86</v>
      </c>
      <c r="AP26" s="295">
        <f>(IF('Water Report'!$AB$10&gt;0,'Water Report'!$AB$10,0))</f>
        <v>11</v>
      </c>
      <c r="AQ26" s="295">
        <f>(IF('Water Report'!$AB$11&gt;0,'Water Report'!$AB$11,0))</f>
        <v>20</v>
      </c>
      <c r="AR26" s="295">
        <f>(IF('Water Report'!$AB$13&gt;0,'Water Report'!$AB$13,0))</f>
        <v>73</v>
      </c>
      <c r="AS26" s="295">
        <f>(IF('Water Report'!$AB$14&gt;0,'Water Report'!$AB$14,0))</f>
        <v>5</v>
      </c>
      <c r="AT26" s="295">
        <f>(IF('Water Report'!$AB$15&gt;0,'Water Report'!$AB$15,0))</f>
        <v>12</v>
      </c>
      <c r="AU26" s="295">
        <f>(IF('Water Report'!$AB$17&gt;0,'Water Report'!$AB$17,0))</f>
        <v>0</v>
      </c>
      <c r="AV26" s="295">
        <f>(IF('Water Report'!$AB$18&gt;0,'Water Report'!$AB$18,0))</f>
        <v>8</v>
      </c>
      <c r="AW26" s="295">
        <f>(IF('Water Report'!$AB$19&gt;0,'Water Report'!$AB$19,0))</f>
        <v>8</v>
      </c>
      <c r="AX26" s="301">
        <f>(IF('Water Report'!$AB$21&gt;0,'Water Report'!$AB$21,0))</f>
        <v>21</v>
      </c>
      <c r="AY26" s="301">
        <f>(IF('Water Report'!$AB$22&gt;0,'Water Report'!$AB$22,0))</f>
        <v>80</v>
      </c>
      <c r="AZ26" s="301">
        <f>(IF('Water Report'!$AB$23&gt;0,'Water Report'!$AB$23,0))</f>
        <v>7</v>
      </c>
      <c r="BA26" s="301">
        <f>(IF('Water Report'!$AB$14&gt;0,'Water Report'!$AB$14,0))</f>
        <v>5</v>
      </c>
      <c r="BB26" s="301">
        <f>(IF('Water Report'!$AB$15&gt;0,'Water Report'!$AB$15,0))</f>
        <v>12</v>
      </c>
      <c r="BC26" s="301">
        <f>(IF('Water Report'!$AB$13&gt;0,'Water Report'!$AB$13,0))</f>
        <v>73</v>
      </c>
      <c r="BD26" s="301">
        <f>(IF('Water Report'!$AB$24&gt;0,'Water Report'!$AB$24,0))</f>
        <v>190</v>
      </c>
      <c r="BE26" s="301">
        <f>(IF('Water Report'!$AB$25&gt;0,'Water Report'!$AB$25,0))</f>
        <v>134</v>
      </c>
      <c r="BF26" s="301">
        <f>(IF('Water Report'!$AB$27&gt;0,'Water Report'!$AB$27,0))</f>
        <v>101</v>
      </c>
      <c r="BG26" s="296">
        <f>(IF('Section Load'!AN29&gt;0,'Section Load'!AN29,0))</f>
        <v>815</v>
      </c>
      <c r="BH26" s="296">
        <f>(IF('Section Load'!AO29&gt;0,'Section Load'!AO29,0))</f>
        <v>296</v>
      </c>
      <c r="BI26" s="296">
        <f>(IF('Section Load'!AP29&gt;0,'Section Load'!AP29,0))</f>
        <v>0</v>
      </c>
      <c r="BJ26" s="296">
        <f>(IF('Section Load'!AQ29&gt;0,'Section Load'!AQ29,0))</f>
        <v>102</v>
      </c>
      <c r="BK26" s="296">
        <f>(IF('Section Load'!AR29&gt;0,'Section Load'!AR29,0))</f>
        <v>28</v>
      </c>
      <c r="BL26" s="296">
        <f>(IF('Section Load'!AS29&gt;0,'Section Load'!AS29,0))</f>
        <v>0</v>
      </c>
      <c r="BM26" s="296">
        <f>(IF('Section Load'!AT29&gt;0,'Section Load'!AT29,0))</f>
        <v>389</v>
      </c>
    </row>
    <row r="27" spans="1:65" x14ac:dyDescent="0.25">
      <c r="A27" s="287" t="s">
        <v>268</v>
      </c>
      <c r="B27" s="288">
        <f t="shared" si="0"/>
        <v>26</v>
      </c>
      <c r="C27" s="288">
        <v>2</v>
      </c>
      <c r="D27" s="288">
        <v>2022</v>
      </c>
      <c r="E27" s="294">
        <f>(IF('Section Load'!F30&gt;0,'Section Load'!F30,0))</f>
        <v>2079</v>
      </c>
      <c r="F27" s="294">
        <f>(IF('Section Load'!G30&gt;0,'Section Load'!G30,0))</f>
        <v>1519</v>
      </c>
      <c r="G27" s="294">
        <f>(IF('Section Load'!H30&gt;0,'Section Load'!H30,0))</f>
        <v>1746</v>
      </c>
      <c r="H27" s="294">
        <f>(IF('Section Load'!I30&gt;0,'Section Load'!I30,0))</f>
        <v>2557</v>
      </c>
      <c r="I27" s="294">
        <f>(IF('Section Load'!J30&gt;0,'Section Load'!J30,0))</f>
        <v>3448</v>
      </c>
      <c r="J27" s="294">
        <f>(IF('Section Load'!K30&gt;0,'Section Load'!K30,0))</f>
        <v>1948</v>
      </c>
      <c r="K27" s="294">
        <f>(IF('Section Load'!L30&gt;0,'Section Load'!L30,0))</f>
        <v>1009</v>
      </c>
      <c r="L27" s="294">
        <f>(IF('Section Load'!M30&gt;0,'Section Load'!M30,0))</f>
        <v>643</v>
      </c>
      <c r="M27" s="294">
        <f>(IF('Section Load'!N30&gt;0,'Section Load'!N30,0))</f>
        <v>62</v>
      </c>
      <c r="N27" s="294">
        <f>(IF('Section Load'!O30&gt;0,'Section Load'!O30,0))</f>
        <v>0</v>
      </c>
      <c r="O27" s="294">
        <f>(IF('Section Load'!P30&gt;0,'Section Load'!P30,0))</f>
        <v>0</v>
      </c>
      <c r="P27" s="294">
        <f>(IF('Section Load'!Q30&gt;0,'Section Load'!Q30,0))</f>
        <v>189</v>
      </c>
      <c r="Q27" s="294">
        <f>(IF('Section Load'!R30&gt;0,'Section Load'!R30,0))</f>
        <v>95</v>
      </c>
      <c r="R27" s="294">
        <f>(IF('Section Load'!S30&gt;0,'Section Load'!S30,0))</f>
        <v>6</v>
      </c>
      <c r="S27" s="294">
        <f>(IF('Section Load'!T30&gt;0,'Section Load'!T30,0))</f>
        <v>380</v>
      </c>
      <c r="T27" s="294">
        <f>(IF('Section Load'!U30&gt;0,'Section Load'!U30,0))</f>
        <v>194</v>
      </c>
      <c r="U27" s="294">
        <f>(IF('Section Load'!V30&gt;0,'Section Load'!V30,0))</f>
        <v>348</v>
      </c>
      <c r="V27" s="294">
        <f>(IF('Section Load'!W30&gt;0,'Section Load'!W30,0))</f>
        <v>191</v>
      </c>
      <c r="W27" s="294">
        <f>(IF('Section Load'!X30&gt;0,'Section Load'!X30,0))</f>
        <v>30</v>
      </c>
      <c r="X27" s="294">
        <f>(IF('Section Load'!Y30&gt;0,'Section Load'!Y30,0))</f>
        <v>202</v>
      </c>
      <c r="Y27" s="294">
        <f>(IF('Section Load'!Z30&gt;0,'Section Load'!Z30,0))</f>
        <v>232</v>
      </c>
      <c r="Z27" s="294">
        <f>(IF('Section Load'!AA30&gt;0,'Section Load'!AA30,0))</f>
        <v>16</v>
      </c>
      <c r="AA27" s="294">
        <f>(IF('Section Load'!AB30&gt;0,'Section Load'!AB30,0))</f>
        <v>30</v>
      </c>
      <c r="AB27" s="294">
        <f>(IF('Section Load'!AC30&gt;0,'Section Load'!AC30,0))</f>
        <v>0</v>
      </c>
      <c r="AC27" s="294">
        <f>(IF('Section Load'!AD30&gt;0,'Section Load'!AD30,0))</f>
        <v>34</v>
      </c>
      <c r="AD27" s="294">
        <f>(IF('Section Load'!AE30&gt;0,'Section Load'!AE30,0))</f>
        <v>0</v>
      </c>
      <c r="AE27" s="294">
        <f>(IF('Section Load'!AF30&gt;0,'Section Load'!AF30,0))</f>
        <v>27</v>
      </c>
      <c r="AF27" s="294">
        <f>(IF('Section Load'!AG30&gt;0,'Section Load'!AG30,0))</f>
        <v>337</v>
      </c>
      <c r="AG27" s="294">
        <f>(IF('Section Load'!AH30&gt;0,'Section Load'!AH30,0))</f>
        <v>427</v>
      </c>
      <c r="AH27" s="294">
        <f>(IF('Section Load'!AI30&gt;0,'Section Load'!AI30,0))</f>
        <v>423</v>
      </c>
      <c r="AI27" s="294">
        <f>(IF('Section Load'!AJ30&gt;0,'Section Load'!AJ30,0))</f>
        <v>837</v>
      </c>
      <c r="AJ27" s="294">
        <f>(IF('Section Load'!AK30&gt;0,'Section Load'!AK30,0))</f>
        <v>157</v>
      </c>
      <c r="AK27" s="294">
        <f>(IF('Section Load'!AL30&gt;0,'Section Load'!AL30,0))</f>
        <v>266</v>
      </c>
      <c r="AL27" s="294">
        <f>(IF('Section Load'!AM30&gt;0,'Section Load'!AM30,0))</f>
        <v>428</v>
      </c>
      <c r="AM27" s="295">
        <f>(IF('Water Report'!$AC$7&gt;0,'Water Report'!$AC$7,0))</f>
        <v>93</v>
      </c>
      <c r="AN27" s="295">
        <f>(IF('Water Report'!$AC$8&gt;0,'Water Report'!$AC$8,0))</f>
        <v>127</v>
      </c>
      <c r="AO27" s="295">
        <f>(IF('Water Report'!$AC$9&gt;0,'Water Report'!$AC$9,0))</f>
        <v>84</v>
      </c>
      <c r="AP27" s="295">
        <f>(IF('Water Report'!$AC$10&gt;0,'Water Report'!$AC$10,0))</f>
        <v>19</v>
      </c>
      <c r="AQ27" s="295">
        <f>(IF('Water Report'!$AC$11&gt;0,'Water Report'!$AC$11,0))</f>
        <v>26</v>
      </c>
      <c r="AR27" s="295">
        <f>(IF('Water Report'!$AC$13&gt;0,'Water Report'!$AC$13,0))</f>
        <v>50</v>
      </c>
      <c r="AS27" s="295">
        <f>(IF('Water Report'!$AC$14&gt;0,'Water Report'!$AC$14,0))</f>
        <v>8</v>
      </c>
      <c r="AT27" s="295">
        <f>(IF('Water Report'!$AC$15&gt;0,'Water Report'!$AC$15,0))</f>
        <v>13</v>
      </c>
      <c r="AU27" s="295">
        <f>(IF('Water Report'!$AC$17&gt;0,'Water Report'!$AC$17,0))</f>
        <v>0</v>
      </c>
      <c r="AV27" s="295">
        <f>(IF('Water Report'!$AC$18&gt;0,'Water Report'!$AC$18,0))</f>
        <v>12</v>
      </c>
      <c r="AW27" s="295">
        <f>(IF('Water Report'!$AC$19&gt;0,'Water Report'!$AC$19,0))</f>
        <v>10</v>
      </c>
      <c r="AX27" s="301">
        <f>(IF('Water Report'!$AC$21&gt;0,'Water Report'!$AC$21,0))</f>
        <v>55</v>
      </c>
      <c r="AY27" s="301">
        <f>(IF('Water Report'!$AC$22&gt;0,'Water Report'!$AC$22,0))</f>
        <v>48</v>
      </c>
      <c r="AZ27" s="301">
        <f>(IF('Water Report'!$AC$23&gt;0,'Water Report'!$AC$23,0))</f>
        <v>0</v>
      </c>
      <c r="BA27" s="301">
        <f>(IF('Water Report'!$AC$14&gt;0,'Water Report'!$AC$14,0))</f>
        <v>8</v>
      </c>
      <c r="BB27" s="301">
        <f>(IF('Water Report'!$AC$15&gt;0,'Water Report'!$AC$15,0))</f>
        <v>13</v>
      </c>
      <c r="BC27" s="301">
        <f>(IF('Water Report'!$AC$13&gt;0,'Water Report'!$AC$13,0))</f>
        <v>50</v>
      </c>
      <c r="BD27" s="301">
        <f>(IF('Water Report'!$AC$24&gt;0,'Water Report'!$AC$24,0))</f>
        <v>175</v>
      </c>
      <c r="BE27" s="301">
        <f>(IF('Water Report'!$AC$25&gt;0,'Water Report'!$AC$25,0))</f>
        <v>150</v>
      </c>
      <c r="BF27" s="301">
        <f>(IF('Water Report'!$AC$27&gt;0,'Water Report'!$AC$27,0))</f>
        <v>105</v>
      </c>
      <c r="BG27" s="296">
        <f>(IF('Section Load'!AN30&gt;0,'Section Load'!AN30,0))</f>
        <v>936</v>
      </c>
      <c r="BH27" s="296">
        <f>(IF('Section Load'!AO30&gt;0,'Section Load'!AO30,0))</f>
        <v>286</v>
      </c>
      <c r="BI27" s="296">
        <f>(IF('Section Load'!AP30&gt;0,'Section Load'!AP30,0))</f>
        <v>0</v>
      </c>
      <c r="BJ27" s="296">
        <f>(IF('Section Load'!AQ30&gt;0,'Section Load'!AQ30,0))</f>
        <v>105</v>
      </c>
      <c r="BK27" s="296">
        <f>(IF('Section Load'!AR30&gt;0,'Section Load'!AR30,0))</f>
        <v>31</v>
      </c>
      <c r="BL27" s="296">
        <f>(IF('Section Load'!AS30&gt;0,'Section Load'!AS30,0))</f>
        <v>1</v>
      </c>
      <c r="BM27" s="296">
        <f>(IF('Section Load'!AT30&gt;0,'Section Load'!AT30,0))</f>
        <v>513</v>
      </c>
    </row>
    <row r="28" spans="1:65" x14ac:dyDescent="0.25">
      <c r="A28" s="287" t="s">
        <v>268</v>
      </c>
      <c r="B28" s="288">
        <f t="shared" si="0"/>
        <v>27</v>
      </c>
      <c r="C28" s="288">
        <v>2</v>
      </c>
      <c r="D28" s="288">
        <v>2022</v>
      </c>
      <c r="E28" s="294">
        <f>(IF('Section Load'!F31&gt;0,'Section Load'!F31,0))</f>
        <v>2111</v>
      </c>
      <c r="F28" s="294">
        <f>(IF('Section Load'!G31&gt;0,'Section Load'!G31,0))</f>
        <v>1582</v>
      </c>
      <c r="G28" s="294">
        <f>(IF('Section Load'!H31&gt;0,'Section Load'!H31,0))</f>
        <v>1792</v>
      </c>
      <c r="H28" s="294">
        <f>(IF('Section Load'!I31&gt;0,'Section Load'!I31,0))</f>
        <v>2612</v>
      </c>
      <c r="I28" s="294">
        <f>(IF('Section Load'!J31&gt;0,'Section Load'!J31,0))</f>
        <v>3934</v>
      </c>
      <c r="J28" s="294">
        <f>(IF('Section Load'!K31&gt;0,'Section Load'!K31,0))</f>
        <v>1969</v>
      </c>
      <c r="K28" s="294">
        <f>(IF('Section Load'!L31&gt;0,'Section Load'!L31,0))</f>
        <v>977</v>
      </c>
      <c r="L28" s="294">
        <f>(IF('Section Load'!M31&gt;0,'Section Load'!M31,0))</f>
        <v>707</v>
      </c>
      <c r="M28" s="294">
        <f>(IF('Section Load'!N31&gt;0,'Section Load'!N31,0))</f>
        <v>58</v>
      </c>
      <c r="N28" s="294">
        <f>(IF('Section Load'!O31&gt;0,'Section Load'!O31,0))</f>
        <v>1</v>
      </c>
      <c r="O28" s="294">
        <f>(IF('Section Load'!P31&gt;0,'Section Load'!P31,0))</f>
        <v>0</v>
      </c>
      <c r="P28" s="294">
        <f>(IF('Section Load'!Q31&gt;0,'Section Load'!Q31,0))</f>
        <v>145</v>
      </c>
      <c r="Q28" s="294">
        <f>(IF('Section Load'!R31&gt;0,'Section Load'!R31,0))</f>
        <v>70</v>
      </c>
      <c r="R28" s="294">
        <f>(IF('Section Load'!S31&gt;0,'Section Load'!S31,0))</f>
        <v>5</v>
      </c>
      <c r="S28" s="294">
        <f>(IF('Section Load'!T31&gt;0,'Section Load'!T31,0))</f>
        <v>390</v>
      </c>
      <c r="T28" s="294">
        <f>(IF('Section Load'!U31&gt;0,'Section Load'!U31,0))</f>
        <v>198</v>
      </c>
      <c r="U28" s="294">
        <f>(IF('Section Load'!V31&gt;0,'Section Load'!V31,0))</f>
        <v>339</v>
      </c>
      <c r="V28" s="294">
        <f>(IF('Section Load'!W31&gt;0,'Section Load'!W31,0))</f>
        <v>225</v>
      </c>
      <c r="W28" s="294">
        <f>(IF('Section Load'!X31&gt;0,'Section Load'!X31,0))</f>
        <v>23</v>
      </c>
      <c r="X28" s="294">
        <f>(IF('Section Load'!Y31&gt;0,'Section Load'!Y31,0))</f>
        <v>198</v>
      </c>
      <c r="Y28" s="294">
        <f>(IF('Section Load'!Z31&gt;0,'Section Load'!Z31,0))</f>
        <v>265</v>
      </c>
      <c r="Z28" s="294">
        <f>(IF('Section Load'!AA31&gt;0,'Section Load'!AA31,0))</f>
        <v>22</v>
      </c>
      <c r="AA28" s="294">
        <f>(IF('Section Load'!AB31&gt;0,'Section Load'!AB31,0))</f>
        <v>41</v>
      </c>
      <c r="AB28" s="294">
        <f>(IF('Section Load'!AC31&gt;0,'Section Load'!AC31,0))</f>
        <v>0</v>
      </c>
      <c r="AC28" s="294">
        <f>(IF('Section Load'!AD31&gt;0,'Section Load'!AD31,0))</f>
        <v>68</v>
      </c>
      <c r="AD28" s="294">
        <f>(IF('Section Load'!AE31&gt;0,'Section Load'!AE31,0))</f>
        <v>0</v>
      </c>
      <c r="AE28" s="294">
        <f>(IF('Section Load'!AF31&gt;0,'Section Load'!AF31,0))</f>
        <v>19</v>
      </c>
      <c r="AF28" s="294">
        <f>(IF('Section Load'!AG31&gt;0,'Section Load'!AG31,0))</f>
        <v>355</v>
      </c>
      <c r="AG28" s="294">
        <f>(IF('Section Load'!AH31&gt;0,'Section Load'!AH31,0))</f>
        <v>386</v>
      </c>
      <c r="AH28" s="294">
        <f>(IF('Section Load'!AI31&gt;0,'Section Load'!AI31,0))</f>
        <v>400</v>
      </c>
      <c r="AI28" s="294">
        <f>(IF('Section Load'!AJ31&gt;0,'Section Load'!AJ31,0))</f>
        <v>552</v>
      </c>
      <c r="AJ28" s="294">
        <f>(IF('Section Load'!AK31&gt;0,'Section Load'!AK31,0))</f>
        <v>195</v>
      </c>
      <c r="AK28" s="294">
        <f>(IF('Section Load'!AL31&gt;0,'Section Load'!AL31,0))</f>
        <v>283</v>
      </c>
      <c r="AL28" s="294">
        <f>(IF('Section Load'!AM31&gt;0,'Section Load'!AM31,0))</f>
        <v>369</v>
      </c>
      <c r="AM28" s="295">
        <f>(IF('Water Report'!$AD$7&gt;0,'Water Report'!$AD$7,0))</f>
        <v>120</v>
      </c>
      <c r="AN28" s="295">
        <f>(IF('Water Report'!$AD$8&gt;0,'Water Report'!$AD$8,0))</f>
        <v>150</v>
      </c>
      <c r="AO28" s="295">
        <f>(IF('Water Report'!$AD$9&gt;0,'Water Report'!$AD$9,0))</f>
        <v>97</v>
      </c>
      <c r="AP28" s="295">
        <f>(IF('Water Report'!$AD$10&gt;0,'Water Report'!AD$10,0))</f>
        <v>25</v>
      </c>
      <c r="AQ28" s="295">
        <f>(IF('Water Report'!$AD$11&gt;0,'Water Report'!AE$11,0))</f>
        <v>23</v>
      </c>
      <c r="AR28" s="295">
        <f>(IF('Water Report'!$AD$13&gt;0,'Water Report'!AF$13,0))</f>
        <v>48</v>
      </c>
      <c r="AS28" s="295">
        <f>(IF('Water Report'!$AD$14&gt;0,'Water Report'!AG$14,0))</f>
        <v>8</v>
      </c>
      <c r="AT28" s="295">
        <f>(IF('Water Report'!$AD$15&gt;0,'Water Report'!AH$15,0))</f>
        <v>8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954</v>
      </c>
      <c r="BH28" s="296">
        <f>(IF('Section Load'!AO31&gt;0,'Section Load'!AO31,0))</f>
        <v>293</v>
      </c>
      <c r="BI28" s="296">
        <f>(IF('Section Load'!AP31&gt;0,'Section Load'!AP31,0))</f>
        <v>0</v>
      </c>
      <c r="BJ28" s="296">
        <f>(IF('Section Load'!AQ31&gt;0,'Section Load'!AQ31,0))</f>
        <v>99</v>
      </c>
      <c r="BK28" s="296">
        <f>(IF('Section Load'!AR31&gt;0,'Section Load'!AR31,0))</f>
        <v>27</v>
      </c>
      <c r="BL28" s="296">
        <f>(IF('Section Load'!AS31&gt;0,'Section Load'!AS31,0))</f>
        <v>1</v>
      </c>
      <c r="BM28" s="296">
        <f>(IF('Section Load'!AT31&gt;0,'Section Load'!AT31,0))</f>
        <v>534</v>
      </c>
    </row>
    <row r="29" spans="1:65" x14ac:dyDescent="0.25">
      <c r="A29" s="287" t="s">
        <v>268</v>
      </c>
      <c r="B29" s="288">
        <f t="shared" si="0"/>
        <v>28</v>
      </c>
      <c r="C29" s="288">
        <v>2</v>
      </c>
      <c r="D29" s="288">
        <v>2022</v>
      </c>
      <c r="E29" s="294">
        <f>(IF('Section Load'!F32&gt;0,'Section Load'!F32,0))</f>
        <v>2153</v>
      </c>
      <c r="F29" s="294">
        <f>(IF('Section Load'!G32&gt;0,'Section Load'!G32,0))</f>
        <v>1576</v>
      </c>
      <c r="G29" s="294">
        <f>(IF('Section Load'!H32&gt;0,'Section Load'!H32,0))</f>
        <v>1753</v>
      </c>
      <c r="H29" s="294">
        <f>(IF('Section Load'!I32&gt;0,'Section Load'!I32,0))</f>
        <v>2604</v>
      </c>
      <c r="I29" s="294">
        <f>(IF('Section Load'!J32&gt;0,'Section Load'!J32,0))</f>
        <v>4136</v>
      </c>
      <c r="J29" s="294">
        <f>(IF('Section Load'!K32&gt;0,'Section Load'!K32,0))</f>
        <v>1961</v>
      </c>
      <c r="K29" s="294">
        <f>(IF('Section Load'!L32&gt;0,'Section Load'!L32,0))</f>
        <v>1036</v>
      </c>
      <c r="L29" s="294">
        <f>(IF('Section Load'!M32&gt;0,'Section Load'!M32,0))</f>
        <v>689</v>
      </c>
      <c r="M29" s="294">
        <f>(IF('Section Load'!N32&gt;0,'Section Load'!N32,0))</f>
        <v>48</v>
      </c>
      <c r="N29" s="294">
        <f>(IF('Section Load'!O32&gt;0,'Section Load'!O32,0))</f>
        <v>0</v>
      </c>
      <c r="O29" s="294">
        <f>(IF('Section Load'!P32&gt;0,'Section Load'!P32,0))</f>
        <v>0</v>
      </c>
      <c r="P29" s="294">
        <f>(IF('Section Load'!Q32&gt;0,'Section Load'!Q32,0))</f>
        <v>172</v>
      </c>
      <c r="Q29" s="294">
        <f>(IF('Section Load'!R32&gt;0,'Section Load'!R32,0))</f>
        <v>77</v>
      </c>
      <c r="R29" s="294">
        <f>(IF('Section Load'!S32&gt;0,'Section Load'!S32,0))</f>
        <v>9</v>
      </c>
      <c r="S29" s="294">
        <f>(IF('Section Load'!T32&gt;0,'Section Load'!T32,0))</f>
        <v>401</v>
      </c>
      <c r="T29" s="294">
        <f>(IF('Section Load'!U32&gt;0,'Section Load'!U32,0))</f>
        <v>195</v>
      </c>
      <c r="U29" s="294">
        <f>(IF('Section Load'!V32&gt;0,'Section Load'!V32,0))</f>
        <v>379</v>
      </c>
      <c r="V29" s="294">
        <f>(IF('Section Load'!W32&gt;0,'Section Load'!W32,0))</f>
        <v>185</v>
      </c>
      <c r="W29" s="294">
        <f>(IF('Section Load'!X32&gt;0,'Section Load'!X32,0))</f>
        <v>28</v>
      </c>
      <c r="X29" s="294">
        <f>(IF('Section Load'!Y32&gt;0,'Section Load'!Y32,0))</f>
        <v>203</v>
      </c>
      <c r="Y29" s="294">
        <f>(IF('Section Load'!Z32&gt;0,'Section Load'!Z32,0))</f>
        <v>254</v>
      </c>
      <c r="Z29" s="294">
        <f>(IF('Section Load'!AA32&gt;0,'Section Load'!AA32,0))</f>
        <v>29</v>
      </c>
      <c r="AA29" s="294">
        <f>(IF('Section Load'!AB32&gt;0,'Section Load'!AB32,0))</f>
        <v>39</v>
      </c>
      <c r="AB29" s="294">
        <f>(IF('Section Load'!AC32&gt;0,'Section Load'!AC32,0))</f>
        <v>0.43000000000029104</v>
      </c>
      <c r="AC29" s="294">
        <f>(IF('Section Load'!AD32&gt;0,'Section Load'!AD32,0))</f>
        <v>45.899999999999636</v>
      </c>
      <c r="AD29" s="294">
        <f>(IF('Section Load'!AE32&gt;0,'Section Load'!AE32,0))</f>
        <v>0</v>
      </c>
      <c r="AE29" s="294">
        <f>(IF('Section Load'!AF32&gt;0,'Section Load'!AF32,0))</f>
        <v>23</v>
      </c>
      <c r="AF29" s="294">
        <f>(IF('Section Load'!AG32&gt;0,'Section Load'!AG32,0))</f>
        <v>349</v>
      </c>
      <c r="AG29" s="294">
        <f>(IF('Section Load'!AH32&gt;0,'Section Load'!AH32,0))</f>
        <v>422</v>
      </c>
      <c r="AH29" s="294">
        <f>(IF('Section Load'!AI32&gt;0,'Section Load'!AI32,0))</f>
        <v>415</v>
      </c>
      <c r="AI29" s="294">
        <f>(IF('Section Load'!AJ32&gt;0,'Section Load'!AJ32,0))</f>
        <v>708</v>
      </c>
      <c r="AJ29" s="294">
        <f>(IF('Section Load'!AK32&gt;0,'Section Load'!AK32,0))</f>
        <v>190</v>
      </c>
      <c r="AK29" s="294">
        <f>(IF('Section Load'!AL32&gt;0,'Section Load'!AL32,0))</f>
        <v>277</v>
      </c>
      <c r="AL29" s="294">
        <f>(IF('Section Load'!AM32&gt;0,'Section Load'!AM32,0))</f>
        <v>407</v>
      </c>
      <c r="AM29" s="295">
        <f>(IF('Water Report'!$AE$7&gt;0,'Water Report'!$AE$7,0))</f>
        <v>90</v>
      </c>
      <c r="AN29" s="295">
        <f>(IF('Water Report'!$AE$8&gt;0,'Water Report'!$AE$8,0))</f>
        <v>139</v>
      </c>
      <c r="AO29" s="295">
        <f>(IF('Water Report'!$AE$9&gt;0,'Water Report'!$AE$9,0))</f>
        <v>89</v>
      </c>
      <c r="AP29" s="295">
        <f>(IF('Water Report'!$AE$10&gt;0,'Water Report'!$AE$10,0))</f>
        <v>17</v>
      </c>
      <c r="AQ29" s="295">
        <f>(IF('Water Report'!$AE$11&gt;0,'Water Report'!$AE$11,0))</f>
        <v>23</v>
      </c>
      <c r="AR29" s="295">
        <f>(IF('Water Report'!$AE$13&gt;0,'Water Report'!$AE$13,0))</f>
        <v>68</v>
      </c>
      <c r="AS29" s="295">
        <f>(IF('Water Report'!$AE$14&gt;0,'Water Report'!$AE$14,0))</f>
        <v>6</v>
      </c>
      <c r="AT29" s="295">
        <f>(IF('Water Report'!$AE$15&gt;0,'Water Report'!$AE$15,0))</f>
        <v>9</v>
      </c>
      <c r="AU29" s="295">
        <f>(IF('Water Report'!$AE$17&gt;0,'Water Report'!$AE$17,0))</f>
        <v>0</v>
      </c>
      <c r="AV29" s="295">
        <f>(IF('Water Report'!$AE$18&gt;0,'Water Report'!$AE$18,0))</f>
        <v>15</v>
      </c>
      <c r="AW29" s="295">
        <f>(IF('Water Report'!$AE$19&gt;0,'Water Report'!$AE$19,0))</f>
        <v>9</v>
      </c>
      <c r="AX29" s="301">
        <f>(IF('Water Report'!$AE$21&gt;0,'Water Report'!$AE$21,0))</f>
        <v>50</v>
      </c>
      <c r="AY29" s="301">
        <f>(IF('Water Report'!$AE$22&gt;0,'Water Report'!$AE$22,0))</f>
        <v>69</v>
      </c>
      <c r="AZ29" s="301">
        <f>(IF('Water Report'!$AE$23&gt;0,'Water Report'!$AE$23,0))</f>
        <v>3</v>
      </c>
      <c r="BA29" s="301">
        <f>(IF('Water Report'!$AE$14&gt;0,'Water Report'!$AE$14,0))</f>
        <v>6</v>
      </c>
      <c r="BB29" s="301">
        <f>(IF('Water Report'!$AE$15&gt;0,'Water Report'!$AE$15,0))</f>
        <v>9</v>
      </c>
      <c r="BC29" s="301">
        <f>(IF('Water Report'!$AE$13&gt;0,'Water Report'!$AE$13,0))</f>
        <v>68</v>
      </c>
      <c r="BD29" s="301">
        <f>(IF('Water Report'!$AE$24&gt;0,'Water Report'!$AE$24,0))</f>
        <v>92</v>
      </c>
      <c r="BE29" s="301">
        <f>(IF('Water Report'!$AE$25&gt;0,'Water Report'!$AE$25,0))</f>
        <v>144</v>
      </c>
      <c r="BF29" s="301">
        <f>(IF('Water Report'!$AE$27&gt;0,'Water Report'!$AE$27,0))</f>
        <v>121</v>
      </c>
      <c r="BG29" s="296">
        <f>(IF('Section Load'!AN32&gt;0,'Section Load'!AN32,0))</f>
        <v>971</v>
      </c>
      <c r="BH29" s="296">
        <f>(IF('Section Load'!AO32&gt;0,'Section Load'!AO32,0))</f>
        <v>352</v>
      </c>
      <c r="BI29" s="296">
        <f>(IF('Section Load'!AP32&gt;0,'Section Load'!AP32,0))</f>
        <v>0</v>
      </c>
      <c r="BJ29" s="296">
        <f>(IF('Section Load'!AQ32&gt;0,'Section Load'!AQ32,0))</f>
        <v>83</v>
      </c>
      <c r="BK29" s="296">
        <f>(IF('Section Load'!AR32&gt;0,'Section Load'!AR32,0))</f>
        <v>50</v>
      </c>
      <c r="BL29" s="296">
        <f>(IF('Section Load'!AS32&gt;0,'Section Load'!AS32,0))</f>
        <v>1</v>
      </c>
      <c r="BM29" s="296">
        <f>(IF('Section Load'!AT32&gt;0,'Section Load'!AT32,0))</f>
        <v>485</v>
      </c>
    </row>
    <row r="30" spans="1:65" x14ac:dyDescent="0.25">
      <c r="A30" s="287" t="s">
        <v>268</v>
      </c>
      <c r="B30" s="288">
        <f t="shared" si="0"/>
        <v>29</v>
      </c>
      <c r="C30" s="288">
        <v>2</v>
      </c>
      <c r="D30" s="288">
        <v>2022</v>
      </c>
      <c r="E30" s="294">
        <f>(IF('Section Load'!F33&gt;0,'Section Load'!F33,0))</f>
        <v>2108</v>
      </c>
      <c r="F30" s="294">
        <f>(IF('Section Load'!G33&gt;0,'Section Load'!G33,0))</f>
        <v>1611</v>
      </c>
      <c r="G30" s="294">
        <f>(IF('Section Load'!H33&gt;0,'Section Load'!H33,0))</f>
        <v>1750</v>
      </c>
      <c r="H30" s="294">
        <f>(IF('Section Load'!I33&gt;0,'Section Load'!I33,0))</f>
        <v>2606</v>
      </c>
      <c r="I30" s="294">
        <f>(IF('Section Load'!J33&gt;0,'Section Load'!J33,0))</f>
        <v>3572</v>
      </c>
      <c r="J30" s="294">
        <f>(IF('Section Load'!K33&gt;0,'Section Load'!K33,0))</f>
        <v>2065</v>
      </c>
      <c r="K30" s="294">
        <f>(IF('Section Load'!L33&gt;0,'Section Load'!L33,0))</f>
        <v>983</v>
      </c>
      <c r="L30" s="294">
        <f>(IF('Section Load'!M33&gt;0,'Section Load'!M33,0))</f>
        <v>695</v>
      </c>
      <c r="M30" s="294">
        <f>(IF('Section Load'!N33&gt;0,'Section Load'!N33,0))</f>
        <v>48</v>
      </c>
      <c r="N30" s="294">
        <f>(IF('Section Load'!O33&gt;0,'Section Load'!O33,0))</f>
        <v>0</v>
      </c>
      <c r="O30" s="294">
        <f>(IF('Section Load'!P33&gt;0,'Section Load'!P33,0))</f>
        <v>0</v>
      </c>
      <c r="P30" s="294">
        <f>(IF('Section Load'!Q33&gt;0,'Section Load'!Q33,0))</f>
        <v>185</v>
      </c>
      <c r="Q30" s="294">
        <f>(IF('Section Load'!R33&gt;0,'Section Load'!R33,0))</f>
        <v>78</v>
      </c>
      <c r="R30" s="294">
        <f>(IF('Section Load'!S33&gt;0,'Section Load'!S33,0))</f>
        <v>8</v>
      </c>
      <c r="S30" s="294">
        <f>(IF('Section Load'!T33&gt;0,'Section Load'!T33,0))</f>
        <v>383</v>
      </c>
      <c r="T30" s="294">
        <f>(IF('Section Load'!U33&gt;0,'Section Load'!U33,0))</f>
        <v>200</v>
      </c>
      <c r="U30" s="294">
        <f>(IF('Section Load'!V33&gt;0,'Section Load'!V33,0))</f>
        <v>374</v>
      </c>
      <c r="V30" s="294">
        <f>(IF('Section Load'!W33&gt;0,'Section Load'!W33,0))</f>
        <v>185</v>
      </c>
      <c r="W30" s="294">
        <f>(IF('Section Load'!X33&gt;0,'Section Load'!X33,0))</f>
        <v>25</v>
      </c>
      <c r="X30" s="294">
        <f>(IF('Section Load'!Y33&gt;0,'Section Load'!Y33,0))</f>
        <v>211</v>
      </c>
      <c r="Y30" s="294">
        <f>(IF('Section Load'!Z33&gt;0,'Section Load'!Z33,0))</f>
        <v>250</v>
      </c>
      <c r="Z30" s="294">
        <f>(IF('Section Load'!AA33&gt;0,'Section Load'!AA33,0))</f>
        <v>25</v>
      </c>
      <c r="AA30" s="294">
        <f>(IF('Section Load'!AB33&gt;0,'Section Load'!AB33,0))</f>
        <v>29</v>
      </c>
      <c r="AB30" s="294">
        <f>(IF('Section Load'!AC33&gt;0,'Section Load'!AC33,0))</f>
        <v>0</v>
      </c>
      <c r="AC30" s="294">
        <f>(IF('Section Load'!AD33&gt;0,'Section Load'!AD33,0))</f>
        <v>50.100000000000364</v>
      </c>
      <c r="AD30" s="294">
        <f>(IF('Section Load'!AE33&gt;0,'Section Load'!AE33,0))</f>
        <v>0</v>
      </c>
      <c r="AE30" s="294">
        <f>(IF('Section Load'!AF33&gt;0,'Section Load'!AF33,0))</f>
        <v>24</v>
      </c>
      <c r="AF30" s="294">
        <f>(IF('Section Load'!AG33&gt;0,'Section Load'!AG33,0))</f>
        <v>336</v>
      </c>
      <c r="AG30" s="294">
        <f>(IF('Section Load'!AH33&gt;0,'Section Load'!AH33,0))</f>
        <v>417</v>
      </c>
      <c r="AH30" s="294">
        <f>(IF('Section Load'!AI33&gt;0,'Section Load'!AI33,0))</f>
        <v>424</v>
      </c>
      <c r="AI30" s="294">
        <f>(IF('Section Load'!AJ33&gt;0,'Section Load'!AJ33,0))</f>
        <v>710</v>
      </c>
      <c r="AJ30" s="294">
        <f>(IF('Section Load'!AK33&gt;0,'Section Load'!AK33,0))</f>
        <v>200</v>
      </c>
      <c r="AK30" s="294">
        <f>(IF('Section Load'!AL33&gt;0,'Section Load'!AL33,0))</f>
        <v>275</v>
      </c>
      <c r="AL30" s="294">
        <f>(IF('Section Load'!AM33&gt;0,'Section Load'!AM33,0))</f>
        <v>494</v>
      </c>
      <c r="AM30" s="295">
        <f>(IF('Water Report'!$AF$7&gt;0,'Water Report'!$AF$7,0))</f>
        <v>102</v>
      </c>
      <c r="AN30" s="295">
        <f>(IF('Water Report'!$AF$8&gt;0,'Water Report'!$AF$8,0))</f>
        <v>139</v>
      </c>
      <c r="AO30" s="295">
        <f>(IF('Water Report'!$AF$9&gt;0,'Water Report'!$AF$9,0))</f>
        <v>84</v>
      </c>
      <c r="AP30" s="295">
        <f>(IF('Water Report'!$AF$10&gt;0,'Water Report'!$AF$10,0))</f>
        <v>22</v>
      </c>
      <c r="AQ30" s="295">
        <f>(IF('Water Report'!$AF$11&gt;0,'Water Report'!$AF$11,0))</f>
        <v>25</v>
      </c>
      <c r="AR30" s="295">
        <f>(IF('Water Report'!$AF$13&gt;0,'Water Report'!$AF$13,0))</f>
        <v>48</v>
      </c>
      <c r="AS30" s="295">
        <f>(IF('Water Report'!$AF$14&gt;0,'Water Report'!$AF$14,0))</f>
        <v>7</v>
      </c>
      <c r="AT30" s="295">
        <f>(IF('Water Report'!$AF$15&gt;0,'Water Report'!$AF$15,0))</f>
        <v>15</v>
      </c>
      <c r="AU30" s="295">
        <f>(IF('Water Report'!$AF$17&gt;0,'Water Report'!$AF$17,0))</f>
        <v>0</v>
      </c>
      <c r="AV30" s="295">
        <f>(IF('Water Report'!$AF$18&gt;0,'Water Report'!$AF$18,0))</f>
        <v>13</v>
      </c>
      <c r="AW30" s="295">
        <f>(IF('Water Report'!$AF$19&gt;0,'Water Report'!$AF$19,0))</f>
        <v>12</v>
      </c>
      <c r="AX30" s="301">
        <f>(IF('Water Report'!$AF$21&gt;0,'Water Report'!$AF$21,0))</f>
        <v>42</v>
      </c>
      <c r="AY30" s="301">
        <f>(IF('Water Report'!$AF$22&gt;0,'Water Report'!$AF$22,0))</f>
        <v>18</v>
      </c>
      <c r="AZ30" s="301">
        <f>(IF('Water Report'!$AF$23&gt;0,'Water Report'!$AF$23,0))</f>
        <v>15</v>
      </c>
      <c r="BA30" s="301">
        <f>(IF('Water Report'!$AF$14&gt;0,'Water Report'!$AF$14,0))</f>
        <v>7</v>
      </c>
      <c r="BB30" s="301">
        <f>(IF('Water Report'!$AF$15&gt;0,'Water Report'!$AF$15,0))</f>
        <v>15</v>
      </c>
      <c r="BC30" s="301">
        <f>(IF('Water Report'!$AF$13&gt;0,'Water Report'!$AF$13,0))</f>
        <v>48</v>
      </c>
      <c r="BD30" s="301">
        <f>(IF('Water Report'!$AF$24&gt;0,'Water Report'!$AF$24,0))</f>
        <v>312</v>
      </c>
      <c r="BE30" s="301">
        <f>(IF('Water Report'!$AF$25&gt;0,'Water Report'!$AF$25,0))</f>
        <v>153</v>
      </c>
      <c r="BF30" s="301">
        <f>(IF('Water Report'!$AF$27&gt;0,'Water Report'!$AF$27,0))</f>
        <v>105</v>
      </c>
      <c r="BG30" s="296">
        <f>(IF('Section Load'!AN33&gt;0,'Section Load'!AN33,0))</f>
        <v>1002</v>
      </c>
      <c r="BH30" s="296">
        <f>(IF('Section Load'!AO33&gt;0,'Section Load'!AO33,0))</f>
        <v>303</v>
      </c>
      <c r="BI30" s="296">
        <f>(IF('Section Load'!AP33&gt;0,'Section Load'!AP33,0))</f>
        <v>0</v>
      </c>
      <c r="BJ30" s="296">
        <f>(IF('Section Load'!AQ33&gt;0,'Section Load'!AQ33,0))</f>
        <v>98</v>
      </c>
      <c r="BK30" s="296">
        <f>(IF('Section Load'!AR33&gt;0,'Section Load'!AR33,0))</f>
        <v>46</v>
      </c>
      <c r="BL30" s="296">
        <f>(IF('Section Load'!AS33&gt;0,'Section Load'!AS33,0))</f>
        <v>2</v>
      </c>
      <c r="BM30" s="296">
        <f>(IF('Section Load'!AT33&gt;0,'Section Load'!AT33,0))</f>
        <v>553</v>
      </c>
    </row>
    <row r="31" spans="1:65" x14ac:dyDescent="0.25">
      <c r="A31" s="287" t="s">
        <v>268</v>
      </c>
      <c r="B31" s="288">
        <f t="shared" si="0"/>
        <v>30</v>
      </c>
      <c r="C31" s="288">
        <v>2</v>
      </c>
      <c r="D31" s="288">
        <v>2022</v>
      </c>
      <c r="E31" s="294">
        <f>(IF('Section Load'!F34&gt;0,'Section Load'!F34,0))</f>
        <v>2077</v>
      </c>
      <c r="F31" s="294">
        <f>(IF('Section Load'!G34&gt;0,'Section Load'!G34,0))</f>
        <v>1553</v>
      </c>
      <c r="G31" s="294">
        <f>(IF('Section Load'!H34&gt;0,'Section Load'!H34,0))</f>
        <v>1629</v>
      </c>
      <c r="H31" s="294">
        <f>(IF('Section Load'!I34&gt;0,'Section Load'!I34,0))</f>
        <v>2616</v>
      </c>
      <c r="I31" s="294">
        <f>(IF('Section Load'!J34&gt;0,'Section Load'!J34,0))</f>
        <v>3884</v>
      </c>
      <c r="J31" s="294">
        <f>(IF('Section Load'!K34&gt;0,'Section Load'!K34,0))</f>
        <v>1898</v>
      </c>
      <c r="K31" s="294">
        <f>(IF('Section Load'!L34&gt;0,'Section Load'!L34,0))</f>
        <v>1051</v>
      </c>
      <c r="L31" s="294">
        <f>(IF('Section Load'!M34&gt;0,'Section Load'!M34,0))</f>
        <v>846</v>
      </c>
      <c r="M31" s="294">
        <f>(IF('Section Load'!N34&gt;0,'Section Load'!N34,0))</f>
        <v>69</v>
      </c>
      <c r="N31" s="294">
        <f>(IF('Section Load'!O34&gt;0,'Section Load'!O34,0))</f>
        <v>2</v>
      </c>
      <c r="O31" s="294">
        <f>(IF('Section Load'!P34&gt;0,'Section Load'!P34,0))</f>
        <v>0</v>
      </c>
      <c r="P31" s="294">
        <f>(IF('Section Load'!Q34&gt;0,'Section Load'!Q34,0))</f>
        <v>174</v>
      </c>
      <c r="Q31" s="294">
        <f>(IF('Section Load'!R34&gt;0,'Section Load'!R34,0))</f>
        <v>77</v>
      </c>
      <c r="R31" s="294">
        <f>(IF('Section Load'!S34&gt;0,'Section Load'!S34,0))</f>
        <v>6</v>
      </c>
      <c r="S31" s="294">
        <f>(IF('Section Load'!T34&gt;0,'Section Load'!T34,0))</f>
        <v>486</v>
      </c>
      <c r="T31" s="294">
        <f>(IF('Section Load'!U34&gt;0,'Section Load'!U34,0))</f>
        <v>201</v>
      </c>
      <c r="U31" s="294">
        <f>(IF('Section Load'!V34&gt;0,'Section Load'!V34,0))</f>
        <v>340</v>
      </c>
      <c r="V31" s="294">
        <f>(IF('Section Load'!W34&gt;0,'Section Load'!W34,0))</f>
        <v>220</v>
      </c>
      <c r="W31" s="294">
        <f>(IF('Section Load'!X34&gt;0,'Section Load'!X34,0))</f>
        <v>20</v>
      </c>
      <c r="X31" s="294">
        <f>(IF('Section Load'!Y34&gt;0,'Section Load'!Y34,0))</f>
        <v>190</v>
      </c>
      <c r="Y31" s="294">
        <f>(IF('Section Load'!Z34&gt;0,'Section Load'!Z34,0))</f>
        <v>233</v>
      </c>
      <c r="Z31" s="294">
        <f>(IF('Section Load'!AA34&gt;0,'Section Load'!AA34,0))</f>
        <v>26</v>
      </c>
      <c r="AA31" s="294">
        <f>(IF('Section Load'!AB34&gt;0,'Section Load'!AB34,0))</f>
        <v>12</v>
      </c>
      <c r="AB31" s="294">
        <f>(IF('Section Load'!AC34&gt;0,'Section Load'!AC34,0))</f>
        <v>0</v>
      </c>
      <c r="AC31" s="294">
        <f>(IF('Section Load'!AD34&gt;0,'Section Load'!AD34,0))</f>
        <v>34</v>
      </c>
      <c r="AD31" s="294">
        <f>(IF('Section Load'!AE34&gt;0,'Section Load'!AE34,0))</f>
        <v>0</v>
      </c>
      <c r="AE31" s="294">
        <f>(IF('Section Load'!AF34&gt;0,'Section Load'!AF34,0))</f>
        <v>22</v>
      </c>
      <c r="AF31" s="294">
        <f>(IF('Section Load'!AG34&gt;0,'Section Load'!AG34,0))</f>
        <v>311</v>
      </c>
      <c r="AG31" s="294">
        <f>(IF('Section Load'!AH34&gt;0,'Section Load'!AH34,0))</f>
        <v>419</v>
      </c>
      <c r="AH31" s="294">
        <f>(IF('Section Load'!AI34&gt;0,'Section Load'!AI34,0))</f>
        <v>426</v>
      </c>
      <c r="AI31" s="294">
        <f>(IF('Section Load'!AJ34&gt;0,'Section Load'!AJ34,0))</f>
        <v>733</v>
      </c>
      <c r="AJ31" s="294">
        <f>(IF('Section Load'!AK34&gt;0,'Section Load'!AK34,0))</f>
        <v>206</v>
      </c>
      <c r="AK31" s="294">
        <f>(IF('Section Load'!AL34&gt;0,'Section Load'!AL34,0))</f>
        <v>273</v>
      </c>
      <c r="AL31" s="294">
        <f>(IF('Section Load'!AM34&gt;0,'Section Load'!AM34,0))</f>
        <v>496</v>
      </c>
      <c r="AM31" s="295">
        <f>(IF('Water Report'!$AG$7&gt;0,'Water Report'!$AG$7,0))</f>
        <v>114</v>
      </c>
      <c r="AN31" s="295">
        <f>(IF('Water Report'!$AG$8&gt;0,'Water Report'!$AG$8,0))</f>
        <v>73</v>
      </c>
      <c r="AO31" s="295">
        <f>(IF('Water Report'!$AG$9&gt;0,'Water Report'!$AG$9,0))</f>
        <v>80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929</v>
      </c>
      <c r="BH31" s="296">
        <f>(IF('Section Load'!AO34&gt;0,'Section Load'!AO34,0))</f>
        <v>308</v>
      </c>
      <c r="BI31" s="296">
        <f>(IF('Section Load'!AP34&gt;0,'Section Load'!AP34,0))</f>
        <v>0</v>
      </c>
      <c r="BJ31" s="296">
        <f>(IF('Section Load'!AQ34&gt;0,'Section Load'!AQ34,0))</f>
        <v>95</v>
      </c>
      <c r="BK31" s="296">
        <f>(IF('Section Load'!AR34&gt;0,'Section Load'!AR34,0))</f>
        <v>35</v>
      </c>
      <c r="BL31" s="296">
        <f>(IF('Section Load'!AS34&gt;0,'Section Load'!AS34,0))</f>
        <v>1</v>
      </c>
      <c r="BM31" s="296">
        <f>(IF('Section Load'!AT34&gt;0,'Section Load'!AT34,0))</f>
        <v>490</v>
      </c>
    </row>
    <row r="32" spans="1:65" x14ac:dyDescent="0.25">
      <c r="A32" s="287" t="s">
        <v>268</v>
      </c>
      <c r="B32" s="288">
        <f t="shared" si="0"/>
        <v>31</v>
      </c>
      <c r="C32" s="288">
        <v>2</v>
      </c>
      <c r="D32" s="288">
        <v>2022</v>
      </c>
      <c r="E32" s="294">
        <f>(IF('Section Load'!F35&gt;0,'Section Load'!F35,0))</f>
        <v>2110.1699999999983</v>
      </c>
      <c r="F32" s="294">
        <f>(IF('Section Load'!G35&gt;0,'Section Load'!G35,0))</f>
        <v>1588.0899999999965</v>
      </c>
      <c r="G32" s="294">
        <f>(IF('Section Load'!H35&gt;0,'Section Load'!H35,0))</f>
        <v>1627.4300000000003</v>
      </c>
      <c r="H32" s="294">
        <f>(IF('Section Load'!I35&gt;0,'Section Load'!I35,0))</f>
        <v>2649.2900000000009</v>
      </c>
      <c r="I32" s="294">
        <f>(IF('Section Load'!J35&gt;0,'Section Load'!J35,0))</f>
        <v>4318.8500000000058</v>
      </c>
      <c r="J32" s="294">
        <f>(IF('Section Load'!K35&gt;0,'Section Load'!K35,0))</f>
        <v>1885.6000000000058</v>
      </c>
      <c r="K32" s="294">
        <f>(IF('Section Load'!L35&gt;0,'Section Load'!L35,0))</f>
        <v>1070.6299999999974</v>
      </c>
      <c r="L32" s="294">
        <f>(IF('Section Load'!M35&gt;0,'Section Load'!M35,0))</f>
        <v>638.73999999999796</v>
      </c>
      <c r="M32" s="294">
        <f>(IF('Section Load'!N35&gt;0,'Section Load'!N35,0))</f>
        <v>59</v>
      </c>
      <c r="N32" s="294">
        <f>(IF('Section Load'!O35&gt;0,'Section Load'!O35,0))</f>
        <v>1</v>
      </c>
      <c r="O32" s="294">
        <f>(IF('Section Load'!P35&gt;0,'Section Load'!P35,0))</f>
        <v>0</v>
      </c>
      <c r="P32" s="294">
        <f>(IF('Section Load'!Q35&gt;0,'Section Load'!Q35,0))</f>
        <v>172.58000000000175</v>
      </c>
      <c r="Q32" s="294">
        <f>(IF('Section Load'!R35&gt;0,'Section Load'!R35,0))</f>
        <v>80.099999999998545</v>
      </c>
      <c r="R32" s="294">
        <f>(IF('Section Load'!S35&gt;0,'Section Load'!S35,0))</f>
        <v>9.8400000000001455</v>
      </c>
      <c r="S32" s="294">
        <f>(IF('Section Load'!T35&gt;0,'Section Load'!T35,0))</f>
        <v>386</v>
      </c>
      <c r="T32" s="294">
        <f>(IF('Section Load'!U35&gt;0,'Section Load'!U35,0))</f>
        <v>216</v>
      </c>
      <c r="U32" s="294">
        <f>(IF('Section Load'!V35&gt;0,'Section Load'!V35,0))</f>
        <v>347.52000000001863</v>
      </c>
      <c r="V32" s="294">
        <f>(IF('Section Load'!W35&gt;0,'Section Load'!W35,0))</f>
        <v>157.95999999996275</v>
      </c>
      <c r="W32" s="294">
        <f>(IF('Section Load'!X35&gt;0,'Section Load'!X35,0))</f>
        <v>28.389999999999873</v>
      </c>
      <c r="X32" s="294">
        <f>(IF('Section Load'!Y35&gt;0,'Section Load'!Y35,0))</f>
        <v>197.21000000000004</v>
      </c>
      <c r="Y32" s="294">
        <f>(IF('Section Load'!Z35&gt;0,'Section Load'!Z35,0))</f>
        <v>294</v>
      </c>
      <c r="Z32" s="294">
        <f>(IF('Section Load'!AA35&gt;0,'Section Load'!AA35,0))</f>
        <v>42.559999999997672</v>
      </c>
      <c r="AA32" s="294">
        <f>(IF('Section Load'!AB35&gt;0,'Section Load'!AB35,0))</f>
        <v>36.399999999994179</v>
      </c>
      <c r="AB32" s="294">
        <f>(IF('Section Load'!AC35&gt;0,'Section Load'!AC35,0))</f>
        <v>9.2999999999992724</v>
      </c>
      <c r="AC32" s="294">
        <f>(IF('Section Load'!AD35&gt;0,'Section Load'!AD35,0))</f>
        <v>36.100000000005821</v>
      </c>
      <c r="AD32" s="294">
        <f>(IF('Section Load'!AE35&gt;0,'Section Load'!AE35,0))</f>
        <v>0</v>
      </c>
      <c r="AE32" s="294">
        <f>(IF('Section Load'!AF35&gt;0,'Section Load'!AF35,0))</f>
        <v>38.949999999999818</v>
      </c>
      <c r="AF32" s="294">
        <f>(IF('Section Load'!AG35&gt;0,'Section Load'!AG35,0))</f>
        <v>319.30999999999767</v>
      </c>
      <c r="AG32" s="294">
        <f>(IF('Section Load'!AH35&gt;0,'Section Load'!AH35,0))</f>
        <v>426.54999999998836</v>
      </c>
      <c r="AH32" s="294">
        <f>(IF('Section Load'!AI35&gt;0,'Section Load'!AI35,0))</f>
        <v>419.61000000000058</v>
      </c>
      <c r="AI32" s="294">
        <f>(IF('Section Load'!AJ35&gt;0,'Section Load'!AJ35,0))</f>
        <v>730.42999999999302</v>
      </c>
      <c r="AJ32" s="294">
        <f>(IF('Section Load'!AK35&gt;0,'Section Load'!AK35,0))</f>
        <v>206.17999999999302</v>
      </c>
      <c r="AK32" s="294">
        <f>(IF('Section Load'!AL35&gt;0,'Section Load'!AL35,0))</f>
        <v>278.95000000001164</v>
      </c>
      <c r="AL32" s="294">
        <f>(IF('Section Load'!AM35&gt;0,'Section Load'!AM35,0))</f>
        <v>437.69999999999709</v>
      </c>
      <c r="AM32" s="295">
        <f>(IF('Water Report'!$AH$7&gt;0,'Water Report'!$AH$7,0))</f>
        <v>83</v>
      </c>
      <c r="AN32" s="295">
        <f>(IF('Water Report'!$AH$8&gt;0,'Water Report'!$AH$8,0))</f>
        <v>167</v>
      </c>
      <c r="AO32" s="295">
        <f>(IF('Water Report'!$AH$9&gt;0,'Water Report'!$AH$9,0))</f>
        <v>74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915.76699999999255</v>
      </c>
      <c r="BH32" s="296">
        <f>(IF('Section Load'!AO35&gt;0,'Section Load'!AO35,0))</f>
        <v>294.14899999997579</v>
      </c>
      <c r="BI32" s="296">
        <f>(IF('Section Load'!AP35&gt;0,'Section Load'!AP35,0))</f>
        <v>0</v>
      </c>
      <c r="BJ32" s="296">
        <f>(IF('Section Load'!AQ35&gt;0,'Section Load'!AQ35,0))</f>
        <v>75</v>
      </c>
      <c r="BK32" s="296">
        <f>(IF('Section Load'!AR35&gt;0,'Section Load'!AR35,0))</f>
        <v>28.19999999999709</v>
      </c>
      <c r="BL32" s="296">
        <f>(IF('Section Load'!AS35&gt;0,'Section Load'!AS35,0))</f>
        <v>2</v>
      </c>
      <c r="BM32" s="296">
        <f>(IF('Section Load'!AT35&gt;0,'Section Load'!AT35,0))</f>
        <v>516.41800000001967</v>
      </c>
    </row>
    <row r="35" spans="45:45" x14ac:dyDescent="0.2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H4" sqref="H4:H26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 x14ac:dyDescent="0.3">
      <c r="A1" s="739"/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  <c r="R1" s="739"/>
      <c r="S1" s="739"/>
      <c r="T1" s="739"/>
      <c r="U1" s="739"/>
      <c r="V1" s="739"/>
      <c r="W1" s="739"/>
      <c r="X1" s="739"/>
      <c r="Y1" s="739"/>
      <c r="Z1" s="739"/>
      <c r="AA1" s="739"/>
      <c r="AB1" s="739"/>
      <c r="AC1" s="739"/>
      <c r="AD1" s="739"/>
      <c r="AE1" s="739"/>
      <c r="AF1" s="739"/>
      <c r="AG1" s="739"/>
      <c r="AH1" s="739"/>
      <c r="AI1" s="739"/>
      <c r="AJ1" s="739"/>
      <c r="AK1" s="739"/>
      <c r="AL1" s="739"/>
      <c r="AM1" s="739"/>
      <c r="AN1" s="739"/>
      <c r="AO1" s="739"/>
      <c r="AP1" s="739"/>
      <c r="AQ1" s="739"/>
      <c r="AR1" s="739"/>
      <c r="AS1" s="739"/>
      <c r="AT1" s="739"/>
      <c r="AU1" s="739"/>
      <c r="AV1" s="739"/>
      <c r="AW1" s="739"/>
      <c r="AX1" s="739"/>
      <c r="AY1" s="739"/>
      <c r="AZ1" s="739"/>
      <c r="BA1" s="739"/>
      <c r="BB1" s="739"/>
      <c r="BC1" s="739"/>
      <c r="BD1" s="739"/>
      <c r="BE1" s="739"/>
      <c r="BF1" s="739"/>
      <c r="BG1" s="739"/>
      <c r="BH1" s="739"/>
      <c r="BI1" s="739"/>
      <c r="BJ1" s="739"/>
      <c r="BK1" s="739"/>
      <c r="BL1" s="739"/>
      <c r="BM1" s="739"/>
      <c r="BN1" s="739"/>
    </row>
    <row r="2" spans="1:69" ht="28.5" customHeight="1" x14ac:dyDescent="0.25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40" t="s">
        <v>5</v>
      </c>
      <c r="I2" s="740"/>
      <c r="J2" s="740"/>
      <c r="K2" s="44"/>
      <c r="L2" s="741" t="s">
        <v>6</v>
      </c>
      <c r="M2" s="741"/>
      <c r="N2" s="741"/>
      <c r="O2" s="742" t="s">
        <v>7</v>
      </c>
      <c r="P2" s="742"/>
      <c r="Q2" s="742"/>
      <c r="R2" s="44" t="s">
        <v>8</v>
      </c>
      <c r="S2" s="743" t="s">
        <v>9</v>
      </c>
      <c r="T2" s="743"/>
      <c r="U2" s="743"/>
      <c r="V2" s="744" t="s">
        <v>10</v>
      </c>
      <c r="W2" s="745"/>
      <c r="X2" s="746"/>
      <c r="Y2" s="263"/>
      <c r="Z2" s="747" t="s">
        <v>11</v>
      </c>
      <c r="AA2" s="747"/>
      <c r="AB2" s="747"/>
      <c r="AC2" s="747"/>
      <c r="AD2" s="264"/>
      <c r="AE2" s="264" t="s">
        <v>12</v>
      </c>
      <c r="AF2" s="264" t="s">
        <v>13</v>
      </c>
      <c r="AG2" s="747" t="s">
        <v>14</v>
      </c>
      <c r="AH2" s="747"/>
      <c r="AI2" s="747"/>
      <c r="AJ2" s="264" t="s">
        <v>15</v>
      </c>
      <c r="AK2" s="747" t="s">
        <v>16</v>
      </c>
      <c r="AL2" s="747"/>
      <c r="AM2" s="747"/>
      <c r="AN2" s="264" t="s">
        <v>17</v>
      </c>
      <c r="AO2" s="5" t="s">
        <v>18</v>
      </c>
      <c r="AP2" s="748" t="s">
        <v>19</v>
      </c>
      <c r="AQ2" s="749"/>
      <c r="AR2" s="749"/>
      <c r="AS2" s="749"/>
      <c r="AT2" s="749"/>
      <c r="AU2" s="749"/>
      <c r="AV2" s="749"/>
      <c r="AW2" s="749"/>
      <c r="AX2" s="749"/>
      <c r="AY2" s="750"/>
      <c r="AZ2" s="748" t="s">
        <v>20</v>
      </c>
      <c r="BA2" s="749"/>
      <c r="BB2" s="749"/>
      <c r="BC2" s="749"/>
      <c r="BD2" s="749"/>
      <c r="BE2" s="749"/>
      <c r="BF2" s="749"/>
      <c r="BG2" s="749"/>
      <c r="BH2" s="749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 x14ac:dyDescent="0.2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 x14ac:dyDescent="0.25">
      <c r="A4" s="16">
        <v>1</v>
      </c>
      <c r="B4" s="17">
        <v>1</v>
      </c>
      <c r="C4" s="18"/>
      <c r="D4" s="19">
        <f>'1'!D3</f>
        <v>23</v>
      </c>
      <c r="E4" s="50">
        <f>'1'!D4</f>
        <v>0.55000000000000004</v>
      </c>
      <c r="F4" s="50">
        <f>'1'!D2</f>
        <v>0.40589999999999998</v>
      </c>
      <c r="G4" s="19">
        <f>'1'!G7</f>
        <v>17264.770000000019</v>
      </c>
      <c r="H4" s="19">
        <f>'1'!G8</f>
        <v>17458.849999999977</v>
      </c>
      <c r="I4" s="19">
        <v>9</v>
      </c>
      <c r="J4" s="49">
        <f>H4*I4</f>
        <v>157129.64999999979</v>
      </c>
      <c r="K4" s="45">
        <f>H4/202</f>
        <v>86.429950495049383</v>
      </c>
      <c r="L4" s="19">
        <f>'1'!G15</f>
        <v>918.55799999996088</v>
      </c>
      <c r="M4" s="19">
        <v>56.2</v>
      </c>
      <c r="N4" s="45">
        <f>L4*M4</f>
        <v>51622.959599997805</v>
      </c>
      <c r="O4" s="19">
        <f>'1'!G20</f>
        <v>235</v>
      </c>
      <c r="P4" s="19">
        <v>108</v>
      </c>
      <c r="Q4" s="46">
        <f t="shared" ref="Q4:Q33" si="0">O4*P4</f>
        <v>25380</v>
      </c>
      <c r="R4" s="47">
        <f t="shared" ref="R4:R34" si="1">O4/(F4*202/100)</f>
        <v>286.61402725638419</v>
      </c>
      <c r="S4" s="19">
        <f>'1'!G24</f>
        <v>0</v>
      </c>
      <c r="T4" s="19">
        <v>69</v>
      </c>
      <c r="U4" s="48">
        <f>S4*T4</f>
        <v>0</v>
      </c>
      <c r="V4" s="22">
        <f>'1'!G65</f>
        <v>71</v>
      </c>
      <c r="W4" s="22">
        <f>'1'!G66</f>
        <v>17</v>
      </c>
      <c r="X4" s="22">
        <f>'1'!G67</f>
        <v>14</v>
      </c>
      <c r="Y4" s="22">
        <f>V4+W4+X4</f>
        <v>102</v>
      </c>
      <c r="Z4" s="19">
        <f>'1'!G84</f>
        <v>0</v>
      </c>
      <c r="AA4" s="19">
        <f>'1'!G85</f>
        <v>24</v>
      </c>
      <c r="AB4" s="19">
        <f>'1'!G86</f>
        <v>0</v>
      </c>
      <c r="AC4" s="19">
        <f>'1'!G87</f>
        <v>5.0000000002910383E-2</v>
      </c>
      <c r="AD4" s="19">
        <f>Z4+AA4+AB4+AC4</f>
        <v>24.05000000000291</v>
      </c>
      <c r="AE4" s="23">
        <f t="shared" ref="AE4:AE33" si="2">AU4+AV4+BE4+BF4</f>
        <v>3987.7899999999936</v>
      </c>
      <c r="AF4" s="23">
        <f>AE4/AD4</f>
        <v>165.81247401245369</v>
      </c>
      <c r="AG4" s="19">
        <f>'1'!G88</f>
        <v>0</v>
      </c>
      <c r="AH4" s="19">
        <f>'1'!G89</f>
        <v>9.4900000000016007</v>
      </c>
      <c r="AI4" s="19">
        <f>'1'!G90</f>
        <v>2.0499999999883585</v>
      </c>
      <c r="AJ4" s="19">
        <f>AG4+AH4+AI4</f>
        <v>11.539999999989959</v>
      </c>
      <c r="AK4" s="19">
        <f>'1'!G91</f>
        <v>11.769999999999982</v>
      </c>
      <c r="AL4" s="19">
        <f>'1'!G92</f>
        <v>0</v>
      </c>
      <c r="AM4" s="19"/>
      <c r="AN4" s="19">
        <f>AK4+AL4</f>
        <v>11.769999999999982</v>
      </c>
      <c r="AO4" s="52">
        <f>'1'!G74</f>
        <v>314.53100000007544</v>
      </c>
      <c r="AP4" s="55">
        <f>'1'!G35</f>
        <v>1246.0200000000004</v>
      </c>
      <c r="AQ4" s="19">
        <f>'1'!G37</f>
        <v>1554.1100000000006</v>
      </c>
      <c r="AR4" s="19">
        <f>'1'!G38</f>
        <v>1620.2699999999968</v>
      </c>
      <c r="AS4" s="19">
        <f>'1'!G39</f>
        <v>2609.5899999999965</v>
      </c>
      <c r="AT4" s="19">
        <f>'1'!G40</f>
        <v>688.73999999999796</v>
      </c>
      <c r="AU4" s="19">
        <f>'1'!G41</f>
        <v>0</v>
      </c>
      <c r="AV4" s="19">
        <f>'1'!G42</f>
        <v>3987.7899999999936</v>
      </c>
      <c r="AW4" s="19">
        <f>'1'!G43</f>
        <v>1901.929999999993</v>
      </c>
      <c r="AX4" s="19">
        <f>'1'!G44</f>
        <v>0</v>
      </c>
      <c r="AY4" s="56">
        <f>'1'!G36</f>
        <v>710.76000000000204</v>
      </c>
      <c r="AZ4" s="55">
        <f>'1'!G49</f>
        <v>939.08000000000175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0</v>
      </c>
      <c r="BE4" s="19">
        <f>'1'!G55</f>
        <v>0</v>
      </c>
      <c r="BF4" s="19">
        <f>'1'!G56</f>
        <v>0</v>
      </c>
      <c r="BG4" s="19">
        <f>'1'!G57</f>
        <v>0</v>
      </c>
      <c r="BH4" s="56">
        <f>'1'!G50</f>
        <v>938.92000000000553</v>
      </c>
      <c r="BI4" s="60">
        <f>SUM(AU4,AV4,BE4,BF4)</f>
        <v>3987.7899999999936</v>
      </c>
      <c r="BJ4" s="60">
        <f>'1'!G133</f>
        <v>492.57000000000698</v>
      </c>
      <c r="BK4" s="23">
        <f>SUM(AP4,AU4,AV4,AW4,AZ4,BE4,BF4,BG4)/H4%</f>
        <v>46.250583514950868</v>
      </c>
      <c r="BL4" s="23">
        <f>SUM(AS4,BC4)/H4%</f>
        <v>14.947089871326005</v>
      </c>
      <c r="BM4" s="24">
        <f>(AR4+BB4)/H4</f>
        <v>9.2805081663454289E-2</v>
      </c>
      <c r="BN4" s="25">
        <f>J4+N4+Q4+U4</f>
        <v>234132.60959999758</v>
      </c>
      <c r="BO4" s="38">
        <f>SUM(AU4,AV4,AW4,BE4,BF4,BG4,BJ4)</f>
        <v>6382.2899999999936</v>
      </c>
      <c r="BP4">
        <f>BO4/(AD4*280)</f>
        <v>0.94777101277089715</v>
      </c>
      <c r="BQ4" s="38">
        <f>SUM(AU4,AV4,BE4,BF4)/(AD4*400)</f>
        <v>0.41453118503113418</v>
      </c>
    </row>
    <row r="5" spans="1:69" x14ac:dyDescent="0.25">
      <c r="A5" s="16">
        <v>2</v>
      </c>
      <c r="B5" s="26">
        <v>2</v>
      </c>
      <c r="C5" s="26"/>
      <c r="D5" s="19">
        <f>'2'!D3</f>
        <v>28</v>
      </c>
      <c r="E5" s="50">
        <f>'2'!D4</f>
        <v>0.68</v>
      </c>
      <c r="F5" s="50">
        <f>'2'!D2</f>
        <v>0.52</v>
      </c>
      <c r="G5" s="19">
        <f>'2'!G7</f>
        <v>18049</v>
      </c>
      <c r="H5" s="19">
        <f>'2'!G8</f>
        <v>18338</v>
      </c>
      <c r="I5" s="19">
        <v>9</v>
      </c>
      <c r="J5" s="49">
        <f t="shared" ref="J5:J34" si="3">H5*I5</f>
        <v>165042</v>
      </c>
      <c r="K5" s="45">
        <f t="shared" ref="K5:K33" si="4">H5/202</f>
        <v>90.78217821782178</v>
      </c>
      <c r="L5" s="19">
        <f>'2'!G15</f>
        <v>983.14500000001863</v>
      </c>
      <c r="M5" s="19">
        <v>56.2</v>
      </c>
      <c r="N5" s="45">
        <f t="shared" ref="N5:N33" si="5">L5*M5</f>
        <v>55252.749000001051</v>
      </c>
      <c r="O5" s="19">
        <f>'2'!G20</f>
        <v>183</v>
      </c>
      <c r="P5" s="19">
        <v>108</v>
      </c>
      <c r="Q5" s="46">
        <f t="shared" si="0"/>
        <v>19764</v>
      </c>
      <c r="R5" s="47">
        <f t="shared" si="1"/>
        <v>174.21934501142422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435065</v>
      </c>
      <c r="W5" s="22">
        <f>'2'!G66</f>
        <v>20</v>
      </c>
      <c r="X5" s="22">
        <f>'2'!G67</f>
        <v>20</v>
      </c>
      <c r="Y5" s="22">
        <f t="shared" ref="Y5:Y33" si="7">V5+W5+X5</f>
        <v>435105</v>
      </c>
      <c r="Z5" s="19">
        <f>'2'!G84</f>
        <v>0</v>
      </c>
      <c r="AA5" s="19">
        <f>'2'!G85</f>
        <v>16</v>
      </c>
      <c r="AB5" s="19">
        <f>'2'!G86</f>
        <v>8</v>
      </c>
      <c r="AC5" s="19">
        <f>'2'!G87</f>
        <v>0</v>
      </c>
      <c r="AD5" s="19">
        <f t="shared" ref="AD5:AD33" si="8">Z5+AA5+AB5+AC5</f>
        <v>24</v>
      </c>
      <c r="AE5" s="23">
        <f t="shared" si="2"/>
        <v>3469.6100000000006</v>
      </c>
      <c r="AF5" s="23">
        <f t="shared" ref="AF5:AF33" si="9">AE5/AD5</f>
        <v>144.56708333333336</v>
      </c>
      <c r="AG5" s="19">
        <f>'2'!G88</f>
        <v>0</v>
      </c>
      <c r="AH5" s="19">
        <f>'2'!G89</f>
        <v>9.3899999999994179</v>
      </c>
      <c r="AI5" s="19">
        <f>'2'!G90</f>
        <v>0</v>
      </c>
      <c r="AJ5" s="19">
        <f t="shared" ref="AJ5:AJ33" si="10">AG5+AH5+AI5</f>
        <v>9.3899999999994179</v>
      </c>
      <c r="AK5" s="19">
        <f>'2'!G91</f>
        <v>11.460000000000036</v>
      </c>
      <c r="AL5" s="19">
        <f>'2'!G92</f>
        <v>0</v>
      </c>
      <c r="AM5" s="19"/>
      <c r="AN5" s="19">
        <f t="shared" ref="AN5:AN33" si="11">AK5+AL5</f>
        <v>11.460000000000036</v>
      </c>
      <c r="AO5" s="52">
        <f>'2'!G74</f>
        <v>311.03599999996368</v>
      </c>
      <c r="AP5" s="55">
        <f>'2'!G35</f>
        <v>1388.3099999999977</v>
      </c>
      <c r="AQ5" s="19">
        <f>'2'!G37</f>
        <v>1547.1000000000058</v>
      </c>
      <c r="AR5" s="19">
        <f>'2'!G38</f>
        <v>1758.7900000000009</v>
      </c>
      <c r="AS5" s="19">
        <f>'2'!G39</f>
        <v>2628.2200000000012</v>
      </c>
      <c r="AT5" s="19">
        <f>'2'!G40</f>
        <v>0</v>
      </c>
      <c r="AU5" s="19">
        <f>'2'!G41</f>
        <v>0</v>
      </c>
      <c r="AV5" s="19">
        <f>'2'!G42</f>
        <v>2346.320000000007</v>
      </c>
      <c r="AW5" s="19">
        <f>'2'!G43</f>
        <v>1997.1600000000035</v>
      </c>
      <c r="AX5" s="19">
        <f>'2'!G44</f>
        <v>0</v>
      </c>
      <c r="AY5" s="56">
        <f>'2'!G36</f>
        <v>811.5</v>
      </c>
      <c r="AZ5" s="55">
        <f>'2'!G49</f>
        <v>1046.7299999999996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156.30999999999949</v>
      </c>
      <c r="BE5" s="19">
        <f>'2'!G55</f>
        <v>1123.2899999999936</v>
      </c>
      <c r="BF5" s="19">
        <f>'2'!G56</f>
        <v>0</v>
      </c>
      <c r="BG5" s="19">
        <f>'2'!G57</f>
        <v>0</v>
      </c>
      <c r="BH5" s="56">
        <f>'2'!G50</f>
        <v>987.52999999999884</v>
      </c>
      <c r="BI5" s="60">
        <f t="shared" ref="BI5:BI32" si="12">SUM(AU5,AV5,BE5,BF5)</f>
        <v>3469.6100000000006</v>
      </c>
      <c r="BJ5" s="60">
        <f>'2'!G133</f>
        <v>568.0399999999936</v>
      </c>
      <c r="BK5" s="23">
        <f t="shared" ref="BK5:BK33" si="13">SUM(AP5,AU5,AV5,AW5,AZ5,BE5,BF5,BG5)/H5%</f>
        <v>43.089813502017677</v>
      </c>
      <c r="BL5" s="23">
        <f t="shared" ref="BL5:BL33" si="14">SUM(AS5,BC5)/H5%</f>
        <v>14.332097284327633</v>
      </c>
      <c r="BM5" s="24">
        <f t="shared" ref="BM5:BM33" si="15">(AR5+BB5)/H5</f>
        <v>9.5909586650670786E-2</v>
      </c>
      <c r="BN5" s="25">
        <f t="shared" ref="BN5:BN33" si="16">J5+N5+Q5+U5</f>
        <v>240058.74900000106</v>
      </c>
      <c r="BO5" s="38">
        <f t="shared" ref="BO5:BO35" si="17">SUM(AU5,AV5,AW5,BE5,BF5,BG5,BJ5)</f>
        <v>6034.8099999999977</v>
      </c>
      <c r="BP5">
        <f t="shared" ref="BP5:BP35" si="18">BO5/(AD5*280)</f>
        <v>0.89803720238095208</v>
      </c>
    </row>
    <row r="6" spans="1:69" x14ac:dyDescent="0.25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19083</v>
      </c>
      <c r="H6" s="19">
        <f>'3'!G8</f>
        <v>19219</v>
      </c>
      <c r="I6" s="19">
        <v>9</v>
      </c>
      <c r="J6" s="49">
        <f t="shared" si="3"/>
        <v>172971</v>
      </c>
      <c r="K6" s="45">
        <f t="shared" si="4"/>
        <v>95.143564356435647</v>
      </c>
      <c r="L6" s="19">
        <f>'3'!G15</f>
        <v>1012.3479999999981</v>
      </c>
      <c r="M6" s="19">
        <v>56.2</v>
      </c>
      <c r="N6" s="45">
        <f t="shared" si="5"/>
        <v>56893.9575999999</v>
      </c>
      <c r="O6" s="19">
        <f>'3'!G20</f>
        <v>233</v>
      </c>
      <c r="P6" s="19">
        <v>108</v>
      </c>
      <c r="Q6" s="46">
        <f t="shared" si="0"/>
        <v>25164</v>
      </c>
      <c r="R6" s="47">
        <f t="shared" si="1"/>
        <v>226.16967579110852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94</v>
      </c>
      <c r="W6" s="22">
        <f>'3'!G66</f>
        <v>22</v>
      </c>
      <c r="X6" s="22">
        <f>'3'!G67</f>
        <v>20</v>
      </c>
      <c r="Y6" s="22">
        <f>V6+W6+X6</f>
        <v>136</v>
      </c>
      <c r="Z6" s="19">
        <f>'3'!G84</f>
        <v>0</v>
      </c>
      <c r="AA6" s="19">
        <f>'3'!G85</f>
        <v>0</v>
      </c>
      <c r="AB6" s="19">
        <f>'3'!G86</f>
        <v>24</v>
      </c>
      <c r="AC6" s="19">
        <f>'3'!G87</f>
        <v>0</v>
      </c>
      <c r="AD6" s="19">
        <f t="shared" si="8"/>
        <v>24</v>
      </c>
      <c r="AE6" s="23">
        <f t="shared" si="2"/>
        <v>3484.5699999999943</v>
      </c>
      <c r="AF6" s="23">
        <f t="shared" si="9"/>
        <v>145.19041666666644</v>
      </c>
      <c r="AG6" s="19">
        <f>'3'!G88</f>
        <v>0</v>
      </c>
      <c r="AH6" s="19">
        <f>'3'!G89</f>
        <v>9.7999999999992724</v>
      </c>
      <c r="AI6" s="19">
        <f>'3'!G90</f>
        <v>2.3200000000069849</v>
      </c>
      <c r="AJ6" s="19">
        <f t="shared" si="10"/>
        <v>12.120000000006257</v>
      </c>
      <c r="AK6" s="19">
        <f>'3'!G91</f>
        <v>11</v>
      </c>
      <c r="AL6" s="19">
        <f>'3'!G92</f>
        <v>0</v>
      </c>
      <c r="AM6" s="19"/>
      <c r="AN6" s="19">
        <f t="shared" si="11"/>
        <v>11</v>
      </c>
      <c r="AO6" s="52">
        <f>'3'!G74</f>
        <v>310.54399999999441</v>
      </c>
      <c r="AP6" s="55">
        <f>'3'!G35</f>
        <v>1437.6200000000026</v>
      </c>
      <c r="AQ6" s="19">
        <f>'3'!G37</f>
        <v>1552.1100000000006</v>
      </c>
      <c r="AR6" s="19">
        <f>'3'!G38</f>
        <v>1668.1500000000015</v>
      </c>
      <c r="AS6" s="19">
        <f>'3'!G39</f>
        <v>2641.8299999999945</v>
      </c>
      <c r="AT6" s="19">
        <f>'3'!G40</f>
        <v>1.7000000000000028</v>
      </c>
      <c r="AU6" s="19">
        <f>'3'!G41</f>
        <v>0</v>
      </c>
      <c r="AV6" s="19">
        <f>'3'!G42</f>
        <v>37.129999999990105</v>
      </c>
      <c r="AW6" s="19">
        <f>'3'!G43</f>
        <v>2229.6699999999983</v>
      </c>
      <c r="AX6" s="19">
        <f>'3'!G44</f>
        <v>0</v>
      </c>
      <c r="AY6" s="56">
        <f>'3'!G36</f>
        <v>935.69999999999709</v>
      </c>
      <c r="AZ6" s="55">
        <f>'3'!G49</f>
        <v>1065.5499999999993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538.94000000000051</v>
      </c>
      <c r="BE6" s="19">
        <f>'3'!G55</f>
        <v>3334.3500000000058</v>
      </c>
      <c r="BF6" s="19">
        <f>'3'!G56</f>
        <v>113.08999999999833</v>
      </c>
      <c r="BG6" s="19">
        <f>'3'!G57</f>
        <v>0</v>
      </c>
      <c r="BH6" s="56">
        <f>'3'!G50</f>
        <v>1070.0599999999977</v>
      </c>
      <c r="BI6" s="60">
        <f t="shared" si="12"/>
        <v>3484.5699999999943</v>
      </c>
      <c r="BJ6" s="60">
        <f>'3'!G133</f>
        <v>565.15000000000873</v>
      </c>
      <c r="BK6" s="23">
        <f t="shared" si="13"/>
        <v>42.756699099849079</v>
      </c>
      <c r="BL6" s="23">
        <f t="shared" si="14"/>
        <v>13.745928508247019</v>
      </c>
      <c r="BM6" s="24">
        <f t="shared" si="15"/>
        <v>8.679691971486557E-2</v>
      </c>
      <c r="BN6" s="25">
        <f t="shared" si="16"/>
        <v>255028.95759999991</v>
      </c>
      <c r="BO6" s="38">
        <f t="shared" si="17"/>
        <v>6279.3900000000012</v>
      </c>
      <c r="BP6">
        <f t="shared" si="18"/>
        <v>0.93443303571428593</v>
      </c>
    </row>
    <row r="7" spans="1:69" x14ac:dyDescent="0.25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0.89610000000000001</v>
      </c>
      <c r="G7" s="19">
        <f>'4'!G7</f>
        <v>18470.589999999967</v>
      </c>
      <c r="H7" s="19">
        <f>'4'!G8</f>
        <v>18612.709999999963</v>
      </c>
      <c r="I7" s="19">
        <v>9</v>
      </c>
      <c r="J7" s="49">
        <f t="shared" si="3"/>
        <v>167514.38999999966</v>
      </c>
      <c r="K7" s="45">
        <f t="shared" si="4"/>
        <v>92.142128712871099</v>
      </c>
      <c r="L7" s="19">
        <f>'4'!G15</f>
        <v>997.95200000004843</v>
      </c>
      <c r="M7" s="19">
        <v>56.2</v>
      </c>
      <c r="N7" s="45">
        <f t="shared" si="5"/>
        <v>56084.902400002728</v>
      </c>
      <c r="O7" s="19">
        <f>'4'!G20</f>
        <v>261</v>
      </c>
      <c r="P7" s="19">
        <v>108</v>
      </c>
      <c r="Q7" s="46">
        <f t="shared" si="0"/>
        <v>28188</v>
      </c>
      <c r="R7" s="47">
        <f t="shared" si="1"/>
        <v>144.18917619917332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87</v>
      </c>
      <c r="W7" s="22">
        <f>'4'!G66</f>
        <v>30</v>
      </c>
      <c r="X7" s="22">
        <f>'4'!G67</f>
        <v>25</v>
      </c>
      <c r="Y7" s="22">
        <f t="shared" si="7"/>
        <v>142</v>
      </c>
      <c r="Z7" s="19">
        <f>'4'!G84</f>
        <v>0.26000000000203727</v>
      </c>
      <c r="AA7" s="19">
        <f>'4'!G85</f>
        <v>0</v>
      </c>
      <c r="AB7" s="19">
        <f>'4'!G86</f>
        <v>24.25</v>
      </c>
      <c r="AC7" s="19">
        <f>'4'!G87</f>
        <v>0.93000000000029104</v>
      </c>
      <c r="AD7" s="19">
        <f t="shared" si="8"/>
        <v>25.440000000002328</v>
      </c>
      <c r="AE7" s="23">
        <f t="shared" si="2"/>
        <v>2816.8300000000017</v>
      </c>
      <c r="AF7" s="23">
        <f t="shared" si="9"/>
        <v>110.72444968552453</v>
      </c>
      <c r="AG7" s="19">
        <f>'4'!G88</f>
        <v>0</v>
      </c>
      <c r="AH7" s="19">
        <f>'4'!G89</f>
        <v>9.7400000000016007</v>
      </c>
      <c r="AI7" s="19">
        <f>'4'!G90</f>
        <v>0.25</v>
      </c>
      <c r="AJ7" s="19">
        <f t="shared" si="10"/>
        <v>9.9900000000016007</v>
      </c>
      <c r="AK7" s="19">
        <f>'4'!G91</f>
        <v>11.4699999999998</v>
      </c>
      <c r="AL7" s="19">
        <f>'4'!G92</f>
        <v>0</v>
      </c>
      <c r="AM7" s="19"/>
      <c r="AN7" s="19">
        <f t="shared" si="11"/>
        <v>11.4699999999998</v>
      </c>
      <c r="AO7" s="52">
        <f>'4'!G74</f>
        <v>297.04000000003725</v>
      </c>
      <c r="AP7" s="55">
        <f>'4'!G35</f>
        <v>1328.9400000000023</v>
      </c>
      <c r="AQ7" s="19">
        <f>'4'!G37</f>
        <v>1614.0999999999985</v>
      </c>
      <c r="AR7" s="19">
        <f>'4'!G38</f>
        <v>1858.4700000000012</v>
      </c>
      <c r="AS7" s="19">
        <f>'4'!G39</f>
        <v>2666.7100000000064</v>
      </c>
      <c r="AT7" s="19">
        <f>'4'!G40</f>
        <v>606.86000000000058</v>
      </c>
      <c r="AU7" s="19">
        <f>'4'!G41</f>
        <v>0</v>
      </c>
      <c r="AV7" s="19">
        <f>'4'!G42</f>
        <v>-8.999999999650754E-2</v>
      </c>
      <c r="AW7" s="19">
        <f>'4'!G43</f>
        <v>2395.179999999993</v>
      </c>
      <c r="AX7" s="19">
        <f>'4'!G44</f>
        <v>0</v>
      </c>
      <c r="AY7" s="56">
        <f>'4'!G36</f>
        <v>861.87000000000262</v>
      </c>
      <c r="AZ7" s="55">
        <f>'4'!G49</f>
        <v>1353.9300000000003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547.31999999999971</v>
      </c>
      <c r="BE7" s="19">
        <f>'4'!G55</f>
        <v>2816.9199999999983</v>
      </c>
      <c r="BF7" s="19">
        <f>'4'!G56</f>
        <v>0</v>
      </c>
      <c r="BG7" s="19">
        <f>'4'!G57</f>
        <v>0</v>
      </c>
      <c r="BH7" s="56">
        <f>'4'!G50</f>
        <v>1149.75</v>
      </c>
      <c r="BI7" s="60">
        <f t="shared" si="12"/>
        <v>2816.8300000000017</v>
      </c>
      <c r="BJ7" s="60">
        <f>'3'!G133</f>
        <v>565.15000000000873</v>
      </c>
      <c r="BK7" s="23">
        <f t="shared" si="13"/>
        <v>42.416606716593201</v>
      </c>
      <c r="BL7" s="23">
        <f t="shared" si="14"/>
        <v>14.327360174848327</v>
      </c>
      <c r="BM7" s="24">
        <f t="shared" si="15"/>
        <v>9.9849511436002861E-2</v>
      </c>
      <c r="BN7" s="25">
        <f t="shared" si="16"/>
        <v>251787.29240000239</v>
      </c>
      <c r="BO7" s="38">
        <f t="shared" si="17"/>
        <v>5777.1600000000035</v>
      </c>
      <c r="BP7">
        <f t="shared" si="18"/>
        <v>0.81103436657674566</v>
      </c>
    </row>
    <row r="8" spans="1:69" x14ac:dyDescent="0.25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1</v>
      </c>
      <c r="G8" s="19">
        <f>'5'!G7</f>
        <v>20600.080000000075</v>
      </c>
      <c r="H8" s="19">
        <f>'5'!G8</f>
        <v>20830.960000000079</v>
      </c>
      <c r="I8" s="19">
        <v>9</v>
      </c>
      <c r="J8" s="49">
        <f t="shared" si="3"/>
        <v>187478.64000000071</v>
      </c>
      <c r="K8" s="45">
        <f t="shared" si="4"/>
        <v>103.12356435643603</v>
      </c>
      <c r="L8" s="19">
        <f>'5'!G15</f>
        <v>1047.8699999998789</v>
      </c>
      <c r="M8" s="19">
        <v>56.2</v>
      </c>
      <c r="N8" s="45">
        <f t="shared" si="5"/>
        <v>58890.293999993199</v>
      </c>
      <c r="O8" s="19">
        <f>'5'!G20</f>
        <v>294</v>
      </c>
      <c r="P8" s="19">
        <v>108</v>
      </c>
      <c r="Q8" s="46">
        <f t="shared" si="0"/>
        <v>31752</v>
      </c>
      <c r="R8" s="47">
        <f t="shared" si="1"/>
        <v>145.54455445544554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100</v>
      </c>
      <c r="W8" s="22">
        <f>'5'!G66</f>
        <v>48</v>
      </c>
      <c r="X8" s="22">
        <f>'5'!G67</f>
        <v>26</v>
      </c>
      <c r="Y8" s="22">
        <f t="shared" si="7"/>
        <v>174</v>
      </c>
      <c r="Z8" s="19">
        <f>'5'!G84</f>
        <v>-0.26000000000203727</v>
      </c>
      <c r="AA8" s="19">
        <f>'5'!G85</f>
        <v>0</v>
      </c>
      <c r="AB8" s="19">
        <f>'5'!G86</f>
        <v>24.319999999999709</v>
      </c>
      <c r="AC8" s="19">
        <f>'5'!G87</f>
        <v>0</v>
      </c>
      <c r="AD8" s="19">
        <f t="shared" si="8"/>
        <v>24.059999999997672</v>
      </c>
      <c r="AE8" s="23">
        <f t="shared" si="2"/>
        <v>3196.3899999999994</v>
      </c>
      <c r="AF8" s="23">
        <f t="shared" si="9"/>
        <v>132.85078969244842</v>
      </c>
      <c r="AG8" s="19">
        <f>'5'!G88</f>
        <v>0</v>
      </c>
      <c r="AH8" s="19">
        <f>'5'!G89</f>
        <v>9.8600000000005821</v>
      </c>
      <c r="AI8" s="19">
        <f>'5'!G90</f>
        <v>3.6600000000034925</v>
      </c>
      <c r="AJ8" s="19">
        <f t="shared" si="10"/>
        <v>13.520000000004075</v>
      </c>
      <c r="AK8" s="19">
        <f>'5'!G91</f>
        <v>10.619999999999891</v>
      </c>
      <c r="AL8" s="19">
        <f>'5'!G92</f>
        <v>0</v>
      </c>
      <c r="AM8" s="19"/>
      <c r="AN8" s="19">
        <f t="shared" si="11"/>
        <v>10.619999999999891</v>
      </c>
      <c r="AO8" s="52">
        <f>'5'!G74</f>
        <v>284.73999999999069</v>
      </c>
      <c r="AP8" s="55">
        <f>'5'!G35</f>
        <v>1448.8099999999977</v>
      </c>
      <c r="AQ8" s="19">
        <f>'5'!G37</f>
        <v>1683.9199999999983</v>
      </c>
      <c r="AR8" s="19">
        <f>'5'!G38</f>
        <v>1939.4400000000023</v>
      </c>
      <c r="AS8" s="19">
        <f>'5'!G39</f>
        <v>2758.0200000000041</v>
      </c>
      <c r="AT8" s="19">
        <f>'5'!G40</f>
        <v>105.77000000000044</v>
      </c>
      <c r="AU8" s="19">
        <f>'5'!G41</f>
        <v>0</v>
      </c>
      <c r="AV8" s="19">
        <f>'5'!G42</f>
        <v>0</v>
      </c>
      <c r="AW8" s="19">
        <f>'5'!G43</f>
        <v>2237.7600000000093</v>
      </c>
      <c r="AX8" s="19">
        <f>'5'!G44</f>
        <v>0</v>
      </c>
      <c r="AY8" s="56">
        <f>'5'!G36</f>
        <v>1353.260000000002</v>
      </c>
      <c r="AZ8" s="55">
        <f>'5'!G49</f>
        <v>1440.1899999999987</v>
      </c>
      <c r="BA8" s="19">
        <f>'5'!G51</f>
        <v>0</v>
      </c>
      <c r="BB8" s="19">
        <f>'5'!G52</f>
        <v>0</v>
      </c>
      <c r="BC8" s="19">
        <f>'5'!G53</f>
        <v>0</v>
      </c>
      <c r="BD8" s="19">
        <f>'5'!G54</f>
        <v>533.68000000000029</v>
      </c>
      <c r="BE8" s="19">
        <f>'5'!G55</f>
        <v>3196.3899999999994</v>
      </c>
      <c r="BF8" s="19">
        <f>'5'!G56</f>
        <v>0</v>
      </c>
      <c r="BG8" s="19">
        <f>'5'!G57</f>
        <v>0</v>
      </c>
      <c r="BH8" s="56">
        <f>'5'!G50</f>
        <v>1526.75</v>
      </c>
      <c r="BI8" s="60">
        <f t="shared" si="12"/>
        <v>3196.3899999999994</v>
      </c>
      <c r="BJ8" s="60">
        <f>'5'!G133</f>
        <v>692.97000000000116</v>
      </c>
      <c r="BK8" s="23">
        <f t="shared" si="13"/>
        <v>39.955671750125646</v>
      </c>
      <c r="BL8" s="23">
        <f t="shared" si="14"/>
        <v>13.240004301289973</v>
      </c>
      <c r="BM8" s="24">
        <f t="shared" si="15"/>
        <v>9.3103726376508572E-2</v>
      </c>
      <c r="BN8" s="25">
        <f t="shared" si="16"/>
        <v>278120.9339999939</v>
      </c>
      <c r="BO8" s="38">
        <f t="shared" si="17"/>
        <v>6127.1200000000099</v>
      </c>
      <c r="BP8">
        <f t="shared" si="18"/>
        <v>0.90950005937546052</v>
      </c>
    </row>
    <row r="9" spans="1:69" x14ac:dyDescent="0.25">
      <c r="A9" s="16">
        <v>6</v>
      </c>
      <c r="B9" s="17">
        <v>6</v>
      </c>
      <c r="C9" s="26"/>
      <c r="D9" s="19">
        <f>'6'!D3</f>
        <v>25</v>
      </c>
      <c r="E9" s="50">
        <f>'6'!D4</f>
        <v>0.78</v>
      </c>
      <c r="F9" s="50">
        <f>'6'!D2</f>
        <v>0.57999999999999996</v>
      </c>
      <c r="G9" s="19">
        <f>'6'!G7</f>
        <v>20386.880000000005</v>
      </c>
      <c r="H9" s="19">
        <f>'6'!G8</f>
        <v>20612</v>
      </c>
      <c r="I9" s="19">
        <v>9</v>
      </c>
      <c r="J9" s="49">
        <f t="shared" si="3"/>
        <v>185508</v>
      </c>
      <c r="K9" s="45">
        <f t="shared" si="4"/>
        <v>102.03960396039604</v>
      </c>
      <c r="L9" s="19">
        <f>'6'!G15</f>
        <v>1049.5</v>
      </c>
      <c r="M9" s="19">
        <v>56.2</v>
      </c>
      <c r="N9" s="45">
        <f t="shared" si="5"/>
        <v>58981.9</v>
      </c>
      <c r="O9" s="19">
        <f>'6'!G20</f>
        <v>275</v>
      </c>
      <c r="P9" s="19">
        <v>108</v>
      </c>
      <c r="Q9" s="46">
        <f t="shared" si="0"/>
        <v>29700</v>
      </c>
      <c r="R9" s="47">
        <f t="shared" si="1"/>
        <v>234.72174803687267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110</v>
      </c>
      <c r="W9" s="22">
        <f>'6'!G66</f>
        <v>26</v>
      </c>
      <c r="X9" s="22">
        <f>'6'!G67</f>
        <v>31</v>
      </c>
      <c r="Y9" s="22">
        <f t="shared" si="7"/>
        <v>167</v>
      </c>
      <c r="Z9" s="19">
        <f>'6'!G84</f>
        <v>0</v>
      </c>
      <c r="AA9" s="19">
        <f>'6'!G85</f>
        <v>0</v>
      </c>
      <c r="AB9" s="19">
        <f>'6'!G86</f>
        <v>24.430000000000291</v>
      </c>
      <c r="AC9" s="19">
        <f>'6'!G87</f>
        <v>0</v>
      </c>
      <c r="AD9" s="19">
        <f t="shared" si="8"/>
        <v>24.430000000000291</v>
      </c>
      <c r="AE9" s="23">
        <f t="shared" si="2"/>
        <v>3426.9199999999983</v>
      </c>
      <c r="AF9" s="23">
        <f t="shared" si="9"/>
        <v>140.27507163323608</v>
      </c>
      <c r="AG9" s="19">
        <f>'6'!G88</f>
        <v>0</v>
      </c>
      <c r="AH9" s="19">
        <f>'6'!G89</f>
        <v>10.180000000000291</v>
      </c>
      <c r="AI9" s="19">
        <f>'6'!G90</f>
        <v>4.1599999999889405</v>
      </c>
      <c r="AJ9" s="19">
        <f t="shared" si="10"/>
        <v>14.339999999989232</v>
      </c>
      <c r="AK9" s="19">
        <f>'6'!G91</f>
        <v>11.170000000000073</v>
      </c>
      <c r="AL9" s="19">
        <f>'6'!G92</f>
        <v>0</v>
      </c>
      <c r="AM9" s="19"/>
      <c r="AN9" s="19">
        <f t="shared" si="11"/>
        <v>11.170000000000073</v>
      </c>
      <c r="AO9" s="52">
        <f>'6'!G74</f>
        <v>303.77999999991152</v>
      </c>
      <c r="AP9" s="55">
        <f>'6'!G35</f>
        <v>1654.0999999999985</v>
      </c>
      <c r="AQ9" s="19">
        <f>'6'!G37</f>
        <v>1645.6599999999962</v>
      </c>
      <c r="AR9" s="19">
        <f>'6'!G38</f>
        <v>1915.0299999999988</v>
      </c>
      <c r="AS9" s="19">
        <f>'6'!G39</f>
        <v>2776.5599999999977</v>
      </c>
      <c r="AT9" s="19">
        <f>'6'!G40</f>
        <v>402.02999999999884</v>
      </c>
      <c r="AU9" s="19">
        <f>'6'!G41</f>
        <v>0</v>
      </c>
      <c r="AV9" s="19">
        <f>'6'!G42</f>
        <v>0</v>
      </c>
      <c r="AW9" s="19">
        <f>'6'!G43</f>
        <v>2145.3499999999913</v>
      </c>
      <c r="AX9" s="19">
        <f>'6'!G44</f>
        <v>0</v>
      </c>
      <c r="AY9" s="56">
        <f>'6'!G36</f>
        <v>902.15999999999622</v>
      </c>
      <c r="AZ9" s="55">
        <f>'6'!G49</f>
        <v>1365.1900000000023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531.21</v>
      </c>
      <c r="BE9" s="19">
        <f>'6'!G55</f>
        <v>3426.9199999999983</v>
      </c>
      <c r="BF9" s="19">
        <f>'6'!G56</f>
        <v>0</v>
      </c>
      <c r="BG9" s="19">
        <f>'6'!G57</f>
        <v>0</v>
      </c>
      <c r="BH9" s="56">
        <f>'6'!G50</f>
        <v>1272.5999999999985</v>
      </c>
      <c r="BI9" s="60">
        <f t="shared" si="12"/>
        <v>3426.9199999999983</v>
      </c>
      <c r="BJ9" s="60">
        <f>'6'!G133</f>
        <v>622.38999999999942</v>
      </c>
      <c r="BK9" s="23">
        <f t="shared" si="13"/>
        <v>41.682320978070976</v>
      </c>
      <c r="BL9" s="23">
        <f t="shared" si="14"/>
        <v>13.470599650688907</v>
      </c>
      <c r="BM9" s="24">
        <f t="shared" si="15"/>
        <v>9.2908499902969094E-2</v>
      </c>
      <c r="BN9" s="25">
        <f t="shared" si="16"/>
        <v>274189.90000000002</v>
      </c>
      <c r="BO9" s="38">
        <f t="shared" si="17"/>
        <v>6194.6599999999889</v>
      </c>
      <c r="BP9">
        <f t="shared" si="18"/>
        <v>0.90559908777263243</v>
      </c>
    </row>
    <row r="10" spans="1:69" x14ac:dyDescent="0.25">
      <c r="A10" s="16">
        <v>7</v>
      </c>
      <c r="B10" s="26">
        <v>7</v>
      </c>
      <c r="C10" s="27"/>
      <c r="D10" s="19">
        <f>'7'!D3</f>
        <v>25</v>
      </c>
      <c r="E10" s="50">
        <f>'7'!D4</f>
        <v>0.78</v>
      </c>
      <c r="F10" s="50">
        <f>'7'!D2</f>
        <v>0.75</v>
      </c>
      <c r="G10" s="19">
        <f>'7'!G7</f>
        <v>21554.719999999972</v>
      </c>
      <c r="H10" s="19">
        <f>'7'!G8</f>
        <v>21704.239999999991</v>
      </c>
      <c r="I10" s="19">
        <v>9</v>
      </c>
      <c r="J10" s="49">
        <f t="shared" si="3"/>
        <v>195338.15999999992</v>
      </c>
      <c r="K10" s="45">
        <f t="shared" si="4"/>
        <v>107.44673267326728</v>
      </c>
      <c r="L10" s="19">
        <f>'7'!G15</f>
        <v>1030.6800000001676</v>
      </c>
      <c r="M10" s="19">
        <v>56.2</v>
      </c>
      <c r="N10" s="45">
        <f t="shared" si="5"/>
        <v>57924.216000009423</v>
      </c>
      <c r="O10" s="19">
        <f>'7'!G20</f>
        <v>242</v>
      </c>
      <c r="P10" s="19">
        <v>108</v>
      </c>
      <c r="Q10" s="46">
        <f t="shared" si="0"/>
        <v>26136</v>
      </c>
      <c r="R10" s="47">
        <f t="shared" si="1"/>
        <v>159.73597359735976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96</v>
      </c>
      <c r="W10" s="22">
        <f>'7'!G66</f>
        <v>21</v>
      </c>
      <c r="X10" s="22">
        <f>'7'!G67</f>
        <v>30</v>
      </c>
      <c r="Y10" s="22">
        <f t="shared" si="7"/>
        <v>147</v>
      </c>
      <c r="Z10" s="19">
        <f>'7'!G84</f>
        <v>0</v>
      </c>
      <c r="AA10" s="19">
        <f>'7'!G85</f>
        <v>12.069999999999709</v>
      </c>
      <c r="AB10" s="19">
        <f>'7'!G86</f>
        <v>13.30000000000291</v>
      </c>
      <c r="AC10" s="19">
        <f>'7'!G87</f>
        <v>0</v>
      </c>
      <c r="AD10" s="19">
        <f t="shared" si="8"/>
        <v>25.370000000002619</v>
      </c>
      <c r="AE10" s="23">
        <f t="shared" si="2"/>
        <v>4458.75</v>
      </c>
      <c r="AF10" s="23">
        <f t="shared" si="9"/>
        <v>175.74891604255183</v>
      </c>
      <c r="AG10" s="19">
        <f>'7'!G88</f>
        <v>0</v>
      </c>
      <c r="AH10" s="19">
        <f>'7'!G89</f>
        <v>9.7899999999972351</v>
      </c>
      <c r="AI10" s="19">
        <f>'7'!G90</f>
        <v>4.1600000000034925</v>
      </c>
      <c r="AJ10" s="19">
        <f t="shared" si="10"/>
        <v>13.950000000000728</v>
      </c>
      <c r="AK10" s="19">
        <f>'7'!G91</f>
        <v>11.099999999999909</v>
      </c>
      <c r="AL10" s="19">
        <f>'7'!G92</f>
        <v>0</v>
      </c>
      <c r="AM10" s="19"/>
      <c r="AN10" s="19">
        <f t="shared" si="11"/>
        <v>11.099999999999909</v>
      </c>
      <c r="AO10" s="52">
        <f>'7'!G74</f>
        <v>301.6600000000326</v>
      </c>
      <c r="AP10" s="55">
        <f>'7'!G35</f>
        <v>1666.4199999999983</v>
      </c>
      <c r="AQ10" s="19">
        <f>'7'!G37</f>
        <v>1658.8400000000038</v>
      </c>
      <c r="AR10" s="19">
        <f>'7'!G38</f>
        <v>2017.739999999998</v>
      </c>
      <c r="AS10" s="19">
        <f>'7'!G39</f>
        <v>3066.4900000000052</v>
      </c>
      <c r="AT10" s="19">
        <f>'7'!G40</f>
        <v>282.68000000000029</v>
      </c>
      <c r="AU10" s="19">
        <f>'7'!G41</f>
        <v>0</v>
      </c>
      <c r="AV10" s="19">
        <f>'7'!G42</f>
        <v>2568.2599999999948</v>
      </c>
      <c r="AW10" s="19">
        <f>'7'!G43</f>
        <v>2208.6800000000076</v>
      </c>
      <c r="AX10" s="19">
        <f>'7'!G44</f>
        <v>0</v>
      </c>
      <c r="AY10" s="56">
        <f>'7'!G36</f>
        <v>840.56999999999971</v>
      </c>
      <c r="AZ10" s="55">
        <f>'7'!G49</f>
        <v>1433.9199999999983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534.96</v>
      </c>
      <c r="BE10" s="19">
        <f>'7'!G55</f>
        <v>1890.4900000000052</v>
      </c>
      <c r="BF10" s="19">
        <f>'7'!G56</f>
        <v>0</v>
      </c>
      <c r="BG10" s="19">
        <f>'7'!G57</f>
        <v>0</v>
      </c>
      <c r="BH10" s="56">
        <f>'7'!G50</f>
        <v>1415.6200000000026</v>
      </c>
      <c r="BI10" s="60">
        <f t="shared" si="12"/>
        <v>4458.75</v>
      </c>
      <c r="BJ10" s="60">
        <f>'7'!G133</f>
        <v>677.02999999999884</v>
      </c>
      <c r="BK10" s="23">
        <f t="shared" si="13"/>
        <v>45.003971574217793</v>
      </c>
      <c r="BL10" s="23">
        <f t="shared" si="14"/>
        <v>14.128529725067574</v>
      </c>
      <c r="BM10" s="24">
        <f t="shared" si="15"/>
        <v>9.2965245500418292E-2</v>
      </c>
      <c r="BN10" s="25">
        <f t="shared" si="16"/>
        <v>279398.37600000936</v>
      </c>
      <c r="BO10" s="38">
        <f t="shared" si="17"/>
        <v>7344.4600000000064</v>
      </c>
      <c r="BP10">
        <f t="shared" si="18"/>
        <v>1.0339067515061726</v>
      </c>
    </row>
    <row r="11" spans="1:69" x14ac:dyDescent="0.25">
      <c r="A11" s="16">
        <v>8</v>
      </c>
      <c r="B11" s="26">
        <v>8</v>
      </c>
      <c r="C11" s="18"/>
      <c r="D11" s="19">
        <f>'8'!D3</f>
        <v>24</v>
      </c>
      <c r="E11" s="50">
        <f>'8'!D4</f>
        <v>0.8</v>
      </c>
      <c r="F11" s="50">
        <f>'8'!D2</f>
        <v>0.71</v>
      </c>
      <c r="G11" s="19">
        <f>'8'!G7</f>
        <v>19667.729999999981</v>
      </c>
      <c r="H11" s="19">
        <f>'8'!G8</f>
        <v>19730.089999999967</v>
      </c>
      <c r="I11" s="19">
        <v>9</v>
      </c>
      <c r="J11" s="49">
        <f t="shared" si="3"/>
        <v>177570.80999999971</v>
      </c>
      <c r="K11" s="45">
        <f t="shared" si="4"/>
        <v>97.673712871286966</v>
      </c>
      <c r="L11" s="19">
        <f>'8'!G15</f>
        <v>1052.1799999999348</v>
      </c>
      <c r="M11" s="19">
        <v>56.2</v>
      </c>
      <c r="N11" s="45">
        <f t="shared" si="5"/>
        <v>59132.515999996336</v>
      </c>
      <c r="O11" s="19">
        <f>'8'!G20</f>
        <v>232</v>
      </c>
      <c r="P11" s="19">
        <v>108</v>
      </c>
      <c r="Q11" s="46">
        <f t="shared" si="0"/>
        <v>25056</v>
      </c>
      <c r="R11" s="47">
        <f t="shared" si="1"/>
        <v>161.76265513875333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106</v>
      </c>
      <c r="W11" s="22">
        <f>'8'!G66</f>
        <v>19</v>
      </c>
      <c r="X11" s="22">
        <f>'8'!G67</f>
        <v>16</v>
      </c>
      <c r="Y11" s="22">
        <f t="shared" si="7"/>
        <v>141</v>
      </c>
      <c r="Z11" s="19">
        <f>'8'!G84</f>
        <v>0</v>
      </c>
      <c r="AA11" s="19">
        <f>'8'!G85</f>
        <v>23.910000000000309</v>
      </c>
      <c r="AB11" s="19">
        <f>'8'!G86</f>
        <v>-0.30000000000291038</v>
      </c>
      <c r="AC11" s="19">
        <f>'8'!G87</f>
        <v>-0.48000000000320142</v>
      </c>
      <c r="AD11" s="19">
        <f t="shared" si="8"/>
        <v>23.129999999994197</v>
      </c>
      <c r="AE11" s="23">
        <f t="shared" si="2"/>
        <v>4082.4900000000066</v>
      </c>
      <c r="AF11" s="23">
        <f t="shared" si="9"/>
        <v>176.5019455253364</v>
      </c>
      <c r="AG11" s="19">
        <f>'8'!G88</f>
        <v>-0.43000000000029104</v>
      </c>
      <c r="AH11" s="19">
        <f>'8'!G89</f>
        <v>10.630000000001019</v>
      </c>
      <c r="AI11" s="19">
        <f>'8'!G90</f>
        <v>3.0800000000017462</v>
      </c>
      <c r="AJ11" s="19">
        <f t="shared" si="10"/>
        <v>13.280000000002474</v>
      </c>
      <c r="AK11" s="19">
        <f>'8'!G91</f>
        <v>11.170000000000073</v>
      </c>
      <c r="AL11" s="19">
        <f>'8'!G92</f>
        <v>-6.9999999999708962E-2</v>
      </c>
      <c r="AM11" s="19"/>
      <c r="AN11" s="19">
        <f t="shared" si="11"/>
        <v>11.100000000000364</v>
      </c>
      <c r="AO11" s="52">
        <f>'8'!G74</f>
        <v>302.52000000001863</v>
      </c>
      <c r="AP11" s="55">
        <f>'8'!G35</f>
        <v>1754.8000000000029</v>
      </c>
      <c r="AQ11" s="19">
        <f>'8'!G37</f>
        <v>1609.0699999999997</v>
      </c>
      <c r="AR11" s="19">
        <f>'8'!G38</f>
        <v>1914.6800000000003</v>
      </c>
      <c r="AS11" s="19">
        <f>'8'!G39</f>
        <v>2923.2899999999936</v>
      </c>
      <c r="AT11" s="19">
        <f>'8'!G40</f>
        <v>314.22999999999956</v>
      </c>
      <c r="AU11" s="19">
        <f>'8'!G41</f>
        <v>0.27000000000000313</v>
      </c>
      <c r="AV11" s="19">
        <f>'8'!G42</f>
        <v>4081.8500000000058</v>
      </c>
      <c r="AW11" s="19">
        <f>'8'!G43</f>
        <v>2123.6699999999983</v>
      </c>
      <c r="AX11" s="23">
        <f>'8'!G44</f>
        <v>0</v>
      </c>
      <c r="AY11" s="56">
        <f>'8'!G36</f>
        <v>799.44000000000233</v>
      </c>
      <c r="AZ11" s="55">
        <f>'8'!G49</f>
        <v>1266.2200000000012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537.15999999999985</v>
      </c>
      <c r="BE11" s="19">
        <f>'8'!G55</f>
        <v>0</v>
      </c>
      <c r="BF11" s="19">
        <f>'8'!G56</f>
        <v>0.37000000000080036</v>
      </c>
      <c r="BG11" s="19">
        <f>'8'!G57</f>
        <v>0</v>
      </c>
      <c r="BH11" s="56">
        <f>'8'!G50</f>
        <v>1131.1399999999994</v>
      </c>
      <c r="BI11" s="60">
        <f t="shared" si="12"/>
        <v>4082.4900000000066</v>
      </c>
      <c r="BJ11" s="60">
        <f>'8'!G133</f>
        <v>647.32000000000698</v>
      </c>
      <c r="BK11" s="23">
        <f t="shared" si="13"/>
        <v>46.767044651088895</v>
      </c>
      <c r="BL11" s="23">
        <f t="shared" si="14"/>
        <v>14.816404790854975</v>
      </c>
      <c r="BM11" s="24">
        <f t="shared" si="15"/>
        <v>9.7043652613850395E-2</v>
      </c>
      <c r="BN11" s="25">
        <f t="shared" si="16"/>
        <v>261759.32599999604</v>
      </c>
      <c r="BO11" s="38">
        <f t="shared" si="17"/>
        <v>6853.4800000000123</v>
      </c>
      <c r="BP11">
        <f t="shared" si="18"/>
        <v>1.0582237045274738</v>
      </c>
    </row>
    <row r="12" spans="1:69" x14ac:dyDescent="0.25">
      <c r="A12" s="16">
        <v>9</v>
      </c>
      <c r="B12" s="27">
        <v>9</v>
      </c>
      <c r="C12" s="26"/>
      <c r="D12" s="19">
        <f>'9'!D3</f>
        <v>24</v>
      </c>
      <c r="E12" s="50">
        <f>'9'!D4</f>
        <v>0.78</v>
      </c>
      <c r="F12" s="50">
        <f>'9'!D2</f>
        <v>0.45</v>
      </c>
      <c r="G12" s="19">
        <f>'9'!G7</f>
        <v>19382</v>
      </c>
      <c r="H12" s="19">
        <f>'9'!G8</f>
        <v>19467</v>
      </c>
      <c r="I12" s="19">
        <v>9</v>
      </c>
      <c r="J12" s="49">
        <f t="shared" si="3"/>
        <v>175203</v>
      </c>
      <c r="K12" s="45">
        <f t="shared" si="4"/>
        <v>96.371287128712865</v>
      </c>
      <c r="L12" s="19">
        <f>'9'!G15</f>
        <v>1070</v>
      </c>
      <c r="M12" s="19">
        <v>56.2</v>
      </c>
      <c r="N12" s="45">
        <f t="shared" si="5"/>
        <v>60134</v>
      </c>
      <c r="O12" s="19">
        <f>'9'!G20</f>
        <v>256</v>
      </c>
      <c r="P12" s="19">
        <v>108</v>
      </c>
      <c r="Q12" s="46">
        <f t="shared" si="0"/>
        <v>27648</v>
      </c>
      <c r="R12" s="47">
        <f t="shared" si="1"/>
        <v>281.62816281628164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103</v>
      </c>
      <c r="W12" s="22">
        <f>'9'!G66</f>
        <v>20</v>
      </c>
      <c r="X12" s="22">
        <f>'9'!G67</f>
        <v>55</v>
      </c>
      <c r="Y12" s="22">
        <f t="shared" si="7"/>
        <v>178</v>
      </c>
      <c r="Z12" s="19">
        <f>'9'!G84</f>
        <v>0</v>
      </c>
      <c r="AA12" s="19">
        <f>'9'!G85</f>
        <v>23.599999999999909</v>
      </c>
      <c r="AB12" s="19">
        <f>'9'!G86</f>
        <v>0</v>
      </c>
      <c r="AC12" s="19">
        <f>'9'!G87</f>
        <v>-0.44999999999708962</v>
      </c>
      <c r="AD12" s="19">
        <f t="shared" si="8"/>
        <v>23.150000000002819</v>
      </c>
      <c r="AE12" s="23">
        <f t="shared" si="2"/>
        <v>3894.5299999999988</v>
      </c>
      <c r="AF12" s="23">
        <f t="shared" si="9"/>
        <v>168.23023758097298</v>
      </c>
      <c r="AG12" s="19">
        <f>'9'!G88</f>
        <v>0</v>
      </c>
      <c r="AH12" s="19">
        <f>'9'!G89</f>
        <v>11.430000000000291</v>
      </c>
      <c r="AI12" s="19">
        <f>'9'!G90</f>
        <v>3</v>
      </c>
      <c r="AJ12" s="19">
        <f t="shared" si="10"/>
        <v>14.430000000000291</v>
      </c>
      <c r="AK12" s="19">
        <f>'9'!G91</f>
        <v>11.150000000000091</v>
      </c>
      <c r="AL12" s="19">
        <f>'9'!G92</f>
        <v>0</v>
      </c>
      <c r="AM12" s="19"/>
      <c r="AN12" s="19">
        <f t="shared" si="11"/>
        <v>11.150000000000091</v>
      </c>
      <c r="AO12" s="52">
        <f>'9'!G74</f>
        <v>301</v>
      </c>
      <c r="AP12" s="55">
        <f>'9'!G35</f>
        <v>1514</v>
      </c>
      <c r="AQ12" s="19">
        <f>'9'!G37</f>
        <v>1638</v>
      </c>
      <c r="AR12" s="19">
        <f>'9'!G38</f>
        <v>1923</v>
      </c>
      <c r="AS12" s="19">
        <f>'9'!G39</f>
        <v>3001</v>
      </c>
      <c r="AT12" s="19">
        <f>'9'!G40</f>
        <v>192</v>
      </c>
      <c r="AU12" s="19">
        <f>'9'!G41</f>
        <v>0</v>
      </c>
      <c r="AV12" s="19">
        <f>'9'!G42</f>
        <v>3895</v>
      </c>
      <c r="AW12" s="19">
        <f>'9'!G43</f>
        <v>2087</v>
      </c>
      <c r="AX12" s="23">
        <f>'9'!G44</f>
        <v>0</v>
      </c>
      <c r="AY12" s="56">
        <f>'9'!G36</f>
        <v>779</v>
      </c>
      <c r="AZ12" s="55">
        <f>'9'!G49</f>
        <v>1392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540</v>
      </c>
      <c r="BE12" s="19">
        <f>'9'!G55</f>
        <v>-0.47000000000116415</v>
      </c>
      <c r="BF12" s="19">
        <f>'9'!G56</f>
        <v>0</v>
      </c>
      <c r="BG12" s="19">
        <f>'9'!G57</f>
        <v>0</v>
      </c>
      <c r="BH12" s="56">
        <f>'9'!G50</f>
        <v>1118</v>
      </c>
      <c r="BI12" s="60">
        <f t="shared" si="12"/>
        <v>3894.5299999999988</v>
      </c>
      <c r="BJ12" s="60">
        <f>'8'!G133</f>
        <v>647.32000000000698</v>
      </c>
      <c r="BK12" s="23">
        <f t="shared" si="13"/>
        <v>45.654338110648787</v>
      </c>
      <c r="BL12" s="23">
        <f t="shared" si="14"/>
        <v>15.415831920686291</v>
      </c>
      <c r="BM12" s="24">
        <f t="shared" si="15"/>
        <v>9.8782555093234706E-2</v>
      </c>
      <c r="BN12" s="25">
        <f t="shared" si="16"/>
        <v>262985</v>
      </c>
      <c r="BO12" s="38">
        <f t="shared" si="17"/>
        <v>6628.8500000000058</v>
      </c>
      <c r="BP12">
        <f t="shared" si="18"/>
        <v>1.0226550447391543</v>
      </c>
    </row>
    <row r="13" spans="1:69" x14ac:dyDescent="0.25">
      <c r="A13" s="16">
        <v>10</v>
      </c>
      <c r="B13" s="27">
        <v>10</v>
      </c>
      <c r="C13" s="26"/>
      <c r="D13" s="19">
        <f>'10'!D3</f>
        <v>22</v>
      </c>
      <c r="E13" s="50">
        <f>'10'!D4</f>
        <v>0.76</v>
      </c>
      <c r="F13" s="50">
        <f>'10'!D2</f>
        <v>0.91</v>
      </c>
      <c r="G13" s="19">
        <f>'10'!G7</f>
        <v>20288</v>
      </c>
      <c r="H13" s="19">
        <f>'10'!G8</f>
        <v>20373</v>
      </c>
      <c r="I13" s="19">
        <v>9</v>
      </c>
      <c r="J13" s="49">
        <f t="shared" si="3"/>
        <v>183357</v>
      </c>
      <c r="K13" s="45">
        <f t="shared" si="4"/>
        <v>100.85643564356435</v>
      </c>
      <c r="L13" s="19">
        <f>'10'!G15</f>
        <v>1152</v>
      </c>
      <c r="M13" s="19">
        <v>56.2</v>
      </c>
      <c r="N13" s="45">
        <f t="shared" si="5"/>
        <v>64742.400000000001</v>
      </c>
      <c r="O13" s="19">
        <f>'10'!G20</f>
        <v>317</v>
      </c>
      <c r="P13" s="19">
        <v>108</v>
      </c>
      <c r="Q13" s="46">
        <f t="shared" si="0"/>
        <v>34236</v>
      </c>
      <c r="R13" s="47">
        <f t="shared" si="1"/>
        <v>172.45131106517246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105</v>
      </c>
      <c r="W13" s="22">
        <f>'10'!G66</f>
        <v>20</v>
      </c>
      <c r="X13" s="22">
        <f>'10'!G67</f>
        <v>65</v>
      </c>
      <c r="Y13" s="22">
        <f t="shared" si="7"/>
        <v>190</v>
      </c>
      <c r="Z13" s="19">
        <f>'10'!G84</f>
        <v>0</v>
      </c>
      <c r="AA13" s="19">
        <f>'10'!G85</f>
        <v>24</v>
      </c>
      <c r="AB13" s="19">
        <f>'10'!G86</f>
        <v>0</v>
      </c>
      <c r="AC13" s="19">
        <f>'10'!G87</f>
        <v>0</v>
      </c>
      <c r="AD13" s="19">
        <f t="shared" si="8"/>
        <v>24</v>
      </c>
      <c r="AE13" s="23">
        <f t="shared" si="2"/>
        <v>4557</v>
      </c>
      <c r="AF13" s="23">
        <f t="shared" si="9"/>
        <v>189.875</v>
      </c>
      <c r="AG13" s="19">
        <f>'10'!G88</f>
        <v>0</v>
      </c>
      <c r="AH13" s="19">
        <f>'10'!G89</f>
        <v>11.569999999999709</v>
      </c>
      <c r="AI13" s="19">
        <f>'10'!G90</f>
        <v>4</v>
      </c>
      <c r="AJ13" s="19">
        <f t="shared" si="10"/>
        <v>15.569999999999709</v>
      </c>
      <c r="AK13" s="19">
        <f>'10'!G91</f>
        <v>12</v>
      </c>
      <c r="AL13" s="19">
        <f>'10'!G92</f>
        <v>0</v>
      </c>
      <c r="AM13" s="19"/>
      <c r="AN13" s="19">
        <f t="shared" si="11"/>
        <v>12</v>
      </c>
      <c r="AO13" s="52">
        <f>'10'!G74</f>
        <v>341</v>
      </c>
      <c r="AP13" s="55">
        <f>'10'!G35</f>
        <v>1557</v>
      </c>
      <c r="AQ13" s="19">
        <f>'10'!G37</f>
        <v>1647</v>
      </c>
      <c r="AR13" s="19">
        <f>'10'!G38</f>
        <v>1955</v>
      </c>
      <c r="AS13" s="19">
        <f>'10'!G39</f>
        <v>3035</v>
      </c>
      <c r="AT13" s="19">
        <f>'10'!G40</f>
        <v>141</v>
      </c>
      <c r="AU13" s="19">
        <f>'10'!G41</f>
        <v>0</v>
      </c>
      <c r="AV13" s="19">
        <f>'10'!G42</f>
        <v>4557</v>
      </c>
      <c r="AW13" s="19">
        <f>'10'!G43</f>
        <v>2097</v>
      </c>
      <c r="AX13" s="23">
        <f>'10'!G44</f>
        <v>0</v>
      </c>
      <c r="AY13" s="56">
        <f>'10'!G36</f>
        <v>1084</v>
      </c>
      <c r="AZ13" s="55">
        <f>'10'!G49</f>
        <v>1282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539</v>
      </c>
      <c r="BE13" s="19">
        <f>'10'!G55</f>
        <v>0</v>
      </c>
      <c r="BF13" s="19">
        <f>'10'!G56</f>
        <v>0</v>
      </c>
      <c r="BG13" s="19">
        <f>'10'!G57</f>
        <v>0</v>
      </c>
      <c r="BH13" s="56">
        <f>'10'!G50</f>
        <v>1144</v>
      </c>
      <c r="BI13" s="60">
        <f t="shared" si="12"/>
        <v>4557</v>
      </c>
      <c r="BJ13" s="60">
        <f>'8'!G133</f>
        <v>647.32000000000698</v>
      </c>
      <c r="BK13" s="23">
        <f t="shared" si="13"/>
        <v>46.595984881951608</v>
      </c>
      <c r="BL13" s="23">
        <f t="shared" si="14"/>
        <v>14.897167820154126</v>
      </c>
      <c r="BM13" s="24">
        <f t="shared" si="15"/>
        <v>9.5960339665243213E-2</v>
      </c>
      <c r="BN13" s="25">
        <f t="shared" si="16"/>
        <v>282335.40000000002</v>
      </c>
      <c r="BO13" s="38">
        <f t="shared" si="17"/>
        <v>7301.320000000007</v>
      </c>
      <c r="BP13">
        <f t="shared" si="18"/>
        <v>1.0865059523809535</v>
      </c>
    </row>
    <row r="14" spans="1:69" x14ac:dyDescent="0.25">
      <c r="A14" s="16">
        <v>11</v>
      </c>
      <c r="B14" s="17">
        <v>11</v>
      </c>
      <c r="C14" s="27"/>
      <c r="D14" s="19">
        <f>'11'!D3</f>
        <v>26</v>
      </c>
      <c r="E14" s="50">
        <f>'11'!D4</f>
        <v>0.78</v>
      </c>
      <c r="F14" s="50">
        <f>'11'!D2</f>
        <v>0.54</v>
      </c>
      <c r="G14" s="19">
        <f>'11'!G7</f>
        <v>20918</v>
      </c>
      <c r="H14" s="19">
        <f>'11'!G8</f>
        <v>21020</v>
      </c>
      <c r="I14" s="19">
        <v>9</v>
      </c>
      <c r="J14" s="49">
        <f t="shared" si="3"/>
        <v>189180</v>
      </c>
      <c r="K14" s="45">
        <f t="shared" si="4"/>
        <v>104.05940594059406</v>
      </c>
      <c r="L14" s="19">
        <f>'11'!G15</f>
        <v>1118</v>
      </c>
      <c r="M14" s="19">
        <v>56.2</v>
      </c>
      <c r="N14" s="45">
        <f t="shared" si="5"/>
        <v>62831.600000000006</v>
      </c>
      <c r="O14" s="19">
        <f>'11'!G20</f>
        <v>316</v>
      </c>
      <c r="P14" s="19">
        <v>108</v>
      </c>
      <c r="Q14" s="46">
        <f t="shared" si="0"/>
        <v>34128</v>
      </c>
      <c r="R14" s="47">
        <f t="shared" si="1"/>
        <v>289.69563623028967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104</v>
      </c>
      <c r="W14" s="22">
        <f>'11'!G66</f>
        <v>31</v>
      </c>
      <c r="X14" s="22">
        <f>'11'!G67</f>
        <v>65</v>
      </c>
      <c r="Y14" s="22">
        <f t="shared" si="7"/>
        <v>200</v>
      </c>
      <c r="Z14" s="19">
        <f>'11'!G84</f>
        <v>0</v>
      </c>
      <c r="AA14" s="19">
        <f>'11'!G85</f>
        <v>24</v>
      </c>
      <c r="AB14" s="19">
        <f>'11'!G86</f>
        <v>0</v>
      </c>
      <c r="AC14" s="19">
        <f>'11'!G87</f>
        <v>0</v>
      </c>
      <c r="AD14" s="19">
        <f t="shared" si="8"/>
        <v>24</v>
      </c>
      <c r="AE14" s="23">
        <f t="shared" si="2"/>
        <v>4736</v>
      </c>
      <c r="AF14" s="23">
        <f t="shared" si="9"/>
        <v>197.33333333333334</v>
      </c>
      <c r="AG14" s="19">
        <f>'11'!G88</f>
        <v>0</v>
      </c>
      <c r="AH14" s="19">
        <f>'11'!G89</f>
        <v>11</v>
      </c>
      <c r="AI14" s="19">
        <f>'11'!G90</f>
        <v>4</v>
      </c>
      <c r="AJ14" s="19">
        <f t="shared" si="10"/>
        <v>15</v>
      </c>
      <c r="AK14" s="19">
        <f>'11'!G91</f>
        <v>12</v>
      </c>
      <c r="AL14" s="19">
        <f>'11'!G92</f>
        <v>0</v>
      </c>
      <c r="AM14" s="19"/>
      <c r="AN14" s="19">
        <f t="shared" si="11"/>
        <v>12</v>
      </c>
      <c r="AO14" s="52">
        <f>'11'!G74</f>
        <v>316</v>
      </c>
      <c r="AP14" s="55">
        <f>'11'!G35</f>
        <v>1435</v>
      </c>
      <c r="AQ14" s="19">
        <f>'11'!G37</f>
        <v>1684</v>
      </c>
      <c r="AR14" s="19">
        <f>'11'!G38</f>
        <v>2076</v>
      </c>
      <c r="AS14" s="19">
        <f>'11'!G39</f>
        <v>3148</v>
      </c>
      <c r="AT14" s="19">
        <f>'11'!G40</f>
        <v>157</v>
      </c>
      <c r="AU14" s="19">
        <f>'11'!G41</f>
        <v>0</v>
      </c>
      <c r="AV14" s="19">
        <f>'11'!G42</f>
        <v>4736</v>
      </c>
      <c r="AW14" s="19">
        <f>'11'!G43</f>
        <v>2112</v>
      </c>
      <c r="AX14" s="23">
        <f>'11'!G44</f>
        <v>0</v>
      </c>
      <c r="AY14" s="56">
        <f>'11'!G36</f>
        <v>1077</v>
      </c>
      <c r="AZ14" s="55">
        <f>'11'!G49</f>
        <v>1341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540</v>
      </c>
      <c r="BE14" s="19">
        <f>'11'!G55</f>
        <v>0</v>
      </c>
      <c r="BF14" s="19">
        <f>'11'!G56</f>
        <v>0</v>
      </c>
      <c r="BG14" s="19">
        <f>'11'!G57</f>
        <v>0</v>
      </c>
      <c r="BH14" s="56">
        <f>'11'!G50</f>
        <v>1282</v>
      </c>
      <c r="BI14" s="60">
        <f t="shared" si="12"/>
        <v>4736</v>
      </c>
      <c r="BJ14" s="60">
        <f>'11'!G133</f>
        <v>494</v>
      </c>
      <c r="BK14" s="23">
        <f t="shared" si="13"/>
        <v>45.784966698382497</v>
      </c>
      <c r="BL14" s="23">
        <f t="shared" si="14"/>
        <v>14.976213130352047</v>
      </c>
      <c r="BM14" s="24">
        <f t="shared" si="15"/>
        <v>9.876308277830638E-2</v>
      </c>
      <c r="BN14" s="25">
        <f t="shared" si="16"/>
        <v>286139.59999999998</v>
      </c>
      <c r="BO14" s="38">
        <f t="shared" si="17"/>
        <v>7342</v>
      </c>
      <c r="BP14">
        <f t="shared" si="18"/>
        <v>1.0925595238095238</v>
      </c>
    </row>
    <row r="15" spans="1:69" x14ac:dyDescent="0.25">
      <c r="A15" s="16">
        <v>12</v>
      </c>
      <c r="B15" s="26">
        <v>12</v>
      </c>
      <c r="C15" s="27"/>
      <c r="D15" s="19">
        <f>'12'!D3</f>
        <v>23</v>
      </c>
      <c r="E15" s="50">
        <f>'12'!D4</f>
        <v>0.7</v>
      </c>
      <c r="F15" s="50">
        <f>'12'!D2</f>
        <v>0.73</v>
      </c>
      <c r="G15" s="19">
        <f>'12'!G7</f>
        <v>22223</v>
      </c>
      <c r="H15" s="19">
        <f>'12'!G8</f>
        <v>22339</v>
      </c>
      <c r="I15" s="19">
        <v>9</v>
      </c>
      <c r="J15" s="49">
        <f t="shared" si="3"/>
        <v>201051</v>
      </c>
      <c r="K15" s="45">
        <f t="shared" si="4"/>
        <v>110.58910891089108</v>
      </c>
      <c r="L15" s="19">
        <f>'12'!G15</f>
        <v>1293</v>
      </c>
      <c r="M15" s="19">
        <v>56.2</v>
      </c>
      <c r="N15" s="41">
        <f t="shared" si="5"/>
        <v>72666.600000000006</v>
      </c>
      <c r="O15" s="19">
        <f>'12'!G20</f>
        <v>339</v>
      </c>
      <c r="P15" s="19">
        <v>108</v>
      </c>
      <c r="Q15" s="46">
        <f t="shared" si="0"/>
        <v>36612</v>
      </c>
      <c r="R15" s="47">
        <f t="shared" si="1"/>
        <v>229.89285229892849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126</v>
      </c>
      <c r="W15" s="22">
        <f>'12'!G66</f>
        <v>28</v>
      </c>
      <c r="X15" s="22">
        <f>'12'!G67</f>
        <v>66</v>
      </c>
      <c r="Y15" s="22">
        <f t="shared" si="7"/>
        <v>220</v>
      </c>
      <c r="Z15" s="19">
        <f>'12'!G84</f>
        <v>0</v>
      </c>
      <c r="AA15" s="19">
        <f>'12'!G85</f>
        <v>24</v>
      </c>
      <c r="AB15" s="19">
        <f>'12'!G86</f>
        <v>2</v>
      </c>
      <c r="AC15" s="19">
        <f>'12'!G87</f>
        <v>0</v>
      </c>
      <c r="AD15" s="19">
        <f t="shared" si="8"/>
        <v>26</v>
      </c>
      <c r="AE15" s="23">
        <f t="shared" si="2"/>
        <v>4928</v>
      </c>
      <c r="AF15" s="23">
        <f t="shared" si="9"/>
        <v>189.53846153846155</v>
      </c>
      <c r="AG15" s="19">
        <f>'12'!G88</f>
        <v>3.7700000000004366</v>
      </c>
      <c r="AH15" s="19">
        <f>'12'!G89</f>
        <v>8.6300000000010186</v>
      </c>
      <c r="AI15" s="19">
        <f>'12'!G90</f>
        <v>7.2299999999959255</v>
      </c>
      <c r="AJ15" s="19">
        <f t="shared" si="10"/>
        <v>19.629999999997381</v>
      </c>
      <c r="AK15" s="19">
        <f>'12'!G91</f>
        <v>11.860000000000127</v>
      </c>
      <c r="AL15" s="19">
        <f>'12'!G92</f>
        <v>0</v>
      </c>
      <c r="AM15" s="19"/>
      <c r="AN15" s="19">
        <f t="shared" si="11"/>
        <v>11.860000000000127</v>
      </c>
      <c r="AO15" s="52">
        <f>'12'!G74</f>
        <v>324</v>
      </c>
      <c r="AP15" s="55">
        <f>'12'!G35</f>
        <v>1625</v>
      </c>
      <c r="AQ15" s="19">
        <f>'12'!G37</f>
        <v>1783</v>
      </c>
      <c r="AR15" s="19">
        <f>'12'!G38</f>
        <v>2162</v>
      </c>
      <c r="AS15" s="19">
        <f>'12'!G39</f>
        <v>3245</v>
      </c>
      <c r="AT15" s="19">
        <f>'12'!G40</f>
        <v>505</v>
      </c>
      <c r="AU15" s="19">
        <f>'12'!G41</f>
        <v>0</v>
      </c>
      <c r="AV15" s="19">
        <f>'12'!G42</f>
        <v>4709</v>
      </c>
      <c r="AW15" s="19">
        <f>'12'!G43</f>
        <v>2226</v>
      </c>
      <c r="AX15" s="23">
        <f>'12'!G44</f>
        <v>0</v>
      </c>
      <c r="AY15" s="56">
        <f>'12'!G36</f>
        <v>1194</v>
      </c>
      <c r="AZ15" s="55">
        <f>'12'!G49</f>
        <v>1574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543</v>
      </c>
      <c r="BE15" s="19">
        <f>'12'!G55</f>
        <v>219</v>
      </c>
      <c r="BF15" s="19">
        <f>'12'!G56</f>
        <v>0</v>
      </c>
      <c r="BG15" s="19">
        <f>'12'!G57</f>
        <v>0</v>
      </c>
      <c r="BH15" s="56">
        <f>'12'!G50</f>
        <v>1310</v>
      </c>
      <c r="BI15" s="60">
        <f t="shared" si="12"/>
        <v>4928</v>
      </c>
      <c r="BJ15" s="60">
        <f>'12'!G133</f>
        <v>698</v>
      </c>
      <c r="BK15" s="23">
        <f t="shared" si="13"/>
        <v>46.344957249653078</v>
      </c>
      <c r="BL15" s="23">
        <f t="shared" si="14"/>
        <v>14.52616500290971</v>
      </c>
      <c r="BM15" s="24">
        <f t="shared" si="15"/>
        <v>9.678141367115807E-2</v>
      </c>
      <c r="BN15" s="25">
        <f t="shared" si="16"/>
        <v>310329.59999999998</v>
      </c>
      <c r="BO15" s="38">
        <f t="shared" si="17"/>
        <v>7852</v>
      </c>
      <c r="BP15">
        <f t="shared" si="18"/>
        <v>1.0785714285714285</v>
      </c>
    </row>
    <row r="16" spans="1:69" x14ac:dyDescent="0.25">
      <c r="A16" s="16">
        <v>13</v>
      </c>
      <c r="B16" s="26">
        <v>13</v>
      </c>
      <c r="C16" s="26"/>
      <c r="D16" s="19">
        <f>'13'!D3</f>
        <v>23</v>
      </c>
      <c r="E16" s="50">
        <f>'13'!D4</f>
        <v>0.7</v>
      </c>
      <c r="F16" s="50">
        <f>'13'!D2</f>
        <v>0.53</v>
      </c>
      <c r="G16" s="19">
        <f>'13'!G7</f>
        <v>22076</v>
      </c>
      <c r="H16" s="19">
        <f>'13'!G8</f>
        <v>22200</v>
      </c>
      <c r="I16" s="19">
        <v>9</v>
      </c>
      <c r="J16" s="49">
        <f t="shared" si="3"/>
        <v>199800</v>
      </c>
      <c r="K16" s="45">
        <f t="shared" si="4"/>
        <v>109.9009900990099</v>
      </c>
      <c r="L16" s="19">
        <f>'13'!G15</f>
        <v>1108</v>
      </c>
      <c r="M16" s="19">
        <v>56.2</v>
      </c>
      <c r="N16" s="41">
        <f t="shared" si="5"/>
        <v>62269.600000000006</v>
      </c>
      <c r="O16" s="19">
        <f>'13'!G20</f>
        <v>296</v>
      </c>
      <c r="P16" s="19">
        <v>108</v>
      </c>
      <c r="Q16" s="46">
        <f t="shared" si="0"/>
        <v>31968</v>
      </c>
      <c r="R16" s="47">
        <f t="shared" si="1"/>
        <v>276.4804782365029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112</v>
      </c>
      <c r="W16" s="22">
        <f>'13'!G66</f>
        <v>27</v>
      </c>
      <c r="X16" s="22">
        <f>'13'!G67</f>
        <v>71</v>
      </c>
      <c r="Y16" s="22">
        <f t="shared" si="7"/>
        <v>210</v>
      </c>
      <c r="Z16" s="19">
        <f>'13'!G84</f>
        <v>0</v>
      </c>
      <c r="AA16" s="19">
        <f>'13'!G85</f>
        <v>24</v>
      </c>
      <c r="AB16" s="19">
        <f>'13'!G86</f>
        <v>2</v>
      </c>
      <c r="AC16" s="19">
        <f>'13'!G87</f>
        <v>0</v>
      </c>
      <c r="AD16" s="19">
        <f t="shared" si="8"/>
        <v>26</v>
      </c>
      <c r="AE16" s="23">
        <f t="shared" si="2"/>
        <v>5019</v>
      </c>
      <c r="AF16" s="23">
        <f t="shared" si="9"/>
        <v>193.03846153846155</v>
      </c>
      <c r="AG16" s="19">
        <f>'13'!G88</f>
        <v>0</v>
      </c>
      <c r="AH16" s="19">
        <f>'13'!G89</f>
        <v>10.029999999998836</v>
      </c>
      <c r="AI16" s="19">
        <f>'13'!G90</f>
        <v>8.5500000000029104</v>
      </c>
      <c r="AJ16" s="19">
        <f t="shared" si="10"/>
        <v>18.580000000001746</v>
      </c>
      <c r="AK16" s="19">
        <f>'13'!G91</f>
        <v>10.599999999999909</v>
      </c>
      <c r="AL16" s="19">
        <f>'13'!G92</f>
        <v>0</v>
      </c>
      <c r="AM16" s="19"/>
      <c r="AN16" s="19">
        <f t="shared" si="11"/>
        <v>10.599999999999909</v>
      </c>
      <c r="AO16" s="52">
        <f>'13'!G74</f>
        <v>287</v>
      </c>
      <c r="AP16" s="55">
        <f>'13'!G35</f>
        <v>1533</v>
      </c>
      <c r="AQ16" s="19">
        <f>'13'!G37</f>
        <v>1781</v>
      </c>
      <c r="AR16" s="19">
        <f>'13'!G38</f>
        <v>2029</v>
      </c>
      <c r="AS16" s="19">
        <f>'13'!G39</f>
        <v>3279</v>
      </c>
      <c r="AT16" s="19">
        <f>'13'!G40</f>
        <v>939</v>
      </c>
      <c r="AU16" s="19">
        <f>'13'!G41</f>
        <v>0</v>
      </c>
      <c r="AV16" s="19">
        <f>'13'!G42</f>
        <v>4813</v>
      </c>
      <c r="AW16" s="19">
        <f>'13'!G43</f>
        <v>2145</v>
      </c>
      <c r="AX16" s="23">
        <f>'13'!G44</f>
        <v>0</v>
      </c>
      <c r="AY16" s="56">
        <f>'13'!G36</f>
        <v>1069</v>
      </c>
      <c r="AZ16" s="55">
        <f>'13'!G49</f>
        <v>1448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539</v>
      </c>
      <c r="BE16" s="19">
        <f>'13'!G55</f>
        <v>206</v>
      </c>
      <c r="BF16" s="19">
        <f>'13'!G56</f>
        <v>0</v>
      </c>
      <c r="BG16" s="19">
        <f>'13'!G57</f>
        <v>0</v>
      </c>
      <c r="BH16" s="56">
        <f>'13'!G50</f>
        <v>1558</v>
      </c>
      <c r="BI16" s="60">
        <f t="shared" si="12"/>
        <v>5019</v>
      </c>
      <c r="BJ16" s="60">
        <f>'13'!G133</f>
        <v>676</v>
      </c>
      <c r="BK16" s="23">
        <f t="shared" si="13"/>
        <v>45.698198198198199</v>
      </c>
      <c r="BL16" s="23">
        <f t="shared" si="14"/>
        <v>14.77027027027027</v>
      </c>
      <c r="BM16" s="24">
        <f t="shared" si="15"/>
        <v>9.1396396396396393E-2</v>
      </c>
      <c r="BN16" s="25">
        <f t="shared" si="16"/>
        <v>294037.59999999998</v>
      </c>
      <c r="BO16" s="38">
        <f t="shared" si="17"/>
        <v>7840</v>
      </c>
      <c r="BP16">
        <f t="shared" si="18"/>
        <v>1.0769230769230769</v>
      </c>
    </row>
    <row r="17" spans="1:68" x14ac:dyDescent="0.25">
      <c r="A17" s="16">
        <v>14</v>
      </c>
      <c r="B17" s="17">
        <v>14</v>
      </c>
      <c r="C17" s="27"/>
      <c r="D17" s="19">
        <f>'14'!D3</f>
        <v>21</v>
      </c>
      <c r="E17" s="50">
        <f>'14'!D4</f>
        <v>0.68</v>
      </c>
      <c r="F17" s="50">
        <f>'14'!D2</f>
        <v>0.25</v>
      </c>
      <c r="G17" s="19">
        <f>'14'!G7</f>
        <v>-556721</v>
      </c>
      <c r="H17" s="19">
        <f>'14'!G8</f>
        <v>-564998</v>
      </c>
      <c r="I17" s="19">
        <v>9</v>
      </c>
      <c r="J17" s="49">
        <f t="shared" si="3"/>
        <v>-5084982</v>
      </c>
      <c r="K17" s="45">
        <f t="shared" si="4"/>
        <v>-2797.0198019801978</v>
      </c>
      <c r="L17" s="19">
        <f>'14'!G15</f>
        <v>745</v>
      </c>
      <c r="M17" s="19">
        <v>56.2</v>
      </c>
      <c r="N17" s="41">
        <f t="shared" si="5"/>
        <v>41869</v>
      </c>
      <c r="O17" s="19">
        <f>'14'!G20</f>
        <v>-1558</v>
      </c>
      <c r="P17" s="19">
        <v>108</v>
      </c>
      <c r="Q17" s="46">
        <f t="shared" si="0"/>
        <v>-168264</v>
      </c>
      <c r="R17" s="47">
        <f t="shared" si="1"/>
        <v>-3085.1485148514853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-2613</v>
      </c>
      <c r="W17" s="22">
        <f>'14'!G66</f>
        <v>-617</v>
      </c>
      <c r="X17" s="22">
        <f>'14'!G67</f>
        <v>-898</v>
      </c>
      <c r="Y17" s="22">
        <f>V17+W17+X17</f>
        <v>-4128</v>
      </c>
      <c r="Z17" s="19">
        <f>'14'!G84</f>
        <v>0</v>
      </c>
      <c r="AA17" s="19">
        <f>'14'!G85</f>
        <v>-359.44999999999982</v>
      </c>
      <c r="AB17" s="19">
        <f>'14'!G86</f>
        <v>-364</v>
      </c>
      <c r="AC17" s="19">
        <f>'14'!G87</f>
        <v>0</v>
      </c>
      <c r="AD17" s="19">
        <f t="shared" si="8"/>
        <v>-723.44999999999982</v>
      </c>
      <c r="AE17" s="23">
        <f t="shared" si="2"/>
        <v>-45053</v>
      </c>
      <c r="AF17" s="23">
        <f t="shared" si="9"/>
        <v>62.275209067661912</v>
      </c>
      <c r="AG17" s="19">
        <f>'14'!G88</f>
        <v>-7.5</v>
      </c>
      <c r="AH17" s="19">
        <f>'14'!G89</f>
        <v>-279.66999999999825</v>
      </c>
      <c r="AI17" s="19">
        <f>'14'!G90</f>
        <v>-96.25</v>
      </c>
      <c r="AJ17" s="19">
        <f t="shared" si="10"/>
        <v>-383.41999999999825</v>
      </c>
      <c r="AK17" s="19">
        <f>'14'!G91</f>
        <v>-172.13999999999987</v>
      </c>
      <c r="AL17" s="19">
        <f>'14'!G92</f>
        <v>-158.22999999999956</v>
      </c>
      <c r="AM17" s="19"/>
      <c r="AN17" s="19">
        <f t="shared" si="11"/>
        <v>-330.36999999999944</v>
      </c>
      <c r="AO17" s="52">
        <f>'14'!G44</f>
        <v>0</v>
      </c>
      <c r="AP17" s="55">
        <f>'14'!G35</f>
        <v>-42390</v>
      </c>
      <c r="AQ17" s="19">
        <f>'14'!G37</f>
        <v>-47993</v>
      </c>
      <c r="AR17" s="19">
        <f>'14'!G38</f>
        <v>-53662</v>
      </c>
      <c r="AS17" s="19">
        <f>'14'!G39</f>
        <v>-81937</v>
      </c>
      <c r="AT17" s="19">
        <f>'14'!G40</f>
        <v>-14442</v>
      </c>
      <c r="AU17" s="19">
        <f>'14'!G41</f>
        <v>-63</v>
      </c>
      <c r="AV17" s="19">
        <f>'14'!G42</f>
        <v>0</v>
      </c>
      <c r="AW17" s="19">
        <f>'14'!G43</f>
        <v>2011</v>
      </c>
      <c r="AX17" s="23">
        <f>'14'!G44</f>
        <v>0</v>
      </c>
      <c r="AY17" s="56">
        <f>'14'!G36</f>
        <v>-24156</v>
      </c>
      <c r="AZ17" s="55">
        <f>'14'!G49</f>
        <v>-34538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-8087</v>
      </c>
      <c r="BE17" s="19">
        <f>'14'!G55</f>
        <v>-44877</v>
      </c>
      <c r="BF17" s="19">
        <f>'14'!G56</f>
        <v>-113</v>
      </c>
      <c r="BG17" s="19">
        <f>'14'!G57</f>
        <v>0</v>
      </c>
      <c r="BH17" s="56">
        <f>'14'!G50</f>
        <v>-33776</v>
      </c>
      <c r="BI17" s="60">
        <f t="shared" si="12"/>
        <v>-45053</v>
      </c>
      <c r="BJ17" s="60">
        <f>'14'!G133</f>
        <v>-16621</v>
      </c>
      <c r="BK17" s="23">
        <f t="shared" si="13"/>
        <v>21.233703482136221</v>
      </c>
      <c r="BL17" s="23">
        <f t="shared" si="14"/>
        <v>14.502175228938865</v>
      </c>
      <c r="BM17" s="24">
        <f t="shared" si="15"/>
        <v>9.4977327353371166E-2</v>
      </c>
      <c r="BN17" s="25">
        <f t="shared" si="16"/>
        <v>-5211377</v>
      </c>
      <c r="BO17" s="38">
        <f t="shared" si="17"/>
        <v>-59663</v>
      </c>
      <c r="BP17">
        <f t="shared" si="18"/>
        <v>0.29453610181372991</v>
      </c>
    </row>
    <row r="18" spans="1:68" x14ac:dyDescent="0.25">
      <c r="A18" s="16">
        <v>15</v>
      </c>
      <c r="B18" s="26">
        <v>15</v>
      </c>
      <c r="C18" s="18"/>
      <c r="D18" s="19">
        <f>'15'!D3</f>
        <v>26</v>
      </c>
      <c r="E18" s="50">
        <f>'15'!D4</f>
        <v>0.6</v>
      </c>
      <c r="F18" s="50">
        <f>'15'!D2</f>
        <v>0.5</v>
      </c>
      <c r="G18" s="19">
        <f>'15'!G7</f>
        <v>17216.75</v>
      </c>
      <c r="H18" s="19">
        <f>'15'!G8</f>
        <v>17328.710000000021</v>
      </c>
      <c r="I18" s="19">
        <v>9</v>
      </c>
      <c r="J18" s="49">
        <f t="shared" si="3"/>
        <v>155958.39000000019</v>
      </c>
      <c r="K18" s="45">
        <f t="shared" si="4"/>
        <v>85.78569306930703</v>
      </c>
      <c r="L18" s="19">
        <f>'15'!G15</f>
        <v>965</v>
      </c>
      <c r="M18" s="19">
        <v>56.2</v>
      </c>
      <c r="N18" s="41">
        <f t="shared" si="5"/>
        <v>54233</v>
      </c>
      <c r="O18" s="19">
        <f>'15'!G20</f>
        <v>155</v>
      </c>
      <c r="P18" s="19">
        <v>108</v>
      </c>
      <c r="Q18" s="46">
        <f t="shared" si="0"/>
        <v>16740</v>
      </c>
      <c r="R18" s="47">
        <f t="shared" si="1"/>
        <v>153.46534653465346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70</v>
      </c>
      <c r="W18" s="22">
        <f>'15'!G66</f>
        <v>17</v>
      </c>
      <c r="X18" s="22">
        <f>'15'!G67</f>
        <v>23</v>
      </c>
      <c r="Y18" s="22">
        <f t="shared" si="7"/>
        <v>110</v>
      </c>
      <c r="Z18" s="19">
        <f>'15'!G84</f>
        <v>0</v>
      </c>
      <c r="AA18" s="19">
        <f>'15'!G85</f>
        <v>0</v>
      </c>
      <c r="AB18" s="19">
        <f>'15'!G86</f>
        <v>24.489999999997963</v>
      </c>
      <c r="AC18" s="19">
        <f>'15'!G87</f>
        <v>0</v>
      </c>
      <c r="AD18" s="19">
        <f t="shared" si="8"/>
        <v>24.489999999997963</v>
      </c>
      <c r="AE18" s="23">
        <f t="shared" si="2"/>
        <v>3008.3700000000099</v>
      </c>
      <c r="AF18" s="23">
        <f t="shared" si="9"/>
        <v>122.8407513270829</v>
      </c>
      <c r="AG18" s="19">
        <f>'15'!G88</f>
        <v>2.0000000000436557E-2</v>
      </c>
      <c r="AH18" s="19">
        <f>'15'!G89</f>
        <v>9.9599999999991269</v>
      </c>
      <c r="AI18" s="19">
        <f>'15'!G90</f>
        <v>2.9400000000023283</v>
      </c>
      <c r="AJ18" s="19">
        <f t="shared" si="10"/>
        <v>12.920000000001892</v>
      </c>
      <c r="AK18" s="19">
        <f>'15'!G91</f>
        <v>0</v>
      </c>
      <c r="AL18" s="19">
        <f>'15'!G92</f>
        <v>11.019999999999527</v>
      </c>
      <c r="AM18" s="19"/>
      <c r="AN18" s="19">
        <f t="shared" si="11"/>
        <v>11.019999999999527</v>
      </c>
      <c r="AO18" s="52">
        <f>'15'!G74</f>
        <v>313</v>
      </c>
      <c r="AP18" s="55">
        <f>'15'!G35</f>
        <v>1301.8400000000001</v>
      </c>
      <c r="AQ18" s="19">
        <f>'15'!G37</f>
        <v>1497.7399999999998</v>
      </c>
      <c r="AR18" s="19">
        <f>'15'!G38</f>
        <v>1386.9500000000007</v>
      </c>
      <c r="AS18" s="19">
        <f>'15'!G39</f>
        <v>2494.9000000000015</v>
      </c>
      <c r="AT18" s="19">
        <f>'15'!G40</f>
        <v>493</v>
      </c>
      <c r="AU18" s="19">
        <f>'15'!G41</f>
        <v>0</v>
      </c>
      <c r="AV18" s="19">
        <f>'15'!G42</f>
        <v>-0.39999999999417923</v>
      </c>
      <c r="AW18" s="19">
        <f>'15'!G43</f>
        <v>2012.7100000000064</v>
      </c>
      <c r="AX18" s="23">
        <f>'15'!G44</f>
        <v>0</v>
      </c>
      <c r="AY18" s="56">
        <f>'15'!G36</f>
        <v>573.68999999999869</v>
      </c>
      <c r="AZ18" s="55">
        <f>'15'!G49</f>
        <v>1250.5900000000001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520.51000000000022</v>
      </c>
      <c r="BE18" s="19">
        <f>'15'!G55</f>
        <v>3009.2300000000032</v>
      </c>
      <c r="BF18" s="19">
        <f>'15'!G56</f>
        <v>-0.45999999999912689</v>
      </c>
      <c r="BG18" s="19">
        <f>'15'!G57</f>
        <v>0</v>
      </c>
      <c r="BH18" s="56">
        <f>'15'!G50</f>
        <v>902.7300000000032</v>
      </c>
      <c r="BI18" s="60">
        <f t="shared" si="12"/>
        <v>3008.3700000000099</v>
      </c>
      <c r="BJ18" s="60">
        <f>'15'!G133</f>
        <v>398.27000000000407</v>
      </c>
      <c r="BK18" s="23">
        <f t="shared" si="13"/>
        <v>43.704984387181781</v>
      </c>
      <c r="BL18" s="23">
        <f t="shared" si="14"/>
        <v>14.397494100830347</v>
      </c>
      <c r="BM18" s="24">
        <f t="shared" si="15"/>
        <v>8.0037694669712806E-2</v>
      </c>
      <c r="BN18" s="25">
        <f t="shared" si="16"/>
        <v>226931.39000000019</v>
      </c>
      <c r="BO18" s="38">
        <f t="shared" si="17"/>
        <v>5419.3500000000204</v>
      </c>
      <c r="BP18">
        <f t="shared" si="18"/>
        <v>0.79031528903932668</v>
      </c>
    </row>
    <row r="19" spans="1:68" x14ac:dyDescent="0.25">
      <c r="A19" s="16">
        <v>16</v>
      </c>
      <c r="B19" s="26">
        <v>16</v>
      </c>
      <c r="C19" s="26"/>
      <c r="D19" s="19">
        <f>'16'!D3</f>
        <v>21</v>
      </c>
      <c r="E19" s="50">
        <f>'16'!D4</f>
        <v>0.68</v>
      </c>
      <c r="F19" s="50">
        <f>'16'!D2</f>
        <v>0.25</v>
      </c>
      <c r="G19" s="19">
        <f>'16'!G7</f>
        <v>17314.25</v>
      </c>
      <c r="H19" s="19">
        <f>'16'!G8</f>
        <v>17406.289999999979</v>
      </c>
      <c r="I19" s="19">
        <v>9</v>
      </c>
      <c r="J19" s="49">
        <f t="shared" si="3"/>
        <v>156656.60999999981</v>
      </c>
      <c r="K19" s="45">
        <f t="shared" si="4"/>
        <v>86.169752475247421</v>
      </c>
      <c r="L19" s="19">
        <f>'16'!G15</f>
        <v>1006</v>
      </c>
      <c r="M19" s="19">
        <v>56.2</v>
      </c>
      <c r="N19" s="41">
        <f t="shared" si="5"/>
        <v>56537.200000000004</v>
      </c>
      <c r="O19" s="19">
        <f>'16'!G20</f>
        <v>135</v>
      </c>
      <c r="P19" s="19">
        <v>108</v>
      </c>
      <c r="Q19" s="46">
        <f t="shared" si="0"/>
        <v>14580</v>
      </c>
      <c r="R19" s="47">
        <f t="shared" si="1"/>
        <v>267.32673267326732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62</v>
      </c>
      <c r="W19" s="22">
        <f>'16'!G66</f>
        <v>21</v>
      </c>
      <c r="X19" s="22">
        <f>'16'!G67</f>
        <v>26</v>
      </c>
      <c r="Y19" s="22">
        <f t="shared" si="7"/>
        <v>109</v>
      </c>
      <c r="Z19" s="19">
        <f>'16'!G84</f>
        <v>0</v>
      </c>
      <c r="AA19" s="19">
        <f>'16'!G85</f>
        <v>0</v>
      </c>
      <c r="AB19" s="19">
        <f>'16'!G86</f>
        <v>23.510000000002037</v>
      </c>
      <c r="AC19" s="19">
        <f>'16'!G87</f>
        <v>0</v>
      </c>
      <c r="AD19" s="19">
        <f t="shared" si="8"/>
        <v>23.510000000002037</v>
      </c>
      <c r="AE19" s="23">
        <f t="shared" si="2"/>
        <v>3032.7699999999968</v>
      </c>
      <c r="AF19" s="23">
        <f t="shared" si="9"/>
        <v>128.99914929815967</v>
      </c>
      <c r="AG19" s="19">
        <f>'16'!G88</f>
        <v>0</v>
      </c>
      <c r="AH19" s="19">
        <f>'16'!G89</f>
        <v>8.1399999999994179</v>
      </c>
      <c r="AI19" s="19">
        <f>'16'!G90</f>
        <v>9.6900000000023283</v>
      </c>
      <c r="AJ19" s="19">
        <f t="shared" si="10"/>
        <v>17.830000000001746</v>
      </c>
      <c r="AK19" s="19">
        <f>'16'!G91</f>
        <v>0</v>
      </c>
      <c r="AL19" s="19">
        <f>'16'!G92</f>
        <v>10.619999999999891</v>
      </c>
      <c r="AM19" s="19"/>
      <c r="AN19" s="19">
        <f t="shared" si="11"/>
        <v>10.619999999999891</v>
      </c>
      <c r="AO19" s="52">
        <f>'16'!G74</f>
        <v>304</v>
      </c>
      <c r="AP19" s="55">
        <f>'16'!G35</f>
        <v>1269.1599999999999</v>
      </c>
      <c r="AQ19" s="19">
        <f>'16'!G37</f>
        <v>1483.2600000000002</v>
      </c>
      <c r="AR19" s="19">
        <f>'16'!G38</f>
        <v>1625.0499999999993</v>
      </c>
      <c r="AS19" s="19">
        <f>'16'!G39</f>
        <v>2600.0999999999985</v>
      </c>
      <c r="AT19" s="19">
        <f>'16'!G40</f>
        <v>407</v>
      </c>
      <c r="AU19" s="19">
        <f>'16'!G41</f>
        <v>0</v>
      </c>
      <c r="AV19" s="19">
        <f>'16'!G42</f>
        <v>0</v>
      </c>
      <c r="AW19" s="19">
        <f>'16'!G43</f>
        <v>2071.2899999999936</v>
      </c>
      <c r="AX19" s="23">
        <f>'16'!G44</f>
        <v>0</v>
      </c>
      <c r="AY19" s="56">
        <f>'16'!G36</f>
        <v>587.31000000000131</v>
      </c>
      <c r="AZ19" s="55">
        <f>'16'!G49</f>
        <v>1320.4099999999999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565.48999999999978</v>
      </c>
      <c r="BE19" s="19">
        <f>'16'!G55</f>
        <v>3032.7699999999968</v>
      </c>
      <c r="BF19" s="19">
        <f>'16'!G56</f>
        <v>0</v>
      </c>
      <c r="BG19" s="19">
        <f>'16'!G57</f>
        <v>0</v>
      </c>
      <c r="BH19" s="56">
        <f>'16'!G50</f>
        <v>868.2699999999968</v>
      </c>
      <c r="BI19" s="60">
        <f t="shared" si="12"/>
        <v>3032.7699999999968</v>
      </c>
      <c r="BJ19" s="60">
        <f>'16'!G133</f>
        <v>468.72999999999593</v>
      </c>
      <c r="BK19" s="23">
        <f t="shared" si="13"/>
        <v>44.200286218372781</v>
      </c>
      <c r="BL19" s="23">
        <f t="shared" si="14"/>
        <v>14.937703554289868</v>
      </c>
      <c r="BM19" s="24">
        <f t="shared" si="15"/>
        <v>9.335992908310739E-2</v>
      </c>
      <c r="BN19" s="25">
        <f t="shared" si="16"/>
        <v>227773.80999999982</v>
      </c>
      <c r="BO19" s="38">
        <f t="shared" si="17"/>
        <v>5572.7899999999863</v>
      </c>
      <c r="BP19">
        <f t="shared" si="18"/>
        <v>0.84656832958611894</v>
      </c>
    </row>
    <row r="20" spans="1:68" x14ac:dyDescent="0.25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17454</v>
      </c>
      <c r="H20" s="19">
        <f>'17'!G8</f>
        <v>17543</v>
      </c>
      <c r="I20" s="19">
        <v>9</v>
      </c>
      <c r="J20" s="49">
        <f t="shared" si="3"/>
        <v>157887</v>
      </c>
      <c r="K20" s="45">
        <f t="shared" si="4"/>
        <v>86.846534653465341</v>
      </c>
      <c r="L20" s="19">
        <f>'17'!G15</f>
        <v>734.2730000000447</v>
      </c>
      <c r="M20" s="19">
        <v>56.2</v>
      </c>
      <c r="N20" s="41">
        <f t="shared" si="5"/>
        <v>41266.142600002517</v>
      </c>
      <c r="O20" s="19">
        <f>'17'!G20</f>
        <v>133</v>
      </c>
      <c r="P20" s="19">
        <v>108</v>
      </c>
      <c r="Q20" s="46">
        <f t="shared" si="0"/>
        <v>14364</v>
      </c>
      <c r="R20" s="47">
        <f t="shared" si="1"/>
        <v>129.10114540865851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65</v>
      </c>
      <c r="W20" s="22">
        <f>'17'!G66</f>
        <v>15</v>
      </c>
      <c r="X20" s="22">
        <f>'17'!G67</f>
        <v>19</v>
      </c>
      <c r="Y20" s="22">
        <f t="shared" si="7"/>
        <v>99</v>
      </c>
      <c r="Z20" s="19">
        <f>'17'!G84</f>
        <v>0.26000000000203727</v>
      </c>
      <c r="AA20" s="19">
        <f>'17'!G85</f>
        <v>0</v>
      </c>
      <c r="AB20" s="19">
        <f>'17'!G86</f>
        <v>24.040000000000873</v>
      </c>
      <c r="AC20" s="19">
        <f>'17'!G87</f>
        <v>0</v>
      </c>
      <c r="AD20" s="19">
        <f t="shared" si="8"/>
        <v>24.30000000000291</v>
      </c>
      <c r="AE20" s="23">
        <f t="shared" si="2"/>
        <v>3005.1699999999983</v>
      </c>
      <c r="AF20" s="23">
        <f t="shared" si="9"/>
        <v>123.66954732508799</v>
      </c>
      <c r="AG20" s="19">
        <f>'17'!G88</f>
        <v>0</v>
      </c>
      <c r="AH20" s="19">
        <f>'17'!G89</f>
        <v>3.5400000000008731</v>
      </c>
      <c r="AI20" s="19">
        <f>'17'!G90</f>
        <v>4.8399999999965075</v>
      </c>
      <c r="AJ20" s="19">
        <f t="shared" si="10"/>
        <v>8.3799999999973807</v>
      </c>
      <c r="AK20" s="19">
        <f>'17'!G91</f>
        <v>0</v>
      </c>
      <c r="AL20" s="19">
        <f>'17'!G92</f>
        <v>10.850000000000364</v>
      </c>
      <c r="AM20" s="19"/>
      <c r="AN20" s="19">
        <f t="shared" si="11"/>
        <v>10.850000000000364</v>
      </c>
      <c r="AO20" s="52">
        <f>'17'!G74</f>
        <v>307.90000000002328</v>
      </c>
      <c r="AP20" s="55">
        <f>'17'!G35</f>
        <v>1318.6000000000004</v>
      </c>
      <c r="AQ20" s="19">
        <f>'17'!G37</f>
        <v>1510.42</v>
      </c>
      <c r="AR20" s="19">
        <f>'17'!G38</f>
        <v>1604.1599999999999</v>
      </c>
      <c r="AS20" s="19">
        <f>'17'!G39</f>
        <v>2698</v>
      </c>
      <c r="AT20" s="19">
        <f>'17'!G40</f>
        <v>450</v>
      </c>
      <c r="AU20" s="19">
        <f>'17'!G41</f>
        <v>0</v>
      </c>
      <c r="AV20" s="19">
        <f>'17'!G42</f>
        <v>0</v>
      </c>
      <c r="AW20" s="19">
        <f>'17'!G43</f>
        <v>2219.1499999999942</v>
      </c>
      <c r="AX20" s="23">
        <f>'17'!G44</f>
        <v>0</v>
      </c>
      <c r="AY20" s="56">
        <f>'17'!G36</f>
        <v>592.45999999999913</v>
      </c>
      <c r="AZ20" s="55">
        <f>'17'!G49</f>
        <v>1367.6100000000006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562.69999999999982</v>
      </c>
      <c r="BE20" s="19">
        <f>'17'!G55</f>
        <v>3005.1699999999983</v>
      </c>
      <c r="BF20" s="19">
        <f>'17'!G56</f>
        <v>0</v>
      </c>
      <c r="BG20" s="19">
        <f>'17'!G57</f>
        <v>0</v>
      </c>
      <c r="BH20" s="56">
        <f>'17'!G50</f>
        <v>838.52999999999884</v>
      </c>
      <c r="BI20" s="60">
        <f t="shared" si="12"/>
        <v>3005.1699999999983</v>
      </c>
      <c r="BJ20" s="60">
        <f>'17'!G133</f>
        <v>488.60000000000582</v>
      </c>
      <c r="BK20" s="23">
        <f t="shared" si="13"/>
        <v>45.092230519295406</v>
      </c>
      <c r="BL20" s="23">
        <f t="shared" si="14"/>
        <v>15.379353588325827</v>
      </c>
      <c r="BM20" s="24">
        <f t="shared" si="15"/>
        <v>9.1441600638431278E-2</v>
      </c>
      <c r="BN20" s="25">
        <f t="shared" si="16"/>
        <v>213517.14260000252</v>
      </c>
      <c r="BO20" s="38">
        <f t="shared" si="17"/>
        <v>5712.9199999999983</v>
      </c>
      <c r="BP20">
        <f t="shared" si="18"/>
        <v>0.83964138741906436</v>
      </c>
    </row>
    <row r="21" spans="1:68" x14ac:dyDescent="0.25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17765</v>
      </c>
      <c r="H21" s="19">
        <f>'18 '!G8</f>
        <v>18064.830000000016</v>
      </c>
      <c r="I21" s="19">
        <v>9</v>
      </c>
      <c r="J21" s="49">
        <f t="shared" si="3"/>
        <v>162583.47000000015</v>
      </c>
      <c r="K21" s="45">
        <f t="shared" si="4"/>
        <v>89.429851485148589</v>
      </c>
      <c r="L21" s="19">
        <f>'18 '!G15</f>
        <v>881.7269999999553</v>
      </c>
      <c r="M21" s="19">
        <v>56.2</v>
      </c>
      <c r="N21" s="41">
        <f t="shared" si="5"/>
        <v>49553.057399997488</v>
      </c>
      <c r="O21" s="19">
        <f>'18 '!G20</f>
        <v>154</v>
      </c>
      <c r="P21" s="19">
        <v>108</v>
      </c>
      <c r="Q21" s="46">
        <f t="shared" si="0"/>
        <v>16632</v>
      </c>
      <c r="R21" s="47">
        <f t="shared" si="1"/>
        <v>149.48553678897301</v>
      </c>
      <c r="S21" s="19">
        <f>'18 '!G24</f>
        <v>110</v>
      </c>
      <c r="T21" s="19">
        <v>69</v>
      </c>
      <c r="U21" s="48">
        <f t="shared" si="6"/>
        <v>7590</v>
      </c>
      <c r="V21" s="22">
        <f>'18 '!G65</f>
        <v>64</v>
      </c>
      <c r="W21" s="22">
        <f>'18 '!G66</f>
        <v>11</v>
      </c>
      <c r="X21" s="22">
        <f>'18 '!G67</f>
        <v>22</v>
      </c>
      <c r="Y21" s="22">
        <f t="shared" si="7"/>
        <v>97</v>
      </c>
      <c r="Z21" s="19">
        <f>'18 '!G84</f>
        <v>0</v>
      </c>
      <c r="AA21" s="19">
        <f>'18 '!G85</f>
        <v>0</v>
      </c>
      <c r="AB21" s="19">
        <f>'18 '!G86</f>
        <v>24.019999999996799</v>
      </c>
      <c r="AC21" s="19">
        <f>'18 '!G87</f>
        <v>0</v>
      </c>
      <c r="AD21" s="19">
        <f t="shared" si="8"/>
        <v>24.019999999996799</v>
      </c>
      <c r="AE21" s="23">
        <f t="shared" si="2"/>
        <v>3090.5200000000041</v>
      </c>
      <c r="AF21" s="23">
        <f t="shared" si="9"/>
        <v>128.66444629477169</v>
      </c>
      <c r="AG21" s="19">
        <f>'18 '!G88</f>
        <v>1.8699999999989814</v>
      </c>
      <c r="AH21" s="19">
        <f>'18 '!G89</f>
        <v>7.4199999999982538</v>
      </c>
      <c r="AI21" s="19">
        <f>'18 '!G90</f>
        <v>0.71000000000640284</v>
      </c>
      <c r="AJ21" s="19">
        <f t="shared" si="10"/>
        <v>10.000000000003638</v>
      </c>
      <c r="AK21" s="19">
        <f>'18 '!G91</f>
        <v>0</v>
      </c>
      <c r="AL21" s="19">
        <f>'18 '!G92</f>
        <v>10.069999999999709</v>
      </c>
      <c r="AM21" s="19"/>
      <c r="AN21" s="19">
        <f t="shared" si="11"/>
        <v>10.069999999999709</v>
      </c>
      <c r="AO21" s="52">
        <f>'18 '!G74</f>
        <v>285.25</v>
      </c>
      <c r="AP21" s="55">
        <f>'18 '!G35</f>
        <v>1391.7600000000002</v>
      </c>
      <c r="AQ21" s="19">
        <f>'18 '!G37</f>
        <v>1562.5499999999993</v>
      </c>
      <c r="AR21" s="19">
        <f>'18 '!G38</f>
        <v>1696.2999999999993</v>
      </c>
      <c r="AS21" s="19">
        <f>'18 '!G39</f>
        <v>2546.4900000000016</v>
      </c>
      <c r="AT21" s="19">
        <f>'18 '!G40</f>
        <v>282.13999999999942</v>
      </c>
      <c r="AU21" s="19">
        <f>'18 '!G41</f>
        <v>0</v>
      </c>
      <c r="AV21" s="19">
        <f>'18 '!G42</f>
        <v>0</v>
      </c>
      <c r="AW21" s="19">
        <f>'18 '!G43</f>
        <v>2338</v>
      </c>
      <c r="AX21" s="23">
        <f>'18 '!G44</f>
        <v>0</v>
      </c>
      <c r="AY21" s="56">
        <f>'18 '!G36</f>
        <v>600.90000000000146</v>
      </c>
      <c r="AZ21" s="55">
        <f>'18 '!G49</f>
        <v>1242.7199999999993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357.72000000000025</v>
      </c>
      <c r="BE21" s="19">
        <f>'18 '!G55</f>
        <v>3090.5200000000041</v>
      </c>
      <c r="BF21" s="19">
        <f>'18 '!G56</f>
        <v>0</v>
      </c>
      <c r="BG21" s="19">
        <f>'18 '!G57</f>
        <v>0</v>
      </c>
      <c r="BH21" s="56">
        <f>'18 '!G50</f>
        <v>921.40000000000146</v>
      </c>
      <c r="BI21" s="60">
        <f t="shared" si="12"/>
        <v>3090.5200000000041</v>
      </c>
      <c r="BJ21" s="60">
        <f>'18 '!G133</f>
        <v>500.79999999998836</v>
      </c>
      <c r="BK21" s="23">
        <f t="shared" si="13"/>
        <v>44.633688775371787</v>
      </c>
      <c r="BL21" s="23">
        <f t="shared" si="14"/>
        <v>14.096396146545521</v>
      </c>
      <c r="BM21" s="24">
        <f t="shared" si="15"/>
        <v>9.390068990408422E-2</v>
      </c>
      <c r="BN21" s="25">
        <f t="shared" si="16"/>
        <v>236358.52739999763</v>
      </c>
      <c r="BO21" s="38">
        <f t="shared" si="17"/>
        <v>5929.3199999999924</v>
      </c>
      <c r="BP21">
        <f t="shared" si="18"/>
        <v>0.88160461520173405</v>
      </c>
    </row>
    <row r="22" spans="1:68" x14ac:dyDescent="0.25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0.92979999999999996</v>
      </c>
      <c r="G22" s="19">
        <f>'19'!G7</f>
        <v>18033</v>
      </c>
      <c r="H22" s="19">
        <f>'19'!G8</f>
        <v>18721.169999999984</v>
      </c>
      <c r="I22" s="19">
        <v>9</v>
      </c>
      <c r="J22" s="49">
        <f t="shared" si="3"/>
        <v>168490.52999999985</v>
      </c>
      <c r="K22" s="45">
        <f t="shared" si="4"/>
        <v>92.679059405940507</v>
      </c>
      <c r="L22" s="19">
        <f>'19'!G15</f>
        <v>834.30000000004657</v>
      </c>
      <c r="M22" s="19">
        <v>56.2</v>
      </c>
      <c r="N22" s="41">
        <f t="shared" si="5"/>
        <v>46887.660000002623</v>
      </c>
      <c r="O22" s="19">
        <f>'19'!G20</f>
        <v>157</v>
      </c>
      <c r="P22" s="19">
        <v>108</v>
      </c>
      <c r="Q22" s="46">
        <f t="shared" si="0"/>
        <v>16956</v>
      </c>
      <c r="R22" s="47">
        <f t="shared" si="1"/>
        <v>83.590849943243427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63</v>
      </c>
      <c r="W22" s="22">
        <f>'19'!G66</f>
        <v>15</v>
      </c>
      <c r="X22" s="22">
        <f>'19'!G67</f>
        <v>23</v>
      </c>
      <c r="Y22" s="22">
        <f t="shared" si="7"/>
        <v>101</v>
      </c>
      <c r="Z22" s="19">
        <f>'19'!G84</f>
        <v>0.13999999999941792</v>
      </c>
      <c r="AA22" s="19">
        <f>'19'!G85</f>
        <v>0</v>
      </c>
      <c r="AB22" s="19">
        <f>'19'!G86</f>
        <v>24.940000000002328</v>
      </c>
      <c r="AC22" s="19">
        <f>'19'!G87</f>
        <v>0</v>
      </c>
      <c r="AD22" s="19">
        <f t="shared" si="8"/>
        <v>25.080000000001746</v>
      </c>
      <c r="AE22" s="23">
        <f t="shared" si="2"/>
        <v>2846.1399999999994</v>
      </c>
      <c r="AF22" s="23">
        <f t="shared" si="9"/>
        <v>113.48245614034295</v>
      </c>
      <c r="AG22" s="19">
        <f>'19'!G88</f>
        <v>0.20999999999912689</v>
      </c>
      <c r="AH22" s="19">
        <f>'19'!G89</f>
        <v>7.0200000000004366</v>
      </c>
      <c r="AI22" s="19">
        <f>'19'!G90</f>
        <v>1.8600000000005821</v>
      </c>
      <c r="AJ22" s="19">
        <f t="shared" si="10"/>
        <v>9.0900000000001455</v>
      </c>
      <c r="AK22" s="19">
        <f>'19'!G91</f>
        <v>0</v>
      </c>
      <c r="AL22" s="19">
        <f>'19'!G92</f>
        <v>10.730000000000473</v>
      </c>
      <c r="AM22" s="19"/>
      <c r="AN22" s="19">
        <f t="shared" si="11"/>
        <v>10.730000000000473</v>
      </c>
      <c r="AO22" s="52">
        <f>'19'!G74</f>
        <v>306.34999999997672</v>
      </c>
      <c r="AP22" s="55">
        <f>'19'!G35</f>
        <v>1817.1599999999999</v>
      </c>
      <c r="AQ22" s="19">
        <f>'19'!G37</f>
        <v>1596.17</v>
      </c>
      <c r="AR22" s="19">
        <f>'19'!G38</f>
        <v>1623.5400000000009</v>
      </c>
      <c r="AS22" s="19">
        <f>'19'!G39</f>
        <v>2646.0699999999997</v>
      </c>
      <c r="AT22" s="19">
        <f>'19'!G40</f>
        <v>415.23000000000138</v>
      </c>
      <c r="AU22" s="19">
        <f>'19'!G41</f>
        <v>0</v>
      </c>
      <c r="AV22" s="19">
        <f>'19'!G42</f>
        <v>0</v>
      </c>
      <c r="AW22" s="19">
        <f>'19'!G43</f>
        <v>2372.3700000000099</v>
      </c>
      <c r="AX22" s="23">
        <f>'19'!G44</f>
        <v>0</v>
      </c>
      <c r="AY22" s="56">
        <f>'19'!G36</f>
        <v>661.59999999999854</v>
      </c>
      <c r="AZ22" s="55">
        <f>'19'!G49</f>
        <v>1124.4899999999998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0</v>
      </c>
      <c r="BE22" s="19">
        <f>'19'!G55</f>
        <v>2846.1399999999994</v>
      </c>
      <c r="BF22" s="19">
        <f>'19'!G56</f>
        <v>0</v>
      </c>
      <c r="BG22" s="19">
        <f>'19'!G57</f>
        <v>0</v>
      </c>
      <c r="BH22" s="56">
        <f>'19'!G50</f>
        <v>975.76000000000204</v>
      </c>
      <c r="BI22" s="60">
        <f t="shared" si="12"/>
        <v>2846.1399999999994</v>
      </c>
      <c r="BJ22" s="60">
        <f>'19'!G133</f>
        <v>668.02999999999884</v>
      </c>
      <c r="BK22" s="23">
        <f t="shared" si="13"/>
        <v>43.587874048470347</v>
      </c>
      <c r="BL22" s="23">
        <f t="shared" si="14"/>
        <v>14.134105934618413</v>
      </c>
      <c r="BM22" s="24">
        <f t="shared" si="15"/>
        <v>8.6722143968566187E-2</v>
      </c>
      <c r="BN22" s="25">
        <f t="shared" si="16"/>
        <v>232334.19000000248</v>
      </c>
      <c r="BO22" s="38">
        <f t="shared" si="17"/>
        <v>5886.5400000000081</v>
      </c>
      <c r="BP22">
        <f t="shared" si="18"/>
        <v>0.8382518796991909</v>
      </c>
    </row>
    <row r="23" spans="1:68" x14ac:dyDescent="0.25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1</v>
      </c>
      <c r="G23" s="19">
        <f>'20'!G7</f>
        <v>16723.150000000023</v>
      </c>
      <c r="H23" s="19">
        <f>'20'!G8</f>
        <v>17336.710000000021</v>
      </c>
      <c r="I23" s="19">
        <v>9</v>
      </c>
      <c r="J23" s="49">
        <f t="shared" si="3"/>
        <v>156030.39000000019</v>
      </c>
      <c r="K23" s="45">
        <f t="shared" si="4"/>
        <v>85.82529702970308</v>
      </c>
      <c r="L23" s="19">
        <f>'20'!G15</f>
        <v>986.94999999995343</v>
      </c>
      <c r="M23" s="19">
        <v>56.2</v>
      </c>
      <c r="N23" s="41">
        <f t="shared" si="5"/>
        <v>55466.589999997384</v>
      </c>
      <c r="O23" s="19">
        <f>'20'!G20</f>
        <v>216</v>
      </c>
      <c r="P23" s="19">
        <v>108</v>
      </c>
      <c r="Q23" s="46">
        <f t="shared" si="0"/>
        <v>23328</v>
      </c>
      <c r="R23" s="47">
        <f t="shared" si="1"/>
        <v>106.93069306930693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72</v>
      </c>
      <c r="W23" s="22">
        <f>'20'!G66</f>
        <v>10</v>
      </c>
      <c r="X23" s="22">
        <f>'20'!G67</f>
        <v>23</v>
      </c>
      <c r="Y23" s="22">
        <f t="shared" si="7"/>
        <v>105</v>
      </c>
      <c r="Z23" s="19">
        <f>'20'!G84</f>
        <v>-0.13999999999941792</v>
      </c>
      <c r="AA23" s="19">
        <f>'20'!G85</f>
        <v>9.9999999997635314E-3</v>
      </c>
      <c r="AB23" s="19">
        <f>'20'!G86</f>
        <v>24.370000000002619</v>
      </c>
      <c r="AC23" s="19">
        <f>'20'!G87</f>
        <v>0</v>
      </c>
      <c r="AD23" s="19">
        <f t="shared" si="8"/>
        <v>24.240000000002965</v>
      </c>
      <c r="AE23" s="23">
        <f t="shared" si="2"/>
        <v>2588.6399999999994</v>
      </c>
      <c r="AF23" s="23">
        <f t="shared" si="9"/>
        <v>106.7920792079077</v>
      </c>
      <c r="AG23" s="19">
        <f>'20'!G88</f>
        <v>0</v>
      </c>
      <c r="AH23" s="19">
        <f>'20'!G89</f>
        <v>11.18999999999869</v>
      </c>
      <c r="AI23" s="19">
        <f>'20'!G90</f>
        <v>2.7399999999906868</v>
      </c>
      <c r="AJ23" s="19">
        <f t="shared" si="10"/>
        <v>13.929999999989377</v>
      </c>
      <c r="AK23" s="19">
        <f>'20'!G91</f>
        <v>0</v>
      </c>
      <c r="AL23" s="19">
        <f>'20'!G92</f>
        <v>10.329999999999927</v>
      </c>
      <c r="AM23" s="19"/>
      <c r="AN23" s="19">
        <f t="shared" si="11"/>
        <v>10.329999999999927</v>
      </c>
      <c r="AO23" s="52">
        <f>'20'!G74</f>
        <v>295.15000000002328</v>
      </c>
      <c r="AP23" s="55">
        <f>'20'!G35</f>
        <v>1491.2900000000009</v>
      </c>
      <c r="AQ23" s="19">
        <f>'20'!G37</f>
        <v>1537.7799999999988</v>
      </c>
      <c r="AR23" s="19">
        <f>'20'!G38</f>
        <v>1612.8499999999985</v>
      </c>
      <c r="AS23" s="19">
        <f>'20'!G39</f>
        <v>2507.0499999999993</v>
      </c>
      <c r="AT23" s="19">
        <f>'20'!G40</f>
        <v>442.67999999999847</v>
      </c>
      <c r="AU23" s="19">
        <f>'20'!G41</f>
        <v>0</v>
      </c>
      <c r="AV23" s="19">
        <f>'20'!G42</f>
        <v>0</v>
      </c>
      <c r="AW23" s="19">
        <f>'20'!G43</f>
        <v>2313.4700000000012</v>
      </c>
      <c r="AX23" s="23">
        <f>'20'!G44</f>
        <v>0</v>
      </c>
      <c r="AY23" s="56">
        <f>'20'!G36</f>
        <v>594.86000000000058</v>
      </c>
      <c r="AZ23" s="55">
        <f>'20'!G49</f>
        <v>1079.2800000000007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0</v>
      </c>
      <c r="BE23" s="19">
        <f>'20'!G55</f>
        <v>2588.6399999999994</v>
      </c>
      <c r="BF23" s="19">
        <f>'20'!G56</f>
        <v>0</v>
      </c>
      <c r="BG23" s="19">
        <f>'20'!G57</f>
        <v>0</v>
      </c>
      <c r="BH23" s="56">
        <f>'20'!G50</f>
        <v>914.65999999999622</v>
      </c>
      <c r="BI23" s="60">
        <f t="shared" si="12"/>
        <v>2588.6399999999994</v>
      </c>
      <c r="BJ23" s="60">
        <f>'20'!G133</f>
        <v>655.39000000001397</v>
      </c>
      <c r="BK23" s="23">
        <f t="shared" si="13"/>
        <v>43.103218546079347</v>
      </c>
      <c r="BL23" s="23">
        <f t="shared" si="14"/>
        <v>14.460932899033301</v>
      </c>
      <c r="BM23" s="24">
        <f t="shared" si="15"/>
        <v>9.3030915323610797E-2</v>
      </c>
      <c r="BN23" s="25">
        <f t="shared" si="16"/>
        <v>234824.97999999757</v>
      </c>
      <c r="BO23" s="38">
        <f t="shared" si="17"/>
        <v>5557.5000000000146</v>
      </c>
      <c r="BP23">
        <f t="shared" si="18"/>
        <v>0.81882072135775208</v>
      </c>
    </row>
    <row r="24" spans="1:68" x14ac:dyDescent="0.25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0.71</v>
      </c>
      <c r="G24" s="19">
        <f>'21'!G7</f>
        <v>17868.559999999998</v>
      </c>
      <c r="H24" s="19">
        <f>'21'!G8</f>
        <v>18548.039999999979</v>
      </c>
      <c r="I24" s="19">
        <v>9</v>
      </c>
      <c r="J24" s="49">
        <f t="shared" si="3"/>
        <v>166932.35999999981</v>
      </c>
      <c r="K24" s="45">
        <f t="shared" si="4"/>
        <v>91.821980198019702</v>
      </c>
      <c r="L24" s="19">
        <f>'21'!G15</f>
        <v>1017.3400000000838</v>
      </c>
      <c r="M24" s="19">
        <v>56.2</v>
      </c>
      <c r="N24" s="41">
        <f t="shared" si="5"/>
        <v>57174.508000004716</v>
      </c>
      <c r="O24" s="19">
        <f>'21'!G20</f>
        <v>167</v>
      </c>
      <c r="P24" s="19">
        <v>108</v>
      </c>
      <c r="Q24" s="46">
        <f t="shared" si="0"/>
        <v>18036</v>
      </c>
      <c r="R24" s="47">
        <f t="shared" si="1"/>
        <v>116.44122158694744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72</v>
      </c>
      <c r="W24" s="22">
        <f>'21'!G66</f>
        <v>12</v>
      </c>
      <c r="X24" s="22">
        <f>'21'!G67</f>
        <v>20</v>
      </c>
      <c r="Y24" s="22">
        <f t="shared" si="7"/>
        <v>104</v>
      </c>
      <c r="Z24" s="19">
        <f>'21'!G84</f>
        <v>0.13999999999941792</v>
      </c>
      <c r="AA24" s="19">
        <f>'21'!G85</f>
        <v>0</v>
      </c>
      <c r="AB24" s="19">
        <f>'21'!G86</f>
        <v>24.07999999999447</v>
      </c>
      <c r="AC24" s="19">
        <f>'21'!G87</f>
        <v>0</v>
      </c>
      <c r="AD24" s="19">
        <f t="shared" si="8"/>
        <v>24.219999999993888</v>
      </c>
      <c r="AE24" s="23">
        <f t="shared" si="2"/>
        <v>2838.3999999999942</v>
      </c>
      <c r="AF24" s="23">
        <f t="shared" si="9"/>
        <v>117.19240297277912</v>
      </c>
      <c r="AG24" s="19">
        <f>'21'!G88</f>
        <v>0</v>
      </c>
      <c r="AH24" s="19">
        <f>'21'!G89</f>
        <v>10.30000000000291</v>
      </c>
      <c r="AI24" s="19">
        <f>'21'!G90</f>
        <v>2.1199999999953434</v>
      </c>
      <c r="AJ24" s="19">
        <f t="shared" si="10"/>
        <v>12.419999999998254</v>
      </c>
      <c r="AK24" s="19">
        <f>'21'!G91</f>
        <v>0</v>
      </c>
      <c r="AL24" s="19">
        <f>'21'!G92</f>
        <v>10.309999999999491</v>
      </c>
      <c r="AM24" s="19"/>
      <c r="AN24" s="19">
        <f t="shared" si="11"/>
        <v>10.309999999999491</v>
      </c>
      <c r="AO24" s="52">
        <f>'21'!G74</f>
        <v>294.76000000000931</v>
      </c>
      <c r="AP24" s="55">
        <f>'21'!G35</f>
        <v>1453.9699999999975</v>
      </c>
      <c r="AQ24" s="19">
        <f>'21'!G37</f>
        <v>1565.5</v>
      </c>
      <c r="AR24" s="19">
        <f>'21'!G38</f>
        <v>1671.4500000000007</v>
      </c>
      <c r="AS24" s="19">
        <f>'21'!G39</f>
        <v>2598.239999999998</v>
      </c>
      <c r="AT24" s="19">
        <f>'21'!G40</f>
        <v>355.32999999999993</v>
      </c>
      <c r="AU24" s="19">
        <f>'21'!G41</f>
        <v>0</v>
      </c>
      <c r="AV24" s="19">
        <f>'21'!G42</f>
        <v>0</v>
      </c>
      <c r="AW24" s="19">
        <f>'21'!G43</f>
        <v>2339.9399999999878</v>
      </c>
      <c r="AX24" s="23">
        <f>'21'!G44</f>
        <v>0</v>
      </c>
      <c r="AY24" s="56">
        <f>'21'!G36</f>
        <v>661.91000000000349</v>
      </c>
      <c r="AZ24" s="55">
        <f>'21'!G49</f>
        <v>1101.7999999999993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0</v>
      </c>
      <c r="BE24" s="19">
        <f>'21'!G55</f>
        <v>2838.3999999999942</v>
      </c>
      <c r="BF24" s="19">
        <f>'21'!G56</f>
        <v>0</v>
      </c>
      <c r="BG24" s="19">
        <f>'21'!G57</f>
        <v>0</v>
      </c>
      <c r="BH24" s="56">
        <f>'21'!G50</f>
        <v>1160.0500000000029</v>
      </c>
      <c r="BI24" s="60">
        <f t="shared" si="12"/>
        <v>2838.3999999999942</v>
      </c>
      <c r="BJ24" s="60">
        <f>'21'!G133</f>
        <v>655.83999999999651</v>
      </c>
      <c r="BK24" s="23">
        <f t="shared" si="13"/>
        <v>41.69772116083417</v>
      </c>
      <c r="BL24" s="23">
        <f t="shared" si="14"/>
        <v>14.008164744091562</v>
      </c>
      <c r="BM24" s="24">
        <f t="shared" si="15"/>
        <v>9.0114642840968789E-2</v>
      </c>
      <c r="BN24" s="25">
        <f t="shared" si="16"/>
        <v>242142.86800000453</v>
      </c>
      <c r="BO24" s="38">
        <f t="shared" si="17"/>
        <v>5834.1799999999785</v>
      </c>
      <c r="BP24">
        <f t="shared" si="18"/>
        <v>0.86029550548564504</v>
      </c>
    </row>
    <row r="25" spans="1:68" x14ac:dyDescent="0.25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0.97</v>
      </c>
      <c r="G25" s="19">
        <f>'22'!G7</f>
        <v>19215.959999999963</v>
      </c>
      <c r="H25" s="19">
        <f>'22'!G8</f>
        <v>19922.760000000009</v>
      </c>
      <c r="I25" s="19">
        <v>9</v>
      </c>
      <c r="J25" s="49">
        <f t="shared" si="3"/>
        <v>179304.84000000008</v>
      </c>
      <c r="K25" s="45">
        <f t="shared" si="4"/>
        <v>98.627524752475296</v>
      </c>
      <c r="L25" s="19">
        <f>'22'!G15</f>
        <v>1036.4099999999162</v>
      </c>
      <c r="M25" s="19">
        <v>56.2</v>
      </c>
      <c r="N25" s="41">
        <f t="shared" si="5"/>
        <v>58246.241999995291</v>
      </c>
      <c r="O25" s="19">
        <f>'22'!G20</f>
        <v>176</v>
      </c>
      <c r="P25" s="19">
        <v>108</v>
      </c>
      <c r="Q25" s="46">
        <f t="shared" si="0"/>
        <v>19008</v>
      </c>
      <c r="R25" s="47">
        <f t="shared" si="1"/>
        <v>89.823415331223842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75</v>
      </c>
      <c r="W25" s="22">
        <f>'22'!G66</f>
        <v>14</v>
      </c>
      <c r="X25" s="22">
        <f>'22'!G67</f>
        <v>20</v>
      </c>
      <c r="Y25" s="22">
        <f t="shared" si="7"/>
        <v>109</v>
      </c>
      <c r="Z25" s="19">
        <f>'22'!G84</f>
        <v>0</v>
      </c>
      <c r="AA25" s="19">
        <f>'22'!G85</f>
        <v>0</v>
      </c>
      <c r="AB25" s="19">
        <f>'22'!G86</f>
        <v>24.410000000003492</v>
      </c>
      <c r="AC25" s="19">
        <f>'22'!G87</f>
        <v>0</v>
      </c>
      <c r="AD25" s="19">
        <f t="shared" si="8"/>
        <v>24.410000000003492</v>
      </c>
      <c r="AE25" s="23">
        <f t="shared" si="2"/>
        <v>3073.5800000000017</v>
      </c>
      <c r="AF25" s="23">
        <f t="shared" si="9"/>
        <v>125.91478902087513</v>
      </c>
      <c r="AG25" s="19">
        <f>'22'!G88</f>
        <v>0</v>
      </c>
      <c r="AH25" s="19">
        <f>'22'!G89</f>
        <v>9.8799999999973807</v>
      </c>
      <c r="AI25" s="19">
        <f>'22'!G90</f>
        <v>3.4500000000116415</v>
      </c>
      <c r="AJ25" s="19">
        <f t="shared" si="10"/>
        <v>13.330000000009022</v>
      </c>
      <c r="AK25" s="19">
        <f>'22'!G91</f>
        <v>0</v>
      </c>
      <c r="AL25" s="19">
        <f>'22'!G92</f>
        <v>10.75</v>
      </c>
      <c r="AM25" s="19"/>
      <c r="AN25" s="19">
        <f t="shared" si="11"/>
        <v>10.75</v>
      </c>
      <c r="AO25" s="52">
        <f>'22'!G74</f>
        <v>307.70999999996275</v>
      </c>
      <c r="AP25" s="55">
        <f>'22'!G35</f>
        <v>1422.8000000000029</v>
      </c>
      <c r="AQ25" s="19">
        <f>'22'!G37</f>
        <v>1587.0900000000001</v>
      </c>
      <c r="AR25" s="19">
        <f>'22'!G38</f>
        <v>1787.2400000000016</v>
      </c>
      <c r="AS25" s="19">
        <f>'22'!G39</f>
        <v>2648.7000000000044</v>
      </c>
      <c r="AT25" s="19">
        <f>'22'!G40</f>
        <v>293.48000000000138</v>
      </c>
      <c r="AU25" s="19">
        <f>'22'!G41</f>
        <v>0</v>
      </c>
      <c r="AV25" s="19">
        <f>'22'!G42</f>
        <v>0</v>
      </c>
      <c r="AW25" s="19">
        <f>'22'!G43</f>
        <v>2333.4200000000128</v>
      </c>
      <c r="AX25" s="23">
        <f>'22'!G44</f>
        <v>0</v>
      </c>
      <c r="AY25" s="56">
        <f>'22'!G36</f>
        <v>834.2899999999936</v>
      </c>
      <c r="AZ25" s="55">
        <f>'22'!G49</f>
        <v>1173.83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0</v>
      </c>
      <c r="BE25" s="19">
        <f>'22'!G55</f>
        <v>3073.5800000000017</v>
      </c>
      <c r="BF25" s="19">
        <f>'22'!G56</f>
        <v>0</v>
      </c>
      <c r="BG25" s="19">
        <f>'22'!G57</f>
        <v>0</v>
      </c>
      <c r="BH25" s="56">
        <f>'22'!G50</f>
        <v>1510.6999999999971</v>
      </c>
      <c r="BI25" s="60">
        <f t="shared" si="12"/>
        <v>3073.5800000000017</v>
      </c>
      <c r="BJ25" s="60">
        <f>'22'!G133</f>
        <v>653.44000000000233</v>
      </c>
      <c r="BK25" s="23">
        <f t="shared" si="13"/>
        <v>40.173299281826488</v>
      </c>
      <c r="BL25" s="23">
        <f t="shared" si="14"/>
        <v>13.294844690193544</v>
      </c>
      <c r="BM25" s="24">
        <f t="shared" si="15"/>
        <v>8.9708454049539366E-2</v>
      </c>
      <c r="BN25" s="25">
        <f t="shared" si="16"/>
        <v>256559.08199999537</v>
      </c>
      <c r="BO25" s="38">
        <f t="shared" si="17"/>
        <v>6060.4400000000169</v>
      </c>
      <c r="BP25">
        <f t="shared" si="18"/>
        <v>0.88670334172165244</v>
      </c>
    </row>
    <row r="26" spans="1:68" x14ac:dyDescent="0.25">
      <c r="A26" s="16">
        <v>23</v>
      </c>
      <c r="B26" s="27">
        <v>23</v>
      </c>
      <c r="C26" s="28"/>
      <c r="D26" s="19">
        <f>'23'!D3</f>
        <v>24</v>
      </c>
      <c r="E26" s="50">
        <f>'23'!D4</f>
        <v>0.77</v>
      </c>
      <c r="F26" s="50">
        <f>'23'!D2</f>
        <v>0.61</v>
      </c>
      <c r="G26" s="19">
        <f>'23'!G7</f>
        <v>18703.160000000033</v>
      </c>
      <c r="H26" s="19">
        <f>'23'!G8</f>
        <v>19388.319999999949</v>
      </c>
      <c r="I26" s="19">
        <v>9</v>
      </c>
      <c r="J26" s="49">
        <f t="shared" si="3"/>
        <v>174494.87999999954</v>
      </c>
      <c r="K26" s="45">
        <f t="shared" si="4"/>
        <v>95.981782178217571</v>
      </c>
      <c r="L26" s="19">
        <f>'23'!G15</f>
        <v>979.91999999992549</v>
      </c>
      <c r="M26" s="19">
        <v>56.2</v>
      </c>
      <c r="N26" s="41">
        <f t="shared" si="5"/>
        <v>55071.503999995817</v>
      </c>
      <c r="O26" s="19">
        <f>'23'!G20</f>
        <v>216</v>
      </c>
      <c r="P26" s="19">
        <v>108</v>
      </c>
      <c r="Q26" s="46">
        <f t="shared" si="0"/>
        <v>23328</v>
      </c>
      <c r="R26" s="47">
        <f t="shared" si="1"/>
        <v>175.29621814640481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88</v>
      </c>
      <c r="W26" s="22">
        <f>'23'!G66</f>
        <v>23</v>
      </c>
      <c r="X26" s="22">
        <f>'23'!G67</f>
        <v>25</v>
      </c>
      <c r="Y26" s="22">
        <f t="shared" si="7"/>
        <v>136</v>
      </c>
      <c r="Z26" s="19">
        <f>'23'!G84</f>
        <v>0</v>
      </c>
      <c r="AA26" s="19">
        <f>'23'!G85</f>
        <v>0</v>
      </c>
      <c r="AB26" s="19">
        <f>'23'!G86</f>
        <v>24.25</v>
      </c>
      <c r="AC26" s="19">
        <f>'23'!G87</f>
        <v>0</v>
      </c>
      <c r="AD26" s="19">
        <f t="shared" si="8"/>
        <v>24.25</v>
      </c>
      <c r="AE26" s="23">
        <f t="shared" si="2"/>
        <v>2695.2200000000012</v>
      </c>
      <c r="AF26" s="23">
        <f t="shared" si="9"/>
        <v>111.1430927835052</v>
      </c>
      <c r="AG26" s="19">
        <f>'23'!G88</f>
        <v>2.0100000000020373</v>
      </c>
      <c r="AH26" s="19">
        <f>'23'!G89</f>
        <v>8.1700000000018917</v>
      </c>
      <c r="AI26" s="19">
        <f>'23'!G90</f>
        <v>1.4899999999906868</v>
      </c>
      <c r="AJ26" s="19">
        <f t="shared" si="10"/>
        <v>11.669999999994616</v>
      </c>
      <c r="AK26" s="19">
        <f>'23'!G91</f>
        <v>0</v>
      </c>
      <c r="AL26" s="19">
        <f>'23'!G92</f>
        <v>10.220000000000255</v>
      </c>
      <c r="AM26" s="19"/>
      <c r="AN26" s="19">
        <f t="shared" si="11"/>
        <v>10.220000000000255</v>
      </c>
      <c r="AO26" s="52">
        <f>'23'!G74</f>
        <v>292.69000000006054</v>
      </c>
      <c r="AP26" s="55">
        <f>'23'!G35</f>
        <v>1355.7099999999991</v>
      </c>
      <c r="AQ26" s="19">
        <f>'23'!G37</f>
        <v>1571.9800000000032</v>
      </c>
      <c r="AR26" s="19">
        <f>'23'!G38</f>
        <v>1932.0699999999997</v>
      </c>
      <c r="AS26" s="19">
        <f>'23'!G39</f>
        <v>2576.25</v>
      </c>
      <c r="AT26" s="19">
        <f>'23'!G40</f>
        <v>383.89999999999964</v>
      </c>
      <c r="AU26" s="19">
        <f>'23'!G41</f>
        <v>0</v>
      </c>
      <c r="AV26" s="19">
        <f>'23'!G42</f>
        <v>0</v>
      </c>
      <c r="AW26" s="19">
        <f>'23'!G43</f>
        <v>2339.2399999999907</v>
      </c>
      <c r="AX26" s="23">
        <f>'23'!G44</f>
        <v>0</v>
      </c>
      <c r="AY26" s="56">
        <f>'23'!G36</f>
        <v>1155.2800000000061</v>
      </c>
      <c r="AZ26" s="55">
        <f>'23'!G49</f>
        <v>1092.9700000000012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0</v>
      </c>
      <c r="BE26" s="19">
        <f>'23'!G55</f>
        <v>2695.2200000000012</v>
      </c>
      <c r="BF26" s="19">
        <f>'23'!G56</f>
        <v>0</v>
      </c>
      <c r="BG26" s="19">
        <f>'23'!G57</f>
        <v>0</v>
      </c>
      <c r="BH26" s="56">
        <f>'23'!G50</f>
        <v>1627.260000000002</v>
      </c>
      <c r="BI26" s="60">
        <f t="shared" si="12"/>
        <v>2695.2200000000012</v>
      </c>
      <c r="BJ26" s="60">
        <f>'23'!G133</f>
        <v>661.32999999998719</v>
      </c>
      <c r="BK26" s="23">
        <f t="shared" si="13"/>
        <v>38.596123851886148</v>
      </c>
      <c r="BL26" s="23">
        <f t="shared" si="14"/>
        <v>13.28763915594547</v>
      </c>
      <c r="BM26" s="24">
        <f t="shared" si="15"/>
        <v>9.9651233319854676E-2</v>
      </c>
      <c r="BN26" s="25">
        <f t="shared" si="16"/>
        <v>252894.38399999536</v>
      </c>
      <c r="BO26" s="38">
        <f t="shared" si="17"/>
        <v>5695.789999999979</v>
      </c>
      <c r="BP26">
        <f t="shared" si="18"/>
        <v>0.8388497790868894</v>
      </c>
    </row>
    <row r="27" spans="1:68" x14ac:dyDescent="0.25">
      <c r="A27" s="16">
        <v>24</v>
      </c>
      <c r="B27" s="17">
        <v>24</v>
      </c>
      <c r="C27" s="28"/>
      <c r="D27" s="19">
        <f>'24'!D3</f>
        <v>21</v>
      </c>
      <c r="E27" s="50">
        <f>'24'!D4</f>
        <v>0.75</v>
      </c>
      <c r="F27" s="50">
        <f>'24'!D2</f>
        <v>0.75</v>
      </c>
      <c r="G27" s="19">
        <f>'24'!G7</f>
        <v>16363.169999999984</v>
      </c>
      <c r="H27" s="19">
        <f>'24'!G8</f>
        <v>16876.170000000042</v>
      </c>
      <c r="I27" s="19">
        <v>9</v>
      </c>
      <c r="J27" s="49">
        <f t="shared" si="3"/>
        <v>151885.53000000038</v>
      </c>
      <c r="K27" s="45">
        <f t="shared" si="4"/>
        <v>83.545396039604171</v>
      </c>
      <c r="L27" s="19">
        <f>'24'!G15</f>
        <v>1037.0800000000745</v>
      </c>
      <c r="M27" s="19">
        <v>56.2</v>
      </c>
      <c r="N27" s="41">
        <f t="shared" si="5"/>
        <v>58283.896000004192</v>
      </c>
      <c r="O27" s="19">
        <f>'24'!G20</f>
        <v>212</v>
      </c>
      <c r="P27" s="19">
        <v>108</v>
      </c>
      <c r="Q27" s="46">
        <f t="shared" si="0"/>
        <v>22896</v>
      </c>
      <c r="R27" s="47">
        <f t="shared" si="1"/>
        <v>139.93399339933995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103</v>
      </c>
      <c r="W27" s="22">
        <f>'24'!G66</f>
        <v>14</v>
      </c>
      <c r="X27" s="22">
        <f>'24'!G67</f>
        <v>25</v>
      </c>
      <c r="Y27" s="22">
        <f t="shared" si="7"/>
        <v>142</v>
      </c>
      <c r="Z27" s="19">
        <f>'24'!G84</f>
        <v>-0.40000000000145519</v>
      </c>
      <c r="AA27" s="19">
        <f>'24'!G85</f>
        <v>0</v>
      </c>
      <c r="AB27" s="19">
        <f>'24'!G86</f>
        <v>23.889999999999418</v>
      </c>
      <c r="AC27" s="19">
        <f>'24'!G87</f>
        <v>0</v>
      </c>
      <c r="AD27" s="19">
        <f t="shared" si="8"/>
        <v>23.489999999997963</v>
      </c>
      <c r="AE27" s="23">
        <f t="shared" si="2"/>
        <v>2484.3300000000017</v>
      </c>
      <c r="AF27" s="23">
        <f t="shared" si="9"/>
        <v>105.76117496808077</v>
      </c>
      <c r="AG27" s="19">
        <f>'24'!G88</f>
        <v>-0.38000000000101863</v>
      </c>
      <c r="AH27" s="19">
        <f>'24'!G89</f>
        <v>10.389999999999418</v>
      </c>
      <c r="AI27" s="19">
        <f>'24'!G90</f>
        <v>2.6300000000046566</v>
      </c>
      <c r="AJ27" s="19">
        <f t="shared" si="10"/>
        <v>12.640000000003056</v>
      </c>
      <c r="AK27" s="19">
        <f>'24'!G91</f>
        <v>0</v>
      </c>
      <c r="AL27" s="19">
        <f>'24'!G92</f>
        <v>11.329999999999927</v>
      </c>
      <c r="AM27" s="19"/>
      <c r="AN27" s="19">
        <f t="shared" si="11"/>
        <v>11.329999999999927</v>
      </c>
      <c r="AO27" s="52">
        <f>'24'!G74</f>
        <v>311.18999999994412</v>
      </c>
      <c r="AP27" s="55">
        <f>'24'!G35</f>
        <v>1181.7099999999991</v>
      </c>
      <c r="AQ27" s="19">
        <f>'24'!G37</f>
        <v>1645.5099999999984</v>
      </c>
      <c r="AR27" s="19">
        <f>'24'!G38</f>
        <v>1826.3899999999994</v>
      </c>
      <c r="AS27" s="19">
        <f>'24'!G39</f>
        <v>2607.1999999999971</v>
      </c>
      <c r="AT27" s="19">
        <f>'24'!G40</f>
        <v>650.23999999999978</v>
      </c>
      <c r="AU27" s="19">
        <f>'24'!G41</f>
        <v>0</v>
      </c>
      <c r="AV27" s="19">
        <f>'24'!G42</f>
        <v>0</v>
      </c>
      <c r="AW27" s="19">
        <f>'24'!G43</f>
        <v>2087.4100000000035</v>
      </c>
      <c r="AX27" s="23">
        <f>'24'!G44</f>
        <v>0</v>
      </c>
      <c r="AY27" s="56">
        <f>'24'!G36</f>
        <v>656.69999999999709</v>
      </c>
      <c r="AZ27" s="55">
        <f>'24'!G49</f>
        <v>855.29999999999927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-0.42000000000007276</v>
      </c>
      <c r="BE27" s="19">
        <f>'24'!G55</f>
        <v>2484.3300000000017</v>
      </c>
      <c r="BF27" s="19">
        <f>'24'!G56</f>
        <v>0</v>
      </c>
      <c r="BG27" s="19">
        <f>'24'!G57</f>
        <v>0</v>
      </c>
      <c r="BH27" s="56">
        <f>'24'!G50</f>
        <v>1014.6399999999994</v>
      </c>
      <c r="BI27" s="60">
        <f t="shared" si="12"/>
        <v>2484.3300000000017</v>
      </c>
      <c r="BJ27" s="60">
        <f>'24'!G133</f>
        <v>437.57000000000698</v>
      </c>
      <c r="BK27" s="23">
        <f t="shared" si="13"/>
        <v>39.160247852445117</v>
      </c>
      <c r="BL27" s="23">
        <f t="shared" si="14"/>
        <v>15.44900294320329</v>
      </c>
      <c r="BM27" s="24">
        <f t="shared" si="15"/>
        <v>0.10822301505614099</v>
      </c>
      <c r="BN27" s="25">
        <f t="shared" si="16"/>
        <v>233065.42600000458</v>
      </c>
      <c r="BO27" s="38">
        <f t="shared" si="17"/>
        <v>5009.3100000000122</v>
      </c>
      <c r="BP27">
        <f t="shared" si="18"/>
        <v>0.76161740558299074</v>
      </c>
    </row>
    <row r="28" spans="1:68" x14ac:dyDescent="0.25">
      <c r="A28" s="16">
        <v>25</v>
      </c>
      <c r="B28" s="26">
        <v>25</v>
      </c>
      <c r="C28" s="28"/>
      <c r="D28" s="19">
        <f>'25'!D3</f>
        <v>22</v>
      </c>
      <c r="E28" s="50">
        <f>'25'!D4</f>
        <v>0.78</v>
      </c>
      <c r="F28" s="50">
        <f>'25'!D2</f>
        <v>0.92</v>
      </c>
      <c r="G28" s="19">
        <f>'25'!G7</f>
        <v>16329</v>
      </c>
      <c r="H28" s="19">
        <f>'25'!G8</f>
        <v>16627</v>
      </c>
      <c r="I28" s="19">
        <v>9</v>
      </c>
      <c r="J28" s="49">
        <f t="shared" si="3"/>
        <v>149643</v>
      </c>
      <c r="K28" s="45">
        <f t="shared" si="4"/>
        <v>82.311881188118818</v>
      </c>
      <c r="L28" s="19">
        <f>'25'!G15</f>
        <v>815</v>
      </c>
      <c r="M28" s="19">
        <v>56.2</v>
      </c>
      <c r="N28" s="41">
        <f t="shared" si="5"/>
        <v>45803</v>
      </c>
      <c r="O28" s="19">
        <f>'25'!G20</f>
        <v>190</v>
      </c>
      <c r="P28" s="19">
        <v>108</v>
      </c>
      <c r="Q28" s="46">
        <f t="shared" si="0"/>
        <v>20520</v>
      </c>
      <c r="R28" s="47">
        <f t="shared" si="1"/>
        <v>102.23848471803701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86</v>
      </c>
      <c r="W28" s="22">
        <f>'25'!G66</f>
        <v>11</v>
      </c>
      <c r="X28" s="22">
        <f>'25'!G67</f>
        <v>20</v>
      </c>
      <c r="Y28" s="22">
        <f t="shared" si="7"/>
        <v>117</v>
      </c>
      <c r="Z28" s="19">
        <f>'25'!G84</f>
        <v>0.40000000000145519</v>
      </c>
      <c r="AA28" s="19">
        <f>'25'!G85</f>
        <v>21.440000000000055</v>
      </c>
      <c r="AB28" s="19">
        <f>'25'!G86</f>
        <v>0</v>
      </c>
      <c r="AC28" s="19">
        <f>'25'!G87</f>
        <v>0</v>
      </c>
      <c r="AD28" s="19">
        <f t="shared" si="8"/>
        <v>21.84000000000151</v>
      </c>
      <c r="AE28" s="23">
        <f t="shared" si="2"/>
        <v>0</v>
      </c>
      <c r="AF28" s="23">
        <f t="shared" si="9"/>
        <v>0</v>
      </c>
      <c r="AG28" s="19">
        <f>'25'!G88</f>
        <v>0</v>
      </c>
      <c r="AH28" s="19">
        <f>'25'!G89</f>
        <v>4.9799999999995634</v>
      </c>
      <c r="AI28" s="19">
        <f>'25'!G90</f>
        <v>4</v>
      </c>
      <c r="AJ28" s="19">
        <f t="shared" si="10"/>
        <v>8.9799999999995634</v>
      </c>
      <c r="AK28" s="19">
        <f>'25'!G91</f>
        <v>-0.32000000000016371</v>
      </c>
      <c r="AL28" s="19">
        <f>'25'!G92</f>
        <v>10</v>
      </c>
      <c r="AM28" s="19"/>
      <c r="AN28" s="19">
        <f t="shared" si="11"/>
        <v>9.6799999999998363</v>
      </c>
      <c r="AO28" s="52">
        <f>'25'!G74</f>
        <v>296</v>
      </c>
      <c r="AP28" s="55">
        <f>'25'!G35</f>
        <v>1308</v>
      </c>
      <c r="AQ28" s="19">
        <f>'25'!G37</f>
        <v>1608</v>
      </c>
      <c r="AR28" s="19">
        <f>'25'!G38</f>
        <v>1761</v>
      </c>
      <c r="AS28" s="19">
        <f>'25'!G39</f>
        <v>2591</v>
      </c>
      <c r="AT28" s="19">
        <f>'25'!G40</f>
        <v>593</v>
      </c>
      <c r="AU28" s="19">
        <f>'25'!G41</f>
        <v>0</v>
      </c>
      <c r="AV28" s="19"/>
      <c r="AW28" s="19">
        <f>'25'!G43</f>
        <v>1958</v>
      </c>
      <c r="AX28" s="23">
        <f>'25'!G44</f>
        <v>0</v>
      </c>
      <c r="AY28" s="56">
        <f>'25'!G36</f>
        <v>600</v>
      </c>
      <c r="AZ28" s="55">
        <f>'25'!G49</f>
        <v>832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-0.42000000000007276</v>
      </c>
      <c r="BE28" s="19">
        <f>'25'!G55</f>
        <v>0</v>
      </c>
      <c r="BF28" s="19">
        <f>'25'!G56</f>
        <v>0</v>
      </c>
      <c r="BG28" s="19">
        <f>'25'!G57</f>
        <v>0</v>
      </c>
      <c r="BH28" s="56">
        <f>'25'!G50</f>
        <v>1011</v>
      </c>
      <c r="BI28" s="60">
        <f t="shared" si="12"/>
        <v>0</v>
      </c>
      <c r="BJ28" s="60">
        <f>'25'!G133</f>
        <v>397</v>
      </c>
      <c r="BK28" s="23">
        <f t="shared" si="13"/>
        <v>24.646659048535511</v>
      </c>
      <c r="BL28" s="23">
        <f t="shared" si="14"/>
        <v>15.583087748842244</v>
      </c>
      <c r="BM28" s="24">
        <f t="shared" si="15"/>
        <v>0.10591207072833343</v>
      </c>
      <c r="BN28" s="25">
        <f t="shared" si="16"/>
        <v>215966</v>
      </c>
      <c r="BO28" s="38">
        <f t="shared" si="17"/>
        <v>2355</v>
      </c>
      <c r="BP28">
        <f t="shared" si="18"/>
        <v>0.38510596546308168</v>
      </c>
    </row>
    <row r="29" spans="1:68" x14ac:dyDescent="0.25">
      <c r="A29" s="16">
        <v>26</v>
      </c>
      <c r="B29" s="26">
        <v>26</v>
      </c>
      <c r="C29" s="29"/>
      <c r="D29" s="19">
        <f>'26'!D3</f>
        <v>22</v>
      </c>
      <c r="E29" s="50">
        <f>'26'!D4</f>
        <v>0.78</v>
      </c>
      <c r="F29" s="50">
        <f>'26'!D2</f>
        <v>0.87</v>
      </c>
      <c r="G29" s="19">
        <f>'26'!G7</f>
        <v>16454</v>
      </c>
      <c r="H29" s="19">
        <f>'26'!G8</f>
        <v>16892</v>
      </c>
      <c r="I29" s="19">
        <v>9</v>
      </c>
      <c r="J29" s="49">
        <f t="shared" si="3"/>
        <v>152028</v>
      </c>
      <c r="K29" s="45">
        <f t="shared" si="4"/>
        <v>83.623762376237622</v>
      </c>
      <c r="L29" s="19">
        <f>'26'!G15</f>
        <v>936</v>
      </c>
      <c r="M29" s="19">
        <v>56.2</v>
      </c>
      <c r="N29" s="41">
        <f t="shared" si="5"/>
        <v>52603.200000000004</v>
      </c>
      <c r="O29" s="19">
        <f>'26'!G20</f>
        <v>175</v>
      </c>
      <c r="P29" s="19">
        <v>108</v>
      </c>
      <c r="Q29" s="46">
        <f t="shared" si="0"/>
        <v>18900</v>
      </c>
      <c r="R29" s="47">
        <f t="shared" si="1"/>
        <v>99.57892340958233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84</v>
      </c>
      <c r="W29" s="22">
        <f>'26'!G66</f>
        <v>19</v>
      </c>
      <c r="X29" s="22">
        <f>'26'!G67</f>
        <v>26</v>
      </c>
      <c r="Y29" s="22">
        <f t="shared" si="7"/>
        <v>129</v>
      </c>
      <c r="Z29" s="19">
        <f>'26'!G84</f>
        <v>0</v>
      </c>
      <c r="AA29" s="19">
        <f>'26'!G85</f>
        <v>24</v>
      </c>
      <c r="AB29" s="19">
        <f>'26'!G86</f>
        <v>0</v>
      </c>
      <c r="AC29" s="19">
        <f>'26'!G87</f>
        <v>0</v>
      </c>
      <c r="AD29" s="19">
        <f t="shared" si="8"/>
        <v>24</v>
      </c>
      <c r="AE29" s="23">
        <f t="shared" si="2"/>
        <v>3448</v>
      </c>
      <c r="AF29" s="23">
        <f t="shared" si="9"/>
        <v>143.66666666666666</v>
      </c>
      <c r="AG29" s="19">
        <f>'26'!G88</f>
        <v>0</v>
      </c>
      <c r="AH29" s="19">
        <f>'26'!G89</f>
        <v>9.0200000000004366</v>
      </c>
      <c r="AI29" s="19">
        <f>'26'!G90</f>
        <v>3</v>
      </c>
      <c r="AJ29" s="19">
        <f t="shared" si="10"/>
        <v>12.020000000000437</v>
      </c>
      <c r="AK29" s="19">
        <f>'26'!G91</f>
        <v>0</v>
      </c>
      <c r="AL29" s="19">
        <f>'26'!G92</f>
        <v>11</v>
      </c>
      <c r="AM29" s="19"/>
      <c r="AN29" s="19">
        <f t="shared" si="11"/>
        <v>11</v>
      </c>
      <c r="AO29" s="52">
        <f>'26'!G74</f>
        <v>286</v>
      </c>
      <c r="AP29" s="55">
        <f>'26'!G35</f>
        <v>1248</v>
      </c>
      <c r="AQ29" s="19">
        <f>'26'!G37</f>
        <v>1519</v>
      </c>
      <c r="AR29" s="19">
        <f>'26'!G38</f>
        <v>1746</v>
      </c>
      <c r="AS29" s="19">
        <f>'26'!G39</f>
        <v>2557</v>
      </c>
      <c r="AT29" s="19">
        <f>'26'!G40</f>
        <v>692</v>
      </c>
      <c r="AU29" s="19">
        <f>'26'!G41</f>
        <v>0</v>
      </c>
      <c r="AV29" s="19">
        <f>'26'!G42</f>
        <v>3448</v>
      </c>
      <c r="AW29" s="19">
        <f>'26'!G43</f>
        <v>1948</v>
      </c>
      <c r="AX29" s="23">
        <f>'26'!G44</f>
        <v>0</v>
      </c>
      <c r="AY29" s="56">
        <f>'26'!G36</f>
        <v>643</v>
      </c>
      <c r="AZ29" s="55">
        <f>'26'!G49</f>
        <v>831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0</v>
      </c>
      <c r="BE29" s="19">
        <f>'26'!G55</f>
        <v>0</v>
      </c>
      <c r="BF29" s="19">
        <f>'26'!G56</f>
        <v>0</v>
      </c>
      <c r="BG29" s="19">
        <f>'26'!G57</f>
        <v>0</v>
      </c>
      <c r="BH29" s="56">
        <f>'26'!G50</f>
        <v>1009</v>
      </c>
      <c r="BI29" s="60">
        <f t="shared" si="12"/>
        <v>3448</v>
      </c>
      <c r="BJ29" s="60">
        <f>'26'!G133</f>
        <v>428</v>
      </c>
      <c r="BK29" s="23">
        <f t="shared" si="13"/>
        <v>44.251716789012555</v>
      </c>
      <c r="BL29" s="23">
        <f t="shared" si="14"/>
        <v>15.137343121004026</v>
      </c>
      <c r="BM29" s="24">
        <f t="shared" si="15"/>
        <v>0.10336253847975373</v>
      </c>
      <c r="BN29" s="25">
        <f t="shared" si="16"/>
        <v>223531.2</v>
      </c>
      <c r="BO29" s="38">
        <f t="shared" si="17"/>
        <v>5824</v>
      </c>
      <c r="BP29">
        <f t="shared" si="18"/>
        <v>0.8666666666666667</v>
      </c>
    </row>
    <row r="30" spans="1:68" x14ac:dyDescent="0.25">
      <c r="A30" s="16">
        <v>27</v>
      </c>
      <c r="B30" s="17">
        <v>27</v>
      </c>
      <c r="C30" s="28"/>
      <c r="D30" s="19">
        <f>'27'!D3</f>
        <v>22</v>
      </c>
      <c r="E30" s="50">
        <f>'27'!D4</f>
        <v>0.78</v>
      </c>
      <c r="F30" s="50">
        <f>'27'!D2</f>
        <v>0.74</v>
      </c>
      <c r="G30" s="19">
        <f>'27'!G7</f>
        <v>17608</v>
      </c>
      <c r="H30" s="19">
        <f>'27'!G8</f>
        <v>17701</v>
      </c>
      <c r="I30" s="19">
        <v>9</v>
      </c>
      <c r="J30" s="49">
        <f t="shared" si="3"/>
        <v>159309</v>
      </c>
      <c r="K30" s="45">
        <f t="shared" si="4"/>
        <v>87.628712871287135</v>
      </c>
      <c r="L30" s="19">
        <f>'27'!G15</f>
        <v>954</v>
      </c>
      <c r="M30" s="19">
        <v>56.2</v>
      </c>
      <c r="N30" s="41">
        <f t="shared" si="5"/>
        <v>53614.8</v>
      </c>
      <c r="O30" s="19">
        <f>'27'!G20</f>
        <v>177</v>
      </c>
      <c r="P30" s="19">
        <v>108</v>
      </c>
      <c r="Q30" s="46">
        <f t="shared" si="0"/>
        <v>19116</v>
      </c>
      <c r="R30" s="47">
        <f t="shared" si="1"/>
        <v>118.41048969761842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97</v>
      </c>
      <c r="W30" s="22">
        <f>'27'!G66</f>
        <v>25</v>
      </c>
      <c r="X30" s="22">
        <f>'27'!G67</f>
        <v>22</v>
      </c>
      <c r="Y30" s="22">
        <f t="shared" si="7"/>
        <v>144</v>
      </c>
      <c r="Z30" s="19">
        <f>'27'!G84</f>
        <v>0</v>
      </c>
      <c r="AA30" s="19">
        <f>'27'!G85</f>
        <v>24</v>
      </c>
      <c r="AB30" s="19">
        <f>'27'!G86</f>
        <v>0</v>
      </c>
      <c r="AC30" s="19">
        <f>'27'!G87</f>
        <v>0</v>
      </c>
      <c r="AD30" s="19">
        <f t="shared" si="8"/>
        <v>24</v>
      </c>
      <c r="AE30" s="23">
        <f t="shared" si="2"/>
        <v>3934</v>
      </c>
      <c r="AF30" s="23">
        <f t="shared" si="9"/>
        <v>163.91666666666666</v>
      </c>
      <c r="AG30" s="19">
        <f>'27'!G88</f>
        <v>0</v>
      </c>
      <c r="AH30" s="19">
        <f>'27'!G89</f>
        <v>10</v>
      </c>
      <c r="AI30" s="19">
        <f>'27'!G90</f>
        <v>2</v>
      </c>
      <c r="AJ30" s="19">
        <f t="shared" si="10"/>
        <v>12</v>
      </c>
      <c r="AK30" s="19">
        <f>'27'!G91</f>
        <v>0</v>
      </c>
      <c r="AL30" s="19">
        <f>'27'!G92</f>
        <v>11</v>
      </c>
      <c r="AM30" s="19"/>
      <c r="AN30" s="19">
        <f t="shared" si="11"/>
        <v>11</v>
      </c>
      <c r="AO30" s="52">
        <f>'27'!G74</f>
        <v>293</v>
      </c>
      <c r="AP30" s="55">
        <f>'27'!G35</f>
        <v>1274</v>
      </c>
      <c r="AQ30" s="19">
        <f>'27'!G37</f>
        <v>1582</v>
      </c>
      <c r="AR30" s="19">
        <f>'27'!G38</f>
        <v>1792</v>
      </c>
      <c r="AS30" s="19">
        <f>'27'!G39</f>
        <v>2612</v>
      </c>
      <c r="AT30" s="19">
        <f>'27'!G40</f>
        <v>814</v>
      </c>
      <c r="AU30" s="19">
        <f>'27'!G41</f>
        <v>0</v>
      </c>
      <c r="AV30" s="19">
        <f>'27'!G42</f>
        <v>3934</v>
      </c>
      <c r="AW30" s="19">
        <f>'27'!G43</f>
        <v>1969</v>
      </c>
      <c r="AX30" s="23">
        <f>'27'!G44</f>
        <v>0</v>
      </c>
      <c r="AY30" s="56">
        <f>'27'!G36</f>
        <v>707</v>
      </c>
      <c r="AZ30" s="55">
        <f>'27'!G49</f>
        <v>837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0</v>
      </c>
      <c r="BE30" s="19">
        <f>'27'!G55</f>
        <v>0</v>
      </c>
      <c r="BF30" s="19">
        <f>'27'!G56</f>
        <v>0</v>
      </c>
      <c r="BG30" s="19">
        <f>'27'!G57</f>
        <v>0</v>
      </c>
      <c r="BH30" s="56">
        <f>'27'!G50</f>
        <v>977</v>
      </c>
      <c r="BI30" s="60">
        <f t="shared" si="12"/>
        <v>3934</v>
      </c>
      <c r="BJ30" s="60">
        <f>'27'!G133</f>
        <v>369</v>
      </c>
      <c r="BK30" s="23">
        <f t="shared" si="13"/>
        <v>45.274278289362186</v>
      </c>
      <c r="BL30" s="23">
        <f t="shared" si="14"/>
        <v>14.756228461668833</v>
      </c>
      <c r="BM30" s="24">
        <f t="shared" si="15"/>
        <v>0.10123721823625784</v>
      </c>
      <c r="BN30" s="25">
        <f t="shared" si="16"/>
        <v>232039.8</v>
      </c>
      <c r="BO30" s="38">
        <f t="shared" si="17"/>
        <v>6272</v>
      </c>
      <c r="BP30">
        <f t="shared" si="18"/>
        <v>0.93333333333333335</v>
      </c>
    </row>
    <row r="31" spans="1:68" x14ac:dyDescent="0.25">
      <c r="A31" s="16">
        <v>28</v>
      </c>
      <c r="B31" s="26">
        <v>28</v>
      </c>
      <c r="C31" s="28"/>
      <c r="D31" s="19">
        <f>'28'!D3</f>
        <v>23</v>
      </c>
      <c r="E31" s="50">
        <f>'28'!D4</f>
        <v>0.57999999999999996</v>
      </c>
      <c r="F31" s="50">
        <f>'28'!D2</f>
        <v>0.63</v>
      </c>
      <c r="G31" s="19">
        <f>'28'!G7</f>
        <v>17654</v>
      </c>
      <c r="H31" s="19">
        <f>'28'!G8</f>
        <v>17886</v>
      </c>
      <c r="I31" s="19">
        <v>9</v>
      </c>
      <c r="J31" s="49">
        <f t="shared" si="3"/>
        <v>160974</v>
      </c>
      <c r="K31" s="45">
        <f t="shared" si="4"/>
        <v>88.544554455445549</v>
      </c>
      <c r="L31" s="19">
        <f>'28'!G15</f>
        <v>971</v>
      </c>
      <c r="M31" s="19">
        <v>56.2</v>
      </c>
      <c r="N31" s="41">
        <f t="shared" si="5"/>
        <v>54570.200000000004</v>
      </c>
      <c r="O31" s="19">
        <f>'28'!G20</f>
        <v>92</v>
      </c>
      <c r="P31" s="19">
        <v>108</v>
      </c>
      <c r="Q31" s="46">
        <f t="shared" si="0"/>
        <v>9936</v>
      </c>
      <c r="R31" s="47">
        <f t="shared" si="1"/>
        <v>72.29294358007229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89</v>
      </c>
      <c r="W31" s="22">
        <f>'28'!G66</f>
        <v>17</v>
      </c>
      <c r="X31" s="22">
        <f>'28'!G67</f>
        <v>23</v>
      </c>
      <c r="Y31" s="22">
        <f t="shared" si="7"/>
        <v>129</v>
      </c>
      <c r="Z31" s="19">
        <f>'28'!G84</f>
        <v>0</v>
      </c>
      <c r="AA31" s="19">
        <f>'28'!G85</f>
        <v>24</v>
      </c>
      <c r="AB31" s="19">
        <f>'28'!G86</f>
        <v>0</v>
      </c>
      <c r="AC31" s="19">
        <f>'28'!G87</f>
        <v>0</v>
      </c>
      <c r="AD31" s="19">
        <f t="shared" si="8"/>
        <v>24</v>
      </c>
      <c r="AE31" s="23">
        <f t="shared" si="2"/>
        <v>4136</v>
      </c>
      <c r="AF31" s="23">
        <f t="shared" si="9"/>
        <v>172.33333333333334</v>
      </c>
      <c r="AG31" s="19">
        <f>'28'!G88</f>
        <v>0.43000000000029104</v>
      </c>
      <c r="AH31" s="19">
        <f>'28'!G89</f>
        <v>9.680000000000291</v>
      </c>
      <c r="AI31" s="19">
        <f>'28'!G90</f>
        <v>3.1499999999941792</v>
      </c>
      <c r="AJ31" s="19">
        <f t="shared" si="10"/>
        <v>13.259999999994761</v>
      </c>
      <c r="AK31" s="19">
        <f>'28'!G91</f>
        <v>0</v>
      </c>
      <c r="AL31" s="19">
        <f>'28'!G92</f>
        <v>11.079999999999927</v>
      </c>
      <c r="AM31" s="19"/>
      <c r="AN31" s="19">
        <f t="shared" si="11"/>
        <v>11.079999999999927</v>
      </c>
      <c r="AO31" s="52">
        <f>'28'!G74</f>
        <v>352</v>
      </c>
      <c r="AP31" s="55">
        <f>'28'!G35</f>
        <v>1316</v>
      </c>
      <c r="AQ31" s="19">
        <f>'28'!G37</f>
        <v>1576</v>
      </c>
      <c r="AR31" s="19">
        <f>'28'!G38</f>
        <v>1753</v>
      </c>
      <c r="AS31" s="19">
        <f>'28'!G39</f>
        <v>2604</v>
      </c>
      <c r="AT31" s="19">
        <f>'28'!G40</f>
        <v>644</v>
      </c>
      <c r="AU31" s="19">
        <f>'28'!G41</f>
        <v>0</v>
      </c>
      <c r="AV31" s="19">
        <f>'28'!G42</f>
        <v>4136</v>
      </c>
      <c r="AW31" s="86">
        <f>'28'!G43</f>
        <v>1961</v>
      </c>
      <c r="AX31" s="23">
        <f>'28'!G44</f>
        <v>0</v>
      </c>
      <c r="AY31" s="56">
        <f>'28'!G36</f>
        <v>689</v>
      </c>
      <c r="AZ31" s="55">
        <f>'28'!G49</f>
        <v>837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0</v>
      </c>
      <c r="BE31" s="19">
        <f>'28'!G55</f>
        <v>0</v>
      </c>
      <c r="BF31" s="19">
        <f>'28'!G56</f>
        <v>0</v>
      </c>
      <c r="BG31" s="19">
        <f>'28'!G57</f>
        <v>0</v>
      </c>
      <c r="BH31" s="56">
        <f>'28'!G50</f>
        <v>1036</v>
      </c>
      <c r="BI31" s="60">
        <f t="shared" si="12"/>
        <v>4136</v>
      </c>
      <c r="BJ31" s="60">
        <f>'28'!G133</f>
        <v>407</v>
      </c>
      <c r="BK31" s="23">
        <f>SUM(AP31,AU31,AV31,AW31,AZ31,BE31,BF31,BG31)/H31%</f>
        <v>46.125461254612546</v>
      </c>
      <c r="BL31" s="23">
        <f t="shared" si="14"/>
        <v>14.558872861455885</v>
      </c>
      <c r="BM31" s="24">
        <f t="shared" si="15"/>
        <v>9.8009616459800955E-2</v>
      </c>
      <c r="BN31" s="25">
        <f t="shared" si="16"/>
        <v>225480.2</v>
      </c>
      <c r="BO31" s="38">
        <f t="shared" si="17"/>
        <v>6504</v>
      </c>
      <c r="BP31">
        <f t="shared" si="18"/>
        <v>0.96785714285714286</v>
      </c>
    </row>
    <row r="32" spans="1:68" x14ac:dyDescent="0.25">
      <c r="A32" s="16">
        <v>29</v>
      </c>
      <c r="B32" s="26">
        <v>29</v>
      </c>
      <c r="C32" s="28"/>
      <c r="D32" s="19">
        <f>'29'!D3</f>
        <v>23</v>
      </c>
      <c r="E32" s="50">
        <f>'29'!D4</f>
        <v>0.57999999999999996</v>
      </c>
      <c r="F32" s="50">
        <f>'29'!D2</f>
        <v>0.76</v>
      </c>
      <c r="G32" s="19">
        <f>'29'!G7</f>
        <v>17167</v>
      </c>
      <c r="H32" s="19">
        <f>'29'!G8</f>
        <v>17492</v>
      </c>
      <c r="I32" s="19">
        <v>9</v>
      </c>
      <c r="J32" s="49">
        <f t="shared" si="3"/>
        <v>157428</v>
      </c>
      <c r="K32" s="45">
        <f t="shared" si="4"/>
        <v>86.594059405940598</v>
      </c>
      <c r="L32" s="19">
        <f>'29'!G15</f>
        <v>1002</v>
      </c>
      <c r="M32" s="19">
        <v>56.2</v>
      </c>
      <c r="N32" s="41">
        <f t="shared" si="5"/>
        <v>56312.4</v>
      </c>
      <c r="O32" s="19">
        <f>'29'!G20</f>
        <v>312</v>
      </c>
      <c r="P32" s="19">
        <v>108</v>
      </c>
      <c r="Q32" s="46">
        <f t="shared" si="0"/>
        <v>33696</v>
      </c>
      <c r="R32" s="47">
        <f t="shared" si="1"/>
        <v>203.23084940072954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84</v>
      </c>
      <c r="W32" s="22">
        <f>'29'!G66</f>
        <v>22</v>
      </c>
      <c r="X32" s="22">
        <f>'29'!G67</f>
        <v>25</v>
      </c>
      <c r="Y32" s="22">
        <f t="shared" si="7"/>
        <v>131</v>
      </c>
      <c r="Z32" s="19">
        <f>'29'!G84</f>
        <v>-0.13999999999941792</v>
      </c>
      <c r="AA32" s="19">
        <f>'29'!G85</f>
        <v>24</v>
      </c>
      <c r="AB32" s="19">
        <f>'29'!G86</f>
        <v>0</v>
      </c>
      <c r="AC32" s="19">
        <f>'29'!G87</f>
        <v>0</v>
      </c>
      <c r="AD32" s="19">
        <f t="shared" si="8"/>
        <v>23.860000000000582</v>
      </c>
      <c r="AE32" s="23">
        <f t="shared" si="2"/>
        <v>3572</v>
      </c>
      <c r="AF32" s="23">
        <f t="shared" si="9"/>
        <v>149.70662196143809</v>
      </c>
      <c r="AG32" s="19">
        <f>'29'!G88</f>
        <v>0</v>
      </c>
      <c r="AH32" s="19">
        <f>'29'!G89</f>
        <v>9.930000000000291</v>
      </c>
      <c r="AI32" s="19">
        <f>'29'!G90</f>
        <v>0.930000000007567</v>
      </c>
      <c r="AJ32" s="19">
        <f t="shared" si="10"/>
        <v>10.860000000007858</v>
      </c>
      <c r="AK32" s="19">
        <f>'29'!G91</f>
        <v>2.0100000000002183</v>
      </c>
      <c r="AL32" s="19">
        <f>'29'!G92</f>
        <v>8.9899999999997817</v>
      </c>
      <c r="AM32" s="19"/>
      <c r="AN32" s="19">
        <f t="shared" si="11"/>
        <v>11</v>
      </c>
      <c r="AO32" s="52">
        <f>'29'!G74</f>
        <v>303</v>
      </c>
      <c r="AP32" s="55">
        <f>'29'!G35</f>
        <v>1192</v>
      </c>
      <c r="AQ32" s="19">
        <f>'29'!G37</f>
        <v>1611</v>
      </c>
      <c r="AR32" s="19">
        <f>'29'!G38</f>
        <v>1750</v>
      </c>
      <c r="AS32" s="19">
        <f>'29'!G39</f>
        <v>2606</v>
      </c>
      <c r="AT32" s="19">
        <f>'29'!G40</f>
        <v>553</v>
      </c>
      <c r="AU32" s="19">
        <f>'29'!G41</f>
        <v>0</v>
      </c>
      <c r="AV32" s="19">
        <f>'29'!G42</f>
        <v>3572</v>
      </c>
      <c r="AW32" s="19">
        <f>'29'!G43</f>
        <v>2065</v>
      </c>
      <c r="AX32" s="23">
        <f>'29'!G44</f>
        <v>0</v>
      </c>
      <c r="AY32" s="56">
        <f>'29'!G36</f>
        <v>695</v>
      </c>
      <c r="AZ32" s="55">
        <f>'29'!G49</f>
        <v>916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0</v>
      </c>
      <c r="BE32" s="19">
        <f>'29'!G55</f>
        <v>0</v>
      </c>
      <c r="BF32" s="19">
        <f>'29'!G56</f>
        <v>0</v>
      </c>
      <c r="BG32" s="19">
        <f>'29'!G57</f>
        <v>0</v>
      </c>
      <c r="BH32" s="56">
        <f>'29'!G50</f>
        <v>983</v>
      </c>
      <c r="BI32" s="60">
        <f t="shared" si="12"/>
        <v>3572</v>
      </c>
      <c r="BJ32" s="60">
        <f>'29'!G133</f>
        <v>494</v>
      </c>
      <c r="BK32" s="23">
        <f t="shared" si="13"/>
        <v>44.277383946947182</v>
      </c>
      <c r="BL32" s="23">
        <f t="shared" si="14"/>
        <v>14.898239195060601</v>
      </c>
      <c r="BM32" s="24">
        <f t="shared" si="15"/>
        <v>0.10004573519323119</v>
      </c>
      <c r="BN32" s="25">
        <f t="shared" si="16"/>
        <v>247436.4</v>
      </c>
      <c r="BO32" s="38">
        <f t="shared" si="17"/>
        <v>6131</v>
      </c>
      <c r="BP32">
        <f t="shared" si="18"/>
        <v>0.91770446653093196</v>
      </c>
    </row>
    <row r="33" spans="1:68" x14ac:dyDescent="0.25">
      <c r="A33" s="16">
        <v>30</v>
      </c>
      <c r="B33" s="27">
        <v>30</v>
      </c>
      <c r="C33" s="28"/>
      <c r="D33" s="19">
        <f>'30'!D3</f>
        <v>23</v>
      </c>
      <c r="E33" s="50">
        <f>'30'!D4</f>
        <v>0.57999999999999996</v>
      </c>
      <c r="F33" s="50">
        <f>'30'!D2</f>
        <v>0.46</v>
      </c>
      <c r="G33" s="19">
        <f>'30'!G7</f>
        <v>17289</v>
      </c>
      <c r="H33" s="19">
        <f>'30'!G8</f>
        <v>17529</v>
      </c>
      <c r="I33" s="19">
        <v>9</v>
      </c>
      <c r="J33" s="49">
        <f t="shared" si="3"/>
        <v>157761</v>
      </c>
      <c r="K33" s="45">
        <f t="shared" si="4"/>
        <v>86.777227722772281</v>
      </c>
      <c r="L33" s="19">
        <f>'30'!G15</f>
        <v>929</v>
      </c>
      <c r="M33" s="19">
        <v>56.2</v>
      </c>
      <c r="N33" s="41">
        <f t="shared" si="5"/>
        <v>52209.8</v>
      </c>
      <c r="O33" s="19">
        <f>'30'!G20</f>
        <v>226</v>
      </c>
      <c r="P33" s="19">
        <v>108</v>
      </c>
      <c r="Q33" s="46">
        <f t="shared" si="0"/>
        <v>24408</v>
      </c>
      <c r="R33" s="47">
        <f t="shared" si="1"/>
        <v>243.21997417133016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80</v>
      </c>
      <c r="W33" s="22">
        <f>'30'!G66</f>
        <v>27</v>
      </c>
      <c r="X33" s="22">
        <f>'30'!G67</f>
        <v>32</v>
      </c>
      <c r="Y33" s="22">
        <f t="shared" si="7"/>
        <v>139</v>
      </c>
      <c r="Z33" s="19">
        <f>'30'!G84</f>
        <v>0</v>
      </c>
      <c r="AA33" s="19">
        <f>'30'!G85</f>
        <v>24</v>
      </c>
      <c r="AB33" s="19">
        <f>'30'!G86</f>
        <v>0</v>
      </c>
      <c r="AC33" s="19">
        <f>'30'!G87</f>
        <v>0</v>
      </c>
      <c r="AD33" s="19">
        <f t="shared" si="8"/>
        <v>24</v>
      </c>
      <c r="AE33" s="23">
        <f t="shared" si="2"/>
        <v>3884</v>
      </c>
      <c r="AF33" s="23">
        <f t="shared" si="9"/>
        <v>161.83333333333334</v>
      </c>
      <c r="AG33" s="19">
        <f>'30'!G88</f>
        <v>0</v>
      </c>
      <c r="AH33" s="19">
        <f>'30'!G89</f>
        <v>9.2099999999991269</v>
      </c>
      <c r="AI33" s="19">
        <f>'30'!G90</f>
        <v>1.9199999999982538</v>
      </c>
      <c r="AJ33" s="19">
        <f t="shared" si="10"/>
        <v>11.129999999997381</v>
      </c>
      <c r="AK33" s="19">
        <f>'30'!G91</f>
        <v>11.609999999999673</v>
      </c>
      <c r="AL33" s="19">
        <f>'30'!G92</f>
        <v>0</v>
      </c>
      <c r="AM33" s="19"/>
      <c r="AN33" s="19">
        <f t="shared" si="11"/>
        <v>11.609999999999673</v>
      </c>
      <c r="AO33" s="52">
        <f>'30'!G74</f>
        <v>308</v>
      </c>
      <c r="AP33" s="55">
        <f>'30'!G35</f>
        <v>1206</v>
      </c>
      <c r="AQ33" s="19">
        <f>'30'!G37</f>
        <v>1553</v>
      </c>
      <c r="AR33" s="19">
        <f>'30'!G38</f>
        <v>1629</v>
      </c>
      <c r="AS33" s="19">
        <f>'30'!G39</f>
        <v>2616</v>
      </c>
      <c r="AT33" s="19">
        <f>'30'!G40</f>
        <v>798</v>
      </c>
      <c r="AU33" s="19">
        <f>'30'!G41</f>
        <v>0</v>
      </c>
      <c r="AV33" s="19">
        <f>'30'!G42</f>
        <v>3884</v>
      </c>
      <c r="AW33" s="19">
        <f>'30'!G43</f>
        <v>1898</v>
      </c>
      <c r="AX33" s="23">
        <f>'30'!G44</f>
        <v>0</v>
      </c>
      <c r="AY33" s="56">
        <f>'30'!G36</f>
        <v>846</v>
      </c>
      <c r="AZ33" s="55">
        <f>'30'!G49</f>
        <v>871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0</v>
      </c>
      <c r="BE33" s="19">
        <f>'30'!G55</f>
        <v>0</v>
      </c>
      <c r="BF33" s="19">
        <f>'30'!G56</f>
        <v>0</v>
      </c>
      <c r="BG33" s="19">
        <f>'30'!G57</f>
        <v>0</v>
      </c>
      <c r="BH33" s="56">
        <f>'30'!G50</f>
        <v>1051</v>
      </c>
      <c r="BI33" s="60">
        <f t="shared" ref="BI33" si="19">SUM(AU33,AV33,BE33,BF33)</f>
        <v>3884</v>
      </c>
      <c r="BJ33" s="60">
        <f>'30'!G133</f>
        <v>496</v>
      </c>
      <c r="BK33" s="23">
        <f t="shared" si="13"/>
        <v>44.834274630612128</v>
      </c>
      <c r="BL33" s="23">
        <f t="shared" si="14"/>
        <v>14.923840492897485</v>
      </c>
      <c r="BM33" s="24">
        <f t="shared" si="15"/>
        <v>9.2931713161047411E-2</v>
      </c>
      <c r="BN33" s="25">
        <f t="shared" si="16"/>
        <v>234378.8</v>
      </c>
      <c r="BO33" s="38">
        <f t="shared" si="17"/>
        <v>6278</v>
      </c>
      <c r="BP33">
        <f t="shared" si="18"/>
        <v>0.93422619047619049</v>
      </c>
    </row>
    <row r="34" spans="1:68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23</v>
      </c>
      <c r="G34" s="19">
        <f>'31'!G7</f>
        <v>17614.229999999981</v>
      </c>
      <c r="H34" s="19">
        <f>'31'!G8</f>
        <v>17830.150000000023</v>
      </c>
      <c r="I34" s="19">
        <v>9</v>
      </c>
      <c r="J34" s="49">
        <f t="shared" si="3"/>
        <v>160471.35000000021</v>
      </c>
      <c r="K34" s="45">
        <f t="shared" ref="K34" si="20">H34/202</f>
        <v>88.268069306930812</v>
      </c>
      <c r="L34" s="19">
        <f>'31'!G15</f>
        <v>915.76699999999255</v>
      </c>
      <c r="M34" s="19">
        <v>56.2</v>
      </c>
      <c r="N34" s="41">
        <f t="shared" ref="N34" si="21">L34*M34</f>
        <v>51466.105399999586</v>
      </c>
      <c r="O34" s="19">
        <f>'31'!G20</f>
        <v>146</v>
      </c>
      <c r="P34" s="19">
        <v>108</v>
      </c>
      <c r="Q34" s="46">
        <f t="shared" ref="Q34" si="22">O34*P34</f>
        <v>15768</v>
      </c>
      <c r="R34" s="47">
        <f t="shared" si="1"/>
        <v>3.1424881618596641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74</v>
      </c>
      <c r="W34" s="22">
        <f>'31'!G66</f>
        <v>15</v>
      </c>
      <c r="X34" s="22">
        <f>'31'!G67</f>
        <v>20</v>
      </c>
      <c r="Y34" s="22">
        <f t="shared" ref="Y34" si="24">V34+W34+X34</f>
        <v>109</v>
      </c>
      <c r="Z34" s="19">
        <f>'31'!G84</f>
        <v>-0.26000000000203727</v>
      </c>
      <c r="AA34" s="19">
        <f>'31'!G85</f>
        <v>24</v>
      </c>
      <c r="AB34" s="19">
        <f>'31'!G86</f>
        <v>0</v>
      </c>
      <c r="AC34" s="19">
        <f>'31'!G87</f>
        <v>-5.0000000002910383E-2</v>
      </c>
      <c r="AD34" s="19">
        <f t="shared" ref="AD34" si="25">Z34+AA34+AB34+AC34</f>
        <v>23.689999999995052</v>
      </c>
      <c r="AE34" s="23">
        <f t="shared" ref="AE34" si="26">AU34+AV34+BE34+BF34</f>
        <v>4318.8500000000058</v>
      </c>
      <c r="AF34" s="23">
        <f t="shared" ref="AF34" si="27">AE34/AD34</f>
        <v>182.30688054035068</v>
      </c>
      <c r="AG34" s="19">
        <f>'31'!G88</f>
        <v>0</v>
      </c>
      <c r="AH34" s="19">
        <f>'31'!G89</f>
        <v>9.2999999999992724</v>
      </c>
      <c r="AI34" s="19">
        <f>'31'!G90</f>
        <v>2.3200000000069849</v>
      </c>
      <c r="AJ34" s="19">
        <f t="shared" ref="AJ34" si="28">AG34+AH34+AI34</f>
        <v>11.620000000006257</v>
      </c>
      <c r="AK34" s="19">
        <f>'31'!G91</f>
        <v>11.470000000000255</v>
      </c>
      <c r="AL34" s="19">
        <f>'31'!G92</f>
        <v>0</v>
      </c>
      <c r="AM34" s="19"/>
      <c r="AN34" s="19">
        <f t="shared" ref="AN34" si="29">AK34+AL34</f>
        <v>11.470000000000255</v>
      </c>
      <c r="AO34" s="52">
        <f>'31'!G74</f>
        <v>294.14899999997579</v>
      </c>
      <c r="AP34" s="55">
        <f>'31'!G35</f>
        <v>1252.9799999999996</v>
      </c>
      <c r="AQ34" s="19">
        <f>'31'!G37</f>
        <v>1588.0899999999965</v>
      </c>
      <c r="AR34" s="19">
        <f>'31'!G38</f>
        <v>1627.4300000000003</v>
      </c>
      <c r="AS34" s="19">
        <f>'31'!G39</f>
        <v>2649.2900000000009</v>
      </c>
      <c r="AT34" s="19">
        <f>'31'!G40</f>
        <v>971.86000000000058</v>
      </c>
      <c r="AU34" s="19">
        <f>'31'!G41</f>
        <v>0</v>
      </c>
      <c r="AV34" s="19">
        <f>'31'!G42</f>
        <v>4318.7400000000052</v>
      </c>
      <c r="AW34" s="19">
        <f>'31'!G43</f>
        <v>1885.6000000000058</v>
      </c>
      <c r="AX34" s="23">
        <f>'31'!G44</f>
        <v>0</v>
      </c>
      <c r="AY34" s="56">
        <f>'31'!G36</f>
        <v>638.73999999999796</v>
      </c>
      <c r="AZ34" s="55">
        <f>'31'!G49</f>
        <v>857.18999999999869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0.42000000000007276</v>
      </c>
      <c r="BE34" s="19">
        <f>'31'!G55</f>
        <v>0.11000000000058208</v>
      </c>
      <c r="BF34" s="19">
        <f>'31'!G56</f>
        <v>0</v>
      </c>
      <c r="BG34" s="19">
        <f>'31'!G57</f>
        <v>0</v>
      </c>
      <c r="BH34" s="56">
        <f>'31'!G50</f>
        <v>1070.6299999999974</v>
      </c>
      <c r="BI34" s="60">
        <f t="shared" ref="BI34" si="30">SUM(AU34,AV34,BE34,BF34)</f>
        <v>4318.8500000000058</v>
      </c>
      <c r="BJ34" s="60">
        <f>'31'!G133</f>
        <v>437.69999999999709</v>
      </c>
      <c r="BK34" s="23">
        <f t="shared" ref="BK34" si="31">SUM(AP34,AU34,AV34,AW34,AZ34,BE34,BF34,BG34)/H34%</f>
        <v>46.63236147760955</v>
      </c>
      <c r="BL34" s="23">
        <f t="shared" ref="BL34" si="32">SUM(AS34,BC34)/H34%</f>
        <v>14.85848408454218</v>
      </c>
      <c r="BM34" s="24">
        <f t="shared" ref="BM34" si="33">(AR34+BB34)/H34</f>
        <v>9.1274049853758837E-2</v>
      </c>
      <c r="BN34" s="25">
        <f t="shared" ref="BN34" si="34">J34+N34+Q34+U34</f>
        <v>227705.4553999998</v>
      </c>
      <c r="BO34" s="38">
        <f t="shared" ref="BO34" si="35">SUM(AU34,AV34,AW34,BE34,BF34,BG34,BJ34)</f>
        <v>6642.1500000000087</v>
      </c>
      <c r="BP34">
        <f t="shared" ref="BP34" si="36">BO34/(AD34*280)</f>
        <v>1.0013492733524387</v>
      </c>
    </row>
    <row r="35" spans="1:68" x14ac:dyDescent="0.25">
      <c r="A35" s="16" t="s">
        <v>196</v>
      </c>
      <c r="B35" s="30"/>
      <c r="C35" s="31"/>
      <c r="D35" s="32">
        <f>AVERAGE(D4:D34)</f>
        <v>24.741935483870968</v>
      </c>
      <c r="E35" s="33"/>
      <c r="F35" s="73">
        <f>AVERAGE(F4:F34)</f>
        <v>1.3839290322580646</v>
      </c>
      <c r="G35" s="34">
        <f>SUM(G4:G34)</f>
        <v>15</v>
      </c>
      <c r="H35" s="34">
        <f t="shared" ref="H35:BN35" si="37">SUM(H4:H34)</f>
        <v>0</v>
      </c>
      <c r="I35" s="19">
        <v>9</v>
      </c>
      <c r="J35" s="34">
        <f t="shared" si="37"/>
        <v>0</v>
      </c>
      <c r="K35" s="34">
        <f t="shared" si="37"/>
        <v>4.1211478674085811E-13</v>
      </c>
      <c r="L35" s="34">
        <f t="shared" si="37"/>
        <v>30580</v>
      </c>
      <c r="M35" s="34">
        <f t="shared" si="37"/>
        <v>1742.200000000001</v>
      </c>
      <c r="N35" s="34">
        <f t="shared" si="37"/>
        <v>1718595.9999999995</v>
      </c>
      <c r="O35" s="34">
        <f t="shared" si="37"/>
        <v>4960</v>
      </c>
      <c r="P35" s="34">
        <f t="shared" si="37"/>
        <v>3348</v>
      </c>
      <c r="Q35" s="34">
        <f t="shared" si="37"/>
        <v>535680</v>
      </c>
      <c r="R35" s="34">
        <f t="shared" si="37"/>
        <v>1951.4663873034599</v>
      </c>
      <c r="S35" s="34">
        <f t="shared" si="37"/>
        <v>110</v>
      </c>
      <c r="T35" s="34">
        <f t="shared" si="37"/>
        <v>2140</v>
      </c>
      <c r="U35" s="34">
        <f t="shared" si="37"/>
        <v>7590</v>
      </c>
      <c r="V35" s="34">
        <f t="shared" si="37"/>
        <v>434994</v>
      </c>
      <c r="W35" s="34">
        <f t="shared" si="37"/>
        <v>0</v>
      </c>
      <c r="X35" s="34">
        <f t="shared" si="37"/>
        <v>0</v>
      </c>
      <c r="Y35" s="34">
        <f t="shared" si="37"/>
        <v>434994</v>
      </c>
      <c r="Z35" s="34">
        <f t="shared" si="37"/>
        <v>0</v>
      </c>
      <c r="AA35" s="34">
        <f t="shared" si="37"/>
        <v>1.5799999999999272</v>
      </c>
      <c r="AB35" s="34">
        <f t="shared" si="37"/>
        <v>0</v>
      </c>
      <c r="AC35" s="34">
        <f t="shared" si="37"/>
        <v>0</v>
      </c>
      <c r="AD35" s="34">
        <f t="shared" si="37"/>
        <v>1.5799999999999272</v>
      </c>
      <c r="AE35" s="34">
        <f t="shared" si="37"/>
        <v>58960.87</v>
      </c>
      <c r="AF35" s="34">
        <f t="shared" si="37"/>
        <v>4350.1852414908244</v>
      </c>
      <c r="AG35" s="34">
        <f t="shared" si="37"/>
        <v>0</v>
      </c>
      <c r="AH35" s="34">
        <f t="shared" si="37"/>
        <v>0</v>
      </c>
      <c r="AI35" s="34">
        <f t="shared" si="37"/>
        <v>0</v>
      </c>
      <c r="AJ35" s="34">
        <f t="shared" si="37"/>
        <v>0</v>
      </c>
      <c r="AK35" s="34">
        <f t="shared" si="37"/>
        <v>0</v>
      </c>
      <c r="AL35" s="34">
        <f t="shared" si="37"/>
        <v>0</v>
      </c>
      <c r="AM35" s="34">
        <f t="shared" si="37"/>
        <v>0</v>
      </c>
      <c r="AN35" s="34">
        <f t="shared" si="37"/>
        <v>0</v>
      </c>
      <c r="AO35" s="34">
        <f t="shared" si="37"/>
        <v>9145</v>
      </c>
      <c r="AP35" s="34">
        <f t="shared" si="37"/>
        <v>3.637978807091713E-12</v>
      </c>
      <c r="AQ35" s="34">
        <f t="shared" si="37"/>
        <v>0</v>
      </c>
      <c r="AR35" s="34">
        <f t="shared" si="37"/>
        <v>0</v>
      </c>
      <c r="AS35" s="34">
        <f t="shared" si="37"/>
        <v>-3.637978807091713E-12</v>
      </c>
      <c r="AT35" s="34">
        <f t="shared" si="37"/>
        <v>-867.13000000000102</v>
      </c>
      <c r="AU35" s="34">
        <f t="shared" si="37"/>
        <v>-62.73</v>
      </c>
      <c r="AV35" s="34">
        <f t="shared" si="37"/>
        <v>59023.600000000006</v>
      </c>
      <c r="AW35" s="34">
        <f t="shared" si="37"/>
        <v>66029</v>
      </c>
      <c r="AX35" s="34">
        <f t="shared" si="37"/>
        <v>0</v>
      </c>
      <c r="AY35" s="34">
        <f t="shared" si="37"/>
        <v>0</v>
      </c>
      <c r="AZ35" s="34">
        <f t="shared" si="37"/>
        <v>0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-0.42000000000007276</v>
      </c>
      <c r="BE35" s="34">
        <f t="shared" si="37"/>
        <v>0</v>
      </c>
      <c r="BF35" s="34">
        <f t="shared" si="37"/>
        <v>0</v>
      </c>
      <c r="BG35" s="34">
        <f t="shared" si="37"/>
        <v>0</v>
      </c>
      <c r="BH35" s="34">
        <f t="shared" si="37"/>
        <v>0</v>
      </c>
      <c r="BI35" s="34">
        <f t="shared" si="37"/>
        <v>58960.87</v>
      </c>
      <c r="BJ35" s="34">
        <f t="shared" si="37"/>
        <v>-11.039999999964493</v>
      </c>
      <c r="BK35" s="34">
        <f t="shared" si="37"/>
        <v>1319.2266704863389</v>
      </c>
      <c r="BL35" s="34">
        <f t="shared" si="37"/>
        <v>450.25757140251028</v>
      </c>
      <c r="BM35" s="34">
        <f t="shared" si="37"/>
        <v>2.9470065997826493</v>
      </c>
      <c r="BN35" s="34">
        <f t="shared" si="37"/>
        <v>2261866.0000000005</v>
      </c>
      <c r="BO35" s="38">
        <f t="shared" si="17"/>
        <v>124978.83000000003</v>
      </c>
      <c r="BP35">
        <f t="shared" si="18"/>
        <v>282.501876130212</v>
      </c>
    </row>
    <row r="36" spans="1:68" x14ac:dyDescent="0.25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5</v>
      </c>
      <c r="E36" s="35">
        <f t="shared" si="38"/>
        <v>-8.0000000000000071E-2</v>
      </c>
      <c r="F36" s="35">
        <f t="shared" si="38"/>
        <v>0.25</v>
      </c>
      <c r="G36" s="35"/>
      <c r="H36" s="35">
        <f t="shared" ref="H36:AN36" si="39">H18-H17</f>
        <v>582326.71</v>
      </c>
      <c r="I36" s="35">
        <f t="shared" si="39"/>
        <v>0</v>
      </c>
      <c r="J36" s="42">
        <f t="shared" si="39"/>
        <v>5240940.3900000006</v>
      </c>
      <c r="K36" s="42">
        <f t="shared" si="39"/>
        <v>2882.8054950495048</v>
      </c>
      <c r="L36" s="35">
        <f t="shared" si="39"/>
        <v>220</v>
      </c>
      <c r="M36" s="35">
        <f t="shared" si="39"/>
        <v>0</v>
      </c>
      <c r="N36" s="42">
        <f t="shared" si="39"/>
        <v>12364</v>
      </c>
      <c r="O36" s="35">
        <f t="shared" si="39"/>
        <v>1713</v>
      </c>
      <c r="P36" s="35">
        <f t="shared" si="39"/>
        <v>0</v>
      </c>
      <c r="Q36" s="42">
        <f t="shared" si="39"/>
        <v>185004</v>
      </c>
      <c r="R36" s="42">
        <f t="shared" si="39"/>
        <v>3238.6138613861385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2683</v>
      </c>
      <c r="W36" s="35">
        <f t="shared" si="39"/>
        <v>634</v>
      </c>
      <c r="X36" s="35">
        <f t="shared" si="39"/>
        <v>921</v>
      </c>
      <c r="Y36" s="35">
        <f t="shared" si="39"/>
        <v>4238</v>
      </c>
      <c r="Z36" s="35">
        <f t="shared" si="39"/>
        <v>0</v>
      </c>
      <c r="AA36" s="35">
        <f t="shared" si="39"/>
        <v>359.44999999999982</v>
      </c>
      <c r="AB36" s="35">
        <f t="shared" si="39"/>
        <v>388.48999999999796</v>
      </c>
      <c r="AC36" s="35">
        <f t="shared" si="39"/>
        <v>0</v>
      </c>
      <c r="AD36" s="35">
        <f t="shared" si="39"/>
        <v>747.93999999999778</v>
      </c>
      <c r="AE36" s="35">
        <f t="shared" si="39"/>
        <v>48061.37000000001</v>
      </c>
      <c r="AF36" s="35">
        <f t="shared" si="39"/>
        <v>60.565542259420987</v>
      </c>
      <c r="AG36" s="35">
        <f t="shared" si="39"/>
        <v>7.5200000000004366</v>
      </c>
      <c r="AH36" s="35">
        <f t="shared" si="39"/>
        <v>289.62999999999738</v>
      </c>
      <c r="AI36" s="35">
        <f t="shared" si="39"/>
        <v>99.190000000002328</v>
      </c>
      <c r="AJ36" s="35">
        <f t="shared" si="39"/>
        <v>396.34000000000015</v>
      </c>
      <c r="AK36" s="35">
        <f t="shared" si="39"/>
        <v>172.13999999999987</v>
      </c>
      <c r="AL36" s="35">
        <f t="shared" si="39"/>
        <v>169.24999999999909</v>
      </c>
      <c r="AM36" s="35">
        <f t="shared" si="39"/>
        <v>0</v>
      </c>
      <c r="AN36" s="35">
        <f t="shared" si="39"/>
        <v>341.38999999999896</v>
      </c>
      <c r="AO36" s="35"/>
      <c r="AP36" s="35">
        <f t="shared" ref="AP36:AW36" si="40">AP18-AP17</f>
        <v>43691.839999999997</v>
      </c>
      <c r="AQ36" s="35">
        <f t="shared" si="40"/>
        <v>49490.74</v>
      </c>
      <c r="AR36" s="35">
        <f t="shared" si="40"/>
        <v>55048.95</v>
      </c>
      <c r="AS36" s="35">
        <f t="shared" si="40"/>
        <v>84431.9</v>
      </c>
      <c r="AT36" s="35">
        <f t="shared" si="40"/>
        <v>14935</v>
      </c>
      <c r="AU36" s="35">
        <f t="shared" si="40"/>
        <v>63</v>
      </c>
      <c r="AV36" s="35">
        <f t="shared" si="40"/>
        <v>-0.39999999999417923</v>
      </c>
      <c r="AW36" s="35">
        <f t="shared" si="40"/>
        <v>1.7100000000064028</v>
      </c>
      <c r="AX36" s="35"/>
      <c r="AY36" s="35"/>
      <c r="AZ36" s="35">
        <f t="shared" ref="AZ36:BG36" si="41">AZ18-AZ17</f>
        <v>35788.589999999997</v>
      </c>
      <c r="BA36" s="35">
        <f t="shared" si="41"/>
        <v>0</v>
      </c>
      <c r="BB36" s="35">
        <f t="shared" si="41"/>
        <v>0</v>
      </c>
      <c r="BC36" s="35">
        <f t="shared" si="41"/>
        <v>0</v>
      </c>
      <c r="BD36" s="35">
        <f t="shared" si="41"/>
        <v>8607.51</v>
      </c>
      <c r="BE36" s="35">
        <f t="shared" si="41"/>
        <v>47886.23</v>
      </c>
      <c r="BF36" s="35">
        <f t="shared" si="41"/>
        <v>112.54000000000087</v>
      </c>
      <c r="BG36" s="35">
        <f t="shared" si="41"/>
        <v>0</v>
      </c>
      <c r="BH36" s="35"/>
      <c r="BI36" s="35"/>
      <c r="BJ36" s="35"/>
      <c r="BK36" s="35">
        <f>BK18-BK17</f>
        <v>22.47128090504556</v>
      </c>
      <c r="BL36" s="35">
        <f>BL18-BL17</f>
        <v>-0.10468112810851871</v>
      </c>
      <c r="BM36" s="35"/>
      <c r="BN36" s="35">
        <f>BN18-BN17</f>
        <v>5438308.3900000006</v>
      </c>
      <c r="BO36" s="35">
        <f>BO18-BO17</f>
        <v>65082.35000000002</v>
      </c>
    </row>
    <row r="37" spans="1:68" x14ac:dyDescent="0.25">
      <c r="F37" s="38">
        <f>AVERAGE(F4:F35)</f>
        <v>1.3839290322580646</v>
      </c>
      <c r="G37" s="38"/>
      <c r="H37" s="38">
        <f>AVERAGE(H4:H35)</f>
        <v>0</v>
      </c>
    </row>
    <row r="38" spans="1:68" x14ac:dyDescent="0.25">
      <c r="B38" s="36" t="s">
        <v>66</v>
      </c>
      <c r="F38" s="72">
        <f>AVERAGE(F4:F35)</f>
        <v>1.3839290322580646</v>
      </c>
      <c r="G38" s="72"/>
    </row>
    <row r="41" spans="1:68" x14ac:dyDescent="0.25">
      <c r="BI41">
        <f>(BI31+BJ31)/400</f>
        <v>11.3575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tabSelected="1" workbookViewId="0">
      <selection activeCell="L17" sqref="L17"/>
    </sheetView>
  </sheetViews>
  <sheetFormatPr defaultRowHeight="15.75" x14ac:dyDescent="0.2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 x14ac:dyDescent="0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462" t="s">
        <v>355</v>
      </c>
    </row>
    <row r="2" spans="1:17" x14ac:dyDescent="0.25">
      <c r="A2" s="248">
        <v>1</v>
      </c>
      <c r="B2" s="463">
        <f>C2/202%</f>
        <v>56.435643564356432</v>
      </c>
      <c r="C2" s="463">
        <v>114</v>
      </c>
      <c r="D2" s="463">
        <v>12</v>
      </c>
      <c r="E2" s="463">
        <v>80</v>
      </c>
      <c r="F2" s="464">
        <v>290</v>
      </c>
      <c r="G2" s="464">
        <f>C2+D2</f>
        <v>126</v>
      </c>
      <c r="H2" s="465">
        <f>C2/202%</f>
        <v>56.435643564356432</v>
      </c>
      <c r="I2" s="466"/>
      <c r="J2" s="465">
        <f>'Section Load'!C5/G2</f>
        <v>138.56230158730139</v>
      </c>
      <c r="K2">
        <f>10/202</f>
        <v>4.9504950495049507E-2</v>
      </c>
    </row>
    <row r="3" spans="1:17" x14ac:dyDescent="0.25">
      <c r="A3" s="248">
        <v>2</v>
      </c>
      <c r="B3" s="463">
        <f t="shared" ref="B3:B32" si="0">C3/202%</f>
        <v>63.861386138613859</v>
      </c>
      <c r="C3" s="463">
        <v>129</v>
      </c>
      <c r="D3" s="463">
        <v>13</v>
      </c>
      <c r="E3" s="463">
        <v>56</v>
      </c>
      <c r="F3" s="464">
        <v>352</v>
      </c>
      <c r="G3" s="464">
        <f t="shared" ref="G3:G31" si="1">C3+D3</f>
        <v>142</v>
      </c>
      <c r="H3" s="465">
        <f t="shared" ref="H3:H32" si="2">C3/202%</f>
        <v>63.861386138613859</v>
      </c>
      <c r="I3" s="466"/>
      <c r="J3" s="465">
        <f>'Section Load'!C6/G3</f>
        <v>129.14084507042253</v>
      </c>
    </row>
    <row r="4" spans="1:17" x14ac:dyDescent="0.25">
      <c r="A4" s="248">
        <v>3</v>
      </c>
      <c r="B4" s="463">
        <f t="shared" si="0"/>
        <v>65.841584158415841</v>
      </c>
      <c r="C4" s="463">
        <v>133</v>
      </c>
      <c r="D4" s="463">
        <v>12</v>
      </c>
      <c r="E4" s="463">
        <v>57</v>
      </c>
      <c r="F4" s="464">
        <v>406</v>
      </c>
      <c r="G4" s="464">
        <f t="shared" si="1"/>
        <v>145</v>
      </c>
      <c r="H4" s="465">
        <f t="shared" si="2"/>
        <v>65.841584158415841</v>
      </c>
      <c r="I4" s="466"/>
      <c r="J4" s="465">
        <f>'Section Load'!C7/G4</f>
        <v>132.54482758620691</v>
      </c>
      <c r="Q4" s="485">
        <f>C2/202</f>
        <v>0.5643564356435643</v>
      </c>
    </row>
    <row r="5" spans="1:17" x14ac:dyDescent="0.25">
      <c r="A5" s="248">
        <v>4</v>
      </c>
      <c r="B5" s="463">
        <f t="shared" si="0"/>
        <v>76.237623762376231</v>
      </c>
      <c r="C5" s="463">
        <v>154</v>
      </c>
      <c r="D5" s="463">
        <v>12</v>
      </c>
      <c r="E5" s="463">
        <v>65</v>
      </c>
      <c r="F5" s="464">
        <v>461</v>
      </c>
      <c r="G5" s="464">
        <f t="shared" si="1"/>
        <v>166</v>
      </c>
      <c r="H5" s="465">
        <f t="shared" si="2"/>
        <v>76.237623762376231</v>
      </c>
      <c r="I5" s="466"/>
      <c r="J5" s="465">
        <f>'Section Load'!C8/G5</f>
        <v>112.12475903614435</v>
      </c>
    </row>
    <row r="6" spans="1:17" x14ac:dyDescent="0.25">
      <c r="A6" s="248">
        <v>5</v>
      </c>
      <c r="B6" s="463">
        <f t="shared" si="0"/>
        <v>78.21782178217822</v>
      </c>
      <c r="C6" s="463">
        <v>158</v>
      </c>
      <c r="D6" s="463">
        <v>13</v>
      </c>
      <c r="E6" s="463">
        <v>63</v>
      </c>
      <c r="F6" s="464">
        <v>1487</v>
      </c>
      <c r="G6" s="464">
        <f t="shared" si="1"/>
        <v>171</v>
      </c>
      <c r="H6" s="465">
        <f t="shared" si="2"/>
        <v>78.21782178217822</v>
      </c>
      <c r="I6" s="466"/>
      <c r="J6" s="465">
        <f>'Section Load'!C9/G6</f>
        <v>121.8184795321642</v>
      </c>
    </row>
    <row r="7" spans="1:17" x14ac:dyDescent="0.25">
      <c r="A7" s="248">
        <v>6</v>
      </c>
      <c r="B7" s="463">
        <f t="shared" si="0"/>
        <v>68.811881188118818</v>
      </c>
      <c r="C7" s="463">
        <v>139</v>
      </c>
      <c r="D7" s="463">
        <v>11</v>
      </c>
      <c r="E7" s="463">
        <v>63</v>
      </c>
      <c r="F7" s="464">
        <v>494</v>
      </c>
      <c r="G7" s="464">
        <f t="shared" si="1"/>
        <v>150</v>
      </c>
      <c r="H7" s="465">
        <f t="shared" si="2"/>
        <v>68.811881188118818</v>
      </c>
      <c r="I7" s="466"/>
      <c r="J7" s="465">
        <f>'Section Load'!C10/G7</f>
        <v>137.41333333333333</v>
      </c>
    </row>
    <row r="8" spans="1:17" x14ac:dyDescent="0.25">
      <c r="A8" s="248">
        <v>7</v>
      </c>
      <c r="B8" s="463">
        <f t="shared" si="0"/>
        <v>72.772277227722768</v>
      </c>
      <c r="C8" s="463">
        <v>147</v>
      </c>
      <c r="D8" s="463">
        <v>12</v>
      </c>
      <c r="E8" s="463">
        <v>57</v>
      </c>
      <c r="F8" s="464">
        <v>704</v>
      </c>
      <c r="G8" s="464">
        <f t="shared" si="1"/>
        <v>159</v>
      </c>
      <c r="H8" s="465">
        <f t="shared" si="2"/>
        <v>72.772277227722768</v>
      </c>
      <c r="I8" s="466"/>
      <c r="J8" s="465">
        <f>'Section Load'!C11/G8</f>
        <v>136.50465408805024</v>
      </c>
      <c r="K8" s="958" t="s">
        <v>371</v>
      </c>
    </row>
    <row r="9" spans="1:17" x14ac:dyDescent="0.25">
      <c r="A9" s="248">
        <v>8</v>
      </c>
      <c r="B9" s="463">
        <f t="shared" si="0"/>
        <v>59.900990099009903</v>
      </c>
      <c r="C9" s="463">
        <v>121</v>
      </c>
      <c r="D9" s="463">
        <v>8</v>
      </c>
      <c r="E9" s="463">
        <v>55</v>
      </c>
      <c r="F9" s="464">
        <v>418</v>
      </c>
      <c r="G9" s="464">
        <f t="shared" si="1"/>
        <v>129</v>
      </c>
      <c r="H9" s="465">
        <f t="shared" si="2"/>
        <v>59.900990099009903</v>
      </c>
      <c r="I9" s="466"/>
      <c r="J9" s="465">
        <f>'Section Load'!C12/G9</f>
        <v>152.94643410852689</v>
      </c>
    </row>
    <row r="10" spans="1:17" x14ac:dyDescent="0.25">
      <c r="A10" s="248">
        <v>9</v>
      </c>
      <c r="B10" s="463">
        <f t="shared" si="0"/>
        <v>66.831683168316829</v>
      </c>
      <c r="C10" s="463">
        <v>135</v>
      </c>
      <c r="D10" s="463">
        <v>9</v>
      </c>
      <c r="E10" s="463">
        <v>54</v>
      </c>
      <c r="F10" s="464">
        <v>483</v>
      </c>
      <c r="G10" s="464">
        <f t="shared" si="1"/>
        <v>144</v>
      </c>
      <c r="H10" s="465">
        <f t="shared" si="2"/>
        <v>66.831683168316829</v>
      </c>
      <c r="I10" s="466"/>
      <c r="J10" s="465">
        <f>'Section Load'!C13/G10</f>
        <v>135.1875</v>
      </c>
    </row>
    <row r="11" spans="1:17" x14ac:dyDescent="0.25">
      <c r="A11" s="248">
        <v>10</v>
      </c>
      <c r="B11" s="463">
        <f t="shared" si="0"/>
        <v>68.811881188118818</v>
      </c>
      <c r="C11" s="463">
        <v>139</v>
      </c>
      <c r="D11" s="463">
        <v>10</v>
      </c>
      <c r="E11" s="463">
        <v>51</v>
      </c>
      <c r="F11" s="464">
        <v>723</v>
      </c>
      <c r="G11" s="464">
        <f t="shared" si="1"/>
        <v>149</v>
      </c>
      <c r="H11" s="465">
        <f t="shared" si="2"/>
        <v>68.811881188118818</v>
      </c>
      <c r="I11" s="466"/>
      <c r="J11" s="465">
        <f>'Section Load'!C14/G11</f>
        <v>136.73154362416108</v>
      </c>
    </row>
    <row r="12" spans="1:17" x14ac:dyDescent="0.25">
      <c r="A12" s="248">
        <v>11</v>
      </c>
      <c r="B12" s="463">
        <f t="shared" si="0"/>
        <v>66.336633663366342</v>
      </c>
      <c r="C12" s="463">
        <v>134</v>
      </c>
      <c r="D12" s="463">
        <v>14</v>
      </c>
      <c r="E12" s="463">
        <v>41</v>
      </c>
      <c r="F12" s="464">
        <v>899</v>
      </c>
      <c r="G12" s="464">
        <f t="shared" si="1"/>
        <v>148</v>
      </c>
      <c r="H12" s="465">
        <f t="shared" si="2"/>
        <v>66.336633663366342</v>
      </c>
      <c r="I12" s="466"/>
      <c r="J12" s="465">
        <f>'Section Load'!C15/G12</f>
        <v>142.02702702702703</v>
      </c>
    </row>
    <row r="13" spans="1:17" x14ac:dyDescent="0.25">
      <c r="A13" s="248">
        <v>12</v>
      </c>
      <c r="B13" s="463">
        <f t="shared" si="0"/>
        <v>68.316831683168317</v>
      </c>
      <c r="C13" s="463">
        <v>138</v>
      </c>
      <c r="D13" s="463">
        <v>16</v>
      </c>
      <c r="E13" s="463">
        <v>41</v>
      </c>
      <c r="F13" s="463">
        <v>683</v>
      </c>
      <c r="G13" s="464">
        <f t="shared" si="1"/>
        <v>154</v>
      </c>
      <c r="H13" s="465">
        <f t="shared" si="2"/>
        <v>68.316831683168317</v>
      </c>
      <c r="I13" s="466"/>
      <c r="J13" s="465">
        <f>'Section Load'!C16/G13</f>
        <v>145.05844155844156</v>
      </c>
    </row>
    <row r="14" spans="1:17" x14ac:dyDescent="0.25">
      <c r="A14" s="248">
        <v>13</v>
      </c>
      <c r="B14" s="463">
        <f t="shared" si="0"/>
        <v>63.366336633663366</v>
      </c>
      <c r="C14" s="463">
        <v>128</v>
      </c>
      <c r="D14" s="463">
        <v>14</v>
      </c>
      <c r="E14" s="463">
        <f t="shared" ref="E14:E31" si="3">SUM(C14:D14)/202%</f>
        <v>70.297029702970292</v>
      </c>
      <c r="F14" s="463">
        <v>1001</v>
      </c>
      <c r="G14" s="464">
        <f t="shared" si="1"/>
        <v>142</v>
      </c>
      <c r="H14" s="465">
        <f t="shared" si="2"/>
        <v>63.366336633663366</v>
      </c>
      <c r="I14" s="466"/>
      <c r="J14" s="465">
        <f>'Section Load'!C17/G14</f>
        <v>156.33802816901408</v>
      </c>
    </row>
    <row r="15" spans="1:17" x14ac:dyDescent="0.25">
      <c r="A15" s="248">
        <v>14</v>
      </c>
      <c r="B15" s="463">
        <f t="shared" si="0"/>
        <v>0</v>
      </c>
      <c r="C15" s="463"/>
      <c r="D15" s="463"/>
      <c r="E15" s="463">
        <f t="shared" si="3"/>
        <v>0</v>
      </c>
      <c r="F15" s="463"/>
      <c r="G15" s="464">
        <f t="shared" si="1"/>
        <v>0</v>
      </c>
      <c r="H15" s="465">
        <f t="shared" si="2"/>
        <v>0</v>
      </c>
      <c r="I15" s="466"/>
      <c r="J15" s="465" t="e">
        <f>'Section Load'!C18/G15</f>
        <v>#DIV/0!</v>
      </c>
    </row>
    <row r="16" spans="1:17" x14ac:dyDescent="0.25">
      <c r="A16" s="248">
        <v>15</v>
      </c>
      <c r="B16" s="463">
        <f t="shared" si="0"/>
        <v>0</v>
      </c>
      <c r="C16" s="463"/>
      <c r="D16" s="463"/>
      <c r="E16" s="463">
        <f t="shared" si="3"/>
        <v>0</v>
      </c>
      <c r="F16" s="463"/>
      <c r="G16" s="464">
        <f t="shared" si="1"/>
        <v>0</v>
      </c>
      <c r="H16" s="465">
        <f t="shared" si="2"/>
        <v>0</v>
      </c>
      <c r="I16" s="466"/>
      <c r="J16" s="465" t="e">
        <f>'Section Load'!C19/G16</f>
        <v>#DIV/0!</v>
      </c>
    </row>
    <row r="17" spans="1:10" x14ac:dyDescent="0.25">
      <c r="A17" s="248">
        <v>16</v>
      </c>
      <c r="B17" s="463">
        <f t="shared" si="0"/>
        <v>0</v>
      </c>
      <c r="C17" s="463"/>
      <c r="D17" s="463"/>
      <c r="E17" s="463">
        <f>SUM(C17:D17)/202%</f>
        <v>0</v>
      </c>
      <c r="F17" s="463"/>
      <c r="G17" s="464">
        <f t="shared" si="1"/>
        <v>0</v>
      </c>
      <c r="H17" s="465">
        <f t="shared" si="2"/>
        <v>0</v>
      </c>
      <c r="I17" s="466"/>
      <c r="J17" s="465" t="e">
        <f>'Section Load'!C20/G17</f>
        <v>#DIV/0!</v>
      </c>
    </row>
    <row r="18" spans="1:10" x14ac:dyDescent="0.25">
      <c r="A18" s="248">
        <v>17</v>
      </c>
      <c r="B18" s="463">
        <f t="shared" si="0"/>
        <v>0</v>
      </c>
      <c r="C18" s="463"/>
      <c r="D18" s="463"/>
      <c r="E18" s="463">
        <f t="shared" si="3"/>
        <v>0</v>
      </c>
      <c r="F18" s="463"/>
      <c r="G18" s="464">
        <f t="shared" si="1"/>
        <v>0</v>
      </c>
      <c r="H18" s="465">
        <f t="shared" si="2"/>
        <v>0</v>
      </c>
      <c r="I18" s="466"/>
      <c r="J18" s="465" t="e">
        <f>'Section Load'!C21/G18</f>
        <v>#DIV/0!</v>
      </c>
    </row>
    <row r="19" spans="1:10" x14ac:dyDescent="0.25">
      <c r="A19" s="248">
        <v>18</v>
      </c>
      <c r="B19" s="463">
        <f t="shared" si="0"/>
        <v>0</v>
      </c>
      <c r="C19" s="467"/>
      <c r="D19" s="467"/>
      <c r="E19" s="463">
        <f t="shared" si="3"/>
        <v>0</v>
      </c>
      <c r="F19" s="467"/>
      <c r="G19" s="464">
        <f t="shared" si="1"/>
        <v>0</v>
      </c>
      <c r="H19" s="465">
        <f t="shared" si="2"/>
        <v>0</v>
      </c>
      <c r="I19" s="466"/>
      <c r="J19" s="465" t="e">
        <f>'Section Load'!C22/G19</f>
        <v>#DIV/0!</v>
      </c>
    </row>
    <row r="20" spans="1:10" x14ac:dyDescent="0.25">
      <c r="A20" s="248">
        <v>19</v>
      </c>
      <c r="B20" s="463">
        <f t="shared" si="0"/>
        <v>0</v>
      </c>
      <c r="C20" s="463"/>
      <c r="D20" s="463"/>
      <c r="E20" s="463">
        <f t="shared" si="3"/>
        <v>0</v>
      </c>
      <c r="F20" s="463"/>
      <c r="G20" s="464">
        <f t="shared" si="1"/>
        <v>0</v>
      </c>
      <c r="H20" s="465">
        <f t="shared" si="2"/>
        <v>0</v>
      </c>
      <c r="I20" s="466"/>
      <c r="J20" s="465" t="e">
        <f>'Section Load'!C23/G20</f>
        <v>#DIV/0!</v>
      </c>
    </row>
    <row r="21" spans="1:10" x14ac:dyDescent="0.25">
      <c r="A21" s="248">
        <v>20</v>
      </c>
      <c r="B21" s="463">
        <f t="shared" si="0"/>
        <v>0</v>
      </c>
      <c r="C21" s="463"/>
      <c r="D21" s="463"/>
      <c r="E21" s="463">
        <f t="shared" si="3"/>
        <v>0</v>
      </c>
      <c r="F21" s="463"/>
      <c r="G21" s="464">
        <f t="shared" si="1"/>
        <v>0</v>
      </c>
      <c r="H21" s="465">
        <f t="shared" si="2"/>
        <v>0</v>
      </c>
      <c r="I21" s="466"/>
      <c r="J21" s="465" t="e">
        <f>'Section Load'!C24/G21</f>
        <v>#DIV/0!</v>
      </c>
    </row>
    <row r="22" spans="1:10" x14ac:dyDescent="0.25">
      <c r="A22" s="248">
        <v>21</v>
      </c>
      <c r="B22" s="463">
        <f t="shared" si="0"/>
        <v>0</v>
      </c>
      <c r="C22" s="463"/>
      <c r="D22" s="463"/>
      <c r="E22" s="463">
        <f t="shared" si="3"/>
        <v>0</v>
      </c>
      <c r="F22" s="463"/>
      <c r="G22" s="464">
        <f t="shared" si="1"/>
        <v>0</v>
      </c>
      <c r="H22" s="465">
        <f t="shared" si="2"/>
        <v>0</v>
      </c>
      <c r="I22" s="466"/>
      <c r="J22" s="465" t="e">
        <f>'Section Load'!C25/G22</f>
        <v>#DIV/0!</v>
      </c>
    </row>
    <row r="23" spans="1:10" x14ac:dyDescent="0.25">
      <c r="A23" s="248">
        <v>22</v>
      </c>
      <c r="B23" s="463">
        <v>83</v>
      </c>
      <c r="C23" s="463"/>
      <c r="D23" s="463"/>
      <c r="E23" s="463">
        <f t="shared" si="3"/>
        <v>0</v>
      </c>
      <c r="F23" s="463"/>
      <c r="G23" s="464">
        <f t="shared" si="1"/>
        <v>0</v>
      </c>
      <c r="H23" s="465">
        <f t="shared" si="2"/>
        <v>0</v>
      </c>
      <c r="I23" s="466"/>
      <c r="J23" s="465" t="e">
        <f>'Section Load'!C26/G23</f>
        <v>#DIV/0!</v>
      </c>
    </row>
    <row r="24" spans="1:10" x14ac:dyDescent="0.25">
      <c r="A24" s="248">
        <v>23</v>
      </c>
      <c r="B24" s="463">
        <v>98</v>
      </c>
      <c r="C24" s="463"/>
      <c r="D24" s="463"/>
      <c r="E24" s="463">
        <f t="shared" si="3"/>
        <v>0</v>
      </c>
      <c r="F24" s="463"/>
      <c r="G24" s="464">
        <f t="shared" si="1"/>
        <v>0</v>
      </c>
      <c r="H24" s="465">
        <f t="shared" si="2"/>
        <v>0</v>
      </c>
      <c r="I24" s="466"/>
      <c r="J24" s="465" t="e">
        <f>'Section Load'!C27/G24</f>
        <v>#DIV/0!</v>
      </c>
    </row>
    <row r="25" spans="1:10" x14ac:dyDescent="0.25">
      <c r="A25" s="248">
        <v>24</v>
      </c>
      <c r="B25" s="463">
        <f t="shared" si="0"/>
        <v>0</v>
      </c>
      <c r="C25" s="463"/>
      <c r="D25" s="463"/>
      <c r="E25" s="463">
        <f t="shared" si="3"/>
        <v>0</v>
      </c>
      <c r="F25" s="463"/>
      <c r="G25" s="464">
        <f t="shared" si="1"/>
        <v>0</v>
      </c>
      <c r="H25" s="465">
        <f t="shared" si="2"/>
        <v>0</v>
      </c>
      <c r="I25" s="466"/>
      <c r="J25" s="465" t="e">
        <f>'Section Load'!C28/G25</f>
        <v>#DIV/0!</v>
      </c>
    </row>
    <row r="26" spans="1:10" x14ac:dyDescent="0.25">
      <c r="A26" s="248">
        <v>25</v>
      </c>
      <c r="B26" s="463">
        <f t="shared" si="0"/>
        <v>0</v>
      </c>
      <c r="C26" s="463"/>
      <c r="D26" s="463"/>
      <c r="E26" s="463">
        <f t="shared" si="3"/>
        <v>0</v>
      </c>
      <c r="F26" s="463"/>
      <c r="G26" s="464">
        <f t="shared" si="1"/>
        <v>0</v>
      </c>
      <c r="H26" s="465">
        <f t="shared" si="2"/>
        <v>0</v>
      </c>
      <c r="I26" s="466"/>
      <c r="J26" s="465" t="e">
        <f>'Section Load'!C29/G26</f>
        <v>#DIV/0!</v>
      </c>
    </row>
    <row r="27" spans="1:10" x14ac:dyDescent="0.25">
      <c r="A27" s="248">
        <v>26</v>
      </c>
      <c r="B27" s="463">
        <f t="shared" si="0"/>
        <v>0</v>
      </c>
      <c r="C27" s="463"/>
      <c r="D27" s="463"/>
      <c r="E27" s="463">
        <f t="shared" si="3"/>
        <v>0</v>
      </c>
      <c r="F27" s="463"/>
      <c r="G27" s="464">
        <f t="shared" si="1"/>
        <v>0</v>
      </c>
      <c r="H27" s="465">
        <f t="shared" si="2"/>
        <v>0</v>
      </c>
      <c r="I27" s="466"/>
      <c r="J27" s="465" t="e">
        <f>'Section Load'!C30/G27</f>
        <v>#DIV/0!</v>
      </c>
    </row>
    <row r="28" spans="1:10" x14ac:dyDescent="0.25">
      <c r="A28" s="248">
        <v>27</v>
      </c>
      <c r="B28" s="463">
        <f t="shared" si="0"/>
        <v>0</v>
      </c>
      <c r="C28" s="463"/>
      <c r="D28" s="463"/>
      <c r="E28" s="463">
        <f t="shared" si="3"/>
        <v>0</v>
      </c>
      <c r="F28" s="463"/>
      <c r="G28" s="464">
        <f t="shared" si="1"/>
        <v>0</v>
      </c>
      <c r="H28" s="465">
        <f t="shared" si="2"/>
        <v>0</v>
      </c>
      <c r="I28" s="466"/>
      <c r="J28" s="465" t="e">
        <f>'Section Load'!C31/G28</f>
        <v>#DIV/0!</v>
      </c>
    </row>
    <row r="29" spans="1:10" x14ac:dyDescent="0.25">
      <c r="A29" s="248">
        <v>28</v>
      </c>
      <c r="B29" s="463">
        <f t="shared" si="0"/>
        <v>0</v>
      </c>
      <c r="C29" s="463"/>
      <c r="D29" s="463"/>
      <c r="E29" s="463">
        <f t="shared" si="3"/>
        <v>0</v>
      </c>
      <c r="F29" s="463"/>
      <c r="G29" s="464">
        <f t="shared" si="1"/>
        <v>0</v>
      </c>
      <c r="H29" s="465">
        <f t="shared" si="2"/>
        <v>0</v>
      </c>
      <c r="I29" s="466"/>
      <c r="J29" s="465" t="e">
        <f>'Section Load'!C32/G29</f>
        <v>#DIV/0!</v>
      </c>
    </row>
    <row r="30" spans="1:10" x14ac:dyDescent="0.25">
      <c r="A30" s="248">
        <v>29</v>
      </c>
      <c r="B30" s="463">
        <f>C30/202%</f>
        <v>0</v>
      </c>
      <c r="C30" s="463"/>
      <c r="D30" s="463"/>
      <c r="E30" s="463">
        <f t="shared" si="3"/>
        <v>0</v>
      </c>
      <c r="F30" s="463"/>
      <c r="G30" s="464">
        <f t="shared" si="1"/>
        <v>0</v>
      </c>
      <c r="H30" s="465">
        <f>C30/202%</f>
        <v>0</v>
      </c>
      <c r="I30" s="466"/>
      <c r="J30" s="465" t="e">
        <f>'Section Load'!C33/G30</f>
        <v>#DIV/0!</v>
      </c>
    </row>
    <row r="31" spans="1:10" x14ac:dyDescent="0.25">
      <c r="A31" s="248">
        <v>30</v>
      </c>
      <c r="B31" s="463">
        <f t="shared" si="0"/>
        <v>0</v>
      </c>
      <c r="C31" s="463"/>
      <c r="D31" s="463"/>
      <c r="E31" s="463">
        <f t="shared" si="3"/>
        <v>0</v>
      </c>
      <c r="F31" s="463"/>
      <c r="G31" s="468">
        <f t="shared" si="1"/>
        <v>0</v>
      </c>
      <c r="H31" s="465">
        <f t="shared" si="2"/>
        <v>0</v>
      </c>
      <c r="I31" s="466"/>
      <c r="J31" s="465" t="e">
        <f>'Section Load'!C34/G31</f>
        <v>#DIV/0!</v>
      </c>
    </row>
    <row r="32" spans="1:10" x14ac:dyDescent="0.25">
      <c r="A32" s="248">
        <v>31</v>
      </c>
      <c r="B32" s="463">
        <f t="shared" si="0"/>
        <v>0</v>
      </c>
      <c r="C32" s="463"/>
      <c r="D32" s="463"/>
      <c r="E32" s="463"/>
      <c r="F32" s="463"/>
      <c r="G32" s="468"/>
      <c r="H32" s="465">
        <f t="shared" si="2"/>
        <v>0</v>
      </c>
      <c r="I32" s="466"/>
      <c r="J32" s="465" t="e">
        <f>'Section Load'!C35/G32</f>
        <v>#DIV/0!</v>
      </c>
    </row>
    <row r="33" spans="1:8" x14ac:dyDescent="0.25">
      <c r="A33" t="s">
        <v>316</v>
      </c>
      <c r="B33" s="275">
        <f>AVERAGE(B2:B31)</f>
        <v>35.224752475247527</v>
      </c>
      <c r="C33" s="275">
        <f t="shared" ref="C33:H33" si="4">AVERAGE(C2:C31)</f>
        <v>136.07692307692307</v>
      </c>
      <c r="D33" s="275">
        <f t="shared" si="4"/>
        <v>12</v>
      </c>
      <c r="E33" s="275">
        <f t="shared" si="4"/>
        <v>25.10990099009901</v>
      </c>
      <c r="F33" s="275">
        <f t="shared" si="4"/>
        <v>646.23076923076928</v>
      </c>
      <c r="G33" s="275">
        <f t="shared" si="4"/>
        <v>64.166666666666671</v>
      </c>
      <c r="H33" s="275">
        <f t="shared" si="4"/>
        <v>29.191419141914192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L9" sqref="L9:L11"/>
    </sheetView>
  </sheetViews>
  <sheetFormatPr defaultRowHeight="15.75" x14ac:dyDescent="0.2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13" width="12" bestFit="1" customWidth="1"/>
    <col min="14" max="35" width="3.77734375" customWidth="1"/>
  </cols>
  <sheetData>
    <row r="3" spans="2:35" s="37" customFormat="1" x14ac:dyDescent="0.25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 x14ac:dyDescent="0.25">
      <c r="B4" s="93"/>
      <c r="C4" s="90" t="s">
        <v>67</v>
      </c>
      <c r="D4" s="91">
        <f>Occupancy!B2</f>
        <v>56.435643564356432</v>
      </c>
      <c r="E4" s="91">
        <f>Occupancy!B3</f>
        <v>63.861386138613859</v>
      </c>
      <c r="F4" s="91">
        <f>Occupancy!C3</f>
        <v>129</v>
      </c>
      <c r="G4" s="91">
        <f>Occupancy!D3</f>
        <v>13</v>
      </c>
      <c r="H4" s="91">
        <f>Occupancy!E3</f>
        <v>56</v>
      </c>
      <c r="I4" s="91">
        <f>Occupancy!F3</f>
        <v>352</v>
      </c>
      <c r="J4" s="91">
        <f>Occupancy!G3</f>
        <v>142</v>
      </c>
      <c r="K4" s="91">
        <f>Occupancy!H3</f>
        <v>63.861386138613859</v>
      </c>
      <c r="L4" s="91">
        <f>Occupancy!I3</f>
        <v>0</v>
      </c>
      <c r="M4" s="91">
        <f>Occupancy!J3</f>
        <v>129.14084507042253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 x14ac:dyDescent="0.25">
      <c r="B5" s="93"/>
      <c r="C5" s="90" t="s">
        <v>68</v>
      </c>
      <c r="D5" s="91">
        <f>'1'!G18</f>
        <v>180</v>
      </c>
      <c r="E5" s="91">
        <f>'2'!G18</f>
        <v>150</v>
      </c>
      <c r="F5" s="91">
        <f>'3'!G18</f>
        <v>180</v>
      </c>
      <c r="G5" s="91">
        <f>'4'!G18</f>
        <v>210</v>
      </c>
      <c r="H5" s="91">
        <f>'5'!G18</f>
        <v>240</v>
      </c>
      <c r="I5" s="91">
        <f>'6'!G18</f>
        <v>220</v>
      </c>
      <c r="J5" s="91">
        <f>'7'!G18</f>
        <v>190</v>
      </c>
      <c r="K5" s="91">
        <f>'8'!G18</f>
        <v>180</v>
      </c>
      <c r="L5" s="91">
        <f>'9'!G18</f>
        <v>200</v>
      </c>
      <c r="M5" s="91">
        <f>'10'!G18</f>
        <v>260</v>
      </c>
      <c r="N5" s="91">
        <f>'11'!G18</f>
        <v>260</v>
      </c>
      <c r="O5" s="91">
        <f>'12'!G18</f>
        <v>280</v>
      </c>
      <c r="P5" s="91">
        <f>'13'!G18</f>
        <v>240</v>
      </c>
      <c r="Q5" s="91">
        <f>'14'!G18</f>
        <v>60</v>
      </c>
      <c r="R5" s="91">
        <f>'15'!G18</f>
        <v>100</v>
      </c>
      <c r="S5" s="91">
        <f>'16'!G18</f>
        <v>80</v>
      </c>
      <c r="T5" s="91">
        <f>'17'!G18</f>
        <v>80</v>
      </c>
      <c r="U5" s="91">
        <f>'18 '!G18</f>
        <v>100</v>
      </c>
      <c r="V5" s="91">
        <f>'19'!G18</f>
        <v>100</v>
      </c>
      <c r="W5" s="91">
        <f>'20'!G18</f>
        <v>160</v>
      </c>
      <c r="X5" s="91">
        <f>'21'!G18</f>
        <v>110</v>
      </c>
      <c r="Y5" s="91">
        <f>'22'!G18</f>
        <v>120</v>
      </c>
      <c r="Z5" s="91">
        <f>'23'!G18</f>
        <v>160</v>
      </c>
      <c r="AA5" s="91">
        <f>'24'!G18</f>
        <v>160</v>
      </c>
      <c r="AB5" s="91">
        <f>'25'!G18</f>
        <v>140</v>
      </c>
      <c r="AC5" s="91">
        <f>'26'!G18</f>
        <v>120</v>
      </c>
      <c r="AD5" s="91">
        <f>'27'!G18</f>
        <v>120</v>
      </c>
      <c r="AE5" s="91">
        <f>'28'!G18</f>
        <v>40</v>
      </c>
      <c r="AF5" s="91">
        <f>'29'!G18</f>
        <v>260</v>
      </c>
      <c r="AG5" s="91">
        <f>'30'!G18</f>
        <v>170</v>
      </c>
      <c r="AH5" s="91">
        <f>'31'!G18</f>
        <v>90</v>
      </c>
      <c r="AI5" s="90"/>
    </row>
    <row r="6" spans="2:35" x14ac:dyDescent="0.25">
      <c r="B6" s="93"/>
      <c r="C6" s="90" t="s">
        <v>69</v>
      </c>
      <c r="D6" s="91">
        <f>'1'!G19</f>
        <v>55</v>
      </c>
      <c r="E6" s="91">
        <f>'2'!G19</f>
        <v>33</v>
      </c>
      <c r="F6" s="91">
        <f>'3'!G19</f>
        <v>53</v>
      </c>
      <c r="G6" s="91">
        <f>'4'!G19</f>
        <v>51</v>
      </c>
      <c r="H6" s="91">
        <f>'5'!G19</f>
        <v>54</v>
      </c>
      <c r="I6" s="91">
        <f>'6'!G19</f>
        <v>55</v>
      </c>
      <c r="J6" s="91">
        <f>'7'!G19</f>
        <v>52</v>
      </c>
      <c r="K6" s="91">
        <f>'8'!G19</f>
        <v>52</v>
      </c>
      <c r="L6" s="91">
        <f>'9'!G19</f>
        <v>56</v>
      </c>
      <c r="M6" s="91">
        <f>'10'!G19</f>
        <v>57</v>
      </c>
      <c r="N6" s="91">
        <f>'11'!G19</f>
        <v>56</v>
      </c>
      <c r="O6" s="91">
        <f>'12'!G19</f>
        <v>59</v>
      </c>
      <c r="P6" s="91">
        <f>'13'!G19</f>
        <v>56</v>
      </c>
      <c r="Q6" s="91">
        <f>'14'!G19</f>
        <v>-1618</v>
      </c>
      <c r="R6" s="91">
        <f>'15'!G19</f>
        <v>55</v>
      </c>
      <c r="S6" s="91">
        <f>'16'!G19</f>
        <v>55</v>
      </c>
      <c r="T6" s="91">
        <f>'17'!G19</f>
        <v>53</v>
      </c>
      <c r="U6" s="91">
        <f>'18 '!G19</f>
        <v>54</v>
      </c>
      <c r="V6" s="91">
        <f>'19'!G19</f>
        <v>57</v>
      </c>
      <c r="W6" s="91">
        <f>'20'!G19</f>
        <v>56</v>
      </c>
      <c r="X6" s="91">
        <f>'21'!G19</f>
        <v>57</v>
      </c>
      <c r="Y6" s="91">
        <f>'22'!G19</f>
        <v>56</v>
      </c>
      <c r="Z6" s="91">
        <f>'23'!G19</f>
        <v>56</v>
      </c>
      <c r="AA6" s="91">
        <f>'24'!G19</f>
        <v>52</v>
      </c>
      <c r="AB6" s="91">
        <f>'25'!G19</f>
        <v>50</v>
      </c>
      <c r="AC6" s="91">
        <f>'26'!G19</f>
        <v>55</v>
      </c>
      <c r="AD6" s="91">
        <f>'27'!G19</f>
        <v>57</v>
      </c>
      <c r="AE6" s="91">
        <f>'28'!G19</f>
        <v>52</v>
      </c>
      <c r="AF6" s="91">
        <f>'29'!G19</f>
        <v>52</v>
      </c>
      <c r="AG6" s="91">
        <f>'30'!G19</f>
        <v>56</v>
      </c>
      <c r="AH6" s="91">
        <f>'31'!G19</f>
        <v>56</v>
      </c>
      <c r="AI6" s="90"/>
    </row>
    <row r="7" spans="2:35" x14ac:dyDescent="0.25">
      <c r="B7" s="93"/>
      <c r="C7" s="90" t="s">
        <v>70</v>
      </c>
      <c r="D7" s="91">
        <f>'1'!G62</f>
        <v>63</v>
      </c>
      <c r="E7" s="91">
        <f>'2'!G62</f>
        <v>105</v>
      </c>
      <c r="F7" s="91">
        <f>'3'!G62</f>
        <v>74</v>
      </c>
      <c r="G7" s="91">
        <f>'4'!G62</f>
        <v>109</v>
      </c>
      <c r="H7" s="91">
        <f>'5'!G62</f>
        <v>136</v>
      </c>
      <c r="I7" s="91">
        <f>'6'!G62</f>
        <v>143</v>
      </c>
      <c r="J7" s="91">
        <f>'7'!G62</f>
        <v>142</v>
      </c>
      <c r="K7" s="91">
        <f>'8'!G62</f>
        <v>128</v>
      </c>
      <c r="L7" s="91">
        <f>'9'!G62</f>
        <v>142</v>
      </c>
      <c r="M7" s="91">
        <f>'10'!G62</f>
        <v>170</v>
      </c>
      <c r="N7" s="91">
        <f>'11'!G62</f>
        <v>181</v>
      </c>
      <c r="O7" s="91">
        <f>'12'!G62</f>
        <v>177</v>
      </c>
      <c r="P7" s="91">
        <f>'13'!G62</f>
        <v>177</v>
      </c>
      <c r="Q7" s="91">
        <f>'14'!G62</f>
        <v>-3235</v>
      </c>
      <c r="R7" s="91">
        <f>'15'!G62</f>
        <v>79</v>
      </c>
      <c r="S7" s="91">
        <f>'16'!G62</f>
        <v>66</v>
      </c>
      <c r="T7" s="91">
        <f>'17'!G62</f>
        <v>66</v>
      </c>
      <c r="U7" s="91">
        <f>'18 '!G62</f>
        <v>69</v>
      </c>
      <c r="V7" s="91">
        <f>'19'!G62</f>
        <v>60</v>
      </c>
      <c r="W7" s="91">
        <f>'20'!G62</f>
        <v>69</v>
      </c>
      <c r="X7" s="91">
        <f>'21'!G62</f>
        <v>60</v>
      </c>
      <c r="Y7" s="91">
        <f>'22'!G62</f>
        <v>72</v>
      </c>
      <c r="Z7" s="91">
        <f>'23'!G62</f>
        <v>119</v>
      </c>
      <c r="AA7" s="91">
        <f>'24'!G62</f>
        <v>124</v>
      </c>
      <c r="AB7" s="91">
        <f>'25'!G62</f>
        <v>102</v>
      </c>
      <c r="AC7" s="91">
        <f>'26'!G62</f>
        <v>93</v>
      </c>
      <c r="AD7" s="91">
        <f>'27'!G62</f>
        <v>120</v>
      </c>
      <c r="AE7" s="91">
        <f>'28'!G62</f>
        <v>90</v>
      </c>
      <c r="AF7" s="91">
        <f>'29'!G62</f>
        <v>102</v>
      </c>
      <c r="AG7" s="91">
        <f>'30'!G62</f>
        <v>114</v>
      </c>
      <c r="AH7" s="91">
        <f>'31'!G62</f>
        <v>83</v>
      </c>
      <c r="AI7" s="90"/>
    </row>
    <row r="8" spans="2:35" x14ac:dyDescent="0.25">
      <c r="B8" s="93"/>
      <c r="C8" s="90" t="s">
        <v>299</v>
      </c>
      <c r="D8" s="91">
        <f>'1'!G63</f>
        <v>132</v>
      </c>
      <c r="E8" s="91">
        <f>'2'!G63</f>
        <v>159</v>
      </c>
      <c r="F8" s="91">
        <f>'3'!G63</f>
        <v>132</v>
      </c>
      <c r="G8" s="91">
        <f>'4'!G63</f>
        <v>136</v>
      </c>
      <c r="H8" s="91">
        <f>'5'!G63</f>
        <v>128</v>
      </c>
      <c r="I8" s="91">
        <f>'6'!G63</f>
        <v>132</v>
      </c>
      <c r="J8" s="91">
        <f>'7'!G63</f>
        <v>124</v>
      </c>
      <c r="K8" s="91">
        <f>'8'!G63</f>
        <v>103</v>
      </c>
      <c r="L8" s="91">
        <f>'9'!G63</f>
        <v>90</v>
      </c>
      <c r="M8" s="91">
        <f>'10'!G63</f>
        <v>129</v>
      </c>
      <c r="N8" s="91">
        <f>'11'!G63</f>
        <v>136</v>
      </c>
      <c r="O8" s="91">
        <f>'12'!G63</f>
        <v>182</v>
      </c>
      <c r="P8" s="91">
        <f>'13'!G63</f>
        <v>140</v>
      </c>
      <c r="Q8" s="91">
        <f>'14'!G63</f>
        <v>49</v>
      </c>
      <c r="R8" s="91">
        <f>'15'!G63</f>
        <v>95</v>
      </c>
      <c r="S8" s="91">
        <f>'16'!G63</f>
        <v>91</v>
      </c>
      <c r="T8" s="91">
        <f>'17'!G63</f>
        <v>84</v>
      </c>
      <c r="U8" s="91">
        <f>'18 '!G63</f>
        <v>124</v>
      </c>
      <c r="V8" s="91">
        <f>'19'!G63</f>
        <v>93</v>
      </c>
      <c r="W8" s="91">
        <f>'20'!G63</f>
        <v>105</v>
      </c>
      <c r="X8" s="91">
        <f>'21'!G63</f>
        <v>96</v>
      </c>
      <c r="Y8" s="91">
        <f>'22'!G63</f>
        <v>108</v>
      </c>
      <c r="Z8" s="91">
        <f>'23'!G63</f>
        <v>126</v>
      </c>
      <c r="AA8" s="91">
        <f>'24'!G63</f>
        <v>68</v>
      </c>
      <c r="AB8" s="91">
        <f>'25'!G63</f>
        <v>164</v>
      </c>
      <c r="AC8" s="91">
        <f>'26'!G63</f>
        <v>127</v>
      </c>
      <c r="AD8" s="91">
        <f>'27'!G63</f>
        <v>150</v>
      </c>
      <c r="AE8" s="91">
        <f>'28'!G63</f>
        <v>139</v>
      </c>
      <c r="AF8" s="91">
        <f>'29'!G63</f>
        <v>139</v>
      </c>
      <c r="AG8" s="91">
        <f>'30'!G63</f>
        <v>73</v>
      </c>
      <c r="AH8" s="91">
        <f>'31'!G63</f>
        <v>167</v>
      </c>
      <c r="AI8" s="90"/>
    </row>
    <row r="9" spans="2:35" x14ac:dyDescent="0.25">
      <c r="B9" s="751" t="s">
        <v>71</v>
      </c>
      <c r="C9" s="90" t="s">
        <v>31</v>
      </c>
      <c r="D9" s="91">
        <f>'1'!G65</f>
        <v>71</v>
      </c>
      <c r="E9" s="91">
        <f>'2'!G65</f>
        <v>71</v>
      </c>
      <c r="F9" s="91">
        <f>'3'!G65</f>
        <v>94</v>
      </c>
      <c r="G9" s="91">
        <f>'4'!G65</f>
        <v>87</v>
      </c>
      <c r="H9" s="91">
        <f>'5'!G65</f>
        <v>100</v>
      </c>
      <c r="I9" s="91">
        <f>'6'!G65</f>
        <v>110</v>
      </c>
      <c r="J9" s="91">
        <f>'7'!G65</f>
        <v>96</v>
      </c>
      <c r="K9" s="91">
        <f>'8'!G65</f>
        <v>106</v>
      </c>
      <c r="L9" s="91">
        <f>'9'!G65</f>
        <v>103</v>
      </c>
      <c r="M9" s="91">
        <f>'10'!G65</f>
        <v>105</v>
      </c>
      <c r="N9" s="91">
        <f>'11'!G65</f>
        <v>104</v>
      </c>
      <c r="O9" s="91">
        <f>'12'!G65</f>
        <v>126</v>
      </c>
      <c r="P9" s="91">
        <f>'13'!G65</f>
        <v>112</v>
      </c>
      <c r="Q9" s="91">
        <f>'14'!G65</f>
        <v>-2613</v>
      </c>
      <c r="R9" s="91">
        <f>'15'!G65</f>
        <v>70</v>
      </c>
      <c r="S9" s="91">
        <f>'16'!G65</f>
        <v>62</v>
      </c>
      <c r="T9" s="91">
        <f>'17'!G65</f>
        <v>65</v>
      </c>
      <c r="U9" s="91">
        <f>'18 '!G65</f>
        <v>64</v>
      </c>
      <c r="V9" s="91">
        <f>'19'!G65</f>
        <v>63</v>
      </c>
      <c r="W9" s="91">
        <f>'20'!G65</f>
        <v>72</v>
      </c>
      <c r="X9" s="91">
        <f>'21'!G65</f>
        <v>72</v>
      </c>
      <c r="Y9" s="91">
        <f>'22'!G65</f>
        <v>75</v>
      </c>
      <c r="Z9" s="91">
        <f>'23'!G65</f>
        <v>88</v>
      </c>
      <c r="AA9" s="91">
        <f>'24'!G65</f>
        <v>103</v>
      </c>
      <c r="AB9" s="91">
        <f>'25'!G65</f>
        <v>86</v>
      </c>
      <c r="AC9" s="91">
        <f>'26'!G65</f>
        <v>84</v>
      </c>
      <c r="AD9" s="91">
        <f>'27'!G65</f>
        <v>97</v>
      </c>
      <c r="AE9" s="91">
        <f>'28'!G65</f>
        <v>89</v>
      </c>
      <c r="AF9" s="91">
        <f>'29'!G65</f>
        <v>84</v>
      </c>
      <c r="AG9" s="91">
        <f>'30'!G65</f>
        <v>80</v>
      </c>
      <c r="AH9" s="91">
        <f>'31'!G65</f>
        <v>74</v>
      </c>
      <c r="AI9" s="90"/>
    </row>
    <row r="10" spans="2:35" x14ac:dyDescent="0.25">
      <c r="B10" s="751"/>
      <c r="C10" s="90" t="s">
        <v>32</v>
      </c>
      <c r="D10" s="91">
        <f>'1'!G66</f>
        <v>17</v>
      </c>
      <c r="E10" s="91">
        <f>'2'!G66</f>
        <v>20</v>
      </c>
      <c r="F10" s="91">
        <f>'3'!G66</f>
        <v>22</v>
      </c>
      <c r="G10" s="91">
        <f>'4'!G66</f>
        <v>30</v>
      </c>
      <c r="H10" s="91">
        <f>'5'!G66</f>
        <v>48</v>
      </c>
      <c r="I10" s="91">
        <f>'6'!G66</f>
        <v>26</v>
      </c>
      <c r="J10" s="91">
        <f>'7'!G66</f>
        <v>21</v>
      </c>
      <c r="K10" s="91">
        <f>'8'!G66</f>
        <v>19</v>
      </c>
      <c r="L10" s="91">
        <f>'9'!G66</f>
        <v>20</v>
      </c>
      <c r="M10" s="91">
        <f>'10'!G66</f>
        <v>20</v>
      </c>
      <c r="N10" s="91">
        <f>'11'!G66</f>
        <v>31</v>
      </c>
      <c r="O10" s="91">
        <f>'12'!G66</f>
        <v>28</v>
      </c>
      <c r="P10" s="91">
        <f>'13'!G66</f>
        <v>27</v>
      </c>
      <c r="Q10" s="91">
        <f>'14'!G66</f>
        <v>-617</v>
      </c>
      <c r="R10" s="91">
        <f>'15'!G66</f>
        <v>17</v>
      </c>
      <c r="S10" s="91">
        <f>'16'!G66</f>
        <v>21</v>
      </c>
      <c r="T10" s="91">
        <f>'17'!G66</f>
        <v>15</v>
      </c>
      <c r="U10" s="91">
        <f>'18 '!G66</f>
        <v>11</v>
      </c>
      <c r="V10" s="91">
        <f>'19'!G66</f>
        <v>15</v>
      </c>
      <c r="W10" s="91">
        <f>'20'!G66</f>
        <v>10</v>
      </c>
      <c r="X10" s="91">
        <f>'21'!G66</f>
        <v>12</v>
      </c>
      <c r="Y10" s="91">
        <f>'22'!G66</f>
        <v>14</v>
      </c>
      <c r="Z10" s="91">
        <f>'23'!G66</f>
        <v>23</v>
      </c>
      <c r="AA10" s="91">
        <f>'24'!G66</f>
        <v>14</v>
      </c>
      <c r="AB10" s="91">
        <f>'25'!G66</f>
        <v>11</v>
      </c>
      <c r="AC10" s="91">
        <f>'26'!G66</f>
        <v>19</v>
      </c>
      <c r="AD10" s="91">
        <f>'27'!G66</f>
        <v>25</v>
      </c>
      <c r="AE10" s="91">
        <f>'28'!G66</f>
        <v>17</v>
      </c>
      <c r="AF10" s="91">
        <f>'29'!G66</f>
        <v>22</v>
      </c>
      <c r="AG10" s="91">
        <f>'30'!G66</f>
        <v>27</v>
      </c>
      <c r="AH10" s="91">
        <f>'31'!G66</f>
        <v>15</v>
      </c>
      <c r="AI10" s="90"/>
    </row>
    <row r="11" spans="2:35" x14ac:dyDescent="0.25">
      <c r="B11" s="751"/>
      <c r="C11" s="90" t="s">
        <v>33</v>
      </c>
      <c r="D11" s="91">
        <f>'1'!G67</f>
        <v>14</v>
      </c>
      <c r="E11" s="91">
        <f>'2'!G67</f>
        <v>20</v>
      </c>
      <c r="F11" s="91">
        <f>'3'!G67</f>
        <v>20</v>
      </c>
      <c r="G11" s="91">
        <f>'4'!G67</f>
        <v>25</v>
      </c>
      <c r="H11" s="91">
        <f>'5'!G67</f>
        <v>26</v>
      </c>
      <c r="I11" s="91">
        <f>'6'!G67</f>
        <v>31</v>
      </c>
      <c r="J11" s="91">
        <f>'7'!G67</f>
        <v>30</v>
      </c>
      <c r="K11" s="91">
        <f>'8'!G67</f>
        <v>16</v>
      </c>
      <c r="L11" s="91">
        <f>'9'!G67</f>
        <v>55</v>
      </c>
      <c r="M11" s="91">
        <f>'10'!G67</f>
        <v>65</v>
      </c>
      <c r="N11" s="91">
        <f>'11'!G67</f>
        <v>65</v>
      </c>
      <c r="O11" s="91">
        <f>'12'!G67</f>
        <v>66</v>
      </c>
      <c r="P11" s="91">
        <f>'13'!G67</f>
        <v>71</v>
      </c>
      <c r="Q11" s="91">
        <f>'14'!G67</f>
        <v>-898</v>
      </c>
      <c r="R11" s="91">
        <f>'15'!G67</f>
        <v>23</v>
      </c>
      <c r="S11" s="91">
        <f>'16'!G67</f>
        <v>26</v>
      </c>
      <c r="T11" s="91">
        <f>'17'!G67</f>
        <v>19</v>
      </c>
      <c r="U11" s="91">
        <f>'18 '!G67</f>
        <v>22</v>
      </c>
      <c r="V11" s="91">
        <f>'19'!G67</f>
        <v>23</v>
      </c>
      <c r="W11" s="91">
        <f>'20'!G67</f>
        <v>23</v>
      </c>
      <c r="X11" s="91">
        <f>'21'!G67</f>
        <v>20</v>
      </c>
      <c r="Y11" s="91">
        <f>'22'!G67</f>
        <v>20</v>
      </c>
      <c r="Z11" s="91">
        <f>'23'!G67</f>
        <v>25</v>
      </c>
      <c r="AA11" s="91">
        <f>'24'!G67</f>
        <v>25</v>
      </c>
      <c r="AB11" s="91">
        <f>'25'!G67</f>
        <v>20</v>
      </c>
      <c r="AC11" s="91">
        <f>'26'!G67</f>
        <v>26</v>
      </c>
      <c r="AD11" s="91">
        <f>'27'!G67</f>
        <v>22</v>
      </c>
      <c r="AE11" s="91">
        <f>'28'!G67</f>
        <v>23</v>
      </c>
      <c r="AF11" s="91">
        <f>'29'!G67</f>
        <v>25</v>
      </c>
      <c r="AG11" s="91">
        <f>'30'!G67</f>
        <v>32</v>
      </c>
      <c r="AH11" s="91">
        <f>'31'!G67</f>
        <v>20</v>
      </c>
      <c r="AI11" s="90"/>
    </row>
    <row r="12" spans="2:35" x14ac:dyDescent="0.2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 x14ac:dyDescent="0.25">
      <c r="B13" s="751" t="s">
        <v>72</v>
      </c>
      <c r="C13" s="90" t="s">
        <v>31</v>
      </c>
      <c r="D13" s="91">
        <f>'1'!G68</f>
        <v>39</v>
      </c>
      <c r="E13" s="91">
        <f>'2'!G68</f>
        <v>30</v>
      </c>
      <c r="F13" s="91">
        <f>'3'!G68</f>
        <v>28</v>
      </c>
      <c r="G13" s="91">
        <f>'4'!G68</f>
        <v>28</v>
      </c>
      <c r="H13" s="91">
        <f>'5'!G68</f>
        <v>33</v>
      </c>
      <c r="I13" s="91">
        <f>'6'!G68</f>
        <v>56</v>
      </c>
      <c r="J13" s="91">
        <f>'7'!G68</f>
        <v>43</v>
      </c>
      <c r="K13" s="91">
        <f>'8'!G68</f>
        <v>30</v>
      </c>
      <c r="L13" s="91">
        <f>'9'!G68</f>
        <v>37</v>
      </c>
      <c r="M13" s="91">
        <f>'10'!G68</f>
        <v>40</v>
      </c>
      <c r="N13" s="91">
        <f>'11'!G68</f>
        <v>53</v>
      </c>
      <c r="O13" s="91">
        <f>'12'!G68</f>
        <v>52</v>
      </c>
      <c r="P13" s="91">
        <f>'13'!G68</f>
        <v>32</v>
      </c>
      <c r="Q13" s="91">
        <f>'14'!G68</f>
        <v>-1215</v>
      </c>
      <c r="R13" s="91">
        <f>'15'!G68</f>
        <v>23</v>
      </c>
      <c r="S13" s="91">
        <f>'16'!G68</f>
        <v>31</v>
      </c>
      <c r="T13" s="91">
        <f>'17'!G68</f>
        <v>21</v>
      </c>
      <c r="U13" s="91">
        <f>'18 '!G68</f>
        <v>55</v>
      </c>
      <c r="V13" s="91">
        <f>'19'!G68</f>
        <v>30</v>
      </c>
      <c r="W13" s="91">
        <f>'20'!G68</f>
        <v>50</v>
      </c>
      <c r="X13" s="91">
        <f>'21'!G68</f>
        <v>34</v>
      </c>
      <c r="Y13" s="91">
        <f>'22'!G68</f>
        <v>45</v>
      </c>
      <c r="Z13" s="91">
        <f>'23'!G68</f>
        <v>42</v>
      </c>
      <c r="AA13" s="504">
        <f>'24'!G68</f>
        <v>33</v>
      </c>
      <c r="AB13" s="91">
        <f>'25'!G68</f>
        <v>73</v>
      </c>
      <c r="AC13" s="91">
        <f>'26'!G68</f>
        <v>50</v>
      </c>
      <c r="AD13" s="91">
        <f>'27'!G68</f>
        <v>57</v>
      </c>
      <c r="AE13" s="91">
        <f>'28'!G68</f>
        <v>68</v>
      </c>
      <c r="AF13" s="91">
        <f>'29'!G68</f>
        <v>48</v>
      </c>
      <c r="AG13" s="91">
        <f>'30'!G68</f>
        <v>25</v>
      </c>
      <c r="AH13" s="91">
        <f>'31'!G68</f>
        <v>29</v>
      </c>
      <c r="AI13" s="90"/>
    </row>
    <row r="14" spans="2:35" x14ac:dyDescent="0.25">
      <c r="B14" s="751"/>
      <c r="C14" s="90" t="s">
        <v>32</v>
      </c>
      <c r="D14" s="91">
        <f>'1'!G69</f>
        <v>9</v>
      </c>
      <c r="E14" s="91">
        <f>'2'!G69</f>
        <v>19</v>
      </c>
      <c r="F14" s="91">
        <f>'3'!G69</f>
        <v>9</v>
      </c>
      <c r="G14" s="91">
        <f>'4'!G69</f>
        <v>7</v>
      </c>
      <c r="H14" s="91">
        <f>'5'!G69</f>
        <v>8</v>
      </c>
      <c r="I14" s="91">
        <f>'6'!G69</f>
        <v>11</v>
      </c>
      <c r="J14" s="91">
        <f>'7'!G69</f>
        <v>15</v>
      </c>
      <c r="K14" s="91">
        <f>'8'!G69</f>
        <v>10</v>
      </c>
      <c r="L14" s="91">
        <f>'9'!G69</f>
        <v>9</v>
      </c>
      <c r="M14" s="91">
        <f>'10'!G69</f>
        <v>18</v>
      </c>
      <c r="N14" s="91">
        <f>'11'!G69</f>
        <v>32</v>
      </c>
      <c r="O14" s="91">
        <f>'12'!G69</f>
        <v>14</v>
      </c>
      <c r="P14" s="91">
        <f>'13'!G69</f>
        <v>11</v>
      </c>
      <c r="Q14" s="91">
        <f>'14'!G69</f>
        <v>-361</v>
      </c>
      <c r="R14" s="91">
        <f>'15'!G69</f>
        <v>11</v>
      </c>
      <c r="S14" s="91">
        <f>'16'!G69</f>
        <v>6</v>
      </c>
      <c r="T14" s="91">
        <f>'17'!G69</f>
        <v>8</v>
      </c>
      <c r="U14" s="91">
        <f>'18 '!G69</f>
        <v>12</v>
      </c>
      <c r="V14" s="91">
        <f>'19'!G69</f>
        <v>8</v>
      </c>
      <c r="W14" s="91">
        <f>'20'!G69</f>
        <v>14</v>
      </c>
      <c r="X14" s="91">
        <f>'21'!G69</f>
        <v>8</v>
      </c>
      <c r="Y14" s="91">
        <f>'22'!G69</f>
        <v>8</v>
      </c>
      <c r="Z14" s="91">
        <f>'23'!G69</f>
        <v>31</v>
      </c>
      <c r="AA14" s="91">
        <f>'24'!G69</f>
        <v>31</v>
      </c>
      <c r="AB14" s="91">
        <f>'25'!G69</f>
        <v>5</v>
      </c>
      <c r="AC14" s="91">
        <f>'26'!G69</f>
        <v>8</v>
      </c>
      <c r="AD14" s="91">
        <f>'27'!G69</f>
        <v>9</v>
      </c>
      <c r="AE14" s="91">
        <f>'28'!G69</f>
        <v>6</v>
      </c>
      <c r="AF14" s="91">
        <f>'29'!G69</f>
        <v>7</v>
      </c>
      <c r="AG14" s="91">
        <f>'30'!G69</f>
        <v>8</v>
      </c>
      <c r="AH14" s="91">
        <f>'31'!G69</f>
        <v>9</v>
      </c>
      <c r="AI14" s="90"/>
    </row>
    <row r="15" spans="2:35" x14ac:dyDescent="0.25">
      <c r="B15" s="751"/>
      <c r="C15" s="90" t="s">
        <v>33</v>
      </c>
      <c r="D15" s="91">
        <f>'1'!G70</f>
        <v>8</v>
      </c>
      <c r="E15" s="91">
        <f>'2'!G70</f>
        <v>10</v>
      </c>
      <c r="F15" s="91">
        <f>'3'!G70</f>
        <v>9</v>
      </c>
      <c r="G15" s="91">
        <f>'4'!G70</f>
        <v>9</v>
      </c>
      <c r="H15" s="91">
        <f>'5'!G70</f>
        <v>9</v>
      </c>
      <c r="I15" s="91">
        <f>'6'!G70</f>
        <v>9</v>
      </c>
      <c r="J15" s="91">
        <f>'7'!G70</f>
        <v>23</v>
      </c>
      <c r="K15" s="91">
        <f>'8'!G70</f>
        <v>33</v>
      </c>
      <c r="L15" s="91">
        <f>'9'!G70</f>
        <v>14</v>
      </c>
      <c r="M15" s="91">
        <f>'10'!G70</f>
        <v>8</v>
      </c>
      <c r="N15" s="91">
        <f>'11'!G70</f>
        <v>12</v>
      </c>
      <c r="O15" s="91">
        <f>'12'!G70</f>
        <v>5</v>
      </c>
      <c r="P15" s="91">
        <f>'13'!G70</f>
        <v>8</v>
      </c>
      <c r="Q15" s="91">
        <f>'14'!G70</f>
        <v>-307</v>
      </c>
      <c r="R15" s="91">
        <f>'15'!G70</f>
        <v>7</v>
      </c>
      <c r="S15" s="91">
        <f>'16'!G70</f>
        <v>7</v>
      </c>
      <c r="T15" s="91">
        <f>'17'!G70</f>
        <v>7</v>
      </c>
      <c r="U15" s="91">
        <f>'18 '!G70</f>
        <v>4</v>
      </c>
      <c r="V15" s="91">
        <f>'19'!G70</f>
        <v>6.1000000000003638</v>
      </c>
      <c r="W15" s="91">
        <f>'20'!G70</f>
        <v>4.8999999999996362</v>
      </c>
      <c r="X15" s="91">
        <f>'21'!G70</f>
        <v>4</v>
      </c>
      <c r="Y15" s="91">
        <f>'22'!G70</f>
        <v>6</v>
      </c>
      <c r="Z15" s="91">
        <f>'23'!G70</f>
        <v>6</v>
      </c>
      <c r="AA15" s="91">
        <f>'24'!G70</f>
        <v>8</v>
      </c>
      <c r="AB15" s="91">
        <f>'25'!G70</f>
        <v>12</v>
      </c>
      <c r="AC15" s="91">
        <f>'26'!G70</f>
        <v>13</v>
      </c>
      <c r="AD15" s="91">
        <f>'27'!G70</f>
        <v>11</v>
      </c>
      <c r="AE15" s="91">
        <f>'28'!G70</f>
        <v>9</v>
      </c>
      <c r="AF15" s="91">
        <f>'29'!G70</f>
        <v>15</v>
      </c>
      <c r="AG15" s="91">
        <f>'30'!G70</f>
        <v>22</v>
      </c>
      <c r="AH15" s="91">
        <f>'31'!G70</f>
        <v>8</v>
      </c>
      <c r="AI15" s="90"/>
    </row>
    <row r="16" spans="2:35" x14ac:dyDescent="0.2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 x14ac:dyDescent="0.25">
      <c r="B17" s="751" t="s">
        <v>73</v>
      </c>
      <c r="C17" s="90" t="s">
        <v>74</v>
      </c>
      <c r="D17" s="90">
        <f>'1'!G173</f>
        <v>0</v>
      </c>
      <c r="E17" s="91">
        <f>'2'!G173</f>
        <v>0</v>
      </c>
      <c r="F17" s="91">
        <f>'3'!G173</f>
        <v>0</v>
      </c>
      <c r="G17" s="91">
        <f>'4'!G173</f>
        <v>0</v>
      </c>
      <c r="H17" s="91">
        <f>'5'!G173</f>
        <v>0</v>
      </c>
      <c r="I17" s="91">
        <f>'6'!G173</f>
        <v>0</v>
      </c>
      <c r="J17" s="91">
        <f>'7'!G173</f>
        <v>0</v>
      </c>
      <c r="K17" s="91">
        <f>'8'!G173</f>
        <v>0</v>
      </c>
      <c r="L17" s="91">
        <f>'9'!G173</f>
        <v>5</v>
      </c>
      <c r="M17" s="91">
        <f>'10'!G173</f>
        <v>1</v>
      </c>
      <c r="N17" s="91">
        <f>'11'!G173</f>
        <v>0</v>
      </c>
      <c r="O17" s="91">
        <f>'12'!G173</f>
        <v>0</v>
      </c>
      <c r="P17" s="91">
        <f>'13'!G173</f>
        <v>0</v>
      </c>
      <c r="Q17" s="91">
        <f>'14'!G173</f>
        <v>-6</v>
      </c>
      <c r="R17" s="91">
        <f>'15'!G173</f>
        <v>0</v>
      </c>
      <c r="S17" s="91">
        <f>'16'!G173</f>
        <v>0</v>
      </c>
      <c r="T17" s="91">
        <f>'17'!G173</f>
        <v>0</v>
      </c>
      <c r="U17" s="91">
        <f>'18 '!G173</f>
        <v>0</v>
      </c>
      <c r="V17" s="91">
        <f>'19'!G173</f>
        <v>0</v>
      </c>
      <c r="W17" s="91">
        <f>'20'!G173</f>
        <v>0</v>
      </c>
      <c r="X17" s="91">
        <f>'21'!G173</f>
        <v>0</v>
      </c>
      <c r="Y17" s="91">
        <f>'22'!G173</f>
        <v>0</v>
      </c>
      <c r="Z17" s="91">
        <f>'23'!G173</f>
        <v>0</v>
      </c>
      <c r="AA17" s="91">
        <f>'24'!G173</f>
        <v>0</v>
      </c>
      <c r="AB17" s="91">
        <f>'25'!G173</f>
        <v>0</v>
      </c>
      <c r="AC17" s="91">
        <f>'26'!G173</f>
        <v>0</v>
      </c>
      <c r="AD17" s="91">
        <f>'27'!G173</f>
        <v>0</v>
      </c>
      <c r="AE17" s="91">
        <f>'28'!G173</f>
        <v>0</v>
      </c>
      <c r="AF17" s="91">
        <f>'29'!G173</f>
        <v>0</v>
      </c>
      <c r="AG17" s="91">
        <f>'30'!G173</f>
        <v>0</v>
      </c>
      <c r="AH17" s="91">
        <f>'31'!G173</f>
        <v>0</v>
      </c>
      <c r="AI17" s="90"/>
    </row>
    <row r="18" spans="2:35" x14ac:dyDescent="0.25">
      <c r="B18" s="751"/>
      <c r="C18" s="90" t="s">
        <v>75</v>
      </c>
      <c r="D18" s="90">
        <f>'1'!G174</f>
        <v>11</v>
      </c>
      <c r="E18" s="91">
        <f>'2'!G174</f>
        <v>11</v>
      </c>
      <c r="F18" s="91">
        <f>'3'!G174</f>
        <v>12</v>
      </c>
      <c r="G18" s="91">
        <f>'4'!G174</f>
        <v>12</v>
      </c>
      <c r="H18" s="91">
        <f>'5'!G174</f>
        <v>15</v>
      </c>
      <c r="I18" s="91">
        <f>'6'!G174</f>
        <v>16</v>
      </c>
      <c r="J18" s="91">
        <f>'7'!G174</f>
        <v>14</v>
      </c>
      <c r="K18" s="91">
        <f>'8'!G174</f>
        <v>17</v>
      </c>
      <c r="L18" s="91">
        <f>'9'!G174</f>
        <v>12</v>
      </c>
      <c r="M18" s="91">
        <f>'10'!G174</f>
        <v>14</v>
      </c>
      <c r="N18" s="91">
        <f>'11'!G174</f>
        <v>12</v>
      </c>
      <c r="O18" s="91">
        <f>'12'!G174</f>
        <v>17</v>
      </c>
      <c r="P18" s="91">
        <f>'13'!G174</f>
        <v>12</v>
      </c>
      <c r="Q18" s="91">
        <f>'14'!G174</f>
        <v>5</v>
      </c>
      <c r="R18" s="91">
        <f>'15'!G174</f>
        <v>10</v>
      </c>
      <c r="S18" s="91">
        <f>'16'!G174</f>
        <v>13</v>
      </c>
      <c r="T18" s="91">
        <f>'17'!G174</f>
        <v>0</v>
      </c>
      <c r="U18" s="91">
        <f>'18 '!G174</f>
        <v>13</v>
      </c>
      <c r="V18" s="91">
        <f>'19'!G174</f>
        <v>9</v>
      </c>
      <c r="W18" s="91">
        <f>'20'!G174</f>
        <v>12</v>
      </c>
      <c r="X18" s="91">
        <f>'21'!G174</f>
        <v>11</v>
      </c>
      <c r="Y18" s="91">
        <f>'22'!G174</f>
        <v>12</v>
      </c>
      <c r="Z18" s="91">
        <f>'23'!G174</f>
        <v>13</v>
      </c>
      <c r="AA18" s="91">
        <f>'24'!G174</f>
        <v>14</v>
      </c>
      <c r="AB18" s="91">
        <f>'25'!G174</f>
        <v>8</v>
      </c>
      <c r="AC18" s="91">
        <f>'26'!G174</f>
        <v>12</v>
      </c>
      <c r="AD18" s="91">
        <f>'27'!G174</f>
        <v>13</v>
      </c>
      <c r="AE18" s="91">
        <f>'28'!G174</f>
        <v>15</v>
      </c>
      <c r="AF18" s="91">
        <f>'29'!G174</f>
        <v>13</v>
      </c>
      <c r="AG18" s="91">
        <f>'30'!G174</f>
        <v>14</v>
      </c>
      <c r="AH18" s="91">
        <f>'31'!G174</f>
        <v>12</v>
      </c>
      <c r="AI18" s="90"/>
    </row>
    <row r="19" spans="2:35" x14ac:dyDescent="0.25">
      <c r="B19" s="751"/>
      <c r="C19" s="90" t="s">
        <v>76</v>
      </c>
      <c r="D19" s="90">
        <f>'1'!G175</f>
        <v>10</v>
      </c>
      <c r="E19" s="91">
        <f>'2'!G175</f>
        <v>9</v>
      </c>
      <c r="F19" s="91">
        <f>'3'!G175</f>
        <v>9</v>
      </c>
      <c r="G19" s="91">
        <f>'4'!G175</f>
        <v>10</v>
      </c>
      <c r="H19" s="91">
        <f>'5'!G175</f>
        <v>11</v>
      </c>
      <c r="I19" s="91">
        <f>'6'!G175</f>
        <v>11</v>
      </c>
      <c r="J19" s="91">
        <f>'7'!G175</f>
        <v>10</v>
      </c>
      <c r="K19" s="91">
        <f>'8'!G175</f>
        <v>12</v>
      </c>
      <c r="L19" s="91">
        <f>'9'!G175</f>
        <v>12</v>
      </c>
      <c r="M19" s="91">
        <f>'10'!G175</f>
        <v>12</v>
      </c>
      <c r="N19" s="91">
        <f>'11'!G175</f>
        <v>12</v>
      </c>
      <c r="O19" s="91">
        <f>'12'!G175</f>
        <v>14</v>
      </c>
      <c r="P19" s="91">
        <f>'13'!G175</f>
        <v>13</v>
      </c>
      <c r="Q19" s="91">
        <f>'14'!G175</f>
        <v>-315</v>
      </c>
      <c r="R19" s="91">
        <f>'15'!G175</f>
        <v>13</v>
      </c>
      <c r="S19" s="91">
        <f>'16'!G175</f>
        <v>10</v>
      </c>
      <c r="T19" s="91">
        <f>'17'!G175</f>
        <v>7</v>
      </c>
      <c r="U19" s="91">
        <f>'18 '!G175</f>
        <v>10</v>
      </c>
      <c r="V19" s="91">
        <f>'19'!G175</f>
        <v>9</v>
      </c>
      <c r="W19" s="91">
        <f>'20'!G175</f>
        <v>12</v>
      </c>
      <c r="X19" s="91">
        <f>'21'!G175</f>
        <v>10</v>
      </c>
      <c r="Y19" s="91">
        <f>'22'!G175</f>
        <v>10</v>
      </c>
      <c r="Z19" s="91">
        <f>'23'!G175</f>
        <v>11</v>
      </c>
      <c r="AA19" s="91">
        <f>'24'!G175</f>
        <v>10</v>
      </c>
      <c r="AB19" s="91">
        <f>'25'!G175</f>
        <v>8</v>
      </c>
      <c r="AC19" s="91">
        <f>'26'!G175</f>
        <v>10</v>
      </c>
      <c r="AD19" s="91">
        <f>'27'!G175</f>
        <v>11</v>
      </c>
      <c r="AE19" s="91">
        <f>'28'!G175</f>
        <v>9</v>
      </c>
      <c r="AF19" s="91">
        <f>'29'!G175</f>
        <v>12</v>
      </c>
      <c r="AG19" s="91">
        <f>'30'!G175</f>
        <v>8</v>
      </c>
      <c r="AH19" s="91">
        <f>'31'!G175</f>
        <v>10</v>
      </c>
      <c r="AI19" s="90"/>
    </row>
    <row r="20" spans="2:35" x14ac:dyDescent="0.2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 x14ac:dyDescent="0.25">
      <c r="B21" s="751" t="s">
        <v>77</v>
      </c>
      <c r="C21" s="90" t="s">
        <v>78</v>
      </c>
      <c r="D21" s="90">
        <f>'1'!G178</f>
        <v>43</v>
      </c>
      <c r="E21" s="91">
        <f>'2'!G178</f>
        <v>90</v>
      </c>
      <c r="F21" s="91">
        <f>'3'!G178</f>
        <v>9</v>
      </c>
      <c r="G21" s="91">
        <f>'4'!G178</f>
        <v>87</v>
      </c>
      <c r="H21" s="91">
        <f>'5'!G178</f>
        <v>64</v>
      </c>
      <c r="I21" s="91">
        <f>'6'!G178</f>
        <v>41</v>
      </c>
      <c r="J21" s="91">
        <f>'7'!G178</f>
        <v>68</v>
      </c>
      <c r="K21" s="91">
        <f>'8'!G178</f>
        <v>46</v>
      </c>
      <c r="L21" s="91">
        <f>'9'!G178</f>
        <v>38</v>
      </c>
      <c r="M21" s="91">
        <f>'10'!G178</f>
        <v>47</v>
      </c>
      <c r="N21" s="91">
        <f>'11'!G178</f>
        <v>30</v>
      </c>
      <c r="O21" s="91">
        <f>'12'!G178</f>
        <v>95</v>
      </c>
      <c r="P21" s="91">
        <f>'13'!G178</f>
        <v>42</v>
      </c>
      <c r="Q21" s="91">
        <f>'14'!G178</f>
        <v>-1618</v>
      </c>
      <c r="R21" s="91">
        <f>'15'!G178</f>
        <v>72</v>
      </c>
      <c r="S21" s="91">
        <f>'16'!G178</f>
        <v>60</v>
      </c>
      <c r="T21" s="91">
        <f>'17'!G178</f>
        <v>60</v>
      </c>
      <c r="U21" s="91">
        <f>'18 '!G178</f>
        <v>64</v>
      </c>
      <c r="V21" s="91">
        <f>'19'!G178</f>
        <v>35</v>
      </c>
      <c r="W21" s="91">
        <f>'20'!G178</f>
        <v>41</v>
      </c>
      <c r="X21" s="91">
        <f>'21'!G178</f>
        <v>61</v>
      </c>
      <c r="Y21" s="91">
        <f>'22'!G178</f>
        <v>0</v>
      </c>
      <c r="Z21" s="91">
        <f>'23'!G178</f>
        <v>104</v>
      </c>
      <c r="AA21" s="91">
        <f>'24'!G178</f>
        <v>42</v>
      </c>
      <c r="AB21" s="91">
        <f>'25'!G178</f>
        <v>21</v>
      </c>
      <c r="AC21" s="91">
        <f>'26'!G178</f>
        <v>55</v>
      </c>
      <c r="AD21" s="91">
        <f>'27'!G178</f>
        <v>39</v>
      </c>
      <c r="AE21" s="91">
        <f>'28'!G178</f>
        <v>50</v>
      </c>
      <c r="AF21" s="91">
        <f>'29'!G178</f>
        <v>42</v>
      </c>
      <c r="AG21" s="91">
        <f>'30'!G178</f>
        <v>63</v>
      </c>
      <c r="AH21" s="91">
        <f>'31'!G178</f>
        <v>109</v>
      </c>
      <c r="AI21" s="90"/>
    </row>
    <row r="22" spans="2:35" x14ac:dyDescent="0.25">
      <c r="B22" s="751"/>
      <c r="C22" s="90" t="s">
        <v>79</v>
      </c>
      <c r="D22" s="90">
        <f>'1'!G179</f>
        <v>29</v>
      </c>
      <c r="E22" s="91">
        <f>'2'!G179</f>
        <v>37</v>
      </c>
      <c r="F22" s="91">
        <f>'3'!G179</f>
        <v>34</v>
      </c>
      <c r="G22" s="91">
        <f>'4'!G179</f>
        <v>23</v>
      </c>
      <c r="H22" s="91">
        <f>'5'!G179</f>
        <v>32</v>
      </c>
      <c r="I22" s="91">
        <f>'6'!G179</f>
        <v>70</v>
      </c>
      <c r="J22" s="91">
        <f>'7'!G179</f>
        <v>45</v>
      </c>
      <c r="K22" s="91">
        <f>'8'!G179</f>
        <v>25</v>
      </c>
      <c r="L22" s="91">
        <f>'9'!G179</f>
        <v>35</v>
      </c>
      <c r="M22" s="91">
        <f>'10'!G179</f>
        <v>0</v>
      </c>
      <c r="N22" s="91">
        <f>'11'!G179</f>
        <v>24</v>
      </c>
      <c r="O22" s="91">
        <f>'12'!G179</f>
        <v>20</v>
      </c>
      <c r="P22" s="91">
        <f>'13'!G179</f>
        <v>31</v>
      </c>
      <c r="Q22" s="91">
        <f>'14'!G179</f>
        <v>-1005</v>
      </c>
      <c r="R22" s="91">
        <f>'15'!G179</f>
        <v>20</v>
      </c>
      <c r="S22" s="91">
        <f>'16'!G179</f>
        <v>28</v>
      </c>
      <c r="T22" s="91">
        <f>'17'!G179</f>
        <v>27</v>
      </c>
      <c r="U22" s="91">
        <f>'18 '!G179</f>
        <v>54</v>
      </c>
      <c r="V22" s="91">
        <f>'19'!G179</f>
        <v>4</v>
      </c>
      <c r="W22" s="91">
        <f>'20'!G179</f>
        <v>0</v>
      </c>
      <c r="X22" s="91">
        <f>'21'!G179</f>
        <v>20</v>
      </c>
      <c r="Y22" s="91">
        <f>'22'!G179</f>
        <v>14</v>
      </c>
      <c r="Z22" s="91">
        <f>'23'!G179</f>
        <v>52</v>
      </c>
      <c r="AA22" s="91">
        <f>'24'!G179</f>
        <v>30</v>
      </c>
      <c r="AB22" s="91">
        <f>'25'!G179</f>
        <v>80</v>
      </c>
      <c r="AC22" s="91">
        <f>'26'!G179</f>
        <v>48</v>
      </c>
      <c r="AD22" s="91">
        <f>'27'!G179</f>
        <v>62</v>
      </c>
      <c r="AE22" s="91">
        <f>'28'!G179</f>
        <v>69</v>
      </c>
      <c r="AF22" s="91">
        <f>'29'!G179</f>
        <v>18</v>
      </c>
      <c r="AG22" s="91">
        <f>'30'!G179</f>
        <v>25</v>
      </c>
      <c r="AH22" s="91">
        <f>'31'!G179</f>
        <v>49</v>
      </c>
      <c r="AI22" s="90"/>
    </row>
    <row r="23" spans="2:35" x14ac:dyDescent="0.25">
      <c r="B23" s="751"/>
      <c r="C23" s="90" t="s">
        <v>80</v>
      </c>
      <c r="D23" s="90">
        <f>'1'!G180</f>
        <v>3</v>
      </c>
      <c r="E23" s="91">
        <f>'2'!G180</f>
        <v>5</v>
      </c>
      <c r="F23" s="91">
        <f>'3'!G180</f>
        <v>11</v>
      </c>
      <c r="G23" s="91">
        <f>'4'!G180</f>
        <v>10</v>
      </c>
      <c r="H23" s="91">
        <f>'5'!G180</f>
        <v>17</v>
      </c>
      <c r="I23" s="91">
        <f>'6'!G180</f>
        <v>0</v>
      </c>
      <c r="J23" s="91">
        <f>'7'!G180</f>
        <v>0</v>
      </c>
      <c r="K23" s="91">
        <f>'8'!G180</f>
        <v>17</v>
      </c>
      <c r="L23" s="91">
        <f>'9'!G180</f>
        <v>5</v>
      </c>
      <c r="M23" s="91">
        <f>'10'!G180</f>
        <v>0</v>
      </c>
      <c r="N23" s="91">
        <f>'11'!G180</f>
        <v>2</v>
      </c>
      <c r="O23" s="91">
        <f>'12'!G180</f>
        <v>10</v>
      </c>
      <c r="P23" s="91">
        <f>'13'!G180</f>
        <v>0</v>
      </c>
      <c r="Q23" s="91">
        <f>'14'!G180</f>
        <v>-201</v>
      </c>
      <c r="R23" s="91">
        <f>'15'!G180</f>
        <v>11</v>
      </c>
      <c r="S23" s="91">
        <f>'16'!G180</f>
        <v>3</v>
      </c>
      <c r="T23" s="91">
        <f>'17'!G180</f>
        <v>1</v>
      </c>
      <c r="U23" s="91">
        <f>'18 '!G180</f>
        <v>15</v>
      </c>
      <c r="V23" s="91">
        <f>'19'!G180</f>
        <v>0</v>
      </c>
      <c r="W23" s="91">
        <f>'20'!G180</f>
        <v>12</v>
      </c>
      <c r="X23" s="91">
        <f>'21'!G180</f>
        <v>14</v>
      </c>
      <c r="Y23" s="91">
        <f>'22'!G180</f>
        <v>5</v>
      </c>
      <c r="Z23" s="91">
        <f>'23'!G180</f>
        <v>2</v>
      </c>
      <c r="AA23" s="91">
        <f>'24'!G180</f>
        <v>7</v>
      </c>
      <c r="AB23" s="91">
        <f>'25'!G180</f>
        <v>7</v>
      </c>
      <c r="AC23" s="91">
        <f>'26'!G180</f>
        <v>0</v>
      </c>
      <c r="AD23" s="91">
        <f>'27'!G180</f>
        <v>14</v>
      </c>
      <c r="AE23" s="91">
        <f>'28'!G180</f>
        <v>3</v>
      </c>
      <c r="AF23" s="91">
        <f>'29'!G180</f>
        <v>15</v>
      </c>
      <c r="AG23" s="91">
        <f>'30'!G180</f>
        <v>3</v>
      </c>
      <c r="AH23" s="91">
        <f>'31'!G180</f>
        <v>9</v>
      </c>
      <c r="AI23" s="90"/>
    </row>
    <row r="24" spans="2:35" ht="30" x14ac:dyDescent="0.25">
      <c r="B24" s="93" t="s">
        <v>301</v>
      </c>
      <c r="C24" s="90"/>
      <c r="D24" s="91">
        <f>SUM(D5:D6)</f>
        <v>235</v>
      </c>
      <c r="E24" s="91">
        <f t="shared" ref="E24:AH24" si="0">SUM(E5:E6)</f>
        <v>183</v>
      </c>
      <c r="F24" s="91">
        <f t="shared" si="0"/>
        <v>233</v>
      </c>
      <c r="G24" s="91">
        <f t="shared" si="0"/>
        <v>261</v>
      </c>
      <c r="H24" s="91">
        <f t="shared" si="0"/>
        <v>294</v>
      </c>
      <c r="I24" s="91">
        <f t="shared" si="0"/>
        <v>275</v>
      </c>
      <c r="J24" s="91">
        <f t="shared" si="0"/>
        <v>242</v>
      </c>
      <c r="K24" s="91">
        <f t="shared" si="0"/>
        <v>232</v>
      </c>
      <c r="L24" s="91">
        <f t="shared" si="0"/>
        <v>256</v>
      </c>
      <c r="M24" s="91">
        <f t="shared" si="0"/>
        <v>317</v>
      </c>
      <c r="N24" s="91">
        <f t="shared" si="0"/>
        <v>316</v>
      </c>
      <c r="O24" s="91">
        <f t="shared" si="0"/>
        <v>339</v>
      </c>
      <c r="P24" s="91">
        <f t="shared" si="0"/>
        <v>296</v>
      </c>
      <c r="Q24" s="91">
        <f t="shared" si="0"/>
        <v>-1558</v>
      </c>
      <c r="R24" s="91">
        <f t="shared" si="0"/>
        <v>155</v>
      </c>
      <c r="S24" s="91">
        <f t="shared" si="0"/>
        <v>135</v>
      </c>
      <c r="T24" s="91">
        <f t="shared" si="0"/>
        <v>133</v>
      </c>
      <c r="U24" s="91">
        <f t="shared" si="0"/>
        <v>154</v>
      </c>
      <c r="V24" s="91">
        <f t="shared" si="0"/>
        <v>157</v>
      </c>
      <c r="W24" s="91">
        <f t="shared" si="0"/>
        <v>216</v>
      </c>
      <c r="X24" s="91">
        <f t="shared" si="0"/>
        <v>167</v>
      </c>
      <c r="Y24" s="91">
        <f t="shared" si="0"/>
        <v>176</v>
      </c>
      <c r="Z24" s="91">
        <f t="shared" si="0"/>
        <v>216</v>
      </c>
      <c r="AA24" s="91">
        <f>SUM(AA5:AA6)</f>
        <v>212</v>
      </c>
      <c r="AB24" s="91">
        <f t="shared" si="0"/>
        <v>190</v>
      </c>
      <c r="AC24" s="91">
        <f t="shared" si="0"/>
        <v>175</v>
      </c>
      <c r="AD24" s="91">
        <f t="shared" si="0"/>
        <v>177</v>
      </c>
      <c r="AE24" s="91">
        <f t="shared" si="0"/>
        <v>92</v>
      </c>
      <c r="AF24" s="91">
        <f t="shared" si="0"/>
        <v>312</v>
      </c>
      <c r="AG24" s="91">
        <f t="shared" si="0"/>
        <v>226</v>
      </c>
      <c r="AH24" s="91">
        <f t="shared" si="0"/>
        <v>146</v>
      </c>
      <c r="AI24" s="90"/>
    </row>
    <row r="25" spans="2:35" ht="30" x14ac:dyDescent="0.25">
      <c r="B25" s="93" t="s">
        <v>81</v>
      </c>
      <c r="C25" s="90"/>
      <c r="D25" s="91">
        <f>SUM(D9:D11,D14:D15,)</f>
        <v>119</v>
      </c>
      <c r="E25" s="91">
        <f t="shared" ref="E25:AI25" si="1">SUM(E9:E11,E14:E15,)</f>
        <v>140</v>
      </c>
      <c r="F25" s="91">
        <f t="shared" si="1"/>
        <v>154</v>
      </c>
      <c r="G25" s="91">
        <f t="shared" si="1"/>
        <v>158</v>
      </c>
      <c r="H25" s="91">
        <f t="shared" si="1"/>
        <v>191</v>
      </c>
      <c r="I25" s="91">
        <f t="shared" si="1"/>
        <v>187</v>
      </c>
      <c r="J25" s="91">
        <f t="shared" si="1"/>
        <v>185</v>
      </c>
      <c r="K25" s="91">
        <f>SUM(K9:K11,K14:K15,)</f>
        <v>184</v>
      </c>
      <c r="L25" s="91">
        <f t="shared" si="1"/>
        <v>201</v>
      </c>
      <c r="M25" s="91">
        <f t="shared" si="1"/>
        <v>216</v>
      </c>
      <c r="N25" s="91">
        <f t="shared" si="1"/>
        <v>244</v>
      </c>
      <c r="O25" s="91">
        <f t="shared" si="1"/>
        <v>239</v>
      </c>
      <c r="P25" s="91">
        <f t="shared" si="1"/>
        <v>229</v>
      </c>
      <c r="Q25" s="91">
        <f t="shared" si="1"/>
        <v>-4796</v>
      </c>
      <c r="R25" s="91">
        <f t="shared" si="1"/>
        <v>128</v>
      </c>
      <c r="S25" s="91">
        <f t="shared" si="1"/>
        <v>122</v>
      </c>
      <c r="T25" s="91">
        <f>SUM(T9:T11,T14:T15,)</f>
        <v>114</v>
      </c>
      <c r="U25" s="91">
        <f t="shared" si="1"/>
        <v>113</v>
      </c>
      <c r="V25" s="91">
        <f t="shared" si="1"/>
        <v>115.10000000000036</v>
      </c>
      <c r="W25" s="91">
        <f t="shared" si="1"/>
        <v>123.89999999999964</v>
      </c>
      <c r="X25" s="91">
        <f t="shared" si="1"/>
        <v>116</v>
      </c>
      <c r="Y25" s="91">
        <f t="shared" si="1"/>
        <v>123</v>
      </c>
      <c r="Z25" s="91">
        <f t="shared" si="1"/>
        <v>173</v>
      </c>
      <c r="AA25" s="91">
        <f t="shared" si="1"/>
        <v>181</v>
      </c>
      <c r="AB25" s="91">
        <f t="shared" si="1"/>
        <v>134</v>
      </c>
      <c r="AC25" s="91">
        <f t="shared" si="1"/>
        <v>150</v>
      </c>
      <c r="AD25" s="91">
        <f t="shared" si="1"/>
        <v>164</v>
      </c>
      <c r="AE25" s="91">
        <f t="shared" si="1"/>
        <v>144</v>
      </c>
      <c r="AF25" s="91">
        <f t="shared" si="1"/>
        <v>153</v>
      </c>
      <c r="AG25" s="91">
        <f t="shared" si="1"/>
        <v>169</v>
      </c>
      <c r="AH25" s="91">
        <f t="shared" si="1"/>
        <v>126</v>
      </c>
      <c r="AI25" s="91">
        <f t="shared" si="1"/>
        <v>0</v>
      </c>
    </row>
    <row r="26" spans="2:35" x14ac:dyDescent="0.2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 x14ac:dyDescent="0.25">
      <c r="B27" s="93" t="s">
        <v>82</v>
      </c>
      <c r="C27" s="90"/>
      <c r="D27" s="91">
        <f>SUM(D13,D21,D23)</f>
        <v>85</v>
      </c>
      <c r="E27" s="91">
        <f t="shared" ref="E27:AH27" si="2">SUM(E13,E21,E23)</f>
        <v>125</v>
      </c>
      <c r="F27" s="91">
        <f>SUM(F13,F21,F23)</f>
        <v>48</v>
      </c>
      <c r="G27" s="91">
        <f t="shared" si="2"/>
        <v>125</v>
      </c>
      <c r="H27" s="91">
        <f t="shared" si="2"/>
        <v>114</v>
      </c>
      <c r="I27" s="91">
        <f t="shared" si="2"/>
        <v>97</v>
      </c>
      <c r="J27" s="91">
        <f t="shared" si="2"/>
        <v>111</v>
      </c>
      <c r="K27" s="91">
        <f t="shared" si="2"/>
        <v>93</v>
      </c>
      <c r="L27" s="91">
        <f t="shared" si="2"/>
        <v>80</v>
      </c>
      <c r="M27" s="91">
        <f t="shared" si="2"/>
        <v>87</v>
      </c>
      <c r="N27" s="91">
        <f t="shared" si="2"/>
        <v>85</v>
      </c>
      <c r="O27" s="91">
        <f t="shared" si="2"/>
        <v>157</v>
      </c>
      <c r="P27" s="91">
        <f t="shared" si="2"/>
        <v>74</v>
      </c>
      <c r="Q27" s="91">
        <f t="shared" si="2"/>
        <v>-3034</v>
      </c>
      <c r="R27" s="91">
        <f t="shared" si="2"/>
        <v>106</v>
      </c>
      <c r="S27" s="91">
        <f t="shared" si="2"/>
        <v>94</v>
      </c>
      <c r="T27" s="91">
        <f t="shared" si="2"/>
        <v>82</v>
      </c>
      <c r="U27" s="91">
        <f t="shared" si="2"/>
        <v>134</v>
      </c>
      <c r="V27" s="91">
        <f t="shared" si="2"/>
        <v>65</v>
      </c>
      <c r="W27" s="91">
        <f t="shared" si="2"/>
        <v>103</v>
      </c>
      <c r="X27" s="91">
        <f t="shared" si="2"/>
        <v>109</v>
      </c>
      <c r="Y27" s="91">
        <f t="shared" si="2"/>
        <v>50</v>
      </c>
      <c r="Z27" s="91">
        <f t="shared" si="2"/>
        <v>148</v>
      </c>
      <c r="AA27" s="91">
        <f t="shared" si="2"/>
        <v>82</v>
      </c>
      <c r="AB27" s="91">
        <f t="shared" si="2"/>
        <v>101</v>
      </c>
      <c r="AC27" s="91">
        <f t="shared" si="2"/>
        <v>105</v>
      </c>
      <c r="AD27" s="91">
        <f t="shared" si="2"/>
        <v>110</v>
      </c>
      <c r="AE27" s="91">
        <f t="shared" si="2"/>
        <v>121</v>
      </c>
      <c r="AF27" s="91">
        <f t="shared" si="2"/>
        <v>105</v>
      </c>
      <c r="AG27" s="91">
        <f t="shared" si="2"/>
        <v>91</v>
      </c>
      <c r="AH27" s="91">
        <f t="shared" si="2"/>
        <v>147</v>
      </c>
      <c r="AI27" s="91">
        <f t="shared" ref="AI27" si="3">SUM(AI13)</f>
        <v>0</v>
      </c>
    </row>
    <row r="28" spans="2:35" x14ac:dyDescent="0.2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 x14ac:dyDescent="0.25">
      <c r="B29" s="247" t="s">
        <v>83</v>
      </c>
      <c r="C29" s="248"/>
      <c r="D29" s="249">
        <f>D9</f>
        <v>71</v>
      </c>
      <c r="E29" s="249">
        <f t="shared" ref="E29:AH29" si="4">E9</f>
        <v>71</v>
      </c>
      <c r="F29" s="249">
        <f t="shared" si="4"/>
        <v>94</v>
      </c>
      <c r="G29" s="249">
        <f t="shared" si="4"/>
        <v>87</v>
      </c>
      <c r="H29" s="249">
        <f t="shared" si="4"/>
        <v>100</v>
      </c>
      <c r="I29" s="249">
        <f t="shared" si="4"/>
        <v>110</v>
      </c>
      <c r="J29" s="249">
        <f t="shared" si="4"/>
        <v>96</v>
      </c>
      <c r="K29" s="249">
        <f t="shared" si="4"/>
        <v>106</v>
      </c>
      <c r="L29" s="249">
        <f t="shared" si="4"/>
        <v>103</v>
      </c>
      <c r="M29" s="249">
        <f t="shared" si="4"/>
        <v>105</v>
      </c>
      <c r="N29" s="249">
        <f t="shared" si="4"/>
        <v>104</v>
      </c>
      <c r="O29" s="249">
        <f t="shared" si="4"/>
        <v>126</v>
      </c>
      <c r="P29" s="249">
        <f t="shared" si="4"/>
        <v>112</v>
      </c>
      <c r="Q29" s="249">
        <f t="shared" si="4"/>
        <v>-2613</v>
      </c>
      <c r="R29" s="249">
        <f t="shared" si="4"/>
        <v>70</v>
      </c>
      <c r="S29" s="249">
        <f t="shared" si="4"/>
        <v>62</v>
      </c>
      <c r="T29" s="249">
        <f t="shared" si="4"/>
        <v>65</v>
      </c>
      <c r="U29" s="249">
        <f t="shared" si="4"/>
        <v>64</v>
      </c>
      <c r="V29" s="249">
        <f t="shared" si="4"/>
        <v>63</v>
      </c>
      <c r="W29" s="249">
        <f t="shared" si="4"/>
        <v>72</v>
      </c>
      <c r="X29" s="249">
        <f t="shared" si="4"/>
        <v>72</v>
      </c>
      <c r="Y29" s="249">
        <f t="shared" si="4"/>
        <v>75</v>
      </c>
      <c r="Z29" s="249">
        <f t="shared" si="4"/>
        <v>88</v>
      </c>
      <c r="AA29" s="249">
        <f t="shared" si="4"/>
        <v>103</v>
      </c>
      <c r="AB29" s="249">
        <f t="shared" si="4"/>
        <v>86</v>
      </c>
      <c r="AC29" s="249">
        <f t="shared" si="4"/>
        <v>84</v>
      </c>
      <c r="AD29" s="249">
        <f t="shared" si="4"/>
        <v>97</v>
      </c>
      <c r="AE29" s="249">
        <f t="shared" si="4"/>
        <v>89</v>
      </c>
      <c r="AF29" s="249">
        <f t="shared" si="4"/>
        <v>84</v>
      </c>
      <c r="AG29" s="249">
        <f t="shared" si="4"/>
        <v>80</v>
      </c>
      <c r="AH29" s="249">
        <f t="shared" si="4"/>
        <v>74</v>
      </c>
      <c r="AI29" s="248"/>
    </row>
    <row r="30" spans="2:35" x14ac:dyDescent="0.25">
      <c r="B30" s="247" t="s">
        <v>84</v>
      </c>
      <c r="C30" s="248"/>
      <c r="D30" s="249">
        <f>SUM(D10:D11,D14:D15)</f>
        <v>48</v>
      </c>
      <c r="E30" s="249">
        <f t="shared" ref="E30:AH30" si="5">SUM(E10:E11,E14:E15)</f>
        <v>69</v>
      </c>
      <c r="F30" s="249">
        <f t="shared" si="5"/>
        <v>60</v>
      </c>
      <c r="G30" s="249">
        <f t="shared" si="5"/>
        <v>71</v>
      </c>
      <c r="H30" s="249">
        <f t="shared" si="5"/>
        <v>91</v>
      </c>
      <c r="I30" s="249">
        <f t="shared" si="5"/>
        <v>77</v>
      </c>
      <c r="J30" s="249">
        <f t="shared" si="5"/>
        <v>89</v>
      </c>
      <c r="K30" s="249">
        <f t="shared" si="5"/>
        <v>78</v>
      </c>
      <c r="L30" s="249">
        <f t="shared" si="5"/>
        <v>98</v>
      </c>
      <c r="M30" s="249">
        <f t="shared" si="5"/>
        <v>111</v>
      </c>
      <c r="N30" s="249">
        <f t="shared" si="5"/>
        <v>140</v>
      </c>
      <c r="O30" s="249">
        <f t="shared" si="5"/>
        <v>113</v>
      </c>
      <c r="P30" s="249">
        <f t="shared" si="5"/>
        <v>117</v>
      </c>
      <c r="Q30" s="249">
        <f t="shared" si="5"/>
        <v>-2183</v>
      </c>
      <c r="R30" s="249">
        <f t="shared" si="5"/>
        <v>58</v>
      </c>
      <c r="S30" s="249">
        <f t="shared" si="5"/>
        <v>60</v>
      </c>
      <c r="T30" s="249">
        <f t="shared" si="5"/>
        <v>49</v>
      </c>
      <c r="U30" s="249">
        <f t="shared" si="5"/>
        <v>49</v>
      </c>
      <c r="V30" s="249">
        <f t="shared" si="5"/>
        <v>52.100000000000364</v>
      </c>
      <c r="W30" s="249">
        <f t="shared" si="5"/>
        <v>51.899999999999636</v>
      </c>
      <c r="X30" s="249">
        <f t="shared" si="5"/>
        <v>44</v>
      </c>
      <c r="Y30" s="249">
        <f t="shared" si="5"/>
        <v>48</v>
      </c>
      <c r="Z30" s="249">
        <f t="shared" si="5"/>
        <v>85</v>
      </c>
      <c r="AA30" s="249">
        <f t="shared" si="5"/>
        <v>78</v>
      </c>
      <c r="AB30" s="249">
        <f t="shared" si="5"/>
        <v>48</v>
      </c>
      <c r="AC30" s="249">
        <f t="shared" si="5"/>
        <v>66</v>
      </c>
      <c r="AD30" s="249">
        <f t="shared" si="5"/>
        <v>67</v>
      </c>
      <c r="AE30" s="249">
        <f t="shared" si="5"/>
        <v>55</v>
      </c>
      <c r="AF30" s="249">
        <f t="shared" si="5"/>
        <v>69</v>
      </c>
      <c r="AG30" s="249">
        <f t="shared" si="5"/>
        <v>89</v>
      </c>
      <c r="AH30" s="249">
        <f t="shared" si="5"/>
        <v>52</v>
      </c>
      <c r="AI30" s="248"/>
    </row>
    <row r="31" spans="2:35" x14ac:dyDescent="0.25">
      <c r="B31" s="247" t="s">
        <v>85</v>
      </c>
      <c r="C31" s="248"/>
      <c r="D31" s="248">
        <f>D30/SUM(D29:D30)%</f>
        <v>40.336134453781511</v>
      </c>
      <c r="E31" s="248">
        <f t="shared" ref="E31:AH31" si="6">E30/SUM(E29:E30)%</f>
        <v>49.285714285714292</v>
      </c>
      <c r="F31" s="248">
        <f t="shared" si="6"/>
        <v>38.961038961038959</v>
      </c>
      <c r="G31" s="248">
        <f t="shared" si="6"/>
        <v>44.936708860759495</v>
      </c>
      <c r="H31" s="248">
        <f t="shared" si="6"/>
        <v>47.643979057591622</v>
      </c>
      <c r="I31" s="248">
        <f t="shared" si="6"/>
        <v>41.17647058823529</v>
      </c>
      <c r="J31" s="248">
        <f t="shared" si="6"/>
        <v>48.108108108108105</v>
      </c>
      <c r="K31" s="248">
        <f t="shared" si="6"/>
        <v>42.391304347826086</v>
      </c>
      <c r="L31" s="248">
        <f t="shared" si="6"/>
        <v>48.756218905472643</v>
      </c>
      <c r="M31" s="248">
        <f t="shared" si="6"/>
        <v>51.388888888888886</v>
      </c>
      <c r="N31" s="248">
        <f t="shared" si="6"/>
        <v>57.377049180327873</v>
      </c>
      <c r="O31" s="248">
        <f t="shared" si="6"/>
        <v>47.280334728033473</v>
      </c>
      <c r="P31" s="248">
        <f t="shared" si="6"/>
        <v>51.091703056768559</v>
      </c>
      <c r="Q31" s="248">
        <f t="shared" si="6"/>
        <v>45.517097581317763</v>
      </c>
      <c r="R31" s="248">
        <f t="shared" si="6"/>
        <v>45.3125</v>
      </c>
      <c r="S31" s="248">
        <f t="shared" si="6"/>
        <v>49.180327868852459</v>
      </c>
      <c r="T31" s="248">
        <f t="shared" si="6"/>
        <v>42.982456140350884</v>
      </c>
      <c r="U31" s="248">
        <f t="shared" si="6"/>
        <v>43.362831858407084</v>
      </c>
      <c r="V31" s="248">
        <f t="shared" si="6"/>
        <v>45.264986967854213</v>
      </c>
      <c r="W31" s="248">
        <f t="shared" si="6"/>
        <v>41.888619854721384</v>
      </c>
      <c r="X31" s="248">
        <f t="shared" si="6"/>
        <v>37.931034482758626</v>
      </c>
      <c r="Y31" s="248">
        <f t="shared" si="6"/>
        <v>39.024390243902438</v>
      </c>
      <c r="Z31" s="248">
        <f t="shared" si="6"/>
        <v>49.132947976878611</v>
      </c>
      <c r="AA31" s="248">
        <f t="shared" si="6"/>
        <v>43.093922651933703</v>
      </c>
      <c r="AB31" s="248">
        <f t="shared" si="6"/>
        <v>35.820895522388057</v>
      </c>
      <c r="AC31" s="248">
        <f t="shared" si="6"/>
        <v>44</v>
      </c>
      <c r="AD31" s="248">
        <f t="shared" si="6"/>
        <v>40.853658536585371</v>
      </c>
      <c r="AE31" s="248">
        <f t="shared" si="6"/>
        <v>38.194444444444443</v>
      </c>
      <c r="AF31" s="248">
        <f t="shared" si="6"/>
        <v>45.098039215686271</v>
      </c>
      <c r="AG31" s="248">
        <f t="shared" si="6"/>
        <v>52.662721893491124</v>
      </c>
      <c r="AH31" s="248">
        <f t="shared" si="6"/>
        <v>41.269841269841272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zoomScale="70" zoomScaleNormal="70" workbookViewId="0">
      <pane xSplit="1" topLeftCell="B1" activePane="topRight" state="frozen"/>
      <selection activeCell="A4" sqref="A4"/>
      <selection pane="topRight" activeCell="C5" sqref="C5:C17"/>
    </sheetView>
  </sheetViews>
  <sheetFormatPr defaultRowHeight="15" x14ac:dyDescent="0.2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 x14ac:dyDescent="0.25"/>
    <row r="2" spans="1:55" x14ac:dyDescent="0.2">
      <c r="F2" s="755" t="s">
        <v>308</v>
      </c>
      <c r="G2" s="756"/>
      <c r="H2" s="756"/>
      <c r="I2" s="756"/>
      <c r="J2" s="756"/>
      <c r="K2" s="756"/>
      <c r="L2" s="756"/>
      <c r="M2" s="757"/>
      <c r="N2" s="754" t="s">
        <v>86</v>
      </c>
      <c r="O2" s="754"/>
      <c r="P2" s="754"/>
      <c r="Q2" s="754"/>
      <c r="R2" s="754"/>
      <c r="S2" s="754"/>
      <c r="T2" s="754"/>
      <c r="U2" s="754"/>
      <c r="V2" s="754"/>
      <c r="W2" s="754"/>
      <c r="X2" s="754"/>
      <c r="Y2" s="754"/>
      <c r="Z2" s="754"/>
      <c r="AA2" s="754"/>
      <c r="AB2" s="754"/>
      <c r="AC2" s="754"/>
      <c r="AD2" s="754"/>
      <c r="AE2" s="754"/>
      <c r="AF2" s="754"/>
      <c r="AG2" s="754"/>
      <c r="AH2" s="754"/>
      <c r="AI2" s="754"/>
      <c r="AJ2" s="754"/>
      <c r="AK2" s="754"/>
      <c r="AL2" s="754"/>
      <c r="AM2" s="754"/>
      <c r="AN2" s="753"/>
      <c r="AO2" s="753"/>
      <c r="AP2" s="753"/>
      <c r="AQ2" s="753"/>
      <c r="AR2" s="753"/>
      <c r="AS2" s="753"/>
      <c r="AT2" s="753"/>
      <c r="AU2" s="635"/>
      <c r="AV2" s="752" t="s">
        <v>87</v>
      </c>
      <c r="AW2" s="752"/>
      <c r="AX2" s="752"/>
      <c r="AY2" s="752"/>
      <c r="BB2" s="318" t="s">
        <v>334</v>
      </c>
      <c r="BC2" s="318" t="s">
        <v>335</v>
      </c>
    </row>
    <row r="3" spans="1:55" x14ac:dyDescent="0.2">
      <c r="F3" s="637"/>
      <c r="G3" s="638"/>
      <c r="H3" s="638"/>
      <c r="I3" s="638"/>
      <c r="J3" s="638"/>
      <c r="K3" s="638"/>
      <c r="L3" s="638"/>
      <c r="M3" s="639"/>
      <c r="N3" s="636"/>
      <c r="O3" s="636"/>
      <c r="P3" s="636"/>
      <c r="Q3" s="636"/>
      <c r="R3" s="636"/>
      <c r="S3" s="636"/>
      <c r="T3" s="636"/>
      <c r="U3" s="636"/>
      <c r="V3" s="636"/>
      <c r="W3" s="636"/>
      <c r="X3" s="636"/>
      <c r="Y3" s="636"/>
      <c r="Z3" s="636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636"/>
      <c r="AN3" s="758" t="s">
        <v>138</v>
      </c>
      <c r="AO3" s="758"/>
      <c r="AP3" s="758"/>
      <c r="AQ3" s="758"/>
      <c r="AR3" s="758"/>
      <c r="AS3" s="758"/>
      <c r="AT3" s="758"/>
      <c r="AU3" s="759" t="s">
        <v>283</v>
      </c>
      <c r="AV3" s="759"/>
      <c r="AW3" s="759"/>
      <c r="AX3" s="759"/>
      <c r="AY3" s="759"/>
      <c r="BB3" s="318"/>
      <c r="BC3" s="318"/>
    </row>
    <row r="4" spans="1:55" ht="39.75" customHeight="1" x14ac:dyDescent="0.2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640" t="s">
        <v>284</v>
      </c>
      <c r="G4" s="641" t="s">
        <v>285</v>
      </c>
      <c r="H4" s="641" t="s">
        <v>286</v>
      </c>
      <c r="I4" s="641" t="s">
        <v>287</v>
      </c>
      <c r="J4" s="641" t="s">
        <v>282</v>
      </c>
      <c r="K4" s="641" t="s">
        <v>51</v>
      </c>
      <c r="L4" s="642" t="s">
        <v>60</v>
      </c>
      <c r="M4" s="642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 x14ac:dyDescent="0.2">
      <c r="A5" s="359">
        <v>1</v>
      </c>
      <c r="B5" s="643">
        <f>'1'!G7</f>
        <v>17264.770000000019</v>
      </c>
      <c r="C5" s="643">
        <f>'1'!G8</f>
        <v>17458.849999999977</v>
      </c>
      <c r="D5" s="643">
        <f>'1'!G15</f>
        <v>918.55799999996088</v>
      </c>
      <c r="E5" s="643">
        <f>'1'!G20</f>
        <v>235</v>
      </c>
      <c r="F5" s="643">
        <f>SUM('1'!G35,'1'!G49)</f>
        <v>2185.1000000000022</v>
      </c>
      <c r="G5" s="643">
        <f>SUM('1'!H37,'1'!H51)</f>
        <v>1554.1100000000006</v>
      </c>
      <c r="H5" s="643">
        <f>SUM('1'!G38,'1'!G52)</f>
        <v>1620.2699999999968</v>
      </c>
      <c r="I5" s="643">
        <f>SUM('1'!G39,'1'!G53)</f>
        <v>2609.5899999999965</v>
      </c>
      <c r="J5" s="643">
        <f>SUM('1'!G41,'1'!G42,'1'!G55,'1'!G56)</f>
        <v>3987.7899999999936</v>
      </c>
      <c r="K5" s="643">
        <f>SUM('1'!G43,'1'!G57)</f>
        <v>1901.929999999993</v>
      </c>
      <c r="L5" s="254">
        <f>'1'!G50</f>
        <v>938.92000000000553</v>
      </c>
      <c r="M5" s="254">
        <f>'1'!G36</f>
        <v>710.76000000000204</v>
      </c>
      <c r="N5" s="254">
        <f>'1'!G138</f>
        <v>61</v>
      </c>
      <c r="O5" s="254">
        <f>'1'!G139</f>
        <v>1</v>
      </c>
      <c r="P5" s="254">
        <f>'1'!G140</f>
        <v>0</v>
      </c>
      <c r="Q5" s="254">
        <f>'1'!G141</f>
        <v>165.58999999999651</v>
      </c>
      <c r="R5" s="254">
        <f>'1'!G142</f>
        <v>73.470000000001164</v>
      </c>
      <c r="S5" s="254">
        <f>'1'!$G$145</f>
        <v>12.779999999999745</v>
      </c>
      <c r="T5" s="254">
        <f>'1'!$G$146</f>
        <v>394</v>
      </c>
      <c r="U5" s="254">
        <f>'1'!$G$144</f>
        <v>196</v>
      </c>
      <c r="V5" s="254">
        <f>'1'!$G$147</f>
        <v>369.28000000002794</v>
      </c>
      <c r="W5" s="254">
        <f>'1'!$G$148</f>
        <v>195.04000000003725</v>
      </c>
      <c r="X5" s="254">
        <f>'1'!$G$143</f>
        <v>29</v>
      </c>
      <c r="Y5" s="254">
        <f>'1'!$G$58</f>
        <v>187.13000000000011</v>
      </c>
      <c r="Z5" s="254">
        <f>'1'!$G$151</f>
        <v>226</v>
      </c>
      <c r="AA5" s="254">
        <f>'1'!G161</f>
        <v>48.28000000002794</v>
      </c>
      <c r="AB5" s="254">
        <f>'1'!G162</f>
        <v>42</v>
      </c>
      <c r="AC5" s="254"/>
      <c r="AD5" s="254">
        <f>'1'!G163+'1'!G164</f>
        <v>32.199999999994361</v>
      </c>
      <c r="AE5" s="254">
        <f>'1'!$G$116</f>
        <v>0</v>
      </c>
      <c r="AF5" s="254">
        <f>'1'!$G$117</f>
        <v>21.820000000000164</v>
      </c>
      <c r="AG5" s="254">
        <f>'1'!$G$118</f>
        <v>310.5</v>
      </c>
      <c r="AH5" s="254">
        <f>'1'!$G$119</f>
        <v>441.15000000002328</v>
      </c>
      <c r="AI5" s="254">
        <f>'1'!$G$120</f>
        <v>414.13999999999942</v>
      </c>
      <c r="AJ5" s="254">
        <f>'1'!$G$121</f>
        <v>720.88000000000466</v>
      </c>
      <c r="AK5" s="254">
        <f>'1'!$G$122</f>
        <v>206.03000000001339</v>
      </c>
      <c r="AL5" s="254">
        <f>'1'!$G$123</f>
        <v>261.25</v>
      </c>
      <c r="AM5" s="254">
        <f>'1'!$G$133</f>
        <v>492.57000000000698</v>
      </c>
      <c r="AN5" s="254">
        <f>'1'!$G$15</f>
        <v>918.55799999996088</v>
      </c>
      <c r="AO5" s="254">
        <f>'1'!$G$74</f>
        <v>314.53100000007544</v>
      </c>
      <c r="AP5" s="254">
        <f>'1'!$G$75</f>
        <v>0</v>
      </c>
      <c r="AQ5" s="254">
        <f>'1'!$G$76</f>
        <v>91.059999999997672</v>
      </c>
      <c r="AR5" s="254">
        <f>'1'!$G$77</f>
        <v>29.700000000004366</v>
      </c>
      <c r="AS5" s="254">
        <f>'1'!$G$78</f>
        <v>0</v>
      </c>
      <c r="AT5" s="254">
        <f>AN5-SUM(AO5:AS5)</f>
        <v>483.26699999988341</v>
      </c>
      <c r="AU5" s="254">
        <f>SUM('1'!G91:G92)</f>
        <v>11.769999999999982</v>
      </c>
      <c r="AV5" s="254">
        <f>'1'!$G$88</f>
        <v>0</v>
      </c>
      <c r="AW5" s="254">
        <f>'1'!$G$89</f>
        <v>9.4900000000016007</v>
      </c>
      <c r="AX5" s="254">
        <f>'1'!$G$90</f>
        <v>2.0499999999883585</v>
      </c>
      <c r="AY5" s="252">
        <f>SUM(AV5:AX5)</f>
        <v>11.539999999989959</v>
      </c>
      <c r="AZ5" s="311">
        <f>AO5/AU5</f>
        <v>26.723109600686143</v>
      </c>
      <c r="BA5" s="311">
        <f>AT5/AY5</f>
        <v>41.877556325849561</v>
      </c>
      <c r="BB5" s="351">
        <f>C5-SUM(F5:K5,Y5)</f>
        <v>3412.929999999993</v>
      </c>
      <c r="BC5" s="351">
        <f>BB5/B5%</f>
        <v>19.768175307287553</v>
      </c>
    </row>
    <row r="6" spans="1:55" x14ac:dyDescent="0.2">
      <c r="A6" s="359">
        <v>2</v>
      </c>
      <c r="B6" s="643">
        <f>'2'!G7</f>
        <v>18049</v>
      </c>
      <c r="C6" s="643">
        <f>'2'!G8</f>
        <v>18338</v>
      </c>
      <c r="D6" s="643">
        <f>'2'!G15</f>
        <v>983.14500000001863</v>
      </c>
      <c r="E6" s="643">
        <f>'2'!G20</f>
        <v>183</v>
      </c>
      <c r="F6" s="643">
        <f>SUM('2'!G35,'2'!G49)</f>
        <v>2435.0399999999972</v>
      </c>
      <c r="G6" s="643">
        <f>SUM('2'!G37,'2'!G51)</f>
        <v>1547.1000000000058</v>
      </c>
      <c r="H6" s="643">
        <f>SUM('2'!G38,'2'!G52)</f>
        <v>1758.7900000000009</v>
      </c>
      <c r="I6" s="643">
        <f>SUM('2'!G39,'2'!G53)</f>
        <v>2628.2200000000012</v>
      </c>
      <c r="J6" s="643">
        <f>SUM('2'!G41,'2'!G42,'2'!G55,'2'!G56)</f>
        <v>3469.6100000000006</v>
      </c>
      <c r="K6" s="643">
        <f>SUM('2'!G43,'2'!G57)</f>
        <v>1997.1600000000035</v>
      </c>
      <c r="L6" s="254">
        <f>'2'!G50</f>
        <v>987.52999999999884</v>
      </c>
      <c r="M6" s="254">
        <f>'2'!G36</f>
        <v>811.5</v>
      </c>
      <c r="N6" s="254">
        <f>'2'!G138</f>
        <v>59</v>
      </c>
      <c r="O6" s="254">
        <f>'2'!$G$139</f>
        <v>2</v>
      </c>
      <c r="P6" s="254">
        <f>'2'!$G$140</f>
        <v>10.600000000005821</v>
      </c>
      <c r="Q6" s="254">
        <f>'2'!$G$141</f>
        <v>176.63000000000466</v>
      </c>
      <c r="R6" s="254">
        <f>'2'!$G$142</f>
        <v>71.670000000001892</v>
      </c>
      <c r="S6" s="254">
        <f>'2'!$G$145</f>
        <v>13.710000000000036</v>
      </c>
      <c r="T6" s="254">
        <f>'2'!$G$146</f>
        <v>392</v>
      </c>
      <c r="U6" s="254">
        <f>'2'!$G$144</f>
        <v>210</v>
      </c>
      <c r="V6" s="254">
        <f>'2'!$G$147</f>
        <v>396.31999999994878</v>
      </c>
      <c r="W6" s="251">
        <f>'2'!$G$148</f>
        <v>266.23999999999069</v>
      </c>
      <c r="X6" s="251">
        <f>'2'!$G$143</f>
        <v>24.690000000000055</v>
      </c>
      <c r="Y6" s="251">
        <f>'2'!$G$58</f>
        <v>198.44999999999982</v>
      </c>
      <c r="Z6" s="251">
        <f>'2'!$G$151</f>
        <v>317</v>
      </c>
      <c r="AA6" s="251">
        <f>'2'!G161</f>
        <v>52.839999999967404</v>
      </c>
      <c r="AB6" s="254">
        <f>'2'!G162</f>
        <v>38.100000000005821</v>
      </c>
      <c r="AC6" s="254"/>
      <c r="AD6" s="254">
        <f>'2'!G163+'2'!G164</f>
        <v>36.30000000000291</v>
      </c>
      <c r="AE6" s="254">
        <f>'2'!$G$116</f>
        <v>0</v>
      </c>
      <c r="AF6" s="254">
        <f>'2'!$G$117</f>
        <v>35.460000000000036</v>
      </c>
      <c r="AG6" s="254">
        <f>'2'!$G$118</f>
        <v>318.04000000000815</v>
      </c>
      <c r="AH6" s="254">
        <f>'2'!$G$119</f>
        <v>423.19000000000233</v>
      </c>
      <c r="AI6" s="254">
        <f>'2'!$G$120</f>
        <v>417.20999999999913</v>
      </c>
      <c r="AJ6" s="254">
        <f>'2'!$G$121</f>
        <v>713.23999999999069</v>
      </c>
      <c r="AK6" s="254">
        <f>'2'!$G$122</f>
        <v>214.61000000000058</v>
      </c>
      <c r="AL6" s="254">
        <f>'2'!$G$123</f>
        <v>257.38999999998487</v>
      </c>
      <c r="AM6" s="254">
        <f>'2'!$G$133</f>
        <v>568.0399999999936</v>
      </c>
      <c r="AN6" s="254">
        <f>'2'!$G$15</f>
        <v>983.14500000001863</v>
      </c>
      <c r="AO6" s="254">
        <f>'2'!$G$74</f>
        <v>311.03599999996368</v>
      </c>
      <c r="AP6" s="254">
        <f>'2'!$G$75</f>
        <v>0</v>
      </c>
      <c r="AQ6" s="254">
        <f>'2'!$G$76</f>
        <v>115.70999999999185</v>
      </c>
      <c r="AR6" s="254">
        <f>'2'!$G$77</f>
        <v>49.19999999999709</v>
      </c>
      <c r="AS6" s="254">
        <f>'2'!$G$78</f>
        <v>1.7000000000007276</v>
      </c>
      <c r="AT6" s="254">
        <f t="shared" ref="AT6:AT34" si="0">AN6-SUM(AO6:AS6)</f>
        <v>505.49900000006528</v>
      </c>
      <c r="AU6" s="254">
        <f>SUM('2'!G91:G92)</f>
        <v>11.460000000000036</v>
      </c>
      <c r="AV6" s="254">
        <f>'2'!$G$88</f>
        <v>0</v>
      </c>
      <c r="AW6" s="254">
        <f>'2'!$G$89</f>
        <v>9.3899999999994179</v>
      </c>
      <c r="AX6" s="254">
        <f>'2'!$G$90</f>
        <v>0</v>
      </c>
      <c r="AY6" s="252">
        <f t="shared" ref="AY6:AY34" si="1">SUM(AV6:AX6)</f>
        <v>9.3899999999994179</v>
      </c>
      <c r="AZ6" s="311">
        <f t="shared" ref="AZ6:AZ8" si="2">AO6/AU6</f>
        <v>27.141012216401631</v>
      </c>
      <c r="BA6" s="311">
        <f t="shared" ref="BA6:BA35" si="3">AT6/AY6</f>
        <v>53.833759318434147</v>
      </c>
      <c r="BB6" s="351">
        <f t="shared" ref="BB6:BB35" si="4">C6-SUM(F6:K6,Y6)</f>
        <v>4303.6299999999901</v>
      </c>
      <c r="BC6" s="351">
        <f t="shared" ref="BC6:BC35" si="5">BB6/B6%</f>
        <v>23.844146490110198</v>
      </c>
    </row>
    <row r="7" spans="1:55" s="313" customFormat="1" x14ac:dyDescent="0.2">
      <c r="A7" s="359">
        <v>3</v>
      </c>
      <c r="B7" s="643">
        <f>'3'!G7</f>
        <v>19083</v>
      </c>
      <c r="C7" s="643">
        <f>'3'!G8</f>
        <v>19219</v>
      </c>
      <c r="D7" s="643">
        <f>'3'!G15</f>
        <v>1012.3479999999981</v>
      </c>
      <c r="E7" s="643">
        <f>'3'!G20</f>
        <v>233</v>
      </c>
      <c r="F7" s="643">
        <f>SUM('3'!G35,'3'!G49)</f>
        <v>2503.1700000000019</v>
      </c>
      <c r="G7" s="643">
        <f>SUM('3'!G37,'3'!G51)</f>
        <v>1552.1100000000006</v>
      </c>
      <c r="H7" s="643">
        <f>SUM('3'!G38,'3'!G52)</f>
        <v>1668.1500000000015</v>
      </c>
      <c r="I7" s="643">
        <f>SUM('3'!G39,'3'!G53)</f>
        <v>2641.8299999999945</v>
      </c>
      <c r="J7" s="643">
        <f>SUM('3'!G41,'3'!G42,'3'!G55,'3'!G56)</f>
        <v>3484.5699999999943</v>
      </c>
      <c r="K7" s="643">
        <f>SUM('3'!G43,'3'!G57)</f>
        <v>2229.6699999999983</v>
      </c>
      <c r="L7" s="251">
        <f>'3'!G50</f>
        <v>1070.0599999999977</v>
      </c>
      <c r="M7" s="251">
        <f>'3'!G36</f>
        <v>935.69999999999709</v>
      </c>
      <c r="N7" s="251">
        <f>'3'!G138</f>
        <v>78</v>
      </c>
      <c r="O7" s="251">
        <f>'3'!$G$139</f>
        <v>1</v>
      </c>
      <c r="P7" s="251">
        <f>'3'!$G$140</f>
        <v>1.1999999999970896</v>
      </c>
      <c r="Q7" s="251">
        <f>'3'!$G$141</f>
        <v>159.29999999999563</v>
      </c>
      <c r="R7" s="251">
        <f>'3'!$G$142</f>
        <v>63.109999999996944</v>
      </c>
      <c r="S7" s="251">
        <f>'3'!$G$145</f>
        <v>14.670000000000073</v>
      </c>
      <c r="T7" s="251">
        <f>'3'!$G$146</f>
        <v>417</v>
      </c>
      <c r="U7" s="251">
        <f>'3'!$G$144</f>
        <v>210</v>
      </c>
      <c r="V7" s="251">
        <f>'3'!$G$147</f>
        <v>377.88000000000466</v>
      </c>
      <c r="W7" s="251">
        <f>'3'!$G$148</f>
        <v>244.64000000001397</v>
      </c>
      <c r="X7" s="251">
        <f>'3'!$G$143</f>
        <v>26.450000000000273</v>
      </c>
      <c r="Y7" s="251">
        <f>'3'!$G$58</f>
        <v>202.4399999999996</v>
      </c>
      <c r="Z7" s="251">
        <f>'3'!$G$151</f>
        <v>193</v>
      </c>
      <c r="AA7" s="254">
        <f>'3'!G161</f>
        <v>53.559999999997672</v>
      </c>
      <c r="AB7" s="254">
        <f>'3'!G162</f>
        <v>39.80000000000291</v>
      </c>
      <c r="AC7" s="254"/>
      <c r="AD7" s="254">
        <f>'3'!G163+'3'!G164</f>
        <v>33.699999999999818</v>
      </c>
      <c r="AE7" s="251">
        <f>'3'!$G$116</f>
        <v>0</v>
      </c>
      <c r="AF7" s="251">
        <f>'3'!$G$117</f>
        <v>20.509999999999764</v>
      </c>
      <c r="AG7" s="251">
        <f>'3'!$G$118</f>
        <v>331.33999999999651</v>
      </c>
      <c r="AH7" s="251">
        <f>'3'!$G$119</f>
        <v>418.71999999997206</v>
      </c>
      <c r="AI7" s="251">
        <f>'3'!$G$120</f>
        <v>433.95999999999913</v>
      </c>
      <c r="AJ7" s="251">
        <f>'3'!$G$121</f>
        <v>734.20000000001164</v>
      </c>
      <c r="AK7" s="251">
        <f>'3'!$G$122</f>
        <v>250.57999999998719</v>
      </c>
      <c r="AL7" s="251">
        <f>'3'!$G$123</f>
        <v>255.67999999999302</v>
      </c>
      <c r="AM7" s="251">
        <f>'3'!$G$133</f>
        <v>565.15000000000873</v>
      </c>
      <c r="AN7" s="251">
        <f>'3'!$G$15</f>
        <v>1012.3479999999981</v>
      </c>
      <c r="AO7" s="251">
        <f>'3'!$G$74</f>
        <v>310.54399999999441</v>
      </c>
      <c r="AP7" s="251">
        <f>'3'!$G$75</f>
        <v>0</v>
      </c>
      <c r="AQ7" s="251">
        <f>'3'!$G$76</f>
        <v>122.32000000000698</v>
      </c>
      <c r="AR7" s="251">
        <f>'3'!$G$77</f>
        <v>46.400000000001455</v>
      </c>
      <c r="AS7" s="251">
        <f>'3'!$G$78</f>
        <v>1.5999999999985448</v>
      </c>
      <c r="AT7" s="251">
        <f t="shared" si="0"/>
        <v>531.48399999999674</v>
      </c>
      <c r="AU7" s="254">
        <f>SUM('3'!G91:G92)</f>
        <v>11</v>
      </c>
      <c r="AV7" s="251">
        <f>'3'!$G$88</f>
        <v>0</v>
      </c>
      <c r="AW7" s="251">
        <f>'3'!$G$89</f>
        <v>9.7999999999992724</v>
      </c>
      <c r="AX7" s="251">
        <f>'3'!$G$90</f>
        <v>2.3200000000069849</v>
      </c>
      <c r="AY7" s="255">
        <f t="shared" si="1"/>
        <v>12.120000000006257</v>
      </c>
      <c r="AZ7" s="311">
        <f t="shared" si="2"/>
        <v>28.23127272727222</v>
      </c>
      <c r="BA7" s="311">
        <f t="shared" si="3"/>
        <v>43.85181518149524</v>
      </c>
      <c r="BB7" s="351">
        <f t="shared" si="4"/>
        <v>4937.0600000000086</v>
      </c>
      <c r="BC7" s="351">
        <f t="shared" si="5"/>
        <v>25.871508672640612</v>
      </c>
    </row>
    <row r="8" spans="1:55" x14ac:dyDescent="0.2">
      <c r="A8" s="359">
        <v>4</v>
      </c>
      <c r="B8" s="643">
        <f>'4'!G7</f>
        <v>18470.589999999967</v>
      </c>
      <c r="C8" s="643">
        <f>'4'!G8</f>
        <v>18612.709999999963</v>
      </c>
      <c r="D8" s="643">
        <f>'4'!G15</f>
        <v>997.95200000004843</v>
      </c>
      <c r="E8" s="643">
        <f>'4'!G20</f>
        <v>261</v>
      </c>
      <c r="F8" s="643">
        <f>SUM('4'!G35,'4'!G49)</f>
        <v>2682.8700000000026</v>
      </c>
      <c r="G8" s="643">
        <f>SUM('4'!G37,'4'!G51)</f>
        <v>1614.0999999999985</v>
      </c>
      <c r="H8" s="643">
        <f>SUM('4'!G38,'4'!G52)</f>
        <v>1858.4700000000012</v>
      </c>
      <c r="I8" s="643">
        <f>SUM('4'!G39,'4'!G53)</f>
        <v>2666.7100000000064</v>
      </c>
      <c r="J8" s="643">
        <f>SUM('4'!G41,'4'!G42,'4'!G55,'4'!G56)</f>
        <v>2816.8300000000017</v>
      </c>
      <c r="K8" s="643">
        <f>SUM('4'!G43,'4'!G57)</f>
        <v>2395.179999999993</v>
      </c>
      <c r="L8" s="254">
        <f>'4'!G50</f>
        <v>1149.75</v>
      </c>
      <c r="M8" s="254">
        <f>'4'!G36</f>
        <v>861.87000000000262</v>
      </c>
      <c r="N8" s="254">
        <f>'4'!G138</f>
        <v>102</v>
      </c>
      <c r="O8" s="254">
        <f>'4'!$G$139</f>
        <v>3</v>
      </c>
      <c r="P8" s="254">
        <f>'4'!$G$140</f>
        <v>1.1999999999970896</v>
      </c>
      <c r="Q8" s="254">
        <f>'4'!$G$141</f>
        <v>187.95999999999913</v>
      </c>
      <c r="R8" s="254">
        <f>'4'!$G$142</f>
        <v>65.520000000000437</v>
      </c>
      <c r="S8" s="254">
        <f>'4'!$G$145</f>
        <v>14.8100000000004</v>
      </c>
      <c r="T8" s="254">
        <f>'4'!$G$146</f>
        <v>381</v>
      </c>
      <c r="U8" s="254">
        <f>'4'!$G$144</f>
        <v>212</v>
      </c>
      <c r="V8" s="251">
        <f>'4'!$G$147</f>
        <v>396.43999999994412</v>
      </c>
      <c r="W8" s="251">
        <f>'4'!$G$148</f>
        <v>309.43999999994412</v>
      </c>
      <c r="X8" s="254">
        <f>'4'!$G$143</f>
        <v>27.959999999999582</v>
      </c>
      <c r="Y8" s="254">
        <f>'4'!$G$58</f>
        <v>201.18000000000029</v>
      </c>
      <c r="Z8" s="254">
        <f>'4'!$G$151</f>
        <v>257</v>
      </c>
      <c r="AA8" s="254">
        <f>'4'!G161</f>
        <v>57.239999999990687</v>
      </c>
      <c r="AB8" s="254">
        <f>'4'!G162</f>
        <v>34</v>
      </c>
      <c r="AC8" s="254"/>
      <c r="AD8" s="254">
        <f>'4'!G163+'4'!G164</f>
        <v>33.099999999993997</v>
      </c>
      <c r="AE8" s="254">
        <f>'4'!$G$116</f>
        <v>8.07</v>
      </c>
      <c r="AF8" s="254">
        <f>'4'!$G$117</f>
        <v>77.290000000000418</v>
      </c>
      <c r="AG8" s="254">
        <f>'4'!$G$118</f>
        <v>342.33999999999651</v>
      </c>
      <c r="AH8" s="254">
        <f>'4'!$G$119</f>
        <v>410.06000000002678</v>
      </c>
      <c r="AI8" s="254">
        <f>'4'!$G$120</f>
        <v>427.38999999999942</v>
      </c>
      <c r="AJ8" s="254">
        <f>'4'!$G$121</f>
        <v>720.55999999999767</v>
      </c>
      <c r="AK8" s="254">
        <f>'4'!$G$122</f>
        <v>251.76000000000931</v>
      </c>
      <c r="AL8" s="254">
        <f>'4'!$G$123</f>
        <v>260.30999999999767</v>
      </c>
      <c r="AM8" s="254">
        <f>'4'!$G$133</f>
        <v>690.82999999998719</v>
      </c>
      <c r="AN8" s="254">
        <f>'4'!$G$15</f>
        <v>997.95200000004843</v>
      </c>
      <c r="AO8" s="254">
        <f>'4'!$G$74</f>
        <v>297.04000000003725</v>
      </c>
      <c r="AP8" s="254">
        <f>'4'!$G$75</f>
        <v>0</v>
      </c>
      <c r="AQ8" s="254">
        <f>'4'!$G$76</f>
        <v>150.01000000000931</v>
      </c>
      <c r="AR8" s="254">
        <f>'4'!$G$77</f>
        <v>47.900000000001455</v>
      </c>
      <c r="AS8" s="254">
        <f>'4'!$G$78</f>
        <v>2.3000000000010914</v>
      </c>
      <c r="AT8" s="254">
        <f t="shared" si="0"/>
        <v>500.70199999999932</v>
      </c>
      <c r="AU8" s="254">
        <f>SUM('4'!G91:G92)</f>
        <v>11.4699999999998</v>
      </c>
      <c r="AV8" s="254">
        <f>'4'!$G$88</f>
        <v>0</v>
      </c>
      <c r="AW8" s="254">
        <f>'4'!$G$89</f>
        <v>9.7400000000016007</v>
      </c>
      <c r="AX8" s="254">
        <f>'4'!$G$90</f>
        <v>0.25</v>
      </c>
      <c r="AY8" s="252">
        <f t="shared" si="1"/>
        <v>9.9900000000016007</v>
      </c>
      <c r="AZ8" s="311">
        <f t="shared" si="2"/>
        <v>25.897122929384693</v>
      </c>
      <c r="BA8" s="311">
        <f t="shared" si="3"/>
        <v>50.120320320312224</v>
      </c>
      <c r="BB8" s="351">
        <f t="shared" si="4"/>
        <v>4377.369999999959</v>
      </c>
      <c r="BC8" s="351">
        <f t="shared" si="5"/>
        <v>23.699134678426443</v>
      </c>
    </row>
    <row r="9" spans="1:55" x14ac:dyDescent="0.2">
      <c r="A9" s="359">
        <v>5</v>
      </c>
      <c r="B9" s="643">
        <f>'5'!G7</f>
        <v>20600.080000000075</v>
      </c>
      <c r="C9" s="643">
        <f>'5'!G8</f>
        <v>20830.960000000079</v>
      </c>
      <c r="D9" s="643">
        <f>'5'!G15</f>
        <v>1047.8699999998789</v>
      </c>
      <c r="E9" s="643">
        <f>'5'!G20</f>
        <v>294</v>
      </c>
      <c r="F9" s="643">
        <f>SUM('5'!G35,'5'!G49)</f>
        <v>2888.9999999999964</v>
      </c>
      <c r="G9" s="643">
        <f>SUM('5'!G37,'5'!G51)</f>
        <v>1683.9199999999983</v>
      </c>
      <c r="H9" s="643">
        <f>SUM('5'!G38,'5'!G52)</f>
        <v>1939.4400000000023</v>
      </c>
      <c r="I9" s="643">
        <f>SUM('5'!G39,'5'!G53)</f>
        <v>2758.0200000000041</v>
      </c>
      <c r="J9" s="643">
        <f>SUM('5'!G41,'5'!G42,'5'!G55,'5'!G56)</f>
        <v>3196.3899999999994</v>
      </c>
      <c r="K9" s="643">
        <f>SUM('5'!G43,'5'!G57)</f>
        <v>2237.7600000000093</v>
      </c>
      <c r="L9" s="254">
        <f>'5'!G50</f>
        <v>1526.75</v>
      </c>
      <c r="M9" s="254">
        <f>'5'!G36</f>
        <v>1353.260000000002</v>
      </c>
      <c r="N9" s="254">
        <f>'5'!G138</f>
        <v>97</v>
      </c>
      <c r="O9" s="254">
        <f>'5'!$G$139</f>
        <v>11</v>
      </c>
      <c r="P9" s="254">
        <f>'5'!$G$140</f>
        <v>1.1999999999970896</v>
      </c>
      <c r="Q9" s="258">
        <f>'5'!$G$141</f>
        <v>186.5</v>
      </c>
      <c r="R9" s="254">
        <f>'5'!$G$142</f>
        <v>68.260000000002037</v>
      </c>
      <c r="S9" s="251">
        <f>'5'!$G$145</f>
        <v>8.2599999999993088</v>
      </c>
      <c r="T9" s="254">
        <f>'5'!$G$146</f>
        <v>450</v>
      </c>
      <c r="U9" s="254">
        <f>'5'!$G$144</f>
        <v>213</v>
      </c>
      <c r="V9" s="256">
        <f>'5'!$G$147</f>
        <v>414.56000000005588</v>
      </c>
      <c r="W9" s="254">
        <f>'5'!$G$148</f>
        <v>385.44000000006054</v>
      </c>
      <c r="X9" s="254">
        <f>'5'!$G$143</f>
        <v>27.8100000000004</v>
      </c>
      <c r="Y9" s="254">
        <f>'5'!$G$58</f>
        <v>243.92000000000007</v>
      </c>
      <c r="Z9" s="254">
        <f>'5'!$G$151</f>
        <v>255</v>
      </c>
      <c r="AA9" s="254">
        <f>'5'!G161</f>
        <v>56.520000000018626</v>
      </c>
      <c r="AB9" s="254">
        <f>'5'!G162</f>
        <v>33.899999999994179</v>
      </c>
      <c r="AC9" s="254"/>
      <c r="AD9" s="254">
        <f>'5'!G163+'5'!G164</f>
        <v>33.5</v>
      </c>
      <c r="AE9" s="254">
        <f>'5'!$G$116</f>
        <v>27.28</v>
      </c>
      <c r="AF9" s="254">
        <f>'5'!$G$117</f>
        <v>109.17999999999984</v>
      </c>
      <c r="AG9" s="254">
        <f>'5'!$G$118</f>
        <v>341.54000000000815</v>
      </c>
      <c r="AH9" s="254">
        <f>'5'!$G$119</f>
        <v>387.07999999998719</v>
      </c>
      <c r="AI9" s="254">
        <f>'5'!$G$120</f>
        <v>409.87000000000262</v>
      </c>
      <c r="AJ9" s="254">
        <f>'5'!$G$121</f>
        <v>720.76000000000931</v>
      </c>
      <c r="AK9" s="254">
        <f>'5'!$G$122</f>
        <v>259.33000000000175</v>
      </c>
      <c r="AL9" s="254">
        <f>'5'!$G$123</f>
        <v>248.3300000000163</v>
      </c>
      <c r="AM9" s="254">
        <f>'5'!$G$133</f>
        <v>692.97000000000116</v>
      </c>
      <c r="AN9" s="254">
        <f>'5'!$G$15</f>
        <v>1047.8699999998789</v>
      </c>
      <c r="AO9" s="256">
        <f>'5'!$G$74</f>
        <v>284.73999999999069</v>
      </c>
      <c r="AP9" s="256">
        <f>'5'!$G$75</f>
        <v>0</v>
      </c>
      <c r="AQ9" s="256">
        <f>'5'!$G$76</f>
        <v>134</v>
      </c>
      <c r="AR9" s="256">
        <f>'5'!$G$77</f>
        <v>59.799999999995634</v>
      </c>
      <c r="AS9" s="256">
        <f>'5'!$G$78</f>
        <v>2.1999999999989086</v>
      </c>
      <c r="AT9" s="256">
        <f t="shared" si="0"/>
        <v>567.1299999998937</v>
      </c>
      <c r="AU9" s="254">
        <f>SUM('5'!G91:G92)</f>
        <v>10.619999999999891</v>
      </c>
      <c r="AV9" s="254">
        <f>'5'!$G$88</f>
        <v>0</v>
      </c>
      <c r="AW9" s="254">
        <f>'5'!$G$89</f>
        <v>9.8600000000005821</v>
      </c>
      <c r="AX9" s="254">
        <f>'5'!$G$90</f>
        <v>3.6600000000034925</v>
      </c>
      <c r="AY9" s="252">
        <f t="shared" si="1"/>
        <v>13.520000000004075</v>
      </c>
      <c r="AZ9" s="311">
        <f>AO9/AU9</f>
        <v>26.811676082861922</v>
      </c>
      <c r="BA9" s="311">
        <f t="shared" si="3"/>
        <v>41.947485207080085</v>
      </c>
      <c r="BB9" s="351">
        <f t="shared" si="4"/>
        <v>5882.5100000000693</v>
      </c>
      <c r="BC9" s="351">
        <f t="shared" si="5"/>
        <v>28.555762890241436</v>
      </c>
    </row>
    <row r="10" spans="1:55" x14ac:dyDescent="0.2">
      <c r="A10" s="359">
        <v>6</v>
      </c>
      <c r="B10" s="643">
        <f>'6'!G7</f>
        <v>20386.880000000005</v>
      </c>
      <c r="C10" s="643">
        <f>'6'!G8</f>
        <v>20612</v>
      </c>
      <c r="D10" s="643">
        <f>'6'!G15</f>
        <v>1049.5</v>
      </c>
      <c r="E10" s="643">
        <f>'6'!G20</f>
        <v>275</v>
      </c>
      <c r="F10" s="643">
        <f>SUM('6'!G35,'6'!G49)</f>
        <v>3019.2900000000009</v>
      </c>
      <c r="G10" s="643">
        <f>SUM('6'!G37,'6'!G51)</f>
        <v>1645.6599999999962</v>
      </c>
      <c r="H10" s="643">
        <f>SUM('6'!G38,'6'!G52)</f>
        <v>1915.0299999999988</v>
      </c>
      <c r="I10" s="643">
        <f>SUM('6'!G39,'6'!G53)</f>
        <v>2776.5599999999977</v>
      </c>
      <c r="J10" s="643">
        <f>SUM('6'!G41,'6'!G42,'6'!G55,'6'!G56)</f>
        <v>3426.9199999999983</v>
      </c>
      <c r="K10" s="643">
        <f>SUM('6'!G43,'6'!G57)</f>
        <v>2145.3499999999913</v>
      </c>
      <c r="L10" s="254">
        <f>'6'!G50</f>
        <v>1272.5999999999985</v>
      </c>
      <c r="M10" s="254">
        <f>'6'!G36</f>
        <v>902.15999999999622</v>
      </c>
      <c r="N10" s="254">
        <f>'6'!G138</f>
        <v>89</v>
      </c>
      <c r="O10" s="254">
        <f>'6'!$G$139</f>
        <v>5</v>
      </c>
      <c r="P10" s="254">
        <f>'6'!$G$140</f>
        <v>0.80000000000291038</v>
      </c>
      <c r="Q10" s="254">
        <f>'6'!$G$141</f>
        <v>166.01000000000204</v>
      </c>
      <c r="R10" s="254">
        <f>'6'!$G$142</f>
        <v>66.869999999998981</v>
      </c>
      <c r="S10" s="254">
        <f>'6'!$G$145</f>
        <v>7.180000000000291</v>
      </c>
      <c r="T10" s="251">
        <f>'6'!$G$146</f>
        <v>456</v>
      </c>
      <c r="U10" s="251">
        <f>'6'!$G$144</f>
        <v>212</v>
      </c>
      <c r="V10" s="251">
        <f>'6'!$G$147</f>
        <v>394.1600000000326</v>
      </c>
      <c r="W10" s="251">
        <f>'6'!$G$148</f>
        <v>355.52000000001863</v>
      </c>
      <c r="X10" s="251">
        <f>'6'!$G$143</f>
        <v>29.339999999999691</v>
      </c>
      <c r="Y10" s="251">
        <f>'6'!$G$58</f>
        <v>227.27999999999975</v>
      </c>
      <c r="Z10" s="251">
        <f>'6'!$G$151</f>
        <v>241</v>
      </c>
      <c r="AA10" s="251">
        <f>'6'!G161</f>
        <v>31.840000000025611</v>
      </c>
      <c r="AB10" s="251">
        <f>'6'!G162</f>
        <v>18.100000000005821</v>
      </c>
      <c r="AC10" s="251"/>
      <c r="AD10" s="251">
        <f>'6'!G163+'6'!G164</f>
        <v>34.600000000005821</v>
      </c>
      <c r="AE10" s="254">
        <f>'6'!$G$116</f>
        <v>236.35</v>
      </c>
      <c r="AF10" s="254">
        <f>'6'!$G$117</f>
        <v>118.32000000000016</v>
      </c>
      <c r="AG10" s="254">
        <f>'6'!$G$118</f>
        <v>326.33999999999651</v>
      </c>
      <c r="AH10" s="254">
        <f>'6'!$G$119</f>
        <v>386.94000000000233</v>
      </c>
      <c r="AI10" s="254">
        <f>'6'!$G$120</f>
        <v>394</v>
      </c>
      <c r="AJ10" s="254">
        <f>'6'!$G$121</f>
        <v>732.44000000000233</v>
      </c>
      <c r="AK10" s="254">
        <f>'6'!$G$122</f>
        <v>222.33000000000175</v>
      </c>
      <c r="AL10" s="254">
        <f>'6'!$G$123</f>
        <v>250.45999999999185</v>
      </c>
      <c r="AM10" s="254">
        <f>'6'!$G$133</f>
        <v>622.38999999999942</v>
      </c>
      <c r="AN10" s="254">
        <f>'6'!$G$15</f>
        <v>1049.5</v>
      </c>
      <c r="AO10" s="256">
        <f>'6'!$G$74</f>
        <v>303.77999999991152</v>
      </c>
      <c r="AP10" s="256">
        <f>'6'!$G$75</f>
        <v>0</v>
      </c>
      <c r="AQ10" s="256">
        <f>'6'!$G$76</f>
        <v>109.80999999999767</v>
      </c>
      <c r="AR10" s="256">
        <f>'6'!$G$77</f>
        <v>45.5</v>
      </c>
      <c r="AS10" s="256">
        <f>'6'!$G$78</f>
        <v>1.3000000000010914</v>
      </c>
      <c r="AT10" s="256">
        <f t="shared" si="0"/>
        <v>589.11000000008971</v>
      </c>
      <c r="AU10" s="254">
        <f>SUM('6'!G91:G92)</f>
        <v>11.170000000000073</v>
      </c>
      <c r="AV10" s="254">
        <f>'6'!$G$88</f>
        <v>0</v>
      </c>
      <c r="AW10" s="254">
        <f>'6'!$G$89</f>
        <v>10.180000000000291</v>
      </c>
      <c r="AX10" s="254">
        <f>'6'!$G$90</f>
        <v>4.1599999999889405</v>
      </c>
      <c r="AY10" s="252">
        <f t="shared" si="1"/>
        <v>14.339999999989232</v>
      </c>
      <c r="AZ10" s="311">
        <f t="shared" ref="AZ10:AZ28" si="6">AO10/AU10</f>
        <v>27.196060877341946</v>
      </c>
      <c r="BA10" s="311">
        <f t="shared" si="3"/>
        <v>41.081589958196105</v>
      </c>
      <c r="BB10" s="351">
        <f t="shared" si="4"/>
        <v>5455.910000000018</v>
      </c>
      <c r="BC10" s="351">
        <f t="shared" si="5"/>
        <v>26.761868417335151</v>
      </c>
    </row>
    <row r="11" spans="1:55" x14ac:dyDescent="0.2">
      <c r="A11" s="359">
        <v>7</v>
      </c>
      <c r="B11" s="643">
        <f>'7'!G7</f>
        <v>21554.719999999972</v>
      </c>
      <c r="C11" s="643">
        <f>'7'!G8</f>
        <v>21704.239999999991</v>
      </c>
      <c r="D11" s="643">
        <f>'7'!G15</f>
        <v>1030.6800000001676</v>
      </c>
      <c r="E11" s="643">
        <f>'7'!G20</f>
        <v>242</v>
      </c>
      <c r="F11" s="643">
        <f>SUM('7'!G35,'7'!G49)</f>
        <v>3100.3399999999965</v>
      </c>
      <c r="G11" s="643">
        <f>SUM('7'!G37,'7'!G51)</f>
        <v>1658.8400000000038</v>
      </c>
      <c r="H11" s="643">
        <f>SUM('7'!G38,'7'!G52)</f>
        <v>2017.739999999998</v>
      </c>
      <c r="I11" s="643">
        <f>SUM('7'!G39,'7'!G53)</f>
        <v>3066.4900000000052</v>
      </c>
      <c r="J11" s="643">
        <f>SUM('7'!G41,'7'!G42,'7'!G55,'7'!G56)</f>
        <v>4458.75</v>
      </c>
      <c r="K11" s="643">
        <f>SUM('7'!G43,'7'!G57)</f>
        <v>2208.6800000000076</v>
      </c>
      <c r="L11" s="254">
        <f>'7'!G50</f>
        <v>1415.6200000000026</v>
      </c>
      <c r="M11" s="254">
        <f>'7'!G36</f>
        <v>840.56999999999971</v>
      </c>
      <c r="N11" s="254">
        <f>'7'!G138</f>
        <v>80</v>
      </c>
      <c r="O11" s="254">
        <f>'7'!$G$139</f>
        <v>33</v>
      </c>
      <c r="P11" s="254">
        <f>'7'!$G$140</f>
        <v>1</v>
      </c>
      <c r="Q11" s="254">
        <f>'7'!$G$141</f>
        <v>180.29000000000087</v>
      </c>
      <c r="R11" s="254">
        <f>'7'!$G$142</f>
        <v>74.799999999999272</v>
      </c>
      <c r="S11" s="254">
        <f>'7'!$G$145</f>
        <v>12.600000000000364</v>
      </c>
      <c r="T11" s="251">
        <f>'7'!$G$146</f>
        <v>464</v>
      </c>
      <c r="U11" s="251">
        <f>'7'!$G$144</f>
        <v>217</v>
      </c>
      <c r="V11" s="251">
        <f>'7'!$G$147</f>
        <v>413.27999999991152</v>
      </c>
      <c r="W11" s="251">
        <f>'7'!$G$148</f>
        <v>328.47999999998137</v>
      </c>
      <c r="X11" s="251">
        <f>'7'!$G$143</f>
        <v>26.360000000000127</v>
      </c>
      <c r="Y11" s="251">
        <f>'7'!$G$58</f>
        <v>195.38000000000011</v>
      </c>
      <c r="Z11" s="256">
        <f>'7'!$G$151</f>
        <v>251</v>
      </c>
      <c r="AA11" s="256">
        <f>'7'!G161</f>
        <v>38.599999999976717</v>
      </c>
      <c r="AB11" s="251">
        <f>'7'!G162</f>
        <v>39.399999999994179</v>
      </c>
      <c r="AC11" s="251"/>
      <c r="AD11" s="251">
        <f>'7'!G163+'7'!G164</f>
        <v>37.200000000003456</v>
      </c>
      <c r="AE11" s="254">
        <f>'7'!$G$116</f>
        <v>370.46999999999997</v>
      </c>
      <c r="AF11" s="254">
        <f>'7'!$G$117</f>
        <v>148.92999999999984</v>
      </c>
      <c r="AG11" s="254">
        <f>'7'!$G$118</f>
        <v>355.13999999998487</v>
      </c>
      <c r="AH11" s="254">
        <f>'7'!$G$119</f>
        <v>394.38000000000466</v>
      </c>
      <c r="AI11" s="254">
        <f>'7'!$G$120</f>
        <v>421.58000000000175</v>
      </c>
      <c r="AJ11" s="254">
        <f>'7'!$G$121</f>
        <v>749.55999999999767</v>
      </c>
      <c r="AK11" s="256">
        <f>'7'!$G$122</f>
        <v>205.54999999998836</v>
      </c>
      <c r="AL11" s="254">
        <f>'7'!$G$123</f>
        <v>250.39999999999418</v>
      </c>
      <c r="AM11" s="254">
        <f>'7'!$G$133</f>
        <v>677.02999999999884</v>
      </c>
      <c r="AN11" s="254">
        <f>'7'!$G$15</f>
        <v>1030.6800000001676</v>
      </c>
      <c r="AO11" s="256">
        <f>'7'!$G$74</f>
        <v>301.6600000000326</v>
      </c>
      <c r="AP11" s="256">
        <f>'7'!$G$75</f>
        <v>0</v>
      </c>
      <c r="AQ11" s="256">
        <f>'7'!$G$76</f>
        <v>98.489999999990687</v>
      </c>
      <c r="AR11" s="256">
        <f>'7'!$G$77</f>
        <v>55.900000000001455</v>
      </c>
      <c r="AS11" s="256">
        <f>'7'!$G$78</f>
        <v>0.8999999999996362</v>
      </c>
      <c r="AT11" s="256">
        <f t="shared" si="0"/>
        <v>573.73000000014326</v>
      </c>
      <c r="AU11" s="254">
        <f>SUM('7'!G91:G92)</f>
        <v>11.099999999999909</v>
      </c>
      <c r="AV11" s="254">
        <f>'7'!$G$88</f>
        <v>0</v>
      </c>
      <c r="AW11" s="254">
        <f>'7'!$G$89</f>
        <v>9.7899999999972351</v>
      </c>
      <c r="AX11" s="254">
        <f>'7'!$G$90</f>
        <v>4.1600000000034925</v>
      </c>
      <c r="AY11" s="252">
        <f t="shared" si="1"/>
        <v>13.950000000000728</v>
      </c>
      <c r="AZ11" s="311">
        <f>AO11/AU11</f>
        <v>27.176576576579738</v>
      </c>
      <c r="BA11" s="311">
        <f t="shared" si="3"/>
        <v>41.127598566316365</v>
      </c>
      <c r="BB11" s="351">
        <f t="shared" si="4"/>
        <v>4998.0199999999786</v>
      </c>
      <c r="BC11" s="351">
        <f t="shared" si="5"/>
        <v>23.187589539553215</v>
      </c>
    </row>
    <row r="12" spans="1:55" x14ac:dyDescent="0.2">
      <c r="A12" s="359">
        <v>8</v>
      </c>
      <c r="B12" s="643">
        <f>'8'!G7</f>
        <v>19667.729999999981</v>
      </c>
      <c r="C12" s="643">
        <f>'8'!G8</f>
        <v>19730.089999999967</v>
      </c>
      <c r="D12" s="643">
        <f>'8'!G15</f>
        <v>1052.1799999999348</v>
      </c>
      <c r="E12" s="643">
        <f>'8'!G20</f>
        <v>232</v>
      </c>
      <c r="F12" s="643">
        <f>SUM('8'!G35,'8'!G49)</f>
        <v>3021.0200000000041</v>
      </c>
      <c r="G12" s="643">
        <f>SUM('8'!G37,'8'!G51)</f>
        <v>1609.0699999999997</v>
      </c>
      <c r="H12" s="643">
        <f>SUM('8'!G38,'8'!G52)</f>
        <v>1914.6800000000003</v>
      </c>
      <c r="I12" s="643">
        <f>SUM('8'!G39,'8'!G53)</f>
        <v>2923.2899999999936</v>
      </c>
      <c r="J12" s="643">
        <f>SUM('8'!G41,'8'!G42,'8'!G55,'8'!G56)</f>
        <v>4082.4900000000066</v>
      </c>
      <c r="K12" s="643">
        <f>SUM('8'!G43,'8'!G57)</f>
        <v>2123.6699999999983</v>
      </c>
      <c r="L12" s="254">
        <f>'8'!G50</f>
        <v>1131.1399999999994</v>
      </c>
      <c r="M12" s="254">
        <f>'8'!G36</f>
        <v>799.44000000000233</v>
      </c>
      <c r="N12" s="254">
        <f>'8'!G138</f>
        <v>70</v>
      </c>
      <c r="O12" s="254">
        <f>'8'!$G$139</f>
        <v>1</v>
      </c>
      <c r="P12" s="254">
        <f>'8'!$G$140</f>
        <v>2</v>
      </c>
      <c r="Q12" s="254">
        <f>'8'!$G$141</f>
        <v>169.13999999999942</v>
      </c>
      <c r="R12" s="254">
        <f>'8'!$G$142</f>
        <v>66.200000000000728</v>
      </c>
      <c r="S12" s="254">
        <f>'8'!$G$145</f>
        <v>14.149999999999636</v>
      </c>
      <c r="T12" s="251">
        <f>'8'!$G$146</f>
        <v>405</v>
      </c>
      <c r="U12" s="251">
        <f>'8'!$G$144</f>
        <v>208</v>
      </c>
      <c r="V12" s="251">
        <f>'8'!$G$147</f>
        <v>426.56000000005588</v>
      </c>
      <c r="W12" s="251">
        <f>'8'!$G$148</f>
        <v>300.23999999999069</v>
      </c>
      <c r="X12" s="251">
        <f>'8'!$G$143</f>
        <v>31</v>
      </c>
      <c r="Y12" s="251">
        <f>'8'!$G$58</f>
        <v>202.01000000000022</v>
      </c>
      <c r="Z12" s="251">
        <f>'8'!$G$151</f>
        <v>233</v>
      </c>
      <c r="AA12" s="251">
        <f>'8'!G161</f>
        <v>44.559999999997672</v>
      </c>
      <c r="AB12" s="251">
        <f>'8'!G162</f>
        <v>42.30000000000291</v>
      </c>
      <c r="AC12" s="251"/>
      <c r="AD12" s="251">
        <f>'8'!G163+'8'!G164</f>
        <v>46.299999999993815</v>
      </c>
      <c r="AE12" s="254">
        <f>'8'!$G$116</f>
        <v>290.83000000000004</v>
      </c>
      <c r="AF12" s="254">
        <f>'8'!$G$117</f>
        <v>177.53999999999996</v>
      </c>
      <c r="AG12" s="254">
        <f>'8'!$G$118</f>
        <v>372.45000000001164</v>
      </c>
      <c r="AH12" s="254">
        <f>'8'!$G$119</f>
        <v>401.92999999999302</v>
      </c>
      <c r="AI12" s="254">
        <f>'8'!$G$120</f>
        <v>424.23999999999796</v>
      </c>
      <c r="AJ12" s="254">
        <f>'8'!$G$121</f>
        <v>705.92999999999302</v>
      </c>
      <c r="AK12" s="254">
        <f>'8'!$G$122</f>
        <v>206.63000000000466</v>
      </c>
      <c r="AL12" s="254">
        <f>'8'!$G$123</f>
        <v>252.23000000001048</v>
      </c>
      <c r="AM12" s="254">
        <f>'8'!$G$133</f>
        <v>647.32000000000698</v>
      </c>
      <c r="AN12" s="254">
        <f>'8'!$G$15</f>
        <v>1052.1799999999348</v>
      </c>
      <c r="AO12" s="256">
        <f>'8'!$G$74</f>
        <v>302.52000000001863</v>
      </c>
      <c r="AP12" s="256">
        <f>'8'!$G$75</f>
        <v>0</v>
      </c>
      <c r="AQ12" s="256">
        <f>'8'!$G$76</f>
        <v>110.60000000000582</v>
      </c>
      <c r="AR12" s="256">
        <f>'8'!$G$77</f>
        <v>50.400000000001455</v>
      </c>
      <c r="AS12" s="256">
        <f>'8'!$G$78</f>
        <v>1</v>
      </c>
      <c r="AT12" s="256">
        <f t="shared" si="0"/>
        <v>587.65999999990891</v>
      </c>
      <c r="AU12" s="254">
        <f>SUM('8'!G91:G92)</f>
        <v>11.100000000000364</v>
      </c>
      <c r="AV12" s="254">
        <f>'8'!$G$88</f>
        <v>-0.43000000000029104</v>
      </c>
      <c r="AW12" s="254">
        <f>'8'!$G$89</f>
        <v>10.630000000001019</v>
      </c>
      <c r="AX12" s="254">
        <f>'8'!$G$90</f>
        <v>3.0800000000017462</v>
      </c>
      <c r="AY12" s="252">
        <f t="shared" si="1"/>
        <v>13.280000000002474</v>
      </c>
      <c r="AZ12" s="311">
        <f t="shared" si="6"/>
        <v>27.254054054054841</v>
      </c>
      <c r="BA12" s="311">
        <f t="shared" si="3"/>
        <v>44.25150602408128</v>
      </c>
      <c r="BB12" s="351">
        <f t="shared" si="4"/>
        <v>3853.8599999999642</v>
      </c>
      <c r="BC12" s="351">
        <f t="shared" si="5"/>
        <v>19.594838855322745</v>
      </c>
    </row>
    <row r="13" spans="1:55" x14ac:dyDescent="0.2">
      <c r="A13" s="359">
        <v>9</v>
      </c>
      <c r="B13" s="643">
        <f>'9'!G7</f>
        <v>19382</v>
      </c>
      <c r="C13" s="643">
        <f>'9'!G8</f>
        <v>19467</v>
      </c>
      <c r="D13" s="643">
        <f>'9'!G15</f>
        <v>1070</v>
      </c>
      <c r="E13" s="643">
        <f>'9'!G20</f>
        <v>256</v>
      </c>
      <c r="F13" s="643">
        <f>SUM('9'!G35,'9'!G49)</f>
        <v>2906</v>
      </c>
      <c r="G13" s="643">
        <f>SUM('9'!G37,'9'!G51)</f>
        <v>1638</v>
      </c>
      <c r="H13" s="643">
        <f>SUM('9'!G38,'9'!G52)</f>
        <v>1923</v>
      </c>
      <c r="I13" s="643">
        <f>SUM('9'!G39,'9'!G53)</f>
        <v>3001</v>
      </c>
      <c r="J13" s="643">
        <f>SUM('9'!G41,'9'!G42,'9'!G55,'9'!G56)</f>
        <v>3894.5299999999988</v>
      </c>
      <c r="K13" s="643">
        <f>SUM('9'!G43,'9'!G57)</f>
        <v>2087</v>
      </c>
      <c r="L13" s="254">
        <f>'9'!G50</f>
        <v>1118</v>
      </c>
      <c r="M13" s="254">
        <f>'9'!G36</f>
        <v>779</v>
      </c>
      <c r="N13" s="254">
        <f>'9'!G138</f>
        <v>79</v>
      </c>
      <c r="O13" s="254">
        <f>'9'!$G$139</f>
        <v>2</v>
      </c>
      <c r="P13" s="254">
        <f>'9'!$G$140</f>
        <v>1</v>
      </c>
      <c r="Q13" s="254">
        <f>'9'!$G$141</f>
        <v>180</v>
      </c>
      <c r="R13" s="254">
        <f>'9'!$G$142</f>
        <v>71</v>
      </c>
      <c r="S13" s="254">
        <f>'9'!$G$145</f>
        <v>14</v>
      </c>
      <c r="T13" s="251">
        <f>'9'!$G$146</f>
        <v>408</v>
      </c>
      <c r="U13" s="251">
        <f>'9'!$G$144</f>
        <v>213</v>
      </c>
      <c r="V13" s="251">
        <f>'9'!$G$147</f>
        <v>388</v>
      </c>
      <c r="W13" s="251">
        <f>'9'!$G$148</f>
        <v>244</v>
      </c>
      <c r="X13" s="251">
        <f>'9'!$G$143</f>
        <v>26</v>
      </c>
      <c r="Y13" s="251">
        <f>'9'!$G$58</f>
        <v>285</v>
      </c>
      <c r="Z13" s="251">
        <f>'9'!$G$151</f>
        <v>218</v>
      </c>
      <c r="AA13" s="251">
        <f>'9'!G161</f>
        <v>18</v>
      </c>
      <c r="AB13" s="251">
        <f>'9'!G162</f>
        <v>38</v>
      </c>
      <c r="AC13" s="251"/>
      <c r="AD13" s="251">
        <f>'9'!G163+'9'!G164</f>
        <v>72</v>
      </c>
      <c r="AE13" s="254">
        <f>'9'!$G$116</f>
        <v>290</v>
      </c>
      <c r="AF13" s="254">
        <f>'9'!$G$117</f>
        <v>216</v>
      </c>
      <c r="AG13" s="254">
        <f>'9'!$G$118</f>
        <v>383</v>
      </c>
      <c r="AH13" s="254">
        <f>'9'!$G$119</f>
        <v>435</v>
      </c>
      <c r="AI13" s="254">
        <f>'9'!$G$120</f>
        <v>443</v>
      </c>
      <c r="AJ13" s="254">
        <f>'9'!$G$121</f>
        <v>741</v>
      </c>
      <c r="AK13" s="254">
        <f>'9'!$G$122</f>
        <v>263</v>
      </c>
      <c r="AL13" s="254">
        <f>'9'!$G$123</f>
        <v>254</v>
      </c>
      <c r="AM13" s="254">
        <f>'9'!$G$133</f>
        <v>658</v>
      </c>
      <c r="AN13" s="254">
        <f>'9'!$G$15</f>
        <v>1070</v>
      </c>
      <c r="AO13" s="256">
        <f>'9'!$G$74</f>
        <v>301</v>
      </c>
      <c r="AP13" s="256">
        <f>'9'!$G$75</f>
        <v>0.19999999999708962</v>
      </c>
      <c r="AQ13" s="256">
        <f>'9'!$G$76</f>
        <v>107</v>
      </c>
      <c r="AR13" s="256">
        <f>'9'!$G$77</f>
        <v>43</v>
      </c>
      <c r="AS13" s="256">
        <f>'9'!$G$78</f>
        <v>1</v>
      </c>
      <c r="AT13" s="256">
        <f t="shared" si="0"/>
        <v>617.80000000000291</v>
      </c>
      <c r="AU13" s="254">
        <f>SUM('9'!G91:G92)</f>
        <v>11.150000000000091</v>
      </c>
      <c r="AV13" s="254">
        <f>'9'!$G$88</f>
        <v>0</v>
      </c>
      <c r="AW13" s="254">
        <f>'9'!$G$89</f>
        <v>11.430000000000291</v>
      </c>
      <c r="AX13" s="254">
        <f>'9'!$G$90</f>
        <v>3</v>
      </c>
      <c r="AY13" s="252">
        <f t="shared" si="1"/>
        <v>14.430000000000291</v>
      </c>
      <c r="AZ13" s="311">
        <f t="shared" si="6"/>
        <v>26.995515695067045</v>
      </c>
      <c r="BA13" s="311">
        <f t="shared" si="3"/>
        <v>42.813582813582151</v>
      </c>
      <c r="BB13" s="351">
        <f t="shared" si="4"/>
        <v>3732.4700000000012</v>
      </c>
      <c r="BC13" s="351">
        <f t="shared" si="5"/>
        <v>19.257403776700038</v>
      </c>
    </row>
    <row r="14" spans="1:55" x14ac:dyDescent="0.2">
      <c r="A14" s="359">
        <v>10</v>
      </c>
      <c r="B14" s="643">
        <f>'10'!G7</f>
        <v>20288</v>
      </c>
      <c r="C14" s="643">
        <f>'10'!G8</f>
        <v>20373</v>
      </c>
      <c r="D14" s="643">
        <f>'10'!G15</f>
        <v>1152</v>
      </c>
      <c r="E14" s="643">
        <f>'10'!G20</f>
        <v>317</v>
      </c>
      <c r="F14" s="643">
        <f>SUM('10'!G35,'10'!G49)</f>
        <v>2839</v>
      </c>
      <c r="G14" s="643">
        <f>SUM('10'!G37,'10'!G51)</f>
        <v>1647</v>
      </c>
      <c r="H14" s="643">
        <f>SUM('10'!G38,'10'!G52)</f>
        <v>1955</v>
      </c>
      <c r="I14" s="643">
        <f>SUM('10'!G39,'10'!G53)</f>
        <v>3035</v>
      </c>
      <c r="J14" s="643">
        <f>SUM('10'!G41,'10'!G42,'10'!G55,'10'!G56)</f>
        <v>4557</v>
      </c>
      <c r="K14" s="643">
        <f>SUM('10'!G43,'10'!G57)</f>
        <v>2097</v>
      </c>
      <c r="L14" s="254">
        <f>'10'!G50</f>
        <v>1144</v>
      </c>
      <c r="M14" s="254">
        <f>'10'!G36</f>
        <v>1084</v>
      </c>
      <c r="N14" s="254">
        <f>'10'!G138</f>
        <v>74</v>
      </c>
      <c r="O14" s="254">
        <f>'10'!$G$139</f>
        <v>2</v>
      </c>
      <c r="P14" s="254">
        <f>'10'!$G$140</f>
        <v>1</v>
      </c>
      <c r="Q14" s="254">
        <f>'10'!$G$141</f>
        <v>176</v>
      </c>
      <c r="R14" s="254">
        <f>'10'!$G$142</f>
        <v>69</v>
      </c>
      <c r="S14" s="254">
        <f>'10'!$G$145</f>
        <v>16</v>
      </c>
      <c r="T14" s="251">
        <f>'10'!$G$146</f>
        <v>410</v>
      </c>
      <c r="U14" s="251">
        <f>'10'!$G$144</f>
        <v>224</v>
      </c>
      <c r="V14" s="257">
        <f>'10'!$G$147</f>
        <v>398</v>
      </c>
      <c r="W14" s="257">
        <f>'10'!$G$148</f>
        <v>286</v>
      </c>
      <c r="X14" s="251">
        <f>'10'!$G$143</f>
        <v>30</v>
      </c>
      <c r="Y14" s="251">
        <f>'10'!$G$58</f>
        <v>197</v>
      </c>
      <c r="Z14" s="251">
        <f>'10'!$G$151</f>
        <v>226</v>
      </c>
      <c r="AA14" s="251">
        <f>'10'!G161</f>
        <v>15</v>
      </c>
      <c r="AB14" s="251">
        <f>'10'!G162</f>
        <v>42</v>
      </c>
      <c r="AC14" s="251"/>
      <c r="AD14" s="251">
        <f>'10'!G163+'10'!G164</f>
        <v>93</v>
      </c>
      <c r="AE14" s="254">
        <f>'10'!$G$116</f>
        <v>328</v>
      </c>
      <c r="AF14" s="254">
        <f>'10'!$G$117</f>
        <v>114</v>
      </c>
      <c r="AG14" s="254">
        <f>'10'!$G$118</f>
        <v>412</v>
      </c>
      <c r="AH14" s="254">
        <f>'10'!$G$119</f>
        <v>419</v>
      </c>
      <c r="AI14" s="254">
        <f>'10'!$G$120</f>
        <v>445</v>
      </c>
      <c r="AJ14" s="254">
        <f>'10'!$G$121</f>
        <v>735</v>
      </c>
      <c r="AK14" s="254">
        <f>'10'!$G$122</f>
        <v>143</v>
      </c>
      <c r="AL14" s="254">
        <f>'10'!$G$123</f>
        <v>254</v>
      </c>
      <c r="AM14" s="254">
        <f>'10'!$G$133</f>
        <v>522</v>
      </c>
      <c r="AN14" s="254">
        <f>'10'!$G$15</f>
        <v>1152</v>
      </c>
      <c r="AO14" s="256">
        <f>'10'!$G$74</f>
        <v>341</v>
      </c>
      <c r="AP14" s="256">
        <f>'10'!$G$75</f>
        <v>0</v>
      </c>
      <c r="AQ14" s="256">
        <f>'10'!$G$76</f>
        <v>114</v>
      </c>
      <c r="AR14" s="256">
        <f>'10'!$G$77</f>
        <v>43</v>
      </c>
      <c r="AS14" s="256">
        <f>'10'!$G$78</f>
        <v>3</v>
      </c>
      <c r="AT14" s="256">
        <f t="shared" si="0"/>
        <v>651</v>
      </c>
      <c r="AU14" s="254">
        <f>SUM('10'!G91:G92)</f>
        <v>12</v>
      </c>
      <c r="AV14" s="254">
        <f>'10'!$G$88</f>
        <v>0</v>
      </c>
      <c r="AW14" s="254">
        <f>'10'!$G$89</f>
        <v>11.569999999999709</v>
      </c>
      <c r="AX14" s="254">
        <f>'10'!$G$90</f>
        <v>4</v>
      </c>
      <c r="AY14" s="252">
        <f t="shared" si="1"/>
        <v>15.569999999999709</v>
      </c>
      <c r="AZ14" s="311">
        <f t="shared" si="6"/>
        <v>28.416666666666668</v>
      </c>
      <c r="BA14" s="311">
        <f t="shared" si="3"/>
        <v>41.811175337187677</v>
      </c>
      <c r="BB14" s="351">
        <f t="shared" si="4"/>
        <v>4046</v>
      </c>
      <c r="BC14" s="351">
        <f t="shared" si="5"/>
        <v>19.94282334384858</v>
      </c>
    </row>
    <row r="15" spans="1:55" x14ac:dyDescent="0.2">
      <c r="A15" s="359">
        <v>11</v>
      </c>
      <c r="B15" s="643">
        <f>'11'!G7</f>
        <v>20918</v>
      </c>
      <c r="C15" s="643">
        <f>'11'!G8</f>
        <v>21020</v>
      </c>
      <c r="D15" s="643">
        <f>'11'!G15</f>
        <v>1118</v>
      </c>
      <c r="E15" s="643">
        <f>'11'!G20</f>
        <v>316</v>
      </c>
      <c r="F15" s="643">
        <f>SUM('11'!G35,'11'!G49)</f>
        <v>2776</v>
      </c>
      <c r="G15" s="643">
        <f>SUM('11'!G37,'11'!G51)</f>
        <v>1684</v>
      </c>
      <c r="H15" s="643">
        <f>SUM('11'!G38,'11'!G52)</f>
        <v>2076</v>
      </c>
      <c r="I15" s="643">
        <f>SUM('11'!G39,'11'!G53)</f>
        <v>3148</v>
      </c>
      <c r="J15" s="643">
        <f>SUM('11'!G41,'11'!G42,'11'!G55,'11'!G56)</f>
        <v>4736</v>
      </c>
      <c r="K15" s="643">
        <f>SUM('11'!G43,'11'!G57)</f>
        <v>2112</v>
      </c>
      <c r="L15" s="254">
        <f>'11'!G50</f>
        <v>1282</v>
      </c>
      <c r="M15" s="254">
        <f>'11'!G36</f>
        <v>1077</v>
      </c>
      <c r="N15" s="254">
        <f>'11'!G138</f>
        <v>116</v>
      </c>
      <c r="O15" s="254">
        <f>'11'!$G$139</f>
        <v>13</v>
      </c>
      <c r="P15" s="254">
        <f>'11'!$G$140</f>
        <v>6</v>
      </c>
      <c r="Q15" s="254">
        <f>'11'!$G$141</f>
        <v>190</v>
      </c>
      <c r="R15" s="254">
        <f>'11'!$G$142</f>
        <v>70</v>
      </c>
      <c r="S15" s="254">
        <f>'11'!$G$145</f>
        <v>14</v>
      </c>
      <c r="T15" s="251">
        <f>'11'!$G$146</f>
        <v>421</v>
      </c>
      <c r="U15" s="251">
        <f>'11'!$G$144</f>
        <v>203</v>
      </c>
      <c r="V15" s="251">
        <f>'11'!$G$147</f>
        <v>412</v>
      </c>
      <c r="W15" s="251">
        <f>'11'!$G$148</f>
        <v>330</v>
      </c>
      <c r="X15" s="251">
        <f>'11'!$G$143</f>
        <v>23</v>
      </c>
      <c r="Y15" s="251">
        <f>'11'!$G$58</f>
        <v>202</v>
      </c>
      <c r="Z15" s="251">
        <f>'11'!$G$151</f>
        <v>217</v>
      </c>
      <c r="AA15" s="251">
        <f>'11'!G161</f>
        <v>20</v>
      </c>
      <c r="AB15" s="251">
        <f>'11'!G162</f>
        <v>36</v>
      </c>
      <c r="AC15" s="251">
        <f>'11'!G88</f>
        <v>0</v>
      </c>
      <c r="AD15" s="251">
        <f>'11'!G163+'11'!G164</f>
        <v>92</v>
      </c>
      <c r="AE15" s="254">
        <f>'11'!$G$116</f>
        <v>370</v>
      </c>
      <c r="AF15" s="254">
        <f>'11'!$G$117</f>
        <v>289</v>
      </c>
      <c r="AG15" s="254">
        <f>'11'!$G$118</f>
        <v>404</v>
      </c>
      <c r="AH15" s="254">
        <f>'11'!$G$119</f>
        <v>435</v>
      </c>
      <c r="AI15" s="254">
        <f>'11'!$G$120</f>
        <v>443</v>
      </c>
      <c r="AJ15" s="254">
        <f>'11'!$G$121</f>
        <v>721</v>
      </c>
      <c r="AK15" s="254">
        <f>'11'!$G$122</f>
        <v>212</v>
      </c>
      <c r="AL15" s="254">
        <f>'11'!$G$123</f>
        <v>250</v>
      </c>
      <c r="AM15" s="254">
        <f>'11'!$G$133</f>
        <v>494</v>
      </c>
      <c r="AN15" s="254">
        <f>'11'!$G$15</f>
        <v>1118</v>
      </c>
      <c r="AO15" s="256">
        <f>'11'!$G$74</f>
        <v>316</v>
      </c>
      <c r="AP15" s="256">
        <f>'11'!$G$75</f>
        <v>0</v>
      </c>
      <c r="AQ15" s="256">
        <f>'11'!$G$76</f>
        <v>124</v>
      </c>
      <c r="AR15" s="256">
        <f>'11'!$G$77</f>
        <v>53</v>
      </c>
      <c r="AS15" s="256">
        <f>'11'!$G$78</f>
        <v>3</v>
      </c>
      <c r="AT15" s="256">
        <f t="shared" si="0"/>
        <v>622</v>
      </c>
      <c r="AU15" s="254">
        <f>SUM('11'!G91:G92)</f>
        <v>12</v>
      </c>
      <c r="AV15" s="254">
        <f>'11'!$G$88</f>
        <v>0</v>
      </c>
      <c r="AW15" s="254">
        <f>'11'!$G$89</f>
        <v>11</v>
      </c>
      <c r="AX15" s="254">
        <f>'11'!$G$90</f>
        <v>4</v>
      </c>
      <c r="AY15" s="252">
        <f t="shared" si="1"/>
        <v>15</v>
      </c>
      <c r="AZ15" s="311">
        <f t="shared" si="6"/>
        <v>26.333333333333332</v>
      </c>
      <c r="BA15" s="311">
        <f t="shared" si="3"/>
        <v>41.466666666666669</v>
      </c>
      <c r="BB15" s="351">
        <f t="shared" si="4"/>
        <v>4286</v>
      </c>
      <c r="BC15" s="351">
        <f t="shared" si="5"/>
        <v>20.489530547853523</v>
      </c>
    </row>
    <row r="16" spans="1:55" x14ac:dyDescent="0.2">
      <c r="A16" s="359">
        <v>12</v>
      </c>
      <c r="B16" s="643">
        <f>'12'!G7</f>
        <v>22223</v>
      </c>
      <c r="C16" s="643">
        <f>'12'!G8</f>
        <v>22339</v>
      </c>
      <c r="D16" s="643">
        <f>'12'!G15</f>
        <v>1293</v>
      </c>
      <c r="E16" s="643">
        <f>'12'!G20</f>
        <v>339</v>
      </c>
      <c r="F16" s="643">
        <f>SUM('12'!G35,'12'!G49)</f>
        <v>3199</v>
      </c>
      <c r="G16" s="643">
        <f>SUM('12'!G37,'12'!G51)</f>
        <v>1783</v>
      </c>
      <c r="H16" s="643">
        <f>SUM('12'!G38,'12'!G52)</f>
        <v>2162</v>
      </c>
      <c r="I16" s="643">
        <f>SUM('12'!G39,'12'!G53)</f>
        <v>3245</v>
      </c>
      <c r="J16" s="643">
        <f>SUM('12'!G41,'12'!G42,'12'!G55,'12'!G56)</f>
        <v>4928</v>
      </c>
      <c r="K16" s="643">
        <f>SUM('12'!G43,'12'!G57)</f>
        <v>2226</v>
      </c>
      <c r="L16" s="254">
        <f>'12'!G50</f>
        <v>1310</v>
      </c>
      <c r="M16" s="254">
        <f>'12'!G36</f>
        <v>1194</v>
      </c>
      <c r="N16" s="254">
        <f>'12'!G138</f>
        <v>96</v>
      </c>
      <c r="O16" s="254">
        <f>'12'!$G$139</f>
        <v>7</v>
      </c>
      <c r="P16" s="254">
        <f>'12'!$G$140</f>
        <v>0</v>
      </c>
      <c r="Q16" s="254">
        <f>'12'!$G$141</f>
        <v>187</v>
      </c>
      <c r="R16" s="254">
        <f>'12'!$G$142</f>
        <v>70</v>
      </c>
      <c r="S16" s="254">
        <f>'12'!$G$145</f>
        <v>9</v>
      </c>
      <c r="T16" s="251">
        <f>'12'!$G$146</f>
        <v>471</v>
      </c>
      <c r="U16" s="251">
        <f>'12'!$G$144</f>
        <v>220</v>
      </c>
      <c r="V16" s="251">
        <f>'12'!$G$147</f>
        <v>442</v>
      </c>
      <c r="W16" s="251">
        <f>'12'!$G$148</f>
        <v>383</v>
      </c>
      <c r="X16" s="251">
        <f>'12'!$G$143</f>
        <v>31</v>
      </c>
      <c r="Y16" s="251">
        <f>'12'!$G$58</f>
        <v>231</v>
      </c>
      <c r="Z16" s="251">
        <f>'12'!$G$151</f>
        <v>279</v>
      </c>
      <c r="AA16" s="251">
        <f>'12'!G161</f>
        <v>18</v>
      </c>
      <c r="AB16" s="251">
        <f>'12'!G162</f>
        <v>21</v>
      </c>
      <c r="AC16" s="251">
        <f>'12'!G88</f>
        <v>3.7700000000004366</v>
      </c>
      <c r="AD16" s="251">
        <f>'12'!G163+'12'!G164</f>
        <v>81</v>
      </c>
      <c r="AE16" s="254">
        <f>'12'!$G$116</f>
        <v>484</v>
      </c>
      <c r="AF16" s="254">
        <f>'12'!$G$117</f>
        <v>196</v>
      </c>
      <c r="AG16" s="254">
        <f>'12'!$G$118</f>
        <v>406</v>
      </c>
      <c r="AH16" s="254">
        <f>'12'!$G$119</f>
        <v>440</v>
      </c>
      <c r="AI16" s="254">
        <f>'12'!$G$120</f>
        <v>413</v>
      </c>
      <c r="AJ16" s="254">
        <f>'12'!$G$121</f>
        <v>776</v>
      </c>
      <c r="AK16" s="254">
        <f>'12'!$G$122</f>
        <v>184</v>
      </c>
      <c r="AL16" s="254">
        <f>'12'!$G$123</f>
        <v>263</v>
      </c>
      <c r="AM16" s="254">
        <f>'12'!$G$133</f>
        <v>698</v>
      </c>
      <c r="AN16" s="254">
        <f>'12'!$G$15</f>
        <v>1293</v>
      </c>
      <c r="AO16" s="256">
        <f>'12'!$G$74</f>
        <v>324</v>
      </c>
      <c r="AP16" s="256">
        <f>'12'!$G$75</f>
        <v>0</v>
      </c>
      <c r="AQ16" s="256">
        <f>'12'!$G$76</f>
        <v>152</v>
      </c>
      <c r="AR16" s="256">
        <f>'12'!$G$77</f>
        <v>58</v>
      </c>
      <c r="AS16" s="256">
        <f>'12'!$G$78</f>
        <v>4</v>
      </c>
      <c r="AT16" s="256">
        <f t="shared" si="0"/>
        <v>755</v>
      </c>
      <c r="AU16" s="254">
        <f>SUM('12'!G91:G92)</f>
        <v>11.860000000000127</v>
      </c>
      <c r="AV16" s="254">
        <f>'12'!$G$88</f>
        <v>3.7700000000004366</v>
      </c>
      <c r="AW16" s="254">
        <f>'12'!$G$89</f>
        <v>8.6300000000010186</v>
      </c>
      <c r="AX16" s="254">
        <f>'12'!$G$90</f>
        <v>7.2299999999959255</v>
      </c>
      <c r="AY16" s="252">
        <f t="shared" si="1"/>
        <v>19.629999999997381</v>
      </c>
      <c r="AZ16" s="311">
        <f t="shared" si="6"/>
        <v>27.318718381112692</v>
      </c>
      <c r="BA16" s="311">
        <f t="shared" si="3"/>
        <v>38.461538461543597</v>
      </c>
      <c r="BB16" s="351">
        <f t="shared" si="4"/>
        <v>4565</v>
      </c>
      <c r="BC16" s="351">
        <f t="shared" si="5"/>
        <v>20.541781037663682</v>
      </c>
    </row>
    <row r="17" spans="1:55" x14ac:dyDescent="0.2">
      <c r="A17" s="359">
        <v>13</v>
      </c>
      <c r="B17" s="643">
        <f>'13'!G7</f>
        <v>22076</v>
      </c>
      <c r="C17" s="643">
        <f>'13'!G8</f>
        <v>22200</v>
      </c>
      <c r="D17" s="643">
        <f>'13'!G15</f>
        <v>1108</v>
      </c>
      <c r="E17" s="643">
        <f>'13'!G20</f>
        <v>296</v>
      </c>
      <c r="F17" s="643">
        <f>SUM('13'!G35,'13'!G49)</f>
        <v>2981</v>
      </c>
      <c r="G17" s="643">
        <f>SUM('13'!G37,'13'!G51)</f>
        <v>1781</v>
      </c>
      <c r="H17" s="643">
        <f>SUM('13'!G38,'13'!G52)</f>
        <v>2029</v>
      </c>
      <c r="I17" s="643">
        <f>SUM('13'!G39,'13'!G53)</f>
        <v>3279</v>
      </c>
      <c r="J17" s="643">
        <f>SUM('13'!G41,'13'!G42,'13'!G55,'13'!G56)</f>
        <v>5019</v>
      </c>
      <c r="K17" s="643">
        <f>SUM('13'!G43,'13'!G57)</f>
        <v>2145</v>
      </c>
      <c r="L17" s="254">
        <f>'13'!G50</f>
        <v>1558</v>
      </c>
      <c r="M17" s="254">
        <f>'13'!G36</f>
        <v>1069</v>
      </c>
      <c r="N17" s="254">
        <f>'13'!G138</f>
        <v>148</v>
      </c>
      <c r="O17" s="254">
        <f>'13'!$G$139</f>
        <v>20</v>
      </c>
      <c r="P17" s="254">
        <f>'13'!$G$140</f>
        <v>0</v>
      </c>
      <c r="Q17" s="254">
        <f>'13'!$G$141</f>
        <v>179</v>
      </c>
      <c r="R17" s="254">
        <f>'13'!$G$142</f>
        <v>70</v>
      </c>
      <c r="S17" s="254">
        <f>'13'!$G$145</f>
        <v>10</v>
      </c>
      <c r="T17" s="251">
        <f>'13'!$G$146</f>
        <v>472</v>
      </c>
      <c r="U17" s="251">
        <f>'13'!$G$144</f>
        <v>208</v>
      </c>
      <c r="V17" s="251">
        <f>'13'!$G$147</f>
        <v>443</v>
      </c>
      <c r="W17" s="251">
        <f>'13'!$G$148</f>
        <v>364</v>
      </c>
      <c r="X17" s="251">
        <f>'13'!$G$143</f>
        <v>30</v>
      </c>
      <c r="Y17" s="251">
        <f>'13'!$G$58</f>
        <v>196</v>
      </c>
      <c r="Z17" s="251">
        <f>'13'!$G$151</f>
        <v>230</v>
      </c>
      <c r="AA17" s="251">
        <f>'13'!G161</f>
        <v>17</v>
      </c>
      <c r="AB17" s="251">
        <f>'13'!G162</f>
        <v>20</v>
      </c>
      <c r="AC17" s="251">
        <f>'13'!G88</f>
        <v>0</v>
      </c>
      <c r="AD17" s="251">
        <f>'13'!G163+'13'!G164</f>
        <v>83</v>
      </c>
      <c r="AE17" s="254">
        <f>'13'!$G$116</f>
        <v>446</v>
      </c>
      <c r="AF17" s="254">
        <f>'13'!$G$117</f>
        <v>219</v>
      </c>
      <c r="AG17" s="254">
        <f>'13'!$G$118</f>
        <v>412</v>
      </c>
      <c r="AH17" s="254">
        <f>'13'!$G$119</f>
        <v>426</v>
      </c>
      <c r="AI17" s="254">
        <f>'13'!$G$120</f>
        <v>409</v>
      </c>
      <c r="AJ17" s="254">
        <f>'13'!$G$121</f>
        <v>757</v>
      </c>
      <c r="AK17" s="254">
        <f>'13'!$G$122</f>
        <v>260</v>
      </c>
      <c r="AL17" s="254">
        <f>'13'!$G$123</f>
        <v>259</v>
      </c>
      <c r="AM17" s="254">
        <f>'13'!$G$133</f>
        <v>676</v>
      </c>
      <c r="AN17" s="254">
        <f>'13'!$G$15</f>
        <v>1108</v>
      </c>
      <c r="AO17" s="256">
        <f>'13'!$G$74</f>
        <v>287</v>
      </c>
      <c r="AP17" s="256">
        <f>'13'!$G$75</f>
        <v>0</v>
      </c>
      <c r="AQ17" s="256">
        <f>'13'!$G$76</f>
        <v>119</v>
      </c>
      <c r="AR17" s="256">
        <f>'13'!$G$77</f>
        <v>52</v>
      </c>
      <c r="AS17" s="256">
        <f>'13'!$G$78</f>
        <v>3</v>
      </c>
      <c r="AT17" s="256">
        <f t="shared" si="0"/>
        <v>647</v>
      </c>
      <c r="AU17" s="254">
        <f>SUM('13'!G91:G92)</f>
        <v>10.599999999999909</v>
      </c>
      <c r="AV17" s="254">
        <f>'13'!$G$88</f>
        <v>0</v>
      </c>
      <c r="AW17" s="254">
        <f>'13'!$G$89</f>
        <v>10.029999999998836</v>
      </c>
      <c r="AX17" s="254">
        <f>'13'!$G$90</f>
        <v>8.5500000000029104</v>
      </c>
      <c r="AY17" s="252">
        <f t="shared" si="1"/>
        <v>18.580000000001746</v>
      </c>
      <c r="AZ17" s="311">
        <f t="shared" si="6"/>
        <v>27.075471698113439</v>
      </c>
      <c r="BA17" s="311">
        <f t="shared" si="3"/>
        <v>34.822389666304588</v>
      </c>
      <c r="BB17" s="351">
        <f t="shared" si="4"/>
        <v>4770</v>
      </c>
      <c r="BC17" s="351">
        <f t="shared" si="5"/>
        <v>21.607175212900888</v>
      </c>
    </row>
    <row r="18" spans="1:55" x14ac:dyDescent="0.2">
      <c r="A18" s="359">
        <v>14</v>
      </c>
      <c r="B18" s="643">
        <f>'14'!G7</f>
        <v>-556721</v>
      </c>
      <c r="C18" s="643">
        <f>'14'!G8</f>
        <v>-564998</v>
      </c>
      <c r="D18" s="643">
        <f>'14'!G15</f>
        <v>745</v>
      </c>
      <c r="E18" s="643">
        <f>'14'!G20</f>
        <v>-1558</v>
      </c>
      <c r="F18" s="643">
        <f>SUM('14'!G35,'14'!G49)</f>
        <v>-76928</v>
      </c>
      <c r="G18" s="643">
        <f>SUM('14'!G37,'14'!G51)</f>
        <v>-47993</v>
      </c>
      <c r="H18" s="643">
        <f>SUM('14'!G38,'14'!G52)</f>
        <v>-53662</v>
      </c>
      <c r="I18" s="643">
        <f>SUM('14'!G39,'14'!G53)</f>
        <v>-81937</v>
      </c>
      <c r="J18" s="643">
        <f>SUM('14'!G41,'14'!G42,'14'!G55,'14'!G56)</f>
        <v>-45053</v>
      </c>
      <c r="K18" s="643">
        <f>SUM('14'!G43,'14'!G57)</f>
        <v>2011</v>
      </c>
      <c r="L18" s="254">
        <f>'14'!G50</f>
        <v>-33776</v>
      </c>
      <c r="M18" s="254">
        <f>'14'!G36</f>
        <v>-24156</v>
      </c>
      <c r="N18" s="254">
        <f>'14'!G138</f>
        <v>-2268</v>
      </c>
      <c r="O18" s="254">
        <f>'14'!$G$139</f>
        <v>-125</v>
      </c>
      <c r="P18" s="254">
        <f>'14'!$G$140</f>
        <v>-50</v>
      </c>
      <c r="Q18" s="254">
        <f>'14'!$G$141</f>
        <v>-5254</v>
      </c>
      <c r="R18" s="254">
        <f>'14'!$G$142</f>
        <v>-2213</v>
      </c>
      <c r="S18" s="254">
        <f>'14'!$G$145</f>
        <v>-352</v>
      </c>
      <c r="T18" s="251">
        <f>'14'!$G$146</f>
        <v>-12368</v>
      </c>
      <c r="U18" s="251">
        <f>'14'!$G$144</f>
        <v>-6400</v>
      </c>
      <c r="V18" s="251">
        <f>'14'!$G$147</f>
        <v>-11432</v>
      </c>
      <c r="W18" s="251">
        <f>'14'!$G$148</f>
        <v>-7084</v>
      </c>
      <c r="X18" s="251">
        <f>'14'!$G$143</f>
        <v>-808</v>
      </c>
      <c r="Y18" s="251">
        <f>'14'!$G$58</f>
        <v>-5933</v>
      </c>
      <c r="Z18" s="251">
        <f>'14'!$G$151</f>
        <v>-7142</v>
      </c>
      <c r="AA18" s="251">
        <f>'14'!G161</f>
        <v>-1101</v>
      </c>
      <c r="AB18" s="251">
        <f>'14'!G162</f>
        <v>-997</v>
      </c>
      <c r="AC18" s="251">
        <f>'14'!G88</f>
        <v>-7.5</v>
      </c>
      <c r="AD18" s="251">
        <f>'14'!G163+'14'!G164</f>
        <v>-1563</v>
      </c>
      <c r="AE18" s="254">
        <f>'14'!$G$116</f>
        <v>-2851</v>
      </c>
      <c r="AF18" s="254">
        <f>'14'!$G$117</f>
        <v>-2151</v>
      </c>
      <c r="AG18" s="254">
        <f>'14'!$G$118</f>
        <v>-10451</v>
      </c>
      <c r="AH18" s="254">
        <f>'14'!$G$119</f>
        <v>-12586</v>
      </c>
      <c r="AI18" s="254">
        <f>'14'!$G$120</f>
        <v>-12597</v>
      </c>
      <c r="AJ18" s="254">
        <f>'14'!$G$121</f>
        <v>-21140</v>
      </c>
      <c r="AK18" s="254">
        <f>'14'!$G$122</f>
        <v>-6069</v>
      </c>
      <c r="AL18" s="254">
        <f>'14'!$G$123</f>
        <v>-7883</v>
      </c>
      <c r="AM18" s="254">
        <f>'14'!$G$133</f>
        <v>-16621</v>
      </c>
      <c r="AN18" s="254">
        <f>'14'!$G$15</f>
        <v>745</v>
      </c>
      <c r="AO18" s="256">
        <f>'14'!$G$74</f>
        <v>-9145</v>
      </c>
      <c r="AP18" s="256">
        <f>'14'!$G$75</f>
        <v>0</v>
      </c>
      <c r="AQ18" s="256">
        <f>'14'!$G$76</f>
        <v>-3131</v>
      </c>
      <c r="AR18" s="256">
        <f>'14'!$G$77</f>
        <v>-1191</v>
      </c>
      <c r="AS18" s="256">
        <f>'14'!$G$78</f>
        <v>-44</v>
      </c>
      <c r="AT18" s="256">
        <f t="shared" si="0"/>
        <v>14256</v>
      </c>
      <c r="AU18" s="254">
        <f>SUM('14'!G91:G92)</f>
        <v>-330.36999999999944</v>
      </c>
      <c r="AV18" s="254">
        <f>'14'!$G$88</f>
        <v>-7.5</v>
      </c>
      <c r="AW18" s="254">
        <f>'14'!$G$89</f>
        <v>-279.66999999999825</v>
      </c>
      <c r="AX18" s="254">
        <f>'14'!$G$90</f>
        <v>-96.25</v>
      </c>
      <c r="AY18" s="252">
        <f t="shared" si="1"/>
        <v>-383.41999999999825</v>
      </c>
      <c r="AZ18" s="311">
        <f t="shared" si="6"/>
        <v>27.681084844265566</v>
      </c>
      <c r="BA18" s="311">
        <f t="shared" si="3"/>
        <v>-37.181159042303648</v>
      </c>
      <c r="BB18" s="351">
        <f t="shared" si="4"/>
        <v>-255503</v>
      </c>
      <c r="BC18" s="351">
        <f t="shared" si="5"/>
        <v>45.894263015047031</v>
      </c>
    </row>
    <row r="19" spans="1:55" x14ac:dyDescent="0.2">
      <c r="A19" s="359">
        <v>15</v>
      </c>
      <c r="B19" s="643">
        <f>'15'!G7</f>
        <v>17216.75</v>
      </c>
      <c r="C19" s="643">
        <f>'15'!G8</f>
        <v>17328.710000000021</v>
      </c>
      <c r="D19" s="643">
        <f>'15'!G15</f>
        <v>965</v>
      </c>
      <c r="E19" s="643">
        <f>'15'!G20</f>
        <v>155</v>
      </c>
      <c r="F19" s="643">
        <f>SUM('15'!G35,'15'!G49)</f>
        <v>2552.4300000000003</v>
      </c>
      <c r="G19" s="643">
        <f>SUM('15'!G37,'15'!G51)</f>
        <v>1497.7399999999998</v>
      </c>
      <c r="H19" s="643">
        <f>SUM('15'!G38,'15'!G52)</f>
        <v>1386.9500000000007</v>
      </c>
      <c r="I19" s="643">
        <f>SUM('15'!G39,'15'!G53)</f>
        <v>2494.9000000000015</v>
      </c>
      <c r="J19" s="643">
        <f>SUM('15'!G41,'15'!G42,'15'!G55,'15'!G56)</f>
        <v>3008.3700000000099</v>
      </c>
      <c r="K19" s="643">
        <f>SUM('15'!G43,'15'!G57)</f>
        <v>2012.7100000000064</v>
      </c>
      <c r="L19" s="254">
        <f>'15'!G50</f>
        <v>902.7300000000032</v>
      </c>
      <c r="M19" s="254">
        <f>'15'!G36</f>
        <v>573.68999999999869</v>
      </c>
      <c r="N19" s="254">
        <f>'15'!G138</f>
        <v>56</v>
      </c>
      <c r="O19" s="254">
        <f>'15'!$G$139</f>
        <v>1</v>
      </c>
      <c r="P19" s="254">
        <f>'15'!$G$140</f>
        <v>0</v>
      </c>
      <c r="Q19" s="254">
        <f>'15'!$G$141</f>
        <v>175.9800000000032</v>
      </c>
      <c r="R19" s="254">
        <f>'15'!$G$142</f>
        <v>71.919999999998254</v>
      </c>
      <c r="S19" s="254">
        <f>'15'!$G$145</f>
        <v>14.420000000000073</v>
      </c>
      <c r="T19" s="251">
        <f>'15'!$G$146</f>
        <v>381</v>
      </c>
      <c r="U19" s="251">
        <f>'15'!$G$144</f>
        <v>231</v>
      </c>
      <c r="V19" s="251">
        <f>'15'!$G$147</f>
        <v>390.8399999999674</v>
      </c>
      <c r="W19" s="251">
        <f>'15'!$G$148</f>
        <v>181.56000000005588</v>
      </c>
      <c r="X19" s="251">
        <f>'15'!$G$143</f>
        <v>26.070000000000164</v>
      </c>
      <c r="Y19" s="251">
        <f>'15'!$G$58</f>
        <v>179.03999999999996</v>
      </c>
      <c r="Z19" s="251">
        <f>'15'!$G$151</f>
        <v>238</v>
      </c>
      <c r="AA19" s="251">
        <f>'15'!G161</f>
        <v>8.0399999999790452</v>
      </c>
      <c r="AB19" s="251">
        <f>'15'!G162</f>
        <v>38.30000000000291</v>
      </c>
      <c r="AC19" s="251">
        <f>'15'!G88</f>
        <v>2.0000000000436557E-2</v>
      </c>
      <c r="AD19" s="251">
        <f>'15'!G163+'15'!G164</f>
        <v>59.600000000005821</v>
      </c>
      <c r="AE19" s="254">
        <f>'15'!$G$116</f>
        <v>0</v>
      </c>
      <c r="AF19" s="254">
        <f>'15'!$G$117</f>
        <v>23.873999999999796</v>
      </c>
      <c r="AG19" s="254">
        <f>'15'!$G$118</f>
        <v>324.19000000000233</v>
      </c>
      <c r="AH19" s="254">
        <f>'15'!$G$119</f>
        <v>345.26999999998952</v>
      </c>
      <c r="AI19" s="254">
        <f>'15'!$G$120</f>
        <v>418</v>
      </c>
      <c r="AJ19" s="254">
        <f>'15'!$G$121</f>
        <v>645.19000000000233</v>
      </c>
      <c r="AK19" s="254">
        <f>'15'!$G$122</f>
        <v>183.83999999999651</v>
      </c>
      <c r="AL19" s="254">
        <f>'15'!$G$123</f>
        <v>230.64000000001397</v>
      </c>
      <c r="AM19" s="254">
        <f>'15'!$G$133</f>
        <v>398.27000000000407</v>
      </c>
      <c r="AN19" s="254">
        <f>'15'!$G$15</f>
        <v>965</v>
      </c>
      <c r="AO19" s="256">
        <f>'15'!$G$74</f>
        <v>313</v>
      </c>
      <c r="AP19" s="256">
        <f>'15'!$G$75</f>
        <v>0</v>
      </c>
      <c r="AQ19" s="256">
        <f>'15'!$G$76</f>
        <v>75</v>
      </c>
      <c r="AR19" s="256">
        <f>'15'!$G$77</f>
        <v>26.400000000001455</v>
      </c>
      <c r="AS19" s="256">
        <f>'15'!$G$78</f>
        <v>1</v>
      </c>
      <c r="AT19" s="256">
        <f t="shared" si="0"/>
        <v>549.59999999999854</v>
      </c>
      <c r="AU19" s="254">
        <f>SUM('15'!G91:G92)</f>
        <v>11.019999999999527</v>
      </c>
      <c r="AV19" s="254">
        <f>'15'!$G$88</f>
        <v>2.0000000000436557E-2</v>
      </c>
      <c r="AW19" s="254">
        <f>'15'!$G$89</f>
        <v>9.9599999999991269</v>
      </c>
      <c r="AX19" s="254">
        <f>'15'!$G$90</f>
        <v>2.9400000000023283</v>
      </c>
      <c r="AY19" s="252">
        <f t="shared" si="1"/>
        <v>12.920000000001892</v>
      </c>
      <c r="AZ19" s="311">
        <f t="shared" si="6"/>
        <v>28.402903811253488</v>
      </c>
      <c r="BA19" s="311">
        <f t="shared" si="3"/>
        <v>42.538699690396136</v>
      </c>
      <c r="BB19" s="351">
        <f t="shared" si="4"/>
        <v>4196.5700000000033</v>
      </c>
      <c r="BC19" s="351">
        <f t="shared" si="5"/>
        <v>24.374925581192755</v>
      </c>
    </row>
    <row r="20" spans="1:55" x14ac:dyDescent="0.2">
      <c r="A20" s="359">
        <v>16</v>
      </c>
      <c r="B20" s="643">
        <f>'16'!G7</f>
        <v>17314.25</v>
      </c>
      <c r="C20" s="643">
        <f>'16'!G8</f>
        <v>17406.289999999979</v>
      </c>
      <c r="D20" s="643">
        <f>'16'!G15</f>
        <v>1006</v>
      </c>
      <c r="E20" s="643">
        <f>'16'!G20</f>
        <v>135</v>
      </c>
      <c r="F20" s="643">
        <f>SUM('16'!G35,'16'!G49)</f>
        <v>2589.5699999999997</v>
      </c>
      <c r="G20" s="643">
        <f>SUM('16'!G37,'16'!G51)</f>
        <v>1483.2600000000002</v>
      </c>
      <c r="H20" s="643">
        <f>SUM('16'!G38,'16'!G52)</f>
        <v>1625.0499999999993</v>
      </c>
      <c r="I20" s="643">
        <f>SUM('16'!G39,'16'!G53)</f>
        <v>2600.0999999999985</v>
      </c>
      <c r="J20" s="643">
        <f>SUM('16'!G41,'16'!G42,'16'!G55,'16'!G56)</f>
        <v>3032.7699999999968</v>
      </c>
      <c r="K20" s="643">
        <f>SUM('16'!G43,'16'!G57)</f>
        <v>2071.2899999999936</v>
      </c>
      <c r="L20" s="254">
        <f>'16'!G50</f>
        <v>868.2699999999968</v>
      </c>
      <c r="M20" s="254">
        <f>'16'!G36</f>
        <v>587.31000000000131</v>
      </c>
      <c r="N20" s="254">
        <f>'16'!G138</f>
        <v>59</v>
      </c>
      <c r="O20" s="254">
        <f>'16'!$G$139</f>
        <v>0</v>
      </c>
      <c r="P20" s="254">
        <f>'16'!$G$140</f>
        <v>0</v>
      </c>
      <c r="Q20" s="254">
        <f>'16'!$G$141</f>
        <v>165.0199999999968</v>
      </c>
      <c r="R20" s="254">
        <f>'16'!$G$142</f>
        <v>76.080000000001746</v>
      </c>
      <c r="S20" s="254">
        <f>'16'!$G$145</f>
        <v>15.579999999999927</v>
      </c>
      <c r="T20" s="251">
        <f>'16'!$G$146</f>
        <v>441</v>
      </c>
      <c r="U20" s="251">
        <f>'16'!$G$144</f>
        <v>226</v>
      </c>
      <c r="V20" s="251">
        <f>'16'!$G$147</f>
        <v>336.1600000000326</v>
      </c>
      <c r="W20" s="251">
        <f>'16'!$G$148</f>
        <v>163.43999999994412</v>
      </c>
      <c r="X20" s="251">
        <f>'16'!$G$143</f>
        <v>22.929999999999836</v>
      </c>
      <c r="Y20" s="251">
        <f>'16'!$G$58</f>
        <v>187.96000000000004</v>
      </c>
      <c r="Z20" s="251">
        <f>'16'!$G$151</f>
        <v>224</v>
      </c>
      <c r="AA20" s="251">
        <f>'16'!G161</f>
        <v>6.9600000000209548</v>
      </c>
      <c r="AB20" s="251">
        <f>'16'!G162</f>
        <v>13.69999999999709</v>
      </c>
      <c r="AC20" s="251">
        <f>'16'!G88</f>
        <v>0</v>
      </c>
      <c r="AD20" s="251">
        <f>'16'!G163+'16'!G164</f>
        <v>36.399999999994179</v>
      </c>
      <c r="AE20" s="254">
        <f>'16'!$G$116</f>
        <v>0</v>
      </c>
      <c r="AF20" s="254">
        <f>'16'!$G$117</f>
        <v>23.126000000000204</v>
      </c>
      <c r="AG20" s="254">
        <f>'16'!$G$118</f>
        <v>306.80999999999767</v>
      </c>
      <c r="AH20" s="254">
        <f>'16'!$G$119</f>
        <v>457.73000000001048</v>
      </c>
      <c r="AI20" s="254">
        <f>'16'!$G$120</f>
        <v>435</v>
      </c>
      <c r="AJ20" s="254">
        <f>'16'!$G$121</f>
        <v>669.80999999999767</v>
      </c>
      <c r="AK20" s="254">
        <f>'16'!$G$122</f>
        <v>168.16000000000349</v>
      </c>
      <c r="AL20" s="254">
        <f>'16'!$G$123</f>
        <v>270.35999999998603</v>
      </c>
      <c r="AM20" s="254">
        <f>'16'!$G$133</f>
        <v>468.72999999999593</v>
      </c>
      <c r="AN20" s="254">
        <f>'16'!$G$15</f>
        <v>1006</v>
      </c>
      <c r="AO20" s="256">
        <f>'16'!$G$74</f>
        <v>304</v>
      </c>
      <c r="AP20" s="256">
        <f>'16'!$G$75</f>
        <v>0</v>
      </c>
      <c r="AQ20" s="256">
        <f>'16'!$G$76</f>
        <v>90</v>
      </c>
      <c r="AR20" s="256">
        <f>'16'!$G$77</f>
        <v>26.599999999998545</v>
      </c>
      <c r="AS20" s="256">
        <f>'16'!$G$78</f>
        <v>1</v>
      </c>
      <c r="AT20" s="256">
        <f t="shared" si="0"/>
        <v>584.40000000000146</v>
      </c>
      <c r="AU20" s="254">
        <f>SUM('16'!G91:G92)</f>
        <v>10.619999999999891</v>
      </c>
      <c r="AV20" s="254">
        <f>'16'!$G$88</f>
        <v>0</v>
      </c>
      <c r="AW20" s="254">
        <f>'16'!$G$89</f>
        <v>8.1399999999994179</v>
      </c>
      <c r="AX20" s="254">
        <f>'16'!$G$90</f>
        <v>9.6900000000023283</v>
      </c>
      <c r="AY20" s="252">
        <f t="shared" si="1"/>
        <v>17.830000000001746</v>
      </c>
      <c r="AZ20" s="311">
        <f t="shared" si="6"/>
        <v>28.625235404896717</v>
      </c>
      <c r="BA20" s="311">
        <f t="shared" si="3"/>
        <v>32.776219854175224</v>
      </c>
      <c r="BB20" s="351">
        <f t="shared" si="4"/>
        <v>3816.28999999999</v>
      </c>
      <c r="BC20" s="351">
        <f t="shared" si="5"/>
        <v>22.041324342665664</v>
      </c>
    </row>
    <row r="21" spans="1:55" x14ac:dyDescent="0.2">
      <c r="A21" s="359">
        <v>17</v>
      </c>
      <c r="B21" s="643">
        <f>'17'!G7</f>
        <v>17454</v>
      </c>
      <c r="C21" s="643">
        <f>'17'!G8</f>
        <v>17543</v>
      </c>
      <c r="D21" s="643">
        <f>'17'!G15</f>
        <v>734.2730000000447</v>
      </c>
      <c r="E21" s="643">
        <f>'17'!G20</f>
        <v>133</v>
      </c>
      <c r="F21" s="643">
        <f>SUM('17'!G35,'17'!G49)</f>
        <v>2686.2100000000009</v>
      </c>
      <c r="G21" s="643">
        <f>SUM('17'!G37,'17'!G51)</f>
        <v>1510.42</v>
      </c>
      <c r="H21" s="643">
        <f>SUM('17'!G38,'17'!G52)</f>
        <v>1604.1599999999999</v>
      </c>
      <c r="I21" s="643">
        <f>SUM('17'!G39,'17'!G53)</f>
        <v>2698</v>
      </c>
      <c r="J21" s="643">
        <f>SUM('17'!G41,'17'!G42,'17'!G55,'17'!G56)</f>
        <v>3005.1699999999983</v>
      </c>
      <c r="K21" s="643">
        <f>SUM('17'!G43,'17'!G57)</f>
        <v>2219.1499999999942</v>
      </c>
      <c r="L21" s="254">
        <f>'17'!G50</f>
        <v>838.52999999999884</v>
      </c>
      <c r="M21" s="254">
        <f>'17'!G36</f>
        <v>592.45999999999913</v>
      </c>
      <c r="N21" s="254">
        <f>'18 '!G138</f>
        <v>60</v>
      </c>
      <c r="O21" s="254">
        <f>'17'!$G$139</f>
        <v>0</v>
      </c>
      <c r="P21" s="254">
        <f>'17'!$G$140</f>
        <v>0</v>
      </c>
      <c r="Q21" s="254">
        <f>'17'!$G$141</f>
        <v>158.80000000000291</v>
      </c>
      <c r="R21" s="254">
        <f>'17'!$G$142</f>
        <v>78.090000000000146</v>
      </c>
      <c r="S21" s="254">
        <f>'17'!$G$145</f>
        <v>14.340000000000146</v>
      </c>
      <c r="T21" s="251">
        <f>'17'!$G$146</f>
        <v>428</v>
      </c>
      <c r="U21" s="251">
        <f>'17'!$G$144</f>
        <v>233</v>
      </c>
      <c r="V21" s="251">
        <f>'17'!$G$147</f>
        <v>330</v>
      </c>
      <c r="W21" s="251">
        <f>'17'!$G$148</f>
        <v>164</v>
      </c>
      <c r="X21" s="251">
        <f>'17'!$G$143</f>
        <v>27.510000000000218</v>
      </c>
      <c r="Y21" s="251">
        <f>'17'!$G$58</f>
        <v>17.599999999999909</v>
      </c>
      <c r="Z21" s="251">
        <f>'17'!$G$151</f>
        <v>213</v>
      </c>
      <c r="AA21" s="251">
        <f>'17'!G161</f>
        <v>7</v>
      </c>
      <c r="AB21" s="251">
        <f>'17'!G162</f>
        <v>37</v>
      </c>
      <c r="AC21" s="251">
        <f>'17'!G88</f>
        <v>0</v>
      </c>
      <c r="AD21" s="251">
        <f>'17'!G163+'17'!G164</f>
        <v>62.599999999996726</v>
      </c>
      <c r="AE21" s="254">
        <f>'17'!$G$116</f>
        <v>0</v>
      </c>
      <c r="AF21" s="254">
        <f>'17'!$G$117</f>
        <v>22.9699999999998</v>
      </c>
      <c r="AG21" s="254">
        <f>'17'!$G$118</f>
        <v>337</v>
      </c>
      <c r="AH21" s="254">
        <f>'17'!$G$119</f>
        <v>457</v>
      </c>
      <c r="AI21" s="254">
        <f>'17'!$G$120</f>
        <v>434.40000000000146</v>
      </c>
      <c r="AJ21" s="254">
        <f>'17'!$G$121</f>
        <v>691</v>
      </c>
      <c r="AK21" s="254">
        <f>'17'!$G$122</f>
        <v>185.44000000000233</v>
      </c>
      <c r="AL21" s="254">
        <f>'17'!$G$123</f>
        <v>256.63000000000466</v>
      </c>
      <c r="AM21" s="254">
        <f>'17'!$G$133</f>
        <v>488.60000000000582</v>
      </c>
      <c r="AN21" s="254">
        <f>'17'!$G$15</f>
        <v>734.2730000000447</v>
      </c>
      <c r="AO21" s="256">
        <f>'17'!$G$74</f>
        <v>307.90000000002328</v>
      </c>
      <c r="AP21" s="256">
        <f>'17'!$G$75</f>
        <v>-0.19999999999708962</v>
      </c>
      <c r="AQ21" s="256">
        <f>'17'!$G$76</f>
        <v>73.5</v>
      </c>
      <c r="AR21" s="256">
        <f>'17'!$G$77</f>
        <v>23.30000000000291</v>
      </c>
      <c r="AS21" s="256">
        <f>'17'!$G$78</f>
        <v>0</v>
      </c>
      <c r="AT21" s="256">
        <f t="shared" si="0"/>
        <v>329.7730000000156</v>
      </c>
      <c r="AU21" s="254">
        <f>SUM('17'!G91:G92)</f>
        <v>10.850000000000364</v>
      </c>
      <c r="AV21" s="254">
        <f>'17'!$G$88</f>
        <v>0</v>
      </c>
      <c r="AW21" s="254">
        <f>'17'!$G$89</f>
        <v>3.5400000000008731</v>
      </c>
      <c r="AX21" s="254">
        <f>'17'!$G$90</f>
        <v>4.8399999999965075</v>
      </c>
      <c r="AY21" s="252">
        <f t="shared" si="1"/>
        <v>8.3799999999973807</v>
      </c>
      <c r="AZ21" s="311">
        <f t="shared" si="6"/>
        <v>28.377880184332991</v>
      </c>
      <c r="BA21" s="311">
        <f t="shared" si="3"/>
        <v>39.35238663485903</v>
      </c>
      <c r="BB21" s="351">
        <f t="shared" si="4"/>
        <v>3802.2900000000063</v>
      </c>
      <c r="BC21" s="351">
        <f t="shared" si="5"/>
        <v>21.78463389480925</v>
      </c>
    </row>
    <row r="22" spans="1:55" x14ac:dyDescent="0.2">
      <c r="A22" s="359">
        <v>18</v>
      </c>
      <c r="B22" s="643">
        <f>'18 '!G7</f>
        <v>17765</v>
      </c>
      <c r="C22" s="643">
        <f>'18 '!G8</f>
        <v>18064.830000000016</v>
      </c>
      <c r="D22" s="643">
        <f>'18 '!G15</f>
        <v>881.7269999999553</v>
      </c>
      <c r="E22" s="643">
        <f>'18 '!G20</f>
        <v>154</v>
      </c>
      <c r="F22" s="643">
        <f>SUM('18 '!G35,'18 '!G49)</f>
        <v>2634.4799999999996</v>
      </c>
      <c r="G22" s="643">
        <f>SUM('18 '!G37,'18 '!G51)</f>
        <v>1562.5499999999993</v>
      </c>
      <c r="H22" s="643">
        <f>SUM('18 '!G38,'18 '!G52)</f>
        <v>1696.2999999999993</v>
      </c>
      <c r="I22" s="643">
        <f>SUM('18 '!G39,'18 '!G53)</f>
        <v>2546.4900000000016</v>
      </c>
      <c r="J22" s="643">
        <f>SUM('18 '!G41,'18 '!G42,'18 '!G55,'18 '!G56)</f>
        <v>3090.5200000000041</v>
      </c>
      <c r="K22" s="643">
        <f>SUM('18 '!G43,'18 '!G57)</f>
        <v>2338</v>
      </c>
      <c r="L22" s="254">
        <f>'18 '!G50</f>
        <v>921.40000000000146</v>
      </c>
      <c r="M22" s="254">
        <f>'18 '!G36</f>
        <v>600.90000000000146</v>
      </c>
      <c r="N22" s="254">
        <f>'18 '!G138</f>
        <v>60</v>
      </c>
      <c r="O22" s="254">
        <f>'18 '!$G$139</f>
        <v>1</v>
      </c>
      <c r="P22" s="254">
        <f>'18 '!$G$140</f>
        <v>0</v>
      </c>
      <c r="Q22" s="254">
        <f>'18 '!$G$141</f>
        <v>171.84999999999854</v>
      </c>
      <c r="R22" s="254">
        <f>'18 '!$G$142</f>
        <v>80.540000000000873</v>
      </c>
      <c r="S22" s="254">
        <f>'18 '!$G$145</f>
        <v>14.849999999999454</v>
      </c>
      <c r="T22" s="251">
        <f>'18 '!$G$146</f>
        <v>366</v>
      </c>
      <c r="U22" s="251">
        <f>'18 '!$G$144</f>
        <v>220</v>
      </c>
      <c r="V22" s="256">
        <f>'18 '!$G$147</f>
        <v>304.56000000005588</v>
      </c>
      <c r="W22" s="256">
        <f>'18 '!$G$148</f>
        <v>155.43999999994412</v>
      </c>
      <c r="X22" s="256">
        <f>'18 '!$G$143</f>
        <v>24.949999999999818</v>
      </c>
      <c r="Y22" s="256">
        <f>'18 '!$G$58</f>
        <v>131.88000000000011</v>
      </c>
      <c r="Z22" s="256">
        <f>'18 '!$G$151</f>
        <v>254</v>
      </c>
      <c r="AA22" s="256">
        <f>'18 '!G161</f>
        <v>7.5599999999976717</v>
      </c>
      <c r="AB22" s="251">
        <f>'18 '!G162</f>
        <v>40.30000000000291</v>
      </c>
      <c r="AC22" s="251">
        <f>'18 '!G88</f>
        <v>1.8699999999989814</v>
      </c>
      <c r="AD22" s="251">
        <f>'18 '!G163+'18 '!G164</f>
        <v>71.900000000003274</v>
      </c>
      <c r="AE22" s="254">
        <f>'18 '!$G$116</f>
        <v>0</v>
      </c>
      <c r="AF22" s="254">
        <f>'18 '!$G$117</f>
        <v>23.140000000000327</v>
      </c>
      <c r="AG22" s="254">
        <f>'18 '!$G$118</f>
        <v>351.48999999999069</v>
      </c>
      <c r="AH22" s="254">
        <f>'18 '!$G$119</f>
        <v>441.04999999998836</v>
      </c>
      <c r="AI22" s="254">
        <f>'18 '!$G$120</f>
        <v>434.66999999999825</v>
      </c>
      <c r="AJ22" s="254">
        <f>'18 '!$G$121</f>
        <v>651</v>
      </c>
      <c r="AK22" s="254">
        <f>'18 '!$G$122</f>
        <v>168.55999999999767</v>
      </c>
      <c r="AL22" s="254">
        <f>'18 '!$G$123</f>
        <v>264.95999999999185</v>
      </c>
      <c r="AM22" s="254">
        <f>'18 '!$G$133</f>
        <v>500.79999999998836</v>
      </c>
      <c r="AN22" s="254">
        <f>'18 '!$G$15</f>
        <v>881.7269999999553</v>
      </c>
      <c r="AO22" s="256">
        <f>'18 '!$G$74</f>
        <v>285.25</v>
      </c>
      <c r="AP22" s="256">
        <f>'18 '!$G$75</f>
        <v>0</v>
      </c>
      <c r="AQ22" s="256">
        <f>'18 '!$G$76</f>
        <v>80.5</v>
      </c>
      <c r="AR22" s="256">
        <f>'18 '!$G$77</f>
        <v>22.69999999999709</v>
      </c>
      <c r="AS22" s="256">
        <f>'18 '!$G$78</f>
        <v>1</v>
      </c>
      <c r="AT22" s="256">
        <f t="shared" si="0"/>
        <v>492.27699999995821</v>
      </c>
      <c r="AU22" s="254">
        <f>SUM('18 '!G91:G92)</f>
        <v>10.069999999999709</v>
      </c>
      <c r="AV22" s="254">
        <f>'18 '!$G$88</f>
        <v>1.8699999999989814</v>
      </c>
      <c r="AW22" s="254">
        <f>'18 '!$G$89</f>
        <v>7.4199999999982538</v>
      </c>
      <c r="AX22" s="254">
        <f>'18 '!$G$90</f>
        <v>0.71000000000640284</v>
      </c>
      <c r="AY22" s="252">
        <f t="shared" si="1"/>
        <v>10.000000000003638</v>
      </c>
      <c r="AZ22" s="311">
        <f t="shared" si="6"/>
        <v>28.326713008938256</v>
      </c>
      <c r="BA22" s="311">
        <f t="shared" si="3"/>
        <v>49.227699999977915</v>
      </c>
      <c r="BB22" s="351">
        <f t="shared" si="4"/>
        <v>4064.6100000000115</v>
      </c>
      <c r="BC22" s="351">
        <f t="shared" si="5"/>
        <v>22.879876160990776</v>
      </c>
    </row>
    <row r="23" spans="1:55" s="313" customFormat="1" x14ac:dyDescent="0.2">
      <c r="A23" s="359">
        <v>19</v>
      </c>
      <c r="B23" s="643">
        <f>'19'!G7</f>
        <v>18033</v>
      </c>
      <c r="C23" s="643">
        <f>'19'!G8</f>
        <v>18721.169999999984</v>
      </c>
      <c r="D23" s="643">
        <f>'19'!G15</f>
        <v>834.30000000004657</v>
      </c>
      <c r="E23" s="643">
        <f>'19'!G20</f>
        <v>157</v>
      </c>
      <c r="F23" s="643">
        <f>SUM('19'!G35,'19'!G49)</f>
        <v>2941.6499999999996</v>
      </c>
      <c r="G23" s="643">
        <f>SUM('19'!G37,'19'!G51)</f>
        <v>1596.17</v>
      </c>
      <c r="H23" s="643">
        <f>SUM('19'!G38,'19'!G52)</f>
        <v>1623.5400000000009</v>
      </c>
      <c r="I23" s="643">
        <f>SUM('19'!G39,'19'!G53)</f>
        <v>2646.0699999999997</v>
      </c>
      <c r="J23" s="643">
        <f>SUM('19'!G41,'19'!G42,'19'!G55,'19'!G56)</f>
        <v>2846.1399999999994</v>
      </c>
      <c r="K23" s="643">
        <f>SUM('19'!G43,'19'!G57)</f>
        <v>2372.3700000000099</v>
      </c>
      <c r="L23" s="251">
        <f>'19'!G50</f>
        <v>975.76000000000204</v>
      </c>
      <c r="M23" s="251">
        <f>'19'!G36</f>
        <v>661.59999999999854</v>
      </c>
      <c r="N23" s="251">
        <f>'19'!G138</f>
        <v>59</v>
      </c>
      <c r="O23" s="251">
        <f>'19'!$G$139</f>
        <v>0</v>
      </c>
      <c r="P23" s="251">
        <f>'19'!$G$140</f>
        <v>0</v>
      </c>
      <c r="Q23" s="251">
        <f>'19'!$G$141</f>
        <v>171.04999999999563</v>
      </c>
      <c r="R23" s="254">
        <f>'19'!G142</f>
        <v>66.610000000000582</v>
      </c>
      <c r="S23" s="251">
        <f>'19'!$G$145</f>
        <v>16.210000000000036</v>
      </c>
      <c r="T23" s="251">
        <f>'19'!$G$146</f>
        <v>407</v>
      </c>
      <c r="U23" s="251">
        <f>'19'!$G$144</f>
        <v>220</v>
      </c>
      <c r="V23" s="251">
        <f>'19'!$G$147</f>
        <v>351.07999999995809</v>
      </c>
      <c r="W23" s="251">
        <f>'19'!$G$148</f>
        <v>166.08000000007451</v>
      </c>
      <c r="X23" s="251">
        <f>'19'!$G$143</f>
        <v>24.059999999999945</v>
      </c>
      <c r="Y23" s="251">
        <f>'19'!$G$58</f>
        <v>161.78999999999996</v>
      </c>
      <c r="Z23" s="251">
        <f>'19'!$G$151</f>
        <v>190</v>
      </c>
      <c r="AA23" s="251">
        <f>'19'!G161</f>
        <v>7.2000000000116415</v>
      </c>
      <c r="AB23" s="251">
        <f>'19'!G162</f>
        <v>42.099999999991269</v>
      </c>
      <c r="AC23" s="251">
        <f>'19'!G88</f>
        <v>0.20999999999912689</v>
      </c>
      <c r="AD23" s="251">
        <f>'19'!G163+'19'!G164</f>
        <v>68.80000000000291</v>
      </c>
      <c r="AE23" s="251">
        <f>'19'!$G$116</f>
        <v>0</v>
      </c>
      <c r="AF23" s="251">
        <f>'19'!$G$117</f>
        <v>23.339999999999691</v>
      </c>
      <c r="AG23" s="251">
        <f>'19'!$G$118</f>
        <v>365.60000000000582</v>
      </c>
      <c r="AH23" s="251">
        <f>'19'!$G$119</f>
        <v>443.40000000002328</v>
      </c>
      <c r="AI23" s="251">
        <f>'19'!$G$120</f>
        <v>407.05999999999767</v>
      </c>
      <c r="AJ23" s="251">
        <f>'19'!$G$121</f>
        <v>665.42999999999302</v>
      </c>
      <c r="AK23" s="251">
        <f>'19'!$G$122</f>
        <v>173.49000000000524</v>
      </c>
      <c r="AL23" s="251">
        <f>'19'!$G$123</f>
        <v>278.76000000000931</v>
      </c>
      <c r="AM23" s="251">
        <f>'19'!$G$133</f>
        <v>668.02999999999884</v>
      </c>
      <c r="AN23" s="251">
        <f>'19'!$G$15</f>
        <v>834.30000000004657</v>
      </c>
      <c r="AO23" s="256">
        <f>'19'!$G$74</f>
        <v>306.34999999997672</v>
      </c>
      <c r="AP23" s="256">
        <f>'19'!$G$75</f>
        <v>0</v>
      </c>
      <c r="AQ23" s="256">
        <f>'19'!$G$76</f>
        <v>83.899999999994179</v>
      </c>
      <c r="AR23" s="256">
        <f>'19'!$G$77</f>
        <v>27.099999999998545</v>
      </c>
      <c r="AS23" s="256">
        <f>'19'!$G$78</f>
        <v>1.2999999999992724</v>
      </c>
      <c r="AT23" s="256">
        <f t="shared" si="0"/>
        <v>415.65000000007785</v>
      </c>
      <c r="AU23" s="251">
        <f>SUM('19'!G91:G92)</f>
        <v>10.730000000000473</v>
      </c>
      <c r="AV23" s="251">
        <f>'19'!$G$88</f>
        <v>0.20999999999912689</v>
      </c>
      <c r="AW23" s="251">
        <f>'19'!$G$89</f>
        <v>7.0200000000004366</v>
      </c>
      <c r="AX23" s="251">
        <f>'19'!$G$90</f>
        <v>1.8600000000005821</v>
      </c>
      <c r="AY23" s="255">
        <f t="shared" si="1"/>
        <v>9.0900000000001455</v>
      </c>
      <c r="AZ23" s="311">
        <f t="shared" si="6"/>
        <v>28.550792171478399</v>
      </c>
      <c r="BA23" s="311">
        <f t="shared" si="3"/>
        <v>45.726072607268556</v>
      </c>
      <c r="BB23" s="351">
        <f t="shared" si="4"/>
        <v>4533.4399999999732</v>
      </c>
      <c r="BC23" s="351">
        <f t="shared" si="5"/>
        <v>25.139688349137543</v>
      </c>
    </row>
    <row r="24" spans="1:55" x14ac:dyDescent="0.2">
      <c r="A24" s="359">
        <v>20</v>
      </c>
      <c r="B24" s="643">
        <f>'20'!G7</f>
        <v>16723.150000000023</v>
      </c>
      <c r="C24" s="643">
        <f>'20'!G8</f>
        <v>17336.710000000021</v>
      </c>
      <c r="D24" s="643">
        <f>'20'!G15</f>
        <v>986.94999999995343</v>
      </c>
      <c r="E24" s="643">
        <f>'20'!G20</f>
        <v>216</v>
      </c>
      <c r="F24" s="643">
        <f>SUM('20'!G35,'20'!G49)</f>
        <v>2570.5700000000015</v>
      </c>
      <c r="G24" s="643">
        <f>SUM('20'!G37,'20'!G51)</f>
        <v>1537.7799999999988</v>
      </c>
      <c r="H24" s="643">
        <f>SUM('20'!G38,'20'!G52)</f>
        <v>1612.8499999999985</v>
      </c>
      <c r="I24" s="643">
        <f>SUM('20'!G39,'20'!G53)</f>
        <v>2507.0499999999993</v>
      </c>
      <c r="J24" s="643">
        <f>SUM('20'!G41,'20'!G42,'20'!G55,'20'!G56)</f>
        <v>2588.6399999999994</v>
      </c>
      <c r="K24" s="643">
        <f>SUM('20'!G43,'20'!G57)</f>
        <v>2313.4700000000012</v>
      </c>
      <c r="L24" s="254">
        <f>'20'!G50</f>
        <v>914.65999999999622</v>
      </c>
      <c r="M24" s="254">
        <f>'20'!G36</f>
        <v>594.86000000000058</v>
      </c>
      <c r="N24" s="254">
        <f>'20'!G138</f>
        <v>57</v>
      </c>
      <c r="O24" s="254">
        <f>'20'!$G$139</f>
        <v>1</v>
      </c>
      <c r="P24" s="254">
        <f>'20'!$G$140</f>
        <v>19</v>
      </c>
      <c r="Q24" s="254">
        <f>'20'!$G$141</f>
        <v>163.31999999999971</v>
      </c>
      <c r="R24" s="254">
        <f>'20'!$G$142</f>
        <v>74.889999999999418</v>
      </c>
      <c r="S24" s="254">
        <f>'20'!$G$145</f>
        <v>14.880000000000109</v>
      </c>
      <c r="T24" s="251">
        <f>'20'!$G$146</f>
        <v>346</v>
      </c>
      <c r="U24" s="251">
        <f>'20'!$G$144</f>
        <v>226</v>
      </c>
      <c r="V24" s="251">
        <f>'20'!$G$147</f>
        <v>347.35999999998603</v>
      </c>
      <c r="W24" s="251">
        <f>'20'!$G$148</f>
        <v>160.47999999998137</v>
      </c>
      <c r="X24" s="251">
        <f>'20'!$G$143</f>
        <v>26.25</v>
      </c>
      <c r="Y24" s="251">
        <f>'20'!$G$58</f>
        <v>256.7199999999998</v>
      </c>
      <c r="Z24" s="251">
        <f>'20'!$G$151</f>
        <v>212</v>
      </c>
      <c r="AA24" s="251">
        <f>'20'!G161</f>
        <v>6.4799999999813735</v>
      </c>
      <c r="AB24" s="251">
        <f>'20'!G162</f>
        <v>36.100000000005821</v>
      </c>
      <c r="AC24" s="251">
        <f>'20'!G88</f>
        <v>0</v>
      </c>
      <c r="AD24" s="251">
        <f>'20'!G163+'20'!G164</f>
        <v>53.30000000000291</v>
      </c>
      <c r="AE24" s="254">
        <f>'20'!$G$116</f>
        <v>0</v>
      </c>
      <c r="AF24" s="254">
        <f>'20'!$G$117</f>
        <v>22.680000000000291</v>
      </c>
      <c r="AG24" s="254">
        <f>'20'!$G$118</f>
        <v>343.23999999999069</v>
      </c>
      <c r="AH24" s="254">
        <f>'20'!$G$119</f>
        <v>432.47999999998137</v>
      </c>
      <c r="AI24" s="254">
        <f>'20'!$G$120</f>
        <v>402.74000000000524</v>
      </c>
      <c r="AJ24" s="254">
        <f>'20'!$G$121</f>
        <v>607.0800000000163</v>
      </c>
      <c r="AK24" s="254">
        <f>'20'!$G$122</f>
        <v>154.1299999999901</v>
      </c>
      <c r="AL24" s="254">
        <f>'20'!$G$123</f>
        <v>273.07000000000698</v>
      </c>
      <c r="AM24" s="254">
        <f>'20'!$G$133</f>
        <v>655.39000000001397</v>
      </c>
      <c r="AN24" s="254">
        <f>'20'!$G$15</f>
        <v>986.94999999995343</v>
      </c>
      <c r="AO24" s="256">
        <f>'20'!$G$74</f>
        <v>295.15000000002328</v>
      </c>
      <c r="AP24" s="256">
        <f>'20'!$G$75</f>
        <v>0</v>
      </c>
      <c r="AQ24" s="256">
        <f>'20'!$G$76</f>
        <v>83.64000000001397</v>
      </c>
      <c r="AR24" s="256">
        <f>'20'!$G$77</f>
        <v>25.599999999998545</v>
      </c>
      <c r="AS24" s="256">
        <f>'20'!$G$78</f>
        <v>0.6000000000003638</v>
      </c>
      <c r="AT24" s="256">
        <f t="shared" si="0"/>
        <v>581.95999999991727</v>
      </c>
      <c r="AU24" s="254">
        <f>SUM('20'!G91:G92)</f>
        <v>10.329999999999927</v>
      </c>
      <c r="AV24" s="254">
        <f>'20'!$G$88</f>
        <v>0</v>
      </c>
      <c r="AW24" s="254">
        <f>'20'!$G$89</f>
        <v>11.18999999999869</v>
      </c>
      <c r="AX24" s="254">
        <f>'20'!$G$90</f>
        <v>2.7399999999906868</v>
      </c>
      <c r="AY24" s="252">
        <f t="shared" si="1"/>
        <v>13.929999999989377</v>
      </c>
      <c r="AZ24" s="311">
        <f t="shared" si="6"/>
        <v>28.572120038724623</v>
      </c>
      <c r="BA24" s="311">
        <f t="shared" si="3"/>
        <v>41.777458722208259</v>
      </c>
      <c r="BB24" s="351">
        <f t="shared" si="4"/>
        <v>3949.6300000000228</v>
      </c>
      <c r="BC24" s="351">
        <f t="shared" si="5"/>
        <v>23.617739480899335</v>
      </c>
    </row>
    <row r="25" spans="1:55" x14ac:dyDescent="0.2">
      <c r="A25" s="359">
        <v>21</v>
      </c>
      <c r="B25" s="643">
        <f>'21'!G7</f>
        <v>17868.559999999998</v>
      </c>
      <c r="C25" s="643">
        <f>'21'!G8</f>
        <v>18548.039999999979</v>
      </c>
      <c r="D25" s="643">
        <f>'21'!G15</f>
        <v>1017.3400000000838</v>
      </c>
      <c r="E25" s="643">
        <f>'21'!G20</f>
        <v>167</v>
      </c>
      <c r="F25" s="643">
        <f>SUM('21'!G35,'21'!G49)</f>
        <v>2555.7699999999968</v>
      </c>
      <c r="G25" s="643">
        <f>SUM('21'!G37,'21'!G51)</f>
        <v>1565.5</v>
      </c>
      <c r="H25" s="643">
        <f>SUM('21'!G38,'21'!G52)</f>
        <v>1671.4500000000007</v>
      </c>
      <c r="I25" s="643">
        <f>SUM('21'!G39,'21'!G53)</f>
        <v>2598.239999999998</v>
      </c>
      <c r="J25" s="643">
        <f>SUM('21'!G41,'21'!G42,'21'!G55,'21'!G56)</f>
        <v>2838.3999999999942</v>
      </c>
      <c r="K25" s="643">
        <f>SUM('21'!G43,'21'!G57)</f>
        <v>2339.9399999999878</v>
      </c>
      <c r="L25" s="254">
        <f>'21'!G50</f>
        <v>1160.0500000000029</v>
      </c>
      <c r="M25" s="254">
        <f>'21'!G36</f>
        <v>661.91000000000349</v>
      </c>
      <c r="N25" s="254">
        <f>'21'!G138</f>
        <v>68</v>
      </c>
      <c r="O25" s="254">
        <f>'21'!$G$139</f>
        <v>2</v>
      </c>
      <c r="P25" s="254">
        <f>'21'!$G$140</f>
        <v>1.5</v>
      </c>
      <c r="Q25" s="254">
        <f>'21'!$G$141</f>
        <v>183.9600000000064</v>
      </c>
      <c r="R25" s="254">
        <f>'21'!$G$142</f>
        <v>82.779999999998836</v>
      </c>
      <c r="S25" s="254">
        <f>'21'!$G$145</f>
        <v>15.119999999999891</v>
      </c>
      <c r="T25" s="251">
        <f>'21'!$G$146</f>
        <v>369</v>
      </c>
      <c r="U25" s="251">
        <f>'21'!$G$144</f>
        <v>227</v>
      </c>
      <c r="V25" s="251">
        <f>'21'!$G$147</f>
        <v>376.11999999999534</v>
      </c>
      <c r="W25" s="251">
        <f>'21'!$G$148</f>
        <v>154.88000000000466</v>
      </c>
      <c r="X25" s="251">
        <f>'21'!$G$143</f>
        <v>23.769999999999982</v>
      </c>
      <c r="Y25" s="251">
        <f>'21'!$G$58</f>
        <v>234.19000000000005</v>
      </c>
      <c r="Z25" s="251">
        <f>'21'!$G$151</f>
        <v>226</v>
      </c>
      <c r="AA25" s="251">
        <f>'21'!G161</f>
        <v>101.76000000000931</v>
      </c>
      <c r="AB25" s="251">
        <f>'21'!G162</f>
        <v>41.80000000000291</v>
      </c>
      <c r="AC25" s="251">
        <f>'21'!G88</f>
        <v>0</v>
      </c>
      <c r="AD25" s="251">
        <f>'21'!G163+'21'!G164</f>
        <v>54.100000000000364</v>
      </c>
      <c r="AE25" s="254">
        <f>'21'!$G$116</f>
        <v>0</v>
      </c>
      <c r="AF25" s="254">
        <f>'21'!$G$117</f>
        <v>23.139999999999873</v>
      </c>
      <c r="AG25" s="254">
        <f>'21'!$G$118</f>
        <v>333.44000000000233</v>
      </c>
      <c r="AH25" s="254">
        <f>'21'!$G$119</f>
        <v>440.86000000001513</v>
      </c>
      <c r="AI25" s="254">
        <f>'21'!$G$120</f>
        <v>411.36000000000058</v>
      </c>
      <c r="AJ25" s="254">
        <f>'21'!$G$121</f>
        <v>673.20000000001164</v>
      </c>
      <c r="AK25" s="254">
        <f>'21'!$G$122</f>
        <v>203.35000000000582</v>
      </c>
      <c r="AL25" s="254">
        <f>'21'!$G$123</f>
        <v>265.57999999998719</v>
      </c>
      <c r="AM25" s="254">
        <f>'21'!$G$133</f>
        <v>655.83999999999651</v>
      </c>
      <c r="AN25" s="254">
        <f>'21'!$G$15</f>
        <v>1017.3400000000838</v>
      </c>
      <c r="AO25" s="256">
        <f>'21'!$G$74</f>
        <v>294.76000000000931</v>
      </c>
      <c r="AP25" s="256">
        <f>'21'!$G$75</f>
        <v>0</v>
      </c>
      <c r="AQ25" s="256">
        <f>'21'!$G$76</f>
        <v>104.77999999999884</v>
      </c>
      <c r="AR25" s="256">
        <f>'21'!$G$77</f>
        <v>50.30000000000291</v>
      </c>
      <c r="AS25" s="256">
        <f>'21'!$G$78</f>
        <v>1.1000000000003638</v>
      </c>
      <c r="AT25" s="256">
        <f t="shared" si="0"/>
        <v>566.4000000000724</v>
      </c>
      <c r="AU25" s="254">
        <f>SUM('21'!G91:G92)</f>
        <v>10.309999999999491</v>
      </c>
      <c r="AV25" s="254">
        <f>'21'!$G$88</f>
        <v>0</v>
      </c>
      <c r="AW25" s="254">
        <f>'21'!$G$89</f>
        <v>10.30000000000291</v>
      </c>
      <c r="AX25" s="254">
        <f>'21'!$G$90</f>
        <v>2.1199999999953434</v>
      </c>
      <c r="AY25" s="252">
        <f t="shared" si="1"/>
        <v>12.419999999998254</v>
      </c>
      <c r="AZ25" s="311">
        <f t="shared" si="6"/>
        <v>28.589718719691938</v>
      </c>
      <c r="BA25" s="311">
        <f t="shared" si="3"/>
        <v>45.603864734311756</v>
      </c>
      <c r="BB25" s="351">
        <f t="shared" si="4"/>
        <v>4744.5500000000011</v>
      </c>
      <c r="BC25" s="351">
        <f t="shared" si="5"/>
        <v>26.552503391431667</v>
      </c>
    </row>
    <row r="26" spans="1:55" x14ac:dyDescent="0.2">
      <c r="A26" s="359">
        <v>22</v>
      </c>
      <c r="B26" s="643">
        <f>'22'!G7</f>
        <v>19215.959999999963</v>
      </c>
      <c r="C26" s="643">
        <f>'22'!G8</f>
        <v>19922.760000000009</v>
      </c>
      <c r="D26" s="643">
        <f>'22'!G15</f>
        <v>1036.4099999999162</v>
      </c>
      <c r="E26" s="643">
        <f>'22'!G20</f>
        <v>176</v>
      </c>
      <c r="F26" s="643">
        <f>SUM('22'!G35,'22'!G49)</f>
        <v>2596.6300000000028</v>
      </c>
      <c r="G26" s="643">
        <f>SUM('22'!G37,'22'!G51)</f>
        <v>1587.0900000000001</v>
      </c>
      <c r="H26" s="643">
        <f>SUM('22'!G38,'22'!G52)</f>
        <v>1787.2400000000016</v>
      </c>
      <c r="I26" s="643">
        <f>SUM('22'!G39,'22'!G53)</f>
        <v>2648.7000000000044</v>
      </c>
      <c r="J26" s="643">
        <f>SUM('22'!G41,'22'!G42,'22'!G55,'22'!G56)</f>
        <v>3073.5800000000017</v>
      </c>
      <c r="K26" s="643">
        <f>SUM('22'!G43,'22'!G57)</f>
        <v>2333.4200000000128</v>
      </c>
      <c r="L26" s="254">
        <f>'22'!G50</f>
        <v>1510.6999999999971</v>
      </c>
      <c r="M26" s="254">
        <f>'22'!G36</f>
        <v>834.2899999999936</v>
      </c>
      <c r="N26" s="254">
        <f>'22'!G138</f>
        <v>107</v>
      </c>
      <c r="O26" s="254">
        <f>'22'!$G$139</f>
        <v>9</v>
      </c>
      <c r="P26" s="254">
        <f>'22'!$G$140</f>
        <v>1.5299999999988358</v>
      </c>
      <c r="Q26" s="254">
        <f>'22'!$G$141</f>
        <v>192.63999999999942</v>
      </c>
      <c r="R26" s="254">
        <f>'22'!$G$142</f>
        <v>79.819999999999709</v>
      </c>
      <c r="S26" s="254">
        <f>'22'!$G$145</f>
        <v>14.800000000000182</v>
      </c>
      <c r="T26" s="251">
        <f>'22'!$G$146</f>
        <v>446</v>
      </c>
      <c r="U26" s="251">
        <f>'22'!$G$144</f>
        <v>229</v>
      </c>
      <c r="V26" s="251">
        <f>'22'!$G$147</f>
        <v>492</v>
      </c>
      <c r="W26" s="251">
        <f>'22'!$G$148</f>
        <v>202.55999999993946</v>
      </c>
      <c r="X26" s="251">
        <f>'22'!$G$143</f>
        <v>27.960000000000036</v>
      </c>
      <c r="Y26" s="251">
        <f>'22'!$G$58</f>
        <v>243.45000000000027</v>
      </c>
      <c r="Z26" s="251">
        <f>'22'!$G$151</f>
        <v>219</v>
      </c>
      <c r="AA26" s="251">
        <f>'22'!G161</f>
        <v>218</v>
      </c>
      <c r="AB26" s="251">
        <f>'22'!G162</f>
        <v>29.30000000000291</v>
      </c>
      <c r="AC26" s="251">
        <f>'22'!G88</f>
        <v>0</v>
      </c>
      <c r="AD26" s="251">
        <f>'22'!G163+'22'!G164</f>
        <v>37.599999999996726</v>
      </c>
      <c r="AE26" s="254">
        <f>'22'!$G$116</f>
        <v>0</v>
      </c>
      <c r="AF26" s="254">
        <f>'22'!$G$117</f>
        <v>23.110000000000127</v>
      </c>
      <c r="AG26" s="254">
        <f>'22'!$G$118</f>
        <v>312.96000000002095</v>
      </c>
      <c r="AH26" s="254">
        <f>'22'!$G$119</f>
        <v>408.85999999998603</v>
      </c>
      <c r="AI26" s="254">
        <f>'22'!$G$120</f>
        <v>424.18000000000029</v>
      </c>
      <c r="AJ26" s="254">
        <f>'22'!$G$121</f>
        <v>705.19999999995343</v>
      </c>
      <c r="AK26" s="254">
        <f>'22'!$G$122</f>
        <v>222.64999999999418</v>
      </c>
      <c r="AL26" s="254">
        <f>'22'!$G$123</f>
        <v>271.79999999998836</v>
      </c>
      <c r="AM26" s="254">
        <f>'22'!$G$133</f>
        <v>653.44000000000233</v>
      </c>
      <c r="AN26" s="254">
        <f>'22'!$G$15</f>
        <v>1036.4099999999162</v>
      </c>
      <c r="AO26" s="256">
        <f>'22'!$G$74</f>
        <v>307.70999999996275</v>
      </c>
      <c r="AP26" s="256">
        <f>'22'!$G$75</f>
        <v>0</v>
      </c>
      <c r="AQ26" s="256">
        <f>'22'!$G$76</f>
        <v>119.35000000000582</v>
      </c>
      <c r="AR26" s="256">
        <f>'22'!$G$77</f>
        <v>40</v>
      </c>
      <c r="AS26" s="256">
        <f>'22'!$G$78</f>
        <v>3</v>
      </c>
      <c r="AT26" s="256">
        <f t="shared" si="0"/>
        <v>566.34999999994761</v>
      </c>
      <c r="AU26" s="254">
        <f>SUM('22'!G91:G92)</f>
        <v>10.75</v>
      </c>
      <c r="AV26" s="254">
        <f>'22'!$G$88</f>
        <v>0</v>
      </c>
      <c r="AW26" s="254">
        <f>'22'!$G$89</f>
        <v>9.8799999999973807</v>
      </c>
      <c r="AX26" s="254">
        <f>'22'!$G$90</f>
        <v>3.4500000000116415</v>
      </c>
      <c r="AY26" s="252">
        <f t="shared" si="1"/>
        <v>13.330000000009022</v>
      </c>
      <c r="AZ26" s="311">
        <f t="shared" si="6"/>
        <v>28.624186046508161</v>
      </c>
      <c r="BA26" s="311">
        <f t="shared" si="3"/>
        <v>42.486871717896797</v>
      </c>
      <c r="BB26" s="351">
        <f t="shared" si="4"/>
        <v>5652.6499999999851</v>
      </c>
      <c r="BC26" s="351">
        <f t="shared" si="5"/>
        <v>29.416433006729804</v>
      </c>
    </row>
    <row r="27" spans="1:55" x14ac:dyDescent="0.2">
      <c r="A27" s="359">
        <v>23</v>
      </c>
      <c r="B27" s="643">
        <f>'23'!G7</f>
        <v>18703.160000000033</v>
      </c>
      <c r="C27" s="643">
        <f>'23'!G8</f>
        <v>19388.319999999949</v>
      </c>
      <c r="D27" s="643">
        <f>'23'!G15</f>
        <v>979.91999999992549</v>
      </c>
      <c r="E27" s="643">
        <f>'23'!G20</f>
        <v>216</v>
      </c>
      <c r="F27" s="643">
        <f>SUM('23'!G35,'23'!G49)</f>
        <v>2448.6800000000003</v>
      </c>
      <c r="G27" s="643">
        <f>SUM('23'!G37,'23'!G51)</f>
        <v>1571.9800000000032</v>
      </c>
      <c r="H27" s="643">
        <f>SUM('23'!G38,'23'!G52)</f>
        <v>1932.0699999999997</v>
      </c>
      <c r="I27" s="643">
        <f>SUM('23'!G39,'23'!G53)</f>
        <v>2576.25</v>
      </c>
      <c r="J27" s="643">
        <f>SUM('23'!G41,'23'!G42,'23'!G55,'23'!G56)</f>
        <v>2695.2200000000012</v>
      </c>
      <c r="K27" s="643">
        <f>SUM('23'!G43,'23'!G57)</f>
        <v>2339.2399999999907</v>
      </c>
      <c r="L27" s="254">
        <f>'23'!G50</f>
        <v>1627.260000000002</v>
      </c>
      <c r="M27" s="254">
        <f>'23'!G36</f>
        <v>1155.2800000000061</v>
      </c>
      <c r="N27" s="254">
        <f>'23'!G138</f>
        <v>109</v>
      </c>
      <c r="O27" s="254">
        <f>'23'!G139</f>
        <v>5</v>
      </c>
      <c r="P27" s="254">
        <f>'23'!$G$140</f>
        <v>2</v>
      </c>
      <c r="Q27" s="254">
        <f>'23'!$G$141</f>
        <v>183.70999999999913</v>
      </c>
      <c r="R27" s="254">
        <f>'23'!$G$142</f>
        <v>78.540000000000873</v>
      </c>
      <c r="S27" s="254">
        <f>'23'!$G$145</f>
        <v>14.0600000000004</v>
      </c>
      <c r="T27" s="251">
        <f>'23'!$G$146</f>
        <v>417</v>
      </c>
      <c r="U27" s="251">
        <f>'23'!$G$144</f>
        <v>221</v>
      </c>
      <c r="V27" s="251">
        <f>'23'!$G$147</f>
        <v>421.8399999999674</v>
      </c>
      <c r="W27" s="251">
        <f>'23'!$G$148</f>
        <v>267.52000000001863</v>
      </c>
      <c r="X27" s="251">
        <f>'23'!$G$143</f>
        <v>27.119999999999891</v>
      </c>
      <c r="Y27" s="251">
        <f>'23'!$G$58</f>
        <v>225.96000000000004</v>
      </c>
      <c r="Z27" s="251">
        <f>'23'!$G$151</f>
        <v>238</v>
      </c>
      <c r="AA27" s="251">
        <f>'23'!$G$161</f>
        <v>16</v>
      </c>
      <c r="AB27" s="251">
        <f>'23'!G162</f>
        <v>14.299999999988358</v>
      </c>
      <c r="AC27" s="251">
        <f>'23'!G88</f>
        <v>2.0100000000020373</v>
      </c>
      <c r="AD27" s="251">
        <f>'23'!G163+'23'!G164</f>
        <v>35.099999999996726</v>
      </c>
      <c r="AE27" s="254">
        <f>'23'!$G$116</f>
        <v>0</v>
      </c>
      <c r="AF27" s="254">
        <f>'23'!$G$117</f>
        <v>23.099999999999909</v>
      </c>
      <c r="AG27" s="254">
        <f>'23'!$G$118</f>
        <v>340.17999999999302</v>
      </c>
      <c r="AH27" s="254">
        <f>'23'!$G$119</f>
        <v>417.17999999999302</v>
      </c>
      <c r="AI27" s="254">
        <f>'23'!$G$120</f>
        <v>406.45999999999913</v>
      </c>
      <c r="AJ27" s="254">
        <f>'23'!$G$121</f>
        <v>664.1600000000326</v>
      </c>
      <c r="AK27" s="254">
        <f>'23'!$G$122</f>
        <v>209.97000000000116</v>
      </c>
      <c r="AL27" s="254">
        <f>'23'!$G$123</f>
        <v>273.30999999999767</v>
      </c>
      <c r="AM27" s="254">
        <f>'23'!$G$133</f>
        <v>661.32999999998719</v>
      </c>
      <c r="AN27" s="254">
        <f>'23'!$G$15</f>
        <v>979.91999999992549</v>
      </c>
      <c r="AO27" s="256">
        <f>'23'!$G$74</f>
        <v>292.69000000006054</v>
      </c>
      <c r="AP27" s="256">
        <f>'23'!$G$75</f>
        <v>0</v>
      </c>
      <c r="AQ27" s="256">
        <f>'23'!$G$76</f>
        <v>101.32999999998719</v>
      </c>
      <c r="AR27" s="256">
        <f>'23'!$G$77</f>
        <v>36</v>
      </c>
      <c r="AS27" s="256">
        <f>'23'!$G$78</f>
        <v>1</v>
      </c>
      <c r="AT27" s="256">
        <f t="shared" si="0"/>
        <v>548.89999999987776</v>
      </c>
      <c r="AU27" s="254">
        <f>SUM('23'!G91:G92)</f>
        <v>10.220000000000255</v>
      </c>
      <c r="AV27" s="254">
        <f>'23'!$G$88</f>
        <v>2.0100000000020373</v>
      </c>
      <c r="AW27" s="254">
        <f>'23'!$G$89</f>
        <v>8.1700000000018917</v>
      </c>
      <c r="AX27" s="254">
        <f>'23'!$G$90</f>
        <v>1.4899999999906868</v>
      </c>
      <c r="AY27" s="252">
        <f t="shared" si="1"/>
        <v>11.669999999994616</v>
      </c>
      <c r="AZ27" s="311">
        <f t="shared" si="6"/>
        <v>28.638943248537501</v>
      </c>
      <c r="BA27" s="311">
        <f t="shared" si="3"/>
        <v>47.035132819205742</v>
      </c>
      <c r="BB27" s="351">
        <f t="shared" si="4"/>
        <v>5598.9199999999546</v>
      </c>
      <c r="BC27" s="351">
        <f t="shared" si="5"/>
        <v>29.935690011741034</v>
      </c>
    </row>
    <row r="28" spans="1:55" s="315" customFormat="1" x14ac:dyDescent="0.2">
      <c r="A28" s="359">
        <v>24</v>
      </c>
      <c r="B28" s="643">
        <f>'24'!G7</f>
        <v>16363.169999999984</v>
      </c>
      <c r="C28" s="643">
        <f>'24'!G8</f>
        <v>16876.170000000042</v>
      </c>
      <c r="D28" s="643">
        <f>'24'!G15</f>
        <v>1037.0800000000745</v>
      </c>
      <c r="E28" s="643">
        <f>'24'!G20</f>
        <v>212</v>
      </c>
      <c r="F28" s="643">
        <f>SUM('24'!G35,'24'!G49)</f>
        <v>2037.0099999999984</v>
      </c>
      <c r="G28" s="643">
        <f>SUM('24'!G37,'24'!G51)</f>
        <v>1645.5099999999984</v>
      </c>
      <c r="H28" s="643">
        <f>SUM('24'!G38,'24'!G52)</f>
        <v>1826.3899999999994</v>
      </c>
      <c r="I28" s="643">
        <f>SUM('24'!G39,'24'!G53)</f>
        <v>2607.1999999999971</v>
      </c>
      <c r="J28" s="643">
        <f>SUM('24'!G41,'24'!G42,'24'!G55,'24'!G56)</f>
        <v>2484.3300000000017</v>
      </c>
      <c r="K28" s="643">
        <f>SUM('24'!G43,'24'!G57)</f>
        <v>2087.4100000000035</v>
      </c>
      <c r="L28" s="254">
        <f>'24'!G50</f>
        <v>1014.6399999999994</v>
      </c>
      <c r="M28" s="251">
        <f>'24'!G36</f>
        <v>656.69999999999709</v>
      </c>
      <c r="N28" s="251">
        <f>'24'!G138</f>
        <v>64</v>
      </c>
      <c r="O28" s="251">
        <f>'24'!G139</f>
        <v>0</v>
      </c>
      <c r="P28" s="251">
        <f>'24'!$G$140</f>
        <v>-2.9999999998835847E-2</v>
      </c>
      <c r="Q28" s="251">
        <f>'24'!$G$141</f>
        <v>173.66999999999825</v>
      </c>
      <c r="R28" s="251">
        <f>'24'!$G$142</f>
        <v>81.729999999999563</v>
      </c>
      <c r="S28" s="251">
        <f>'24'!$G$145</f>
        <v>6.7399999999997817</v>
      </c>
      <c r="T28" s="251">
        <f>'24'!$G$146</f>
        <v>398</v>
      </c>
      <c r="U28" s="251">
        <f>'24'!$G$144</f>
        <v>213</v>
      </c>
      <c r="V28" s="251">
        <f>'24'!$G$147</f>
        <v>318.04000000003725</v>
      </c>
      <c r="W28" s="251">
        <f>'24'!$G$148</f>
        <v>154.04000000003725</v>
      </c>
      <c r="X28" s="251">
        <f>'24'!$G$143</f>
        <v>34.380000000000109</v>
      </c>
      <c r="Y28" s="251">
        <f>'24'!$G$58</f>
        <v>214.40999999999985</v>
      </c>
      <c r="Z28" s="251">
        <f>'24'!$G$151</f>
        <v>207</v>
      </c>
      <c r="AA28" s="251">
        <f>'24'!G161</f>
        <v>69.520000000018626</v>
      </c>
      <c r="AB28" s="251">
        <f>'24'!G162</f>
        <v>34.100000000005821</v>
      </c>
      <c r="AC28" s="251">
        <f>'24'!G88</f>
        <v>-0.38000000000101863</v>
      </c>
      <c r="AD28" s="251">
        <f>'24'!G163+'24'!G164</f>
        <v>71.600000000000364</v>
      </c>
      <c r="AE28" s="251">
        <f>'24'!$G$116</f>
        <v>0</v>
      </c>
      <c r="AF28" s="251">
        <f>'24'!$G$117</f>
        <v>22.519999999999982</v>
      </c>
      <c r="AG28" s="251">
        <f>'24'!$G$118</f>
        <v>376.08999999999651</v>
      </c>
      <c r="AH28" s="251">
        <f>'24'!$G$119</f>
        <v>407.17000000001281</v>
      </c>
      <c r="AI28" s="251">
        <f>'24'!$G$120</f>
        <v>413.89999999999418</v>
      </c>
      <c r="AJ28" s="251">
        <f>'24'!$G$121</f>
        <v>659.92999999999302</v>
      </c>
      <c r="AK28" s="251">
        <f>'24'!$G$122</f>
        <v>187.41000000000349</v>
      </c>
      <c r="AL28" s="251">
        <f>'24'!$G$123</f>
        <v>265.89000000001397</v>
      </c>
      <c r="AM28" s="251">
        <f>'24'!$G$133</f>
        <v>437.57000000000698</v>
      </c>
      <c r="AN28" s="251">
        <f>'24'!$G$15</f>
        <v>1037.0800000000745</v>
      </c>
      <c r="AO28" s="256">
        <f>'24'!$G$74</f>
        <v>311.18999999994412</v>
      </c>
      <c r="AP28" s="256">
        <f>'24'!$G$75</f>
        <v>0</v>
      </c>
      <c r="AQ28" s="256">
        <f>'24'!$G$76</f>
        <v>114</v>
      </c>
      <c r="AR28" s="256">
        <f>'24'!$G$77</f>
        <v>34</v>
      </c>
      <c r="AS28" s="256">
        <f>'24'!$G$78</f>
        <v>1</v>
      </c>
      <c r="AT28" s="256">
        <f>AN28-SUM(AO28:AS28)</f>
        <v>576.89000000013039</v>
      </c>
      <c r="AU28" s="251">
        <f>SUM('24'!G91:G92)</f>
        <v>11.329999999999927</v>
      </c>
      <c r="AV28" s="251">
        <f>'24'!$G$88</f>
        <v>-0.38000000000101863</v>
      </c>
      <c r="AW28" s="251">
        <f>'24'!$G$89</f>
        <v>10.389999999999418</v>
      </c>
      <c r="AX28" s="251">
        <f>'24'!$G$90</f>
        <v>2.6300000000046566</v>
      </c>
      <c r="AY28" s="255">
        <f t="shared" si="1"/>
        <v>12.640000000003056</v>
      </c>
      <c r="AZ28" s="311">
        <f t="shared" si="6"/>
        <v>27.466019417470971</v>
      </c>
      <c r="BA28" s="311">
        <f t="shared" si="3"/>
        <v>45.640031645568904</v>
      </c>
      <c r="BB28" s="351">
        <f t="shared" si="4"/>
        <v>3973.9100000000435</v>
      </c>
      <c r="BC28" s="351">
        <f t="shared" si="5"/>
        <v>24.28569769794024</v>
      </c>
    </row>
    <row r="29" spans="1:55" x14ac:dyDescent="0.2">
      <c r="A29" s="359">
        <v>25</v>
      </c>
      <c r="B29" s="643">
        <f>'25'!G7</f>
        <v>16329</v>
      </c>
      <c r="C29" s="643">
        <f>'25'!G8</f>
        <v>16627</v>
      </c>
      <c r="D29" s="643">
        <f>'25'!G15</f>
        <v>815</v>
      </c>
      <c r="E29" s="643">
        <f>'25'!G20</f>
        <v>190</v>
      </c>
      <c r="F29" s="643">
        <f>SUM('25'!G35,'25'!G49)</f>
        <v>2140</v>
      </c>
      <c r="G29" s="643">
        <f>SUM('25'!G37,'25'!G51)</f>
        <v>1608</v>
      </c>
      <c r="H29" s="643">
        <f>SUM('25'!G38,'25'!G52)</f>
        <v>1761</v>
      </c>
      <c r="I29" s="643">
        <f>SUM('25'!G39,'25'!G53)</f>
        <v>2591</v>
      </c>
      <c r="J29" s="643">
        <f>SUM('25'!G41,'25'!G42,'25'!G55,'25'!G56)</f>
        <v>3028.3999999999942</v>
      </c>
      <c r="K29" s="643">
        <f>SUM('25'!G43,'25'!G57)</f>
        <v>1958</v>
      </c>
      <c r="L29" s="254">
        <f>'25'!G50</f>
        <v>1011</v>
      </c>
      <c r="M29" s="254">
        <f>'25'!G36</f>
        <v>600</v>
      </c>
      <c r="N29" s="254">
        <f>'25'!G138</f>
        <v>76</v>
      </c>
      <c r="O29" s="254">
        <f>'25'!$G$139</f>
        <v>1</v>
      </c>
      <c r="P29" s="254">
        <f>'25'!$G$140</f>
        <v>0</v>
      </c>
      <c r="Q29" s="254">
        <f>'25'!$G$141</f>
        <v>173</v>
      </c>
      <c r="R29" s="254">
        <f>'25'!$G$142</f>
        <v>65</v>
      </c>
      <c r="S29" s="254">
        <f>'25'!$G$145</f>
        <v>6</v>
      </c>
      <c r="T29" s="251">
        <f>'25'!$G$146</f>
        <v>402</v>
      </c>
      <c r="U29" s="251">
        <f>'25'!$G$144</f>
        <v>204</v>
      </c>
      <c r="V29" s="251">
        <f>'25'!$G$147</f>
        <v>365</v>
      </c>
      <c r="W29" s="251">
        <f>'25'!$G$148</f>
        <v>158</v>
      </c>
      <c r="X29" s="251">
        <f>'25'!$G$143</f>
        <v>26</v>
      </c>
      <c r="Y29" s="251">
        <f>'25'!$G$58</f>
        <v>110</v>
      </c>
      <c r="Z29" s="251">
        <f>'25'!$G$151</f>
        <v>250</v>
      </c>
      <c r="AA29" s="251">
        <f>'25'!G161</f>
        <v>20.479999999981374</v>
      </c>
      <c r="AB29" s="251">
        <f>'25'!G162</f>
        <v>38</v>
      </c>
      <c r="AC29" s="251">
        <f>'25'!G88</f>
        <v>0</v>
      </c>
      <c r="AD29" s="251">
        <f>'25'!G163+'25'!G164</f>
        <v>36</v>
      </c>
      <c r="AE29" s="254">
        <f>'25'!$G$116</f>
        <v>0</v>
      </c>
      <c r="AF29" s="254">
        <f>'25'!$G$117</f>
        <v>23</v>
      </c>
      <c r="AG29" s="254">
        <f>'25'!$G$118</f>
        <v>338</v>
      </c>
      <c r="AH29" s="254">
        <f>'25'!$G$119</f>
        <v>419</v>
      </c>
      <c r="AI29" s="254">
        <f>'25'!$G$120</f>
        <v>406.2300000000032</v>
      </c>
      <c r="AJ29" s="254">
        <f>'25'!$G$121</f>
        <v>710</v>
      </c>
      <c r="AK29" s="254">
        <f>'25'!$G$122</f>
        <v>179</v>
      </c>
      <c r="AL29" s="254">
        <f>'25'!$G$123</f>
        <v>263</v>
      </c>
      <c r="AM29" s="254">
        <f>'25'!$G$133</f>
        <v>397</v>
      </c>
      <c r="AN29" s="254">
        <f>'25'!$G$15</f>
        <v>815</v>
      </c>
      <c r="AO29" s="256">
        <f>'25'!$G$74</f>
        <v>296</v>
      </c>
      <c r="AP29" s="256">
        <f>'25'!$G$75</f>
        <v>0</v>
      </c>
      <c r="AQ29" s="256">
        <f>'25'!$G$76</f>
        <v>102</v>
      </c>
      <c r="AR29" s="256">
        <f>'25'!$G$77</f>
        <v>28</v>
      </c>
      <c r="AS29" s="256">
        <f>'25'!$G$78</f>
        <v>0</v>
      </c>
      <c r="AT29" s="256">
        <f t="shared" si="0"/>
        <v>389</v>
      </c>
      <c r="AU29" s="254">
        <f>SUM('25'!G91:G92)</f>
        <v>9.6799999999998363</v>
      </c>
      <c r="AV29" s="254">
        <f>'25'!$G$88</f>
        <v>0</v>
      </c>
      <c r="AW29" s="254">
        <f>'25'!$G$89</f>
        <v>4.9799999999995634</v>
      </c>
      <c r="AX29" s="254">
        <f>'25'!$G$90</f>
        <v>4</v>
      </c>
      <c r="AY29" s="252">
        <f t="shared" si="1"/>
        <v>8.9799999999995634</v>
      </c>
      <c r="BA29" s="311">
        <f t="shared" si="3"/>
        <v>43.318485523387409</v>
      </c>
      <c r="BB29" s="351">
        <f t="shared" si="4"/>
        <v>3430.6000000000058</v>
      </c>
      <c r="BC29" s="351">
        <f t="shared" si="5"/>
        <v>21.009247351338146</v>
      </c>
    </row>
    <row r="30" spans="1:55" x14ac:dyDescent="0.2">
      <c r="A30" s="359">
        <v>26</v>
      </c>
      <c r="B30" s="643">
        <f>'26'!G7</f>
        <v>16454</v>
      </c>
      <c r="C30" s="643">
        <f>'26'!G8</f>
        <v>16892</v>
      </c>
      <c r="D30" s="643">
        <f>'26'!G15</f>
        <v>936</v>
      </c>
      <c r="E30" s="643">
        <f>'26'!G20</f>
        <v>175</v>
      </c>
      <c r="F30" s="643">
        <f>SUM('26'!G35,'26'!G49)</f>
        <v>2079</v>
      </c>
      <c r="G30" s="643">
        <f>SUM('26'!G37,'26'!G51)</f>
        <v>1519</v>
      </c>
      <c r="H30" s="643">
        <f>SUM('26'!G38,'26'!G52)</f>
        <v>1746</v>
      </c>
      <c r="I30" s="643">
        <f>SUM('26'!G39,'26'!G53)</f>
        <v>2557</v>
      </c>
      <c r="J30" s="643">
        <f>SUM('26'!G41,'26'!G42,'26'!G55,'26'!G56)</f>
        <v>3448</v>
      </c>
      <c r="K30" s="643">
        <f>SUM('26'!G43,'26'!G57)</f>
        <v>1948</v>
      </c>
      <c r="L30" s="254">
        <f>'26'!G50</f>
        <v>1009</v>
      </c>
      <c r="M30" s="254">
        <f>'26'!G36</f>
        <v>643</v>
      </c>
      <c r="N30" s="254">
        <f>'26'!G138</f>
        <v>62</v>
      </c>
      <c r="O30" s="254">
        <f>'26'!$G$139</f>
        <v>0</v>
      </c>
      <c r="P30" s="254">
        <f>'26'!$G$140</f>
        <v>0</v>
      </c>
      <c r="Q30" s="254">
        <f>'26'!$G$141</f>
        <v>189</v>
      </c>
      <c r="R30" s="254">
        <f>'26'!$G$142</f>
        <v>95</v>
      </c>
      <c r="S30" s="254">
        <f>'26'!$G$145</f>
        <v>6</v>
      </c>
      <c r="T30" s="251">
        <f>'26'!$G$146</f>
        <v>380</v>
      </c>
      <c r="U30" s="251">
        <f>'26'!$G$144</f>
        <v>194</v>
      </c>
      <c r="V30" s="251">
        <f>'26'!$G$147</f>
        <v>348</v>
      </c>
      <c r="W30" s="251">
        <f>'26'!$G$148</f>
        <v>191</v>
      </c>
      <c r="X30" s="251">
        <f>'26'!$G$143</f>
        <v>30</v>
      </c>
      <c r="Y30" s="251">
        <f>'26'!$G$58</f>
        <v>202</v>
      </c>
      <c r="Z30" s="251">
        <f>'26'!$G$151</f>
        <v>232</v>
      </c>
      <c r="AA30" s="251">
        <f>'26'!G161</f>
        <v>16</v>
      </c>
      <c r="AB30" s="251">
        <f>'26'!G162</f>
        <v>30</v>
      </c>
      <c r="AC30" s="251">
        <f>'26'!G88</f>
        <v>0</v>
      </c>
      <c r="AD30" s="251">
        <f>'26'!G163+'26'!G164</f>
        <v>34</v>
      </c>
      <c r="AE30" s="254">
        <f>'26'!$G$116</f>
        <v>0</v>
      </c>
      <c r="AF30" s="254">
        <f>'26'!$G$117</f>
        <v>27</v>
      </c>
      <c r="AG30" s="254">
        <f>'26'!$G$118</f>
        <v>337</v>
      </c>
      <c r="AH30" s="254">
        <f>'26'!$G$119</f>
        <v>427</v>
      </c>
      <c r="AI30" s="254">
        <f>'26'!$G$120</f>
        <v>423</v>
      </c>
      <c r="AJ30" s="254">
        <f>'26'!$G$121</f>
        <v>837</v>
      </c>
      <c r="AK30" s="254">
        <f>'26'!$G$122</f>
        <v>157</v>
      </c>
      <c r="AL30" s="254">
        <f>'26'!$G$123</f>
        <v>266</v>
      </c>
      <c r="AM30" s="254">
        <f>'26'!$G$133</f>
        <v>428</v>
      </c>
      <c r="AN30" s="254">
        <f>'26'!$G$15</f>
        <v>936</v>
      </c>
      <c r="AO30" s="256">
        <f>'26'!$G$74</f>
        <v>286</v>
      </c>
      <c r="AP30" s="256">
        <f>'26'!$G$75</f>
        <v>0</v>
      </c>
      <c r="AQ30" s="256">
        <f>'26'!$G$76</f>
        <v>105</v>
      </c>
      <c r="AR30" s="256">
        <f>'26'!$G$77</f>
        <v>31</v>
      </c>
      <c r="AS30" s="256">
        <f>'26'!$G$78</f>
        <v>1</v>
      </c>
      <c r="AT30" s="256">
        <f t="shared" si="0"/>
        <v>513</v>
      </c>
      <c r="AU30" s="254">
        <f>SUM('26'!G91:G92)</f>
        <v>11</v>
      </c>
      <c r="AV30" s="254">
        <f>'26'!$G$88</f>
        <v>0</v>
      </c>
      <c r="AW30" s="254">
        <f>'26'!$G$89</f>
        <v>9.0200000000004366</v>
      </c>
      <c r="AX30" s="254">
        <f>'26'!$G$90</f>
        <v>3</v>
      </c>
      <c r="AY30" s="252">
        <f t="shared" si="1"/>
        <v>12.020000000000437</v>
      </c>
      <c r="BA30" s="311">
        <f t="shared" si="3"/>
        <v>42.678868552411096</v>
      </c>
      <c r="BB30" s="351">
        <f t="shared" si="4"/>
        <v>3393</v>
      </c>
      <c r="BC30" s="351">
        <f t="shared" si="5"/>
        <v>20.621125562173333</v>
      </c>
    </row>
    <row r="31" spans="1:55" x14ac:dyDescent="0.2">
      <c r="A31" s="359">
        <v>27</v>
      </c>
      <c r="B31" s="643">
        <f>'27'!G7</f>
        <v>17608</v>
      </c>
      <c r="C31" s="643">
        <f>'27'!G8</f>
        <v>17701</v>
      </c>
      <c r="D31" s="643">
        <f>'27'!G15</f>
        <v>954</v>
      </c>
      <c r="E31" s="643">
        <f>'27'!G20</f>
        <v>177</v>
      </c>
      <c r="F31" s="643">
        <f>SUM('27'!G35,'27'!G49)</f>
        <v>2111</v>
      </c>
      <c r="G31" s="643">
        <f>SUM('27'!G37,'27'!G51)</f>
        <v>1582</v>
      </c>
      <c r="H31" s="643">
        <f>SUM('27'!G38,'27'!G52)</f>
        <v>1792</v>
      </c>
      <c r="I31" s="643">
        <f>SUM('27'!G39,'27'!G53)</f>
        <v>2612</v>
      </c>
      <c r="J31" s="643">
        <f>SUM('27'!G41,'27'!G42,'27'!G55,'27'!G56)</f>
        <v>3934</v>
      </c>
      <c r="K31" s="643">
        <f>SUM('27'!G43,'27'!G57)</f>
        <v>1969</v>
      </c>
      <c r="L31" s="254">
        <f>'27'!G50</f>
        <v>977</v>
      </c>
      <c r="M31" s="254">
        <f>'27'!G36</f>
        <v>707</v>
      </c>
      <c r="N31" s="254">
        <f>'27'!G138</f>
        <v>58</v>
      </c>
      <c r="O31" s="254">
        <f>'27'!$G$139</f>
        <v>1</v>
      </c>
      <c r="P31" s="254">
        <f>'27'!$G$140</f>
        <v>0</v>
      </c>
      <c r="Q31" s="254">
        <f>'27'!$G$141</f>
        <v>145</v>
      </c>
      <c r="R31" s="254">
        <f>'27'!$G$142</f>
        <v>70</v>
      </c>
      <c r="S31" s="254">
        <f>'27'!$G$145</f>
        <v>5</v>
      </c>
      <c r="T31" s="251">
        <f>'27'!$G$146</f>
        <v>390</v>
      </c>
      <c r="U31" s="251">
        <f>'27'!$G$144</f>
        <v>198</v>
      </c>
      <c r="V31" s="251">
        <f>'27'!$G$147</f>
        <v>339</v>
      </c>
      <c r="W31" s="251">
        <f>'27'!$G$148</f>
        <v>225</v>
      </c>
      <c r="X31" s="251">
        <f>'27'!$G$143</f>
        <v>23</v>
      </c>
      <c r="Y31" s="251">
        <f>'27'!$G$58</f>
        <v>198</v>
      </c>
      <c r="Z31" s="251">
        <f>'27'!$G$151</f>
        <v>265</v>
      </c>
      <c r="AA31" s="251">
        <f>'27'!G161</f>
        <v>22</v>
      </c>
      <c r="AB31" s="251">
        <f>'27'!G162</f>
        <v>41</v>
      </c>
      <c r="AC31" s="251">
        <f>'27'!G88</f>
        <v>0</v>
      </c>
      <c r="AD31" s="251">
        <f>'27'!G163+'27'!G164</f>
        <v>68</v>
      </c>
      <c r="AE31" s="254">
        <f>'27'!$G$116</f>
        <v>0</v>
      </c>
      <c r="AF31" s="254">
        <f>'27'!$G$117</f>
        <v>19</v>
      </c>
      <c r="AG31" s="254">
        <f>'27'!$G$118</f>
        <v>355</v>
      </c>
      <c r="AH31" s="254">
        <f>'27'!$G$119</f>
        <v>386</v>
      </c>
      <c r="AI31" s="254">
        <f>'27'!$G$120</f>
        <v>400</v>
      </c>
      <c r="AJ31" s="254">
        <f>'27'!$G$121</f>
        <v>552</v>
      </c>
      <c r="AK31" s="254">
        <f>'27'!$G$122</f>
        <v>195</v>
      </c>
      <c r="AL31" s="254">
        <f>'27'!$G$123</f>
        <v>283</v>
      </c>
      <c r="AM31" s="254">
        <f>'27'!$G$133</f>
        <v>369</v>
      </c>
      <c r="AN31" s="254">
        <f>'27'!$G$15</f>
        <v>954</v>
      </c>
      <c r="AO31" s="254">
        <f>'27'!$G$74</f>
        <v>293</v>
      </c>
      <c r="AP31" s="254">
        <f>'27'!$G$75</f>
        <v>0</v>
      </c>
      <c r="AQ31" s="254">
        <f>'27'!$G$76</f>
        <v>99</v>
      </c>
      <c r="AR31" s="254">
        <f>'27'!$G$77</f>
        <v>27</v>
      </c>
      <c r="AS31" s="254">
        <f>'27'!$G$78</f>
        <v>1</v>
      </c>
      <c r="AT31" s="254">
        <f t="shared" si="0"/>
        <v>534</v>
      </c>
      <c r="AU31" s="254">
        <f>SUM('27'!G91:G92)</f>
        <v>11</v>
      </c>
      <c r="AV31" s="254">
        <f>'27'!$G$88</f>
        <v>0</v>
      </c>
      <c r="AW31" s="254">
        <f>'27'!$G$89</f>
        <v>10</v>
      </c>
      <c r="AX31" s="254">
        <f>'27'!$G$90</f>
        <v>2</v>
      </c>
      <c r="AY31" s="252">
        <f t="shared" si="1"/>
        <v>12</v>
      </c>
      <c r="BA31" s="311">
        <f t="shared" si="3"/>
        <v>44.5</v>
      </c>
      <c r="BB31" s="351">
        <f t="shared" si="4"/>
        <v>3503</v>
      </c>
      <c r="BC31" s="351">
        <f t="shared" si="5"/>
        <v>19.894366197183096</v>
      </c>
    </row>
    <row r="32" spans="1:55" x14ac:dyDescent="0.2">
      <c r="A32" s="359">
        <v>28</v>
      </c>
      <c r="B32" s="643">
        <f>'28'!G7</f>
        <v>17654</v>
      </c>
      <c r="C32" s="643">
        <f>'28'!G8</f>
        <v>17886</v>
      </c>
      <c r="D32" s="643">
        <f>'28'!G15</f>
        <v>971</v>
      </c>
      <c r="E32" s="643">
        <f>'28'!G20</f>
        <v>92</v>
      </c>
      <c r="F32" s="643">
        <f>SUM('28'!G35,'28'!G49)</f>
        <v>2153</v>
      </c>
      <c r="G32" s="643">
        <f>SUM('28'!G37,'28'!G51)</f>
        <v>1576</v>
      </c>
      <c r="H32" s="643">
        <f>SUM('28'!G38,'28'!G52)</f>
        <v>1753</v>
      </c>
      <c r="I32" s="643">
        <f>SUM('28'!G39,'28'!G53)</f>
        <v>2604</v>
      </c>
      <c r="J32" s="643">
        <f>SUM('28'!G41,'28'!G42,'28'!G55,'28'!G56)</f>
        <v>4136</v>
      </c>
      <c r="K32" s="643">
        <f>SUM('28'!G43,'28'!G57)</f>
        <v>1961</v>
      </c>
      <c r="L32" s="254">
        <f>'28'!G50</f>
        <v>1036</v>
      </c>
      <c r="M32" s="254">
        <f>'28'!G36</f>
        <v>689</v>
      </c>
      <c r="N32" s="254">
        <f>'28'!G138</f>
        <v>48</v>
      </c>
      <c r="O32" s="254">
        <f>'28'!$G$139</f>
        <v>0</v>
      </c>
      <c r="P32" s="254">
        <f>'28'!$G$140</f>
        <v>0</v>
      </c>
      <c r="Q32" s="254">
        <f>'28'!$G$141</f>
        <v>172</v>
      </c>
      <c r="R32" s="254">
        <f>'28'!$G$142</f>
        <v>77</v>
      </c>
      <c r="S32" s="254">
        <f>'28'!$G$145</f>
        <v>9</v>
      </c>
      <c r="T32" s="251">
        <f>'28'!$G$146</f>
        <v>401</v>
      </c>
      <c r="U32" s="251">
        <f>'28'!$G$144</f>
        <v>195</v>
      </c>
      <c r="V32" s="251">
        <f>'28'!$G$147</f>
        <v>379</v>
      </c>
      <c r="W32" s="251">
        <f>'28'!$G$148</f>
        <v>185</v>
      </c>
      <c r="X32" s="251">
        <f>'28'!$G$143</f>
        <v>28</v>
      </c>
      <c r="Y32" s="251">
        <f>'28'!$G$58</f>
        <v>203</v>
      </c>
      <c r="Z32" s="251">
        <f>'28'!$G$151</f>
        <v>254</v>
      </c>
      <c r="AA32" s="251">
        <f>'28'!G161</f>
        <v>29</v>
      </c>
      <c r="AB32" s="251">
        <f>'28'!G162</f>
        <v>39</v>
      </c>
      <c r="AC32" s="251">
        <f>'28'!G88</f>
        <v>0.43000000000029104</v>
      </c>
      <c r="AD32" s="251">
        <f>'28'!G163+'28'!G164</f>
        <v>45.899999999999636</v>
      </c>
      <c r="AE32" s="254">
        <f>'28'!$G$116</f>
        <v>0</v>
      </c>
      <c r="AF32" s="254">
        <f>'28'!$G$117</f>
        <v>23</v>
      </c>
      <c r="AG32" s="254">
        <f>'28'!$G$118</f>
        <v>349</v>
      </c>
      <c r="AH32" s="254">
        <f>'28'!$G$119</f>
        <v>422</v>
      </c>
      <c r="AI32" s="254">
        <f>'28'!$G$120</f>
        <v>415</v>
      </c>
      <c r="AJ32" s="254">
        <f>'28'!$G$121</f>
        <v>708</v>
      </c>
      <c r="AK32" s="254">
        <f>'28'!$G$122</f>
        <v>190</v>
      </c>
      <c r="AL32" s="254">
        <f>'28'!$G$123</f>
        <v>277</v>
      </c>
      <c r="AM32" s="254">
        <f>'28'!$G$133</f>
        <v>407</v>
      </c>
      <c r="AN32" s="254">
        <f>'28'!$G$15</f>
        <v>971</v>
      </c>
      <c r="AO32" s="254">
        <f>'28'!$G$74</f>
        <v>352</v>
      </c>
      <c r="AP32" s="254">
        <f>'28'!$G$75</f>
        <v>0</v>
      </c>
      <c r="AQ32" s="254">
        <f>'28'!$G$76</f>
        <v>83</v>
      </c>
      <c r="AR32" s="254">
        <f>'28'!$G$77</f>
        <v>50</v>
      </c>
      <c r="AS32" s="254">
        <f>'28'!$G$78</f>
        <v>1</v>
      </c>
      <c r="AT32" s="254">
        <f t="shared" si="0"/>
        <v>485</v>
      </c>
      <c r="AU32" s="254">
        <f>SUM('28'!G91:G92)</f>
        <v>11.079999999999927</v>
      </c>
      <c r="AV32" s="254">
        <f>'28'!$G$88</f>
        <v>0.43000000000029104</v>
      </c>
      <c r="AW32" s="254">
        <f>'28'!$G$89</f>
        <v>9.680000000000291</v>
      </c>
      <c r="AX32" s="254">
        <f>'28'!$G$90</f>
        <v>3.1499999999941792</v>
      </c>
      <c r="AY32" s="252">
        <f t="shared" si="1"/>
        <v>13.259999999994761</v>
      </c>
      <c r="BA32" s="311">
        <f t="shared" si="3"/>
        <v>36.576168929124556</v>
      </c>
      <c r="BB32" s="351">
        <f t="shared" si="4"/>
        <v>3500</v>
      </c>
      <c r="BC32" s="351">
        <f t="shared" si="5"/>
        <v>19.825535289452816</v>
      </c>
    </row>
    <row r="33" spans="1:55" x14ac:dyDescent="0.2">
      <c r="A33" s="359">
        <v>29</v>
      </c>
      <c r="B33" s="643">
        <f>'29'!G7</f>
        <v>17167</v>
      </c>
      <c r="C33" s="643">
        <f>'29'!G8</f>
        <v>17492</v>
      </c>
      <c r="D33" s="643">
        <f>'29'!G15</f>
        <v>1002</v>
      </c>
      <c r="E33" s="643">
        <f>'29'!G20</f>
        <v>312</v>
      </c>
      <c r="F33" s="643">
        <f>SUM('29'!G35,'29'!G49)</f>
        <v>2108</v>
      </c>
      <c r="G33" s="643">
        <f>SUM('29'!G37,'29'!G51)</f>
        <v>1611</v>
      </c>
      <c r="H33" s="643">
        <f>SUM('29'!G38,'29'!G52)</f>
        <v>1750</v>
      </c>
      <c r="I33" s="643">
        <f>SUM('29'!G39,'29'!G53)</f>
        <v>2606</v>
      </c>
      <c r="J33" s="643">
        <f>SUM('29'!G41,'29'!G42,'29'!G55,'29'!G56)</f>
        <v>3572</v>
      </c>
      <c r="K33" s="643">
        <f>SUM('29'!G43,'29'!G57)</f>
        <v>2065</v>
      </c>
      <c r="L33" s="254">
        <f>'29'!G50</f>
        <v>983</v>
      </c>
      <c r="M33" s="254">
        <f>'29'!G36</f>
        <v>695</v>
      </c>
      <c r="N33" s="254">
        <f>'29'!G138</f>
        <v>48</v>
      </c>
      <c r="O33" s="254">
        <f>'29'!$G$139</f>
        <v>0</v>
      </c>
      <c r="P33" s="254">
        <f>'29'!$G$140</f>
        <v>0</v>
      </c>
      <c r="Q33" s="254">
        <f>'29'!$G$141</f>
        <v>185</v>
      </c>
      <c r="R33" s="254">
        <f>'29'!$G$142</f>
        <v>78</v>
      </c>
      <c r="S33" s="254">
        <f>'29'!$G$145</f>
        <v>8</v>
      </c>
      <c r="T33" s="254">
        <f>'29'!$G$146</f>
        <v>383</v>
      </c>
      <c r="U33" s="254">
        <f>'29'!$G$144</f>
        <v>200</v>
      </c>
      <c r="V33" s="254">
        <f>'29'!$G$147</f>
        <v>374</v>
      </c>
      <c r="W33" s="254">
        <f>'29'!$G$148</f>
        <v>185</v>
      </c>
      <c r="X33" s="254">
        <f>'29'!$G$143</f>
        <v>25</v>
      </c>
      <c r="Y33" s="254">
        <f>'29'!$G$58</f>
        <v>211</v>
      </c>
      <c r="Z33" s="254">
        <f>'29'!$G$151</f>
        <v>250</v>
      </c>
      <c r="AA33" s="254">
        <f>'29'!G161</f>
        <v>25</v>
      </c>
      <c r="AB33" s="254">
        <f>'29'!G162</f>
        <v>29</v>
      </c>
      <c r="AC33" s="254">
        <f>'29'!G88</f>
        <v>0</v>
      </c>
      <c r="AD33" s="254">
        <f>'29'!G163+'29'!G164</f>
        <v>50.100000000000364</v>
      </c>
      <c r="AE33" s="254">
        <f>'29'!$G$116</f>
        <v>0</v>
      </c>
      <c r="AF33" s="254">
        <f>'29'!$G$117</f>
        <v>24</v>
      </c>
      <c r="AG33" s="254">
        <f>'29'!$G$118</f>
        <v>336</v>
      </c>
      <c r="AH33" s="254">
        <f>'29'!$G$119</f>
        <v>417</v>
      </c>
      <c r="AI33" s="254">
        <f>'29'!$G$120</f>
        <v>424</v>
      </c>
      <c r="AJ33" s="254">
        <f>'29'!$G$121</f>
        <v>710</v>
      </c>
      <c r="AK33" s="254">
        <f>'29'!$G$122</f>
        <v>200</v>
      </c>
      <c r="AL33" s="254">
        <f>'29'!$G$123</f>
        <v>275</v>
      </c>
      <c r="AM33" s="254">
        <f>'29'!$G$133</f>
        <v>494</v>
      </c>
      <c r="AN33" s="254">
        <f>'29'!$G$15</f>
        <v>1002</v>
      </c>
      <c r="AO33" s="254">
        <f>'29'!$G$74</f>
        <v>303</v>
      </c>
      <c r="AP33" s="254">
        <f>'29'!$G$75</f>
        <v>0</v>
      </c>
      <c r="AQ33" s="254">
        <f>'29'!$G$76</f>
        <v>98</v>
      </c>
      <c r="AR33" s="254">
        <f>'29'!$G$77</f>
        <v>46</v>
      </c>
      <c r="AS33" s="254">
        <f>'29'!$G$78</f>
        <v>2</v>
      </c>
      <c r="AT33" s="254">
        <f t="shared" si="0"/>
        <v>553</v>
      </c>
      <c r="AU33" s="254">
        <f>SUM('29'!G91:G92)</f>
        <v>11</v>
      </c>
      <c r="AV33" s="254">
        <f>'29'!$G$88</f>
        <v>0</v>
      </c>
      <c r="AW33" s="254">
        <f>'29'!$G$89</f>
        <v>9.930000000000291</v>
      </c>
      <c r="AX33" s="254">
        <f>'29'!$G$90</f>
        <v>0.930000000007567</v>
      </c>
      <c r="AY33" s="252">
        <f t="shared" si="1"/>
        <v>10.860000000007858</v>
      </c>
      <c r="BA33" s="311">
        <f t="shared" si="3"/>
        <v>50.920810313038665</v>
      </c>
      <c r="BB33" s="351">
        <f t="shared" si="4"/>
        <v>3569</v>
      </c>
      <c r="BC33" s="351">
        <f t="shared" si="5"/>
        <v>20.789887574998545</v>
      </c>
    </row>
    <row r="34" spans="1:55" s="313" customFormat="1" x14ac:dyDescent="0.2">
      <c r="A34" s="359">
        <v>30</v>
      </c>
      <c r="B34" s="643">
        <f>'30'!G7</f>
        <v>17289</v>
      </c>
      <c r="C34" s="643">
        <f>'30'!G8</f>
        <v>17529</v>
      </c>
      <c r="D34" s="643">
        <f>'30'!G15</f>
        <v>929</v>
      </c>
      <c r="E34" s="643">
        <f>'30'!G20</f>
        <v>226</v>
      </c>
      <c r="F34" s="643">
        <f>SUM('30'!G35,'30'!G49)</f>
        <v>2077</v>
      </c>
      <c r="G34" s="643">
        <f>SUM('30'!G37,'30'!G51)</f>
        <v>1553</v>
      </c>
      <c r="H34" s="643">
        <f>SUM('30'!G38,'30'!G52)</f>
        <v>1629</v>
      </c>
      <c r="I34" s="643">
        <f>SUM('30'!G39,'30'!G53)</f>
        <v>2616</v>
      </c>
      <c r="J34" s="643">
        <f>SUM('30'!G41,'30'!G42,'30'!G55,'30'!G56)</f>
        <v>3884</v>
      </c>
      <c r="K34" s="643">
        <f>SUM('30'!G43,'30'!G57)</f>
        <v>1898</v>
      </c>
      <c r="L34" s="251">
        <f>'30'!G50</f>
        <v>1051</v>
      </c>
      <c r="M34" s="251">
        <f>'30'!G36</f>
        <v>846</v>
      </c>
      <c r="N34" s="251">
        <f>'30'!G138</f>
        <v>69</v>
      </c>
      <c r="O34" s="251">
        <f>'30'!$G$139</f>
        <v>2</v>
      </c>
      <c r="P34" s="251">
        <f>'30'!$G$140</f>
        <v>0</v>
      </c>
      <c r="Q34" s="251">
        <f>'30'!$G$141</f>
        <v>174</v>
      </c>
      <c r="R34" s="251">
        <f>'30'!$G$142</f>
        <v>77</v>
      </c>
      <c r="S34" s="251">
        <f>'30'!$G$145</f>
        <v>6</v>
      </c>
      <c r="T34" s="251">
        <f>'30'!$G$146</f>
        <v>486</v>
      </c>
      <c r="U34" s="251">
        <f>'30'!$G$144</f>
        <v>201</v>
      </c>
      <c r="V34" s="251">
        <f>'30'!$G$147</f>
        <v>340</v>
      </c>
      <c r="W34" s="251">
        <f>'30'!$G$148</f>
        <v>220</v>
      </c>
      <c r="X34" s="251">
        <f>'30'!$G$143</f>
        <v>20</v>
      </c>
      <c r="Y34" s="251">
        <f>'30'!$G$58</f>
        <v>190</v>
      </c>
      <c r="Z34" s="251">
        <f>'30'!$G$151</f>
        <v>233</v>
      </c>
      <c r="AA34" s="251">
        <f>'30'!G161</f>
        <v>26</v>
      </c>
      <c r="AB34" s="251">
        <f>'30'!G162</f>
        <v>12</v>
      </c>
      <c r="AC34" s="251">
        <f>'30'!G88</f>
        <v>0</v>
      </c>
      <c r="AD34" s="251">
        <f>'30'!G163+'30'!G164</f>
        <v>34</v>
      </c>
      <c r="AE34" s="251">
        <f>'30'!$G$116</f>
        <v>0</v>
      </c>
      <c r="AF34" s="251">
        <f>'30'!$G$117</f>
        <v>22</v>
      </c>
      <c r="AG34" s="251">
        <f>'30'!$G$118</f>
        <v>311</v>
      </c>
      <c r="AH34" s="251">
        <f>'30'!$G$119</f>
        <v>419</v>
      </c>
      <c r="AI34" s="251">
        <f>'30'!$G$120</f>
        <v>426</v>
      </c>
      <c r="AJ34" s="251">
        <f>'30'!$G$121</f>
        <v>733</v>
      </c>
      <c r="AK34" s="251">
        <f>'30'!$G$122</f>
        <v>206</v>
      </c>
      <c r="AL34" s="251">
        <f>'30'!$G$123</f>
        <v>273</v>
      </c>
      <c r="AM34" s="251">
        <f>'30'!$G$133</f>
        <v>496</v>
      </c>
      <c r="AN34" s="251">
        <f>'30'!$G$15</f>
        <v>929</v>
      </c>
      <c r="AO34" s="251">
        <f>'30'!$G$74</f>
        <v>308</v>
      </c>
      <c r="AP34" s="251">
        <f>'30'!$G$75</f>
        <v>0</v>
      </c>
      <c r="AQ34" s="251">
        <f>'30'!$G$76</f>
        <v>95</v>
      </c>
      <c r="AR34" s="251">
        <f>'30'!$G$77</f>
        <v>35</v>
      </c>
      <c r="AS34" s="251">
        <f>'30'!$G$78</f>
        <v>1</v>
      </c>
      <c r="AT34" s="251">
        <f t="shared" si="0"/>
        <v>490</v>
      </c>
      <c r="AU34" s="251">
        <f>SUM('30'!G91:G92)</f>
        <v>11.609999999999673</v>
      </c>
      <c r="AV34" s="251">
        <f>'30'!$G$88</f>
        <v>0</v>
      </c>
      <c r="AW34" s="251">
        <f>'30'!$G$89</f>
        <v>9.2099999999991269</v>
      </c>
      <c r="AX34" s="251">
        <f>'30'!$G$90</f>
        <v>1.9199999999982538</v>
      </c>
      <c r="AY34" s="255">
        <f t="shared" si="1"/>
        <v>11.129999999997381</v>
      </c>
      <c r="BA34" s="311">
        <f t="shared" si="3"/>
        <v>44.025157232714761</v>
      </c>
      <c r="BB34" s="351">
        <f t="shared" si="4"/>
        <v>3682</v>
      </c>
      <c r="BC34" s="351">
        <f t="shared" si="5"/>
        <v>21.296778298339987</v>
      </c>
    </row>
    <row r="35" spans="1:55" x14ac:dyDescent="0.2">
      <c r="A35" s="359">
        <v>31</v>
      </c>
      <c r="B35" s="643">
        <f>'31'!G7</f>
        <v>17614.229999999981</v>
      </c>
      <c r="C35" s="643">
        <f>'31'!G8</f>
        <v>17830.150000000023</v>
      </c>
      <c r="D35" s="643">
        <f>'31'!G15</f>
        <v>915.76699999999255</v>
      </c>
      <c r="E35" s="643">
        <f>'31'!G20</f>
        <v>146</v>
      </c>
      <c r="F35" s="643">
        <f>SUM('31'!G35,'31'!G49)</f>
        <v>2110.1699999999983</v>
      </c>
      <c r="G35" s="643">
        <f>SUM('31'!G37,'31'!G51)</f>
        <v>1588.0899999999965</v>
      </c>
      <c r="H35" s="643">
        <f>SUM('31'!G38,'31'!G52)</f>
        <v>1627.4300000000003</v>
      </c>
      <c r="I35" s="643">
        <f>SUM('31'!G39,'31'!G53)</f>
        <v>2649.2900000000009</v>
      </c>
      <c r="J35" s="643">
        <f>SUM('31'!G41,'31'!G42,'31'!G55,'31'!G56)</f>
        <v>4318.8500000000058</v>
      </c>
      <c r="K35" s="643">
        <f>SUM('31'!G43,'31'!G57)</f>
        <v>1885.6000000000058</v>
      </c>
      <c r="L35" s="251">
        <f>'31'!G50</f>
        <v>1070.6299999999974</v>
      </c>
      <c r="M35" s="251">
        <f>'31'!G36</f>
        <v>638.73999999999796</v>
      </c>
      <c r="N35" s="251">
        <f>'31'!G138</f>
        <v>59</v>
      </c>
      <c r="O35" s="251">
        <f>'31'!$G$139</f>
        <v>1</v>
      </c>
      <c r="P35" s="251">
        <f>'31'!$G$140</f>
        <v>0</v>
      </c>
      <c r="Q35" s="251">
        <f>'31'!$G$141</f>
        <v>172.58000000000175</v>
      </c>
      <c r="R35" s="251">
        <f>'31'!$G$142</f>
        <v>80.099999999998545</v>
      </c>
      <c r="S35" s="251">
        <f>'31'!$G$145</f>
        <v>9.8400000000001455</v>
      </c>
      <c r="T35" s="251">
        <f>'31'!$G$146</f>
        <v>386</v>
      </c>
      <c r="U35" s="251">
        <f>'31'!$G$144</f>
        <v>216</v>
      </c>
      <c r="V35" s="251">
        <f>'31'!$G$147</f>
        <v>347.52000000001863</v>
      </c>
      <c r="W35" s="251">
        <f>'31'!$G$148</f>
        <v>157.95999999996275</v>
      </c>
      <c r="X35" s="251">
        <f>'31'!$G$143</f>
        <v>28.389999999999873</v>
      </c>
      <c r="Y35" s="251">
        <f>'31'!$G$58</f>
        <v>197.21000000000004</v>
      </c>
      <c r="Z35" s="251">
        <f>'31'!$G$151</f>
        <v>294</v>
      </c>
      <c r="AA35" s="251">
        <f>'31'!G161</f>
        <v>42.559999999997672</v>
      </c>
      <c r="AB35" s="251">
        <f>'31'!G162</f>
        <v>36.399999999994179</v>
      </c>
      <c r="AC35" s="251">
        <f>'31'!G89</f>
        <v>9.2999999999992724</v>
      </c>
      <c r="AD35" s="251">
        <f>'31'!G163+'31'!G164</f>
        <v>36.100000000005821</v>
      </c>
      <c r="AE35" s="251">
        <f>'31'!$G$116</f>
        <v>0</v>
      </c>
      <c r="AF35" s="251">
        <f>'31'!$G$117</f>
        <v>38.949999999999818</v>
      </c>
      <c r="AG35" s="251">
        <f>'31'!$G$118</f>
        <v>319.30999999999767</v>
      </c>
      <c r="AH35" s="251">
        <f>'31'!$G$119</f>
        <v>426.54999999998836</v>
      </c>
      <c r="AI35" s="251">
        <f>'31'!$G$120</f>
        <v>419.61000000000058</v>
      </c>
      <c r="AJ35" s="251">
        <f>'31'!$G$121</f>
        <v>730.42999999999302</v>
      </c>
      <c r="AK35" s="251">
        <f>'31'!$G$122</f>
        <v>206.17999999999302</v>
      </c>
      <c r="AL35" s="251">
        <f>'31'!$G$123</f>
        <v>278.95000000001164</v>
      </c>
      <c r="AM35" s="251">
        <f>'31'!$G$133</f>
        <v>437.69999999999709</v>
      </c>
      <c r="AN35" s="251">
        <f>'31'!$G$15</f>
        <v>915.76699999999255</v>
      </c>
      <c r="AO35" s="251">
        <f>'31'!$G$74</f>
        <v>294.14899999997579</v>
      </c>
      <c r="AP35" s="251">
        <f>'31'!$G$75</f>
        <v>0</v>
      </c>
      <c r="AQ35" s="251">
        <f>'31'!$G$76</f>
        <v>75</v>
      </c>
      <c r="AR35" s="251">
        <f>'31'!$G$77</f>
        <v>28.19999999999709</v>
      </c>
      <c r="AS35" s="251">
        <f>'31'!$G$78</f>
        <v>2</v>
      </c>
      <c r="AT35" s="251">
        <f t="shared" ref="AT35" si="7">AN35-SUM(AO35:AS35)</f>
        <v>516.41800000001967</v>
      </c>
      <c r="AU35" s="251">
        <f>SUM('31'!G92:G142)</f>
        <v>26254.982043404645</v>
      </c>
      <c r="AV35" s="251">
        <f>'31'!$G$88</f>
        <v>0</v>
      </c>
      <c r="AW35" s="251">
        <f>'31'!$G$89</f>
        <v>9.2999999999992724</v>
      </c>
      <c r="AX35" s="251">
        <f>'30'!$G$90</f>
        <v>1.9199999999982538</v>
      </c>
      <c r="AY35" s="255">
        <f t="shared" ref="AY35" si="8">SUM(AV35:AX35)</f>
        <v>11.219999999997526</v>
      </c>
      <c r="BA35" s="311">
        <f t="shared" si="3"/>
        <v>46.026559714806908</v>
      </c>
      <c r="BB35" s="351">
        <f t="shared" si="4"/>
        <v>3453.5100000000166</v>
      </c>
      <c r="BC35" s="351">
        <f t="shared" si="5"/>
        <v>19.606363718425502</v>
      </c>
    </row>
    <row r="36" spans="1:55" s="316" customFormat="1" x14ac:dyDescent="0.2">
      <c r="A36" s="304" t="s">
        <v>359</v>
      </c>
      <c r="B36" s="305">
        <f>AVERAGE(B5:B35)</f>
        <v>0.4838709677419355</v>
      </c>
      <c r="C36" s="305">
        <f t="shared" ref="C36:BC36" si="9">AVERAGE(C5:C35)</f>
        <v>0</v>
      </c>
      <c r="D36" s="305">
        <f t="shared" si="9"/>
        <v>986.45161290322585</v>
      </c>
      <c r="E36" s="305">
        <f t="shared" si="9"/>
        <v>160</v>
      </c>
      <c r="F36" s="305">
        <f t="shared" si="9"/>
        <v>-1.1735415506747461E-13</v>
      </c>
      <c r="G36" s="305">
        <f t="shared" si="9"/>
        <v>0</v>
      </c>
      <c r="H36" s="305">
        <f t="shared" si="9"/>
        <v>0</v>
      </c>
      <c r="I36" s="305">
        <f t="shared" si="9"/>
        <v>-1.1735415506747461E-13</v>
      </c>
      <c r="J36" s="305">
        <f t="shared" si="9"/>
        <v>1999.6538709677418</v>
      </c>
      <c r="K36" s="305">
        <f t="shared" si="9"/>
        <v>2129.9677419354839</v>
      </c>
      <c r="L36" s="305">
        <f t="shared" si="9"/>
        <v>0</v>
      </c>
      <c r="M36" s="305">
        <f t="shared" si="9"/>
        <v>0</v>
      </c>
      <c r="N36" s="305">
        <f t="shared" si="9"/>
        <v>0</v>
      </c>
      <c r="O36" s="305">
        <f t="shared" si="9"/>
        <v>0</v>
      </c>
      <c r="P36" s="305">
        <f t="shared" si="9"/>
        <v>0</v>
      </c>
      <c r="Q36" s="305">
        <f t="shared" si="9"/>
        <v>0</v>
      </c>
      <c r="R36" s="305">
        <f t="shared" si="9"/>
        <v>0</v>
      </c>
      <c r="S36" s="305">
        <f t="shared" si="9"/>
        <v>0</v>
      </c>
      <c r="T36" s="305">
        <f t="shared" si="9"/>
        <v>0</v>
      </c>
      <c r="U36" s="305">
        <f t="shared" si="9"/>
        <v>0</v>
      </c>
      <c r="V36" s="305">
        <f t="shared" si="9"/>
        <v>0</v>
      </c>
      <c r="W36" s="305">
        <f t="shared" si="9"/>
        <v>0</v>
      </c>
      <c r="X36" s="305">
        <f t="shared" si="9"/>
        <v>0</v>
      </c>
      <c r="Y36" s="305">
        <f t="shared" si="9"/>
        <v>0</v>
      </c>
      <c r="Z36" s="305">
        <f t="shared" si="9"/>
        <v>0</v>
      </c>
      <c r="AA36" s="305">
        <f t="shared" si="9"/>
        <v>0</v>
      </c>
      <c r="AB36" s="305">
        <f t="shared" si="9"/>
        <v>0</v>
      </c>
      <c r="AC36" s="305">
        <f t="shared" si="9"/>
        <v>0.46333333333331256</v>
      </c>
      <c r="AD36" s="305">
        <f t="shared" si="9"/>
        <v>0</v>
      </c>
      <c r="AE36" s="305">
        <f t="shared" si="9"/>
        <v>0</v>
      </c>
      <c r="AF36" s="305">
        <f t="shared" si="9"/>
        <v>0</v>
      </c>
      <c r="AG36" s="305">
        <f t="shared" si="9"/>
        <v>0</v>
      </c>
      <c r="AH36" s="305">
        <f t="shared" si="9"/>
        <v>0</v>
      </c>
      <c r="AI36" s="305">
        <f t="shared" si="9"/>
        <v>0</v>
      </c>
      <c r="AJ36" s="305">
        <f t="shared" si="9"/>
        <v>0</v>
      </c>
      <c r="AK36" s="305">
        <f t="shared" si="9"/>
        <v>0</v>
      </c>
      <c r="AL36" s="305">
        <f t="shared" si="9"/>
        <v>0</v>
      </c>
      <c r="AM36" s="305">
        <f t="shared" si="9"/>
        <v>0</v>
      </c>
      <c r="AN36" s="305">
        <f t="shared" si="9"/>
        <v>986.45161290322585</v>
      </c>
      <c r="AO36" s="305">
        <f t="shared" si="9"/>
        <v>0</v>
      </c>
      <c r="AP36" s="305">
        <f t="shared" si="9"/>
        <v>0</v>
      </c>
      <c r="AQ36" s="305">
        <f t="shared" si="9"/>
        <v>0</v>
      </c>
      <c r="AR36" s="305">
        <f t="shared" si="9"/>
        <v>0</v>
      </c>
      <c r="AS36" s="305">
        <f t="shared" si="9"/>
        <v>0</v>
      </c>
      <c r="AT36" s="305">
        <f t="shared" si="9"/>
        <v>986.45161290322585</v>
      </c>
      <c r="AU36" s="305">
        <f t="shared" si="9"/>
        <v>846.56490462595627</v>
      </c>
      <c r="AV36" s="305">
        <f t="shared" si="9"/>
        <v>0</v>
      </c>
      <c r="AW36" s="305">
        <f t="shared" si="9"/>
        <v>0</v>
      </c>
      <c r="AX36" s="305">
        <f t="shared" si="9"/>
        <v>-1.2903225806733263E-2</v>
      </c>
      <c r="AY36" s="305">
        <f t="shared" si="9"/>
        <v>-1.2903225806733263E-2</v>
      </c>
      <c r="AZ36" s="305">
        <f t="shared" si="9"/>
        <v>27.684424488957294</v>
      </c>
      <c r="BA36" s="305">
        <f t="shared" si="9"/>
        <v>40.661171403099921</v>
      </c>
      <c r="BB36" s="305">
        <f t="shared" si="9"/>
        <v>-4129.6216129032264</v>
      </c>
      <c r="BC36" s="305">
        <f t="shared" si="9"/>
        <v>23.61573605465744</v>
      </c>
    </row>
    <row r="37" spans="1:55" x14ac:dyDescent="0.2">
      <c r="A37" s="261" t="s">
        <v>196</v>
      </c>
      <c r="B37" s="305">
        <f>SUM(B5:B35)</f>
        <v>15</v>
      </c>
      <c r="C37" s="305">
        <f t="shared" ref="C37:BC37" si="10">SUM(C5:C35)</f>
        <v>0</v>
      </c>
      <c r="D37" s="305">
        <f t="shared" si="10"/>
        <v>30580</v>
      </c>
      <c r="E37" s="305">
        <f t="shared" si="10"/>
        <v>4960</v>
      </c>
      <c r="F37" s="305">
        <f>SUM(F5:F35)</f>
        <v>-3.637978807091713E-12</v>
      </c>
      <c r="G37" s="305">
        <f t="shared" si="10"/>
        <v>0</v>
      </c>
      <c r="H37" s="305">
        <f t="shared" si="10"/>
        <v>0</v>
      </c>
      <c r="I37" s="305">
        <f t="shared" si="10"/>
        <v>-3.637978807091713E-12</v>
      </c>
      <c r="J37" s="305">
        <f t="shared" si="10"/>
        <v>61989.27</v>
      </c>
      <c r="K37" s="305">
        <f t="shared" si="10"/>
        <v>66029</v>
      </c>
      <c r="L37" s="305">
        <f t="shared" si="10"/>
        <v>0</v>
      </c>
      <c r="M37" s="305">
        <f t="shared" si="10"/>
        <v>0</v>
      </c>
      <c r="N37" s="305">
        <f t="shared" si="10"/>
        <v>0</v>
      </c>
      <c r="O37" s="305">
        <f t="shared" si="10"/>
        <v>0</v>
      </c>
      <c r="P37" s="305">
        <f t="shared" si="10"/>
        <v>0</v>
      </c>
      <c r="Q37" s="305">
        <f t="shared" si="10"/>
        <v>0</v>
      </c>
      <c r="R37" s="305">
        <f t="shared" si="10"/>
        <v>0</v>
      </c>
      <c r="S37" s="305">
        <f t="shared" si="10"/>
        <v>0</v>
      </c>
      <c r="T37" s="305">
        <f t="shared" si="10"/>
        <v>0</v>
      </c>
      <c r="U37" s="305">
        <f t="shared" si="10"/>
        <v>0</v>
      </c>
      <c r="V37" s="305">
        <f t="shared" si="10"/>
        <v>0</v>
      </c>
      <c r="W37" s="305">
        <f t="shared" si="10"/>
        <v>0</v>
      </c>
      <c r="X37" s="305">
        <f t="shared" si="10"/>
        <v>0</v>
      </c>
      <c r="Y37" s="305">
        <f t="shared" si="10"/>
        <v>0</v>
      </c>
      <c r="Z37" s="305">
        <f t="shared" si="10"/>
        <v>0</v>
      </c>
      <c r="AA37" s="305">
        <f t="shared" si="10"/>
        <v>0</v>
      </c>
      <c r="AB37" s="305">
        <f t="shared" si="10"/>
        <v>0</v>
      </c>
      <c r="AC37" s="305">
        <f t="shared" si="10"/>
        <v>9.7299999999995634</v>
      </c>
      <c r="AD37" s="305">
        <f t="shared" si="10"/>
        <v>0</v>
      </c>
      <c r="AE37" s="305">
        <f t="shared" si="10"/>
        <v>0</v>
      </c>
      <c r="AF37" s="305">
        <f t="shared" si="10"/>
        <v>0</v>
      </c>
      <c r="AG37" s="305">
        <f t="shared" si="10"/>
        <v>0</v>
      </c>
      <c r="AH37" s="305">
        <f t="shared" si="10"/>
        <v>0</v>
      </c>
      <c r="AI37" s="305">
        <f t="shared" si="10"/>
        <v>0</v>
      </c>
      <c r="AJ37" s="305">
        <f t="shared" si="10"/>
        <v>0</v>
      </c>
      <c r="AK37" s="305">
        <f t="shared" si="10"/>
        <v>0</v>
      </c>
      <c r="AL37" s="305">
        <f t="shared" si="10"/>
        <v>0</v>
      </c>
      <c r="AM37" s="305">
        <f t="shared" si="10"/>
        <v>0</v>
      </c>
      <c r="AN37" s="305">
        <f t="shared" si="10"/>
        <v>30580</v>
      </c>
      <c r="AO37" s="305">
        <f t="shared" si="10"/>
        <v>0</v>
      </c>
      <c r="AP37" s="305">
        <f t="shared" si="10"/>
        <v>0</v>
      </c>
      <c r="AQ37" s="305">
        <f t="shared" si="10"/>
        <v>0</v>
      </c>
      <c r="AR37" s="305">
        <f t="shared" si="10"/>
        <v>0</v>
      </c>
      <c r="AS37" s="305">
        <f t="shared" si="10"/>
        <v>0</v>
      </c>
      <c r="AT37" s="305">
        <f t="shared" si="10"/>
        <v>30580</v>
      </c>
      <c r="AU37" s="305">
        <f t="shared" si="10"/>
        <v>26243.512043404644</v>
      </c>
      <c r="AV37" s="305">
        <f t="shared" si="10"/>
        <v>0</v>
      </c>
      <c r="AW37" s="305">
        <f t="shared" si="10"/>
        <v>0</v>
      </c>
      <c r="AX37" s="305">
        <f t="shared" si="10"/>
        <v>-0.40000000000873115</v>
      </c>
      <c r="AY37" s="305">
        <f t="shared" si="10"/>
        <v>-0.40000000000873115</v>
      </c>
      <c r="AZ37" s="305">
        <f t="shared" si="10"/>
        <v>664.42618773497509</v>
      </c>
      <c r="BA37" s="305">
        <f t="shared" si="10"/>
        <v>1260.4963134960976</v>
      </c>
      <c r="BB37" s="305">
        <f t="shared" si="10"/>
        <v>-128018.27000000002</v>
      </c>
      <c r="BC37" s="305">
        <f t="shared" si="10"/>
        <v>732.08781769438065</v>
      </c>
    </row>
    <row r="38" spans="1:55" s="316" customFormat="1" x14ac:dyDescent="0.2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 x14ac:dyDescent="0.2">
      <c r="A39" s="261"/>
      <c r="B39" s="261"/>
      <c r="C39" s="261"/>
      <c r="D39" s="261"/>
      <c r="E39" s="261"/>
      <c r="F39" s="644">
        <f t="shared" ref="F39:K39" si="11">F19-F18</f>
        <v>79480.429999999993</v>
      </c>
      <c r="G39" s="644">
        <f t="shared" si="11"/>
        <v>49490.74</v>
      </c>
      <c r="H39" s="644">
        <f t="shared" si="11"/>
        <v>55048.95</v>
      </c>
      <c r="I39" s="644">
        <f t="shared" si="11"/>
        <v>84431.9</v>
      </c>
      <c r="J39" s="644">
        <f t="shared" si="11"/>
        <v>48061.37000000001</v>
      </c>
      <c r="K39" s="644">
        <f t="shared" si="11"/>
        <v>1.7100000000064028</v>
      </c>
      <c r="L39" s="644"/>
      <c r="M39" s="644"/>
      <c r="AO39" s="317" t="s">
        <v>109</v>
      </c>
      <c r="AP39" s="318">
        <v>191</v>
      </c>
      <c r="AQ39" s="318"/>
      <c r="AR39" s="318"/>
    </row>
    <row r="40" spans="1:55" x14ac:dyDescent="0.2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 x14ac:dyDescent="0.2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 x14ac:dyDescent="0.2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 x14ac:dyDescent="0.2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 x14ac:dyDescent="0.2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 x14ac:dyDescent="0.2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 x14ac:dyDescent="0.2">
      <c r="A46" s="261"/>
      <c r="B46" s="261"/>
      <c r="C46" s="261"/>
      <c r="D46" s="261"/>
      <c r="E46" s="261"/>
    </row>
    <row r="47" spans="1:55" x14ac:dyDescent="0.2">
      <c r="A47" s="261"/>
      <c r="B47" s="261"/>
      <c r="C47" s="261"/>
      <c r="D47" s="261"/>
      <c r="E47" s="261"/>
    </row>
    <row r="48" spans="1:55" x14ac:dyDescent="0.2">
      <c r="A48" s="261"/>
      <c r="B48" s="261"/>
      <c r="C48" s="261"/>
      <c r="D48" s="261"/>
      <c r="E48" s="261"/>
    </row>
    <row r="49" spans="1:5" x14ac:dyDescent="0.2">
      <c r="A49" s="261"/>
      <c r="B49" s="261"/>
      <c r="C49" s="261"/>
      <c r="D49" s="261"/>
      <c r="E49" s="261"/>
    </row>
    <row r="50" spans="1:5" x14ac:dyDescent="0.2">
      <c r="A50" s="261"/>
      <c r="B50" s="261"/>
      <c r="C50" s="261"/>
      <c r="D50" s="261"/>
      <c r="E50" s="261"/>
    </row>
    <row r="51" spans="1:5" x14ac:dyDescent="0.2">
      <c r="A51" s="261"/>
      <c r="B51" s="261"/>
      <c r="C51" s="261"/>
      <c r="D51" s="261"/>
      <c r="E51" s="261"/>
    </row>
    <row r="52" spans="1:5" x14ac:dyDescent="0.2">
      <c r="A52" s="261"/>
      <c r="B52" s="261"/>
      <c r="C52" s="261"/>
      <c r="D52" s="261"/>
      <c r="E52" s="261"/>
    </row>
    <row r="53" spans="1:5" x14ac:dyDescent="0.2">
      <c r="A53" s="261"/>
      <c r="B53" s="261"/>
      <c r="C53" s="261"/>
      <c r="D53" s="261"/>
      <c r="E53" s="261"/>
    </row>
    <row r="54" spans="1:5" x14ac:dyDescent="0.2">
      <c r="A54" s="261"/>
      <c r="B54" s="261"/>
      <c r="C54" s="261"/>
      <c r="D54" s="261"/>
      <c r="E54" s="261"/>
    </row>
    <row r="55" spans="1:5" x14ac:dyDescent="0.2">
      <c r="A55" s="261"/>
      <c r="B55" s="261"/>
      <c r="C55" s="261"/>
      <c r="D55" s="261"/>
      <c r="E55" s="261"/>
    </row>
    <row r="56" spans="1:5" x14ac:dyDescent="0.2">
      <c r="A56" s="261"/>
      <c r="B56" s="261"/>
      <c r="C56" s="261"/>
      <c r="D56" s="261"/>
      <c r="E56" s="261"/>
    </row>
    <row r="57" spans="1:5" x14ac:dyDescent="0.2">
      <c r="A57" s="261"/>
      <c r="B57" s="261"/>
      <c r="C57" s="261"/>
      <c r="D57" s="261"/>
      <c r="E57" s="261"/>
    </row>
    <row r="58" spans="1:5" x14ac:dyDescent="0.2">
      <c r="A58" s="261"/>
      <c r="B58" s="261"/>
      <c r="C58" s="261"/>
      <c r="D58" s="261"/>
      <c r="E58" s="261"/>
    </row>
    <row r="59" spans="1:5" x14ac:dyDescent="0.2">
      <c r="A59" s="261"/>
      <c r="B59" s="261"/>
      <c r="C59" s="261"/>
      <c r="D59" s="261"/>
      <c r="E59" s="261"/>
    </row>
    <row r="60" spans="1:5" x14ac:dyDescent="0.2">
      <c r="A60" s="261"/>
      <c r="B60" s="261"/>
      <c r="C60" s="261"/>
      <c r="D60" s="261"/>
      <c r="E60" s="261"/>
    </row>
    <row r="61" spans="1:5" x14ac:dyDescent="0.2">
      <c r="A61" s="261"/>
      <c r="B61" s="261"/>
      <c r="C61" s="261"/>
      <c r="D61" s="261"/>
      <c r="E61" s="261"/>
    </row>
    <row r="62" spans="1:5" x14ac:dyDescent="0.2">
      <c r="A62" s="261"/>
      <c r="B62" s="261"/>
      <c r="C62" s="261"/>
      <c r="D62" s="261"/>
      <c r="E62" s="261"/>
    </row>
    <row r="63" spans="1:5" x14ac:dyDescent="0.2">
      <c r="A63" s="261"/>
      <c r="B63" s="261"/>
      <c r="C63" s="261"/>
      <c r="D63" s="261"/>
      <c r="E63" s="261"/>
    </row>
    <row r="64" spans="1:5" x14ac:dyDescent="0.2">
      <c r="A64" s="261"/>
      <c r="B64" s="261"/>
      <c r="C64" s="261"/>
      <c r="D64" s="261"/>
      <c r="E64" s="261"/>
    </row>
    <row r="65" spans="1:5" x14ac:dyDescent="0.2">
      <c r="A65" s="261"/>
      <c r="B65" s="261"/>
      <c r="C65" s="261"/>
      <c r="D65" s="261"/>
      <c r="E65" s="261"/>
    </row>
    <row r="66" spans="1:5" x14ac:dyDescent="0.2">
      <c r="A66" s="261"/>
      <c r="B66" s="261"/>
      <c r="C66" s="261"/>
      <c r="D66" s="261"/>
      <c r="E66" s="261"/>
    </row>
    <row r="67" spans="1:5" x14ac:dyDescent="0.2">
      <c r="A67" s="261"/>
      <c r="B67" s="261"/>
      <c r="C67" s="261"/>
      <c r="D67" s="261"/>
      <c r="E67" s="261"/>
    </row>
    <row r="68" spans="1:5" x14ac:dyDescent="0.2">
      <c r="A68" s="261"/>
      <c r="B68" s="261"/>
      <c r="C68" s="261"/>
      <c r="D68" s="261"/>
      <c r="E68" s="261"/>
    </row>
    <row r="69" spans="1:5" x14ac:dyDescent="0.2">
      <c r="A69" s="261"/>
      <c r="B69" s="261"/>
      <c r="C69" s="261"/>
      <c r="D69" s="261"/>
      <c r="E69" s="261"/>
    </row>
    <row r="70" spans="1:5" x14ac:dyDescent="0.2">
      <c r="A70" s="261"/>
      <c r="B70" s="261"/>
      <c r="C70" s="261"/>
      <c r="D70" s="261"/>
      <c r="E70" s="261"/>
    </row>
    <row r="71" spans="1:5" x14ac:dyDescent="0.2">
      <c r="A71" s="261"/>
      <c r="B71" s="261"/>
      <c r="C71" s="261"/>
      <c r="D71" s="261"/>
      <c r="E71" s="261"/>
    </row>
    <row r="72" spans="1:5" x14ac:dyDescent="0.2">
      <c r="A72" s="261"/>
      <c r="B72" s="261"/>
      <c r="C72" s="261"/>
      <c r="D72" s="261"/>
      <c r="E72" s="261"/>
    </row>
    <row r="73" spans="1:5" x14ac:dyDescent="0.2">
      <c r="A73" s="261"/>
      <c r="B73" s="261"/>
      <c r="C73" s="261"/>
      <c r="D73" s="261"/>
      <c r="E73" s="261"/>
    </row>
    <row r="74" spans="1:5" x14ac:dyDescent="0.2">
      <c r="A74" s="261"/>
      <c r="B74" s="261"/>
      <c r="C74" s="261"/>
      <c r="D74" s="261"/>
      <c r="E74" s="261"/>
    </row>
    <row r="75" spans="1:5" x14ac:dyDescent="0.2">
      <c r="A75" s="261"/>
      <c r="B75" s="261"/>
      <c r="C75" s="261"/>
      <c r="D75" s="261"/>
      <c r="E75" s="261"/>
    </row>
    <row r="76" spans="1:5" x14ac:dyDescent="0.2">
      <c r="A76" s="261"/>
      <c r="B76" s="261"/>
      <c r="C76" s="261"/>
      <c r="D76" s="261"/>
      <c r="E76" s="261"/>
    </row>
    <row r="77" spans="1:5" x14ac:dyDescent="0.2">
      <c r="A77" s="261"/>
      <c r="B77" s="261"/>
      <c r="C77" s="261"/>
      <c r="D77" s="261"/>
      <c r="E77" s="261"/>
    </row>
    <row r="78" spans="1:5" x14ac:dyDescent="0.2">
      <c r="A78" s="261"/>
      <c r="B78" s="261"/>
      <c r="C78" s="261"/>
      <c r="D78" s="261"/>
      <c r="E78" s="261"/>
    </row>
    <row r="79" spans="1:5" x14ac:dyDescent="0.2">
      <c r="A79" s="261"/>
      <c r="B79" s="261"/>
      <c r="C79" s="261"/>
      <c r="D79" s="261"/>
      <c r="E79" s="261"/>
    </row>
    <row r="80" spans="1:5" x14ac:dyDescent="0.2">
      <c r="A80" s="261"/>
      <c r="B80" s="261"/>
      <c r="C80" s="261"/>
      <c r="D80" s="261"/>
      <c r="E80" s="261"/>
    </row>
    <row r="81" spans="1:5" x14ac:dyDescent="0.2">
      <c r="A81" s="261"/>
      <c r="B81" s="261"/>
      <c r="C81" s="261"/>
      <c r="D81" s="261"/>
      <c r="E81" s="261"/>
    </row>
    <row r="82" spans="1:5" x14ac:dyDescent="0.2">
      <c r="A82" s="261"/>
      <c r="B82" s="261"/>
      <c r="C82" s="261"/>
      <c r="D82" s="261"/>
      <c r="E82" s="261"/>
    </row>
    <row r="83" spans="1:5" x14ac:dyDescent="0.2">
      <c r="A83" s="261"/>
      <c r="B83" s="261"/>
      <c r="C83" s="261"/>
      <c r="D83" s="261"/>
      <c r="E83" s="261"/>
    </row>
    <row r="84" spans="1:5" x14ac:dyDescent="0.2">
      <c r="A84" s="261"/>
      <c r="B84" s="261"/>
      <c r="C84" s="261"/>
      <c r="D84" s="261"/>
      <c r="E84" s="261"/>
    </row>
    <row r="85" spans="1:5" x14ac:dyDescent="0.2">
      <c r="A85" s="261"/>
      <c r="B85" s="261"/>
      <c r="C85" s="261"/>
      <c r="D85" s="261"/>
      <c r="E85" s="261"/>
    </row>
    <row r="86" spans="1:5" x14ac:dyDescent="0.2">
      <c r="A86" s="261"/>
      <c r="B86" s="261"/>
      <c r="C86" s="261"/>
      <c r="D86" s="261"/>
      <c r="E86" s="261"/>
    </row>
    <row r="87" spans="1:5" x14ac:dyDescent="0.2">
      <c r="A87" s="261"/>
      <c r="B87" s="261"/>
      <c r="C87" s="261"/>
      <c r="D87" s="261"/>
      <c r="E87" s="261"/>
    </row>
    <row r="88" spans="1:5" x14ac:dyDescent="0.2">
      <c r="A88" s="261"/>
      <c r="B88" s="261"/>
      <c r="C88" s="261"/>
      <c r="D88" s="261"/>
      <c r="E88" s="261"/>
    </row>
    <row r="89" spans="1:5" x14ac:dyDescent="0.2">
      <c r="A89" s="320"/>
      <c r="B89" s="320"/>
      <c r="C89" s="320"/>
      <c r="D89" s="320"/>
      <c r="E89" s="320"/>
    </row>
    <row r="90" spans="1:5" x14ac:dyDescent="0.2">
      <c r="A90" s="320"/>
      <c r="B90" s="320"/>
      <c r="C90" s="320"/>
      <c r="D90" s="320"/>
      <c r="E90" s="320"/>
    </row>
    <row r="91" spans="1:5" x14ac:dyDescent="0.2">
      <c r="A91" s="320"/>
      <c r="B91" s="320"/>
      <c r="C91" s="320"/>
      <c r="D91" s="320"/>
      <c r="E91" s="320"/>
    </row>
    <row r="92" spans="1:5" x14ac:dyDescent="0.2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zoomScale="60" zoomScaleNormal="61" zoomScalePageLayoutView="70" workbookViewId="0">
      <selection activeCell="F42" sqref="F42"/>
    </sheetView>
  </sheetViews>
  <sheetFormatPr defaultColWidth="22.33203125" defaultRowHeight="21.95" customHeight="1" x14ac:dyDescent="0.4"/>
  <cols>
    <col min="1" max="1" width="50.21875" style="160" customWidth="1"/>
    <col min="2" max="2" width="22.6640625" style="169" customWidth="1"/>
    <col min="3" max="3" width="14.44140625" style="169" customWidth="1"/>
    <col min="4" max="4" width="13.6640625" style="169" customWidth="1"/>
    <col min="5" max="5" width="30" style="495" customWidth="1"/>
    <col min="6" max="6" width="19.44140625" style="495" customWidth="1"/>
    <col min="7" max="7" width="28.88671875" style="733" customWidth="1"/>
    <col min="8" max="8" width="24.6640625" style="170" customWidth="1"/>
    <col min="9" max="9" width="23.5546875" style="495" customWidth="1"/>
    <col min="10" max="10" width="24" style="170" customWidth="1"/>
    <col min="11" max="11" width="43.21875" style="169" hidden="1" customWidth="1"/>
    <col min="12" max="13" width="0" style="169" hidden="1" customWidth="1"/>
    <col min="14" max="14" width="25.109375" style="169" customWidth="1"/>
    <col min="15" max="16" width="22.33203125" style="169"/>
    <col min="17" max="17" width="44.77734375" style="169" customWidth="1"/>
    <col min="18" max="16384" width="22.33203125" style="169"/>
  </cols>
  <sheetData>
    <row r="1" spans="1:15" ht="22.5" x14ac:dyDescent="0.4">
      <c r="A1" s="818" t="s">
        <v>115</v>
      </c>
      <c r="B1" s="819"/>
      <c r="C1" s="819"/>
      <c r="D1" s="819"/>
      <c r="E1" s="819"/>
      <c r="F1" s="819"/>
      <c r="G1" s="819"/>
      <c r="H1" s="819"/>
      <c r="I1" s="819"/>
      <c r="J1" s="820"/>
    </row>
    <row r="2" spans="1:15" ht="27" x14ac:dyDescent="0.4">
      <c r="A2" s="508" t="s">
        <v>350</v>
      </c>
      <c r="B2" s="531">
        <v>44593</v>
      </c>
      <c r="C2" s="378" t="s">
        <v>67</v>
      </c>
      <c r="D2" s="379">
        <v>0.40589999999999998</v>
      </c>
      <c r="E2" s="701"/>
      <c r="F2" s="378"/>
      <c r="G2" s="713" t="s">
        <v>116</v>
      </c>
      <c r="H2" s="378" t="s">
        <v>5</v>
      </c>
      <c r="I2" s="378" t="s">
        <v>7</v>
      </c>
      <c r="J2" s="383" t="s">
        <v>117</v>
      </c>
    </row>
    <row r="3" spans="1:15" ht="22.5" x14ac:dyDescent="0.4">
      <c r="A3" s="509"/>
      <c r="B3" s="380"/>
      <c r="C3" s="378" t="s">
        <v>118</v>
      </c>
      <c r="D3" s="381">
        <v>23</v>
      </c>
      <c r="E3" s="830" t="s">
        <v>119</v>
      </c>
      <c r="F3" s="831"/>
      <c r="G3" s="713"/>
      <c r="H3" s="382"/>
      <c r="I3" s="382"/>
      <c r="J3" s="383"/>
      <c r="K3" s="532"/>
      <c r="L3" s="427"/>
    </row>
    <row r="4" spans="1:15" ht="27" x14ac:dyDescent="0.5">
      <c r="A4" s="510"/>
      <c r="B4" s="384"/>
      <c r="C4" s="378" t="s">
        <v>120</v>
      </c>
      <c r="D4" s="379">
        <v>0.55000000000000004</v>
      </c>
      <c r="E4" s="702"/>
      <c r="F4" s="385"/>
      <c r="G4" s="713"/>
      <c r="H4" s="385"/>
      <c r="I4" s="386"/>
      <c r="J4" s="383"/>
      <c r="K4" s="533"/>
      <c r="L4" s="427"/>
    </row>
    <row r="5" spans="1:15" s="160" customFormat="1" ht="22.5" x14ac:dyDescent="0.4">
      <c r="A5" s="511" t="s">
        <v>121</v>
      </c>
      <c r="B5" s="146"/>
      <c r="C5" s="146"/>
      <c r="D5" s="146" t="s">
        <v>122</v>
      </c>
      <c r="E5" s="106" t="s">
        <v>123</v>
      </c>
      <c r="F5" s="120" t="s">
        <v>110</v>
      </c>
      <c r="G5" s="556" t="s">
        <v>124</v>
      </c>
      <c r="H5" s="95" t="s">
        <v>125</v>
      </c>
      <c r="I5" s="99" t="s">
        <v>126</v>
      </c>
      <c r="J5" s="173" t="s">
        <v>127</v>
      </c>
      <c r="K5" s="738"/>
      <c r="L5" s="180"/>
    </row>
    <row r="6" spans="1:15" ht="22.5" x14ac:dyDescent="0.4">
      <c r="A6" s="821" t="s">
        <v>128</v>
      </c>
      <c r="B6" s="822"/>
      <c r="C6" s="823"/>
      <c r="D6" s="389"/>
      <c r="E6" s="389"/>
      <c r="F6" s="390"/>
      <c r="G6" s="714"/>
      <c r="H6" s="390"/>
      <c r="I6" s="390"/>
      <c r="J6" s="391"/>
      <c r="K6" s="534"/>
      <c r="L6" s="427"/>
    </row>
    <row r="7" spans="1:15" ht="23.25" thickBot="1" x14ac:dyDescent="0.45">
      <c r="A7" s="512" t="s">
        <v>129</v>
      </c>
      <c r="B7" s="392"/>
      <c r="C7" s="392"/>
      <c r="D7" s="151" t="s">
        <v>130</v>
      </c>
      <c r="E7" s="394">
        <v>651180.23</v>
      </c>
      <c r="F7" s="395">
        <v>668445</v>
      </c>
      <c r="G7" s="650">
        <f>F7-E7</f>
        <v>17264.770000000019</v>
      </c>
      <c r="H7" s="395">
        <f>G7</f>
        <v>17264.770000000019</v>
      </c>
      <c r="I7" s="402">
        <v>12000</v>
      </c>
      <c r="J7" s="396">
        <f>H7/DAY(B2)</f>
        <v>17264.770000000019</v>
      </c>
      <c r="K7" s="535">
        <v>1375467</v>
      </c>
      <c r="L7" s="427"/>
      <c r="N7" s="536"/>
      <c r="O7" s="171"/>
    </row>
    <row r="8" spans="1:15" ht="23.25" thickBot="1" x14ac:dyDescent="0.45">
      <c r="A8" s="513" t="s">
        <v>131</v>
      </c>
      <c r="B8" s="397"/>
      <c r="C8" s="398"/>
      <c r="D8" s="224" t="s">
        <v>24</v>
      </c>
      <c r="E8" s="394">
        <v>708548.15</v>
      </c>
      <c r="F8" s="395">
        <v>726007</v>
      </c>
      <c r="G8" s="650">
        <f>F8-E8</f>
        <v>17458.849999999977</v>
      </c>
      <c r="H8" s="395">
        <f>G8</f>
        <v>17458.849999999977</v>
      </c>
      <c r="I8" s="399">
        <v>12000</v>
      </c>
      <c r="J8" s="396">
        <f>H8/DAY(B2)</f>
        <v>17458.849999999977</v>
      </c>
      <c r="K8" s="535">
        <v>1715917</v>
      </c>
      <c r="L8" s="394">
        <v>1728480</v>
      </c>
      <c r="M8" s="536">
        <f>L8-K8</f>
        <v>12563</v>
      </c>
      <c r="N8" s="536"/>
      <c r="O8" s="171"/>
    </row>
    <row r="9" spans="1:15" ht="22.5" x14ac:dyDescent="0.4">
      <c r="A9" s="514" t="s">
        <v>132</v>
      </c>
      <c r="B9" s="400"/>
      <c r="C9" s="400"/>
      <c r="D9" s="393" t="s">
        <v>130</v>
      </c>
      <c r="E9" s="703">
        <v>282253.84999999998</v>
      </c>
      <c r="F9" s="661">
        <v>297005.71000000002</v>
      </c>
      <c r="G9" s="715">
        <f>F9-E9</f>
        <v>14751.860000000044</v>
      </c>
      <c r="H9" s="395">
        <f t="shared" ref="H9:H13" si="0">G9</f>
        <v>14751.860000000044</v>
      </c>
      <c r="I9" s="402">
        <f>I8-J8</f>
        <v>-5458.8499999999767</v>
      </c>
      <c r="J9" s="396">
        <f>H9/DAY(B2)</f>
        <v>14751.860000000044</v>
      </c>
      <c r="K9" s="537">
        <f>K8-100</f>
        <v>1715817</v>
      </c>
      <c r="L9" s="427"/>
      <c r="N9" s="536"/>
      <c r="O9" s="171"/>
    </row>
    <row r="10" spans="1:15" ht="22.5" x14ac:dyDescent="0.4">
      <c r="A10" s="512" t="s">
        <v>133</v>
      </c>
      <c r="B10" s="392"/>
      <c r="C10" s="392"/>
      <c r="D10" s="393" t="s">
        <v>130</v>
      </c>
      <c r="E10" s="704">
        <v>105258.97</v>
      </c>
      <c r="F10" s="661">
        <v>107261.54</v>
      </c>
      <c r="G10" s="715">
        <f t="shared" ref="G10:G11" si="1">F10-E10</f>
        <v>2002.5699999999924</v>
      </c>
      <c r="H10" s="395">
        <f t="shared" si="0"/>
        <v>2002.5699999999924</v>
      </c>
      <c r="I10" s="395"/>
      <c r="J10" s="396">
        <f>H10/DAY(B2)</f>
        <v>2002.5699999999924</v>
      </c>
      <c r="K10" s="537"/>
      <c r="L10" s="427"/>
      <c r="N10" s="536"/>
      <c r="O10" s="171"/>
    </row>
    <row r="11" spans="1:15" ht="22.5" x14ac:dyDescent="0.4">
      <c r="A11" s="512" t="s">
        <v>134</v>
      </c>
      <c r="B11" s="392"/>
      <c r="C11" s="392"/>
      <c r="D11" s="393" t="s">
        <v>130</v>
      </c>
      <c r="E11" s="394">
        <v>37170</v>
      </c>
      <c r="F11" s="395">
        <v>37170</v>
      </c>
      <c r="G11" s="715">
        <f t="shared" si="1"/>
        <v>0</v>
      </c>
      <c r="H11" s="395">
        <f t="shared" si="0"/>
        <v>0</v>
      </c>
      <c r="I11" s="395"/>
      <c r="J11" s="396">
        <f>H11/DAY(B2)</f>
        <v>0</v>
      </c>
      <c r="K11" s="537"/>
      <c r="L11" s="427"/>
      <c r="N11" s="536"/>
      <c r="O11" s="171">
        <f>142-18</f>
        <v>124</v>
      </c>
    </row>
    <row r="12" spans="1:15" ht="22.5" x14ac:dyDescent="0.4">
      <c r="A12" s="512" t="s">
        <v>135</v>
      </c>
      <c r="B12" s="392"/>
      <c r="C12" s="392"/>
      <c r="D12" s="393" t="s">
        <v>130</v>
      </c>
      <c r="E12" s="401">
        <v>40010</v>
      </c>
      <c r="F12" s="661">
        <v>40010</v>
      </c>
      <c r="G12" s="715">
        <f>F12-E12</f>
        <v>0</v>
      </c>
      <c r="H12" s="395">
        <f t="shared" si="0"/>
        <v>0</v>
      </c>
      <c r="I12" s="395"/>
      <c r="J12" s="396">
        <f>H12/DAY(B2)</f>
        <v>0</v>
      </c>
      <c r="K12" s="537"/>
      <c r="L12" s="427"/>
      <c r="N12" s="536"/>
      <c r="O12" s="171"/>
    </row>
    <row r="13" spans="1:15" ht="22.5" x14ac:dyDescent="0.4">
      <c r="A13" s="515" t="s">
        <v>136</v>
      </c>
      <c r="B13" s="403"/>
      <c r="C13" s="403"/>
      <c r="D13" s="393"/>
      <c r="E13" s="394"/>
      <c r="F13" s="395"/>
      <c r="G13" s="715">
        <f>F13-E13</f>
        <v>0</v>
      </c>
      <c r="H13" s="395">
        <f t="shared" si="0"/>
        <v>0</v>
      </c>
      <c r="I13" s="402">
        <f>G7-G13</f>
        <v>17264.770000000019</v>
      </c>
      <c r="J13" s="396">
        <f>H13/DAY(B2)</f>
        <v>0</v>
      </c>
      <c r="K13" s="537"/>
      <c r="L13" s="427"/>
      <c r="N13" s="536"/>
      <c r="O13" s="171"/>
    </row>
    <row r="14" spans="1:15" ht="22.5" x14ac:dyDescent="0.4">
      <c r="A14" s="824" t="s">
        <v>137</v>
      </c>
      <c r="B14" s="825"/>
      <c r="C14" s="826"/>
      <c r="D14" s="390"/>
      <c r="E14" s="390"/>
      <c r="F14" s="647"/>
      <c r="G14" s="716"/>
      <c r="H14" s="647"/>
      <c r="I14" s="647"/>
      <c r="J14" s="648"/>
      <c r="K14" s="538"/>
      <c r="L14" s="427"/>
      <c r="N14" s="536"/>
      <c r="O14" s="171"/>
    </row>
    <row r="15" spans="1:15" ht="22.5" x14ac:dyDescent="0.4">
      <c r="A15" s="516" t="s">
        <v>138</v>
      </c>
      <c r="B15" s="405"/>
      <c r="C15" s="405"/>
      <c r="D15" s="393" t="s">
        <v>139</v>
      </c>
      <c r="E15" s="406">
        <v>1906636.767</v>
      </c>
      <c r="F15" s="662">
        <v>1907555.325</v>
      </c>
      <c r="G15" s="717">
        <f>(F15-E15)</f>
        <v>918.55799999996088</v>
      </c>
      <c r="H15" s="402">
        <f>G15</f>
        <v>918.55799999996088</v>
      </c>
      <c r="I15" s="402">
        <v>800</v>
      </c>
      <c r="J15" s="396">
        <f>H15/DAY(B2)</f>
        <v>918.55799999996088</v>
      </c>
      <c r="K15" s="537"/>
      <c r="L15" s="427"/>
      <c r="N15" s="536"/>
      <c r="O15" s="171"/>
    </row>
    <row r="16" spans="1:15" ht="22.5" x14ac:dyDescent="0.4">
      <c r="A16" s="517"/>
      <c r="B16" s="408"/>
      <c r="C16" s="408"/>
      <c r="D16" s="409"/>
      <c r="E16" s="406"/>
      <c r="F16" s="660"/>
      <c r="G16" s="715"/>
      <c r="H16" s="402"/>
      <c r="I16" s="402">
        <f>I15-J15</f>
        <v>-118.55799999996088</v>
      </c>
      <c r="J16" s="410"/>
      <c r="K16" s="537"/>
      <c r="L16" s="427"/>
      <c r="N16" s="536"/>
      <c r="O16" s="171"/>
    </row>
    <row r="17" spans="1:15" ht="22.5" x14ac:dyDescent="0.4">
      <c r="A17" s="824" t="s">
        <v>140</v>
      </c>
      <c r="B17" s="825"/>
      <c r="C17" s="826"/>
      <c r="D17" s="390"/>
      <c r="E17" s="390"/>
      <c r="F17" s="647"/>
      <c r="G17" s="716"/>
      <c r="H17" s="647"/>
      <c r="I17" s="647"/>
      <c r="J17" s="648"/>
      <c r="K17" s="537"/>
      <c r="L17" s="427"/>
      <c r="N17" s="536"/>
      <c r="O17" s="171"/>
    </row>
    <row r="18" spans="1:15" ht="22.5" x14ac:dyDescent="0.4">
      <c r="A18" s="792" t="s">
        <v>141</v>
      </c>
      <c r="B18" s="793"/>
      <c r="C18" s="794"/>
      <c r="D18" s="393" t="s">
        <v>142</v>
      </c>
      <c r="E18" s="433">
        <v>9</v>
      </c>
      <c r="F18" s="663">
        <v>18</v>
      </c>
      <c r="G18" s="656">
        <f>F18*10</f>
        <v>180</v>
      </c>
      <c r="H18" s="395">
        <f>G18</f>
        <v>180</v>
      </c>
      <c r="I18" s="402">
        <v>65</v>
      </c>
      <c r="J18" s="396">
        <f>H18/DAY(B2)</f>
        <v>180</v>
      </c>
      <c r="K18" s="537"/>
      <c r="L18" s="427"/>
      <c r="N18" s="536"/>
      <c r="O18" s="171"/>
    </row>
    <row r="19" spans="1:15" ht="22.5" x14ac:dyDescent="0.4">
      <c r="A19" s="792" t="s">
        <v>69</v>
      </c>
      <c r="B19" s="793"/>
      <c r="C19" s="794"/>
      <c r="D19" s="393" t="s">
        <v>142</v>
      </c>
      <c r="E19" s="411">
        <v>153891</v>
      </c>
      <c r="F19" s="663">
        <v>153946</v>
      </c>
      <c r="G19" s="715">
        <f t="shared" ref="G19" si="2">F19-E19</f>
        <v>55</v>
      </c>
      <c r="H19" s="395">
        <f t="shared" ref="H19" si="3">G19</f>
        <v>55</v>
      </c>
      <c r="I19" s="661"/>
      <c r="J19" s="396">
        <f>H19/DAY(B2)</f>
        <v>55</v>
      </c>
      <c r="K19" s="537"/>
      <c r="L19" s="427"/>
      <c r="N19" s="536"/>
      <c r="O19" s="171"/>
    </row>
    <row r="20" spans="1:15" ht="22.5" x14ac:dyDescent="0.4">
      <c r="A20" s="515" t="s">
        <v>143</v>
      </c>
      <c r="B20" s="403"/>
      <c r="C20" s="403"/>
      <c r="D20" s="412"/>
      <c r="E20" s="412"/>
      <c r="F20" s="664"/>
      <c r="G20" s="718">
        <f>G18+G19</f>
        <v>235</v>
      </c>
      <c r="H20" s="395">
        <f>G20</f>
        <v>235</v>
      </c>
      <c r="I20" s="413">
        <f>I18-J20</f>
        <v>-170</v>
      </c>
      <c r="J20" s="396">
        <f>H20/DAY(B2)</f>
        <v>235</v>
      </c>
      <c r="K20" s="537"/>
      <c r="L20" s="427"/>
      <c r="N20" s="536"/>
      <c r="O20" s="171"/>
    </row>
    <row r="21" spans="1:15" ht="22.5" x14ac:dyDescent="0.4">
      <c r="A21" s="824" t="s">
        <v>144</v>
      </c>
      <c r="B21" s="825"/>
      <c r="C21" s="826"/>
      <c r="D21" s="390"/>
      <c r="E21" s="390"/>
      <c r="F21" s="647"/>
      <c r="G21" s="716"/>
      <c r="H21" s="647"/>
      <c r="I21" s="647"/>
      <c r="J21" s="648"/>
      <c r="K21" s="537"/>
      <c r="L21" s="427"/>
      <c r="N21" s="536"/>
      <c r="O21" s="171"/>
    </row>
    <row r="22" spans="1:15" ht="22.5" x14ac:dyDescent="0.4">
      <c r="A22" s="516" t="s">
        <v>145</v>
      </c>
      <c r="B22" s="405"/>
      <c r="C22" s="405"/>
      <c r="D22" s="393" t="s">
        <v>146</v>
      </c>
      <c r="E22" s="411">
        <v>2970</v>
      </c>
      <c r="F22" s="663">
        <v>2970</v>
      </c>
      <c r="G22" s="656">
        <f>(F22-E22)</f>
        <v>0</v>
      </c>
      <c r="H22" s="395">
        <f>G22</f>
        <v>0</v>
      </c>
      <c r="I22" s="395"/>
      <c r="J22" s="396">
        <f>H22/DAY(B2)</f>
        <v>0</v>
      </c>
      <c r="K22" s="537"/>
      <c r="L22" s="427"/>
      <c r="N22" s="536"/>
      <c r="O22" s="171"/>
    </row>
    <row r="23" spans="1:15" ht="22.5" x14ac:dyDescent="0.4">
      <c r="A23" s="516" t="s">
        <v>147</v>
      </c>
      <c r="B23" s="405"/>
      <c r="C23" s="405"/>
      <c r="D23" s="393" t="s">
        <v>146</v>
      </c>
      <c r="E23" s="411">
        <v>2000</v>
      </c>
      <c r="F23" s="663">
        <v>2000</v>
      </c>
      <c r="G23" s="656">
        <f t="shared" ref="G23" si="4">(F23-E23)</f>
        <v>0</v>
      </c>
      <c r="H23" s="395">
        <f t="shared" ref="H23:H24" si="5">G23</f>
        <v>0</v>
      </c>
      <c r="I23" s="395"/>
      <c r="J23" s="396">
        <f>H23/DAY(B2)</f>
        <v>0</v>
      </c>
      <c r="K23" s="537"/>
      <c r="L23" s="427"/>
      <c r="N23" s="536"/>
      <c r="O23" s="171"/>
    </row>
    <row r="24" spans="1:15" ht="22.5" x14ac:dyDescent="0.4">
      <c r="A24" s="518" t="s">
        <v>148</v>
      </c>
      <c r="B24" s="414"/>
      <c r="C24" s="414"/>
      <c r="D24" s="387" t="s">
        <v>146</v>
      </c>
      <c r="E24" s="705">
        <v>4970</v>
      </c>
      <c r="F24" s="665"/>
      <c r="G24" s="656">
        <f>SUM(G22:G23)</f>
        <v>0</v>
      </c>
      <c r="H24" s="395">
        <f t="shared" si="5"/>
        <v>0</v>
      </c>
      <c r="I24" s="395"/>
      <c r="J24" s="396">
        <f>H24/DAY(B2)</f>
        <v>0</v>
      </c>
      <c r="K24" s="537"/>
      <c r="L24" s="427"/>
      <c r="N24" s="536"/>
      <c r="O24" s="171"/>
    </row>
    <row r="25" spans="1:15" ht="22.5" x14ac:dyDescent="0.4">
      <c r="A25" s="821" t="s">
        <v>149</v>
      </c>
      <c r="B25" s="822"/>
      <c r="C25" s="823"/>
      <c r="D25" s="389"/>
      <c r="E25" s="389"/>
      <c r="F25" s="647"/>
      <c r="G25" s="716"/>
      <c r="H25" s="647"/>
      <c r="I25" s="666"/>
      <c r="J25" s="648"/>
      <c r="K25" s="537"/>
      <c r="L25" s="427"/>
      <c r="N25" s="536"/>
      <c r="O25" s="171"/>
    </row>
    <row r="26" spans="1:15" ht="22.5" x14ac:dyDescent="0.4">
      <c r="A26" s="519" t="s">
        <v>150</v>
      </c>
      <c r="B26" s="415"/>
      <c r="C26" s="416"/>
      <c r="D26" s="417" t="s">
        <v>151</v>
      </c>
      <c r="E26" s="706"/>
      <c r="F26" s="667"/>
      <c r="G26" s="719"/>
      <c r="H26" s="395"/>
      <c r="I26" s="418"/>
      <c r="J26" s="396"/>
      <c r="K26" s="538"/>
      <c r="L26" s="427"/>
      <c r="N26" s="536"/>
      <c r="O26" s="171"/>
    </row>
    <row r="27" spans="1:15" ht="22.5" x14ac:dyDescent="0.4">
      <c r="A27" s="519" t="s">
        <v>5</v>
      </c>
      <c r="B27" s="415"/>
      <c r="C27" s="416"/>
      <c r="D27" s="419" t="s">
        <v>24</v>
      </c>
      <c r="E27" s="707">
        <f>G8</f>
        <v>17458.849999999977</v>
      </c>
      <c r="F27" s="668">
        <v>9</v>
      </c>
      <c r="G27" s="720">
        <f>E27*F27</f>
        <v>157129.64999999979</v>
      </c>
      <c r="H27" s="395">
        <f t="shared" ref="H27:H32" si="6">G27</f>
        <v>157129.64999999979</v>
      </c>
      <c r="I27" s="669"/>
      <c r="J27" s="396">
        <f>H27/DAY(B2)</f>
        <v>157129.64999999979</v>
      </c>
      <c r="K27" s="537"/>
      <c r="L27" s="427"/>
      <c r="N27" s="536"/>
      <c r="O27" s="171"/>
    </row>
    <row r="28" spans="1:15" ht="22.5" x14ac:dyDescent="0.4">
      <c r="A28" s="519" t="s">
        <v>152</v>
      </c>
      <c r="B28" s="415"/>
      <c r="C28" s="416"/>
      <c r="D28" s="419" t="s">
        <v>153</v>
      </c>
      <c r="E28" s="707">
        <f>G15</f>
        <v>918.55799999996088</v>
      </c>
      <c r="F28" s="668">
        <v>52</v>
      </c>
      <c r="G28" s="720">
        <f>E28*F28</f>
        <v>47765.015999997966</v>
      </c>
      <c r="H28" s="395">
        <f t="shared" si="6"/>
        <v>47765.015999997966</v>
      </c>
      <c r="I28" s="418"/>
      <c r="J28" s="396">
        <f>H28/DAY(B2)</f>
        <v>47765.015999997966</v>
      </c>
      <c r="K28" s="537"/>
      <c r="L28" s="427"/>
      <c r="N28" s="536"/>
      <c r="O28" s="171"/>
    </row>
    <row r="29" spans="1:15" ht="22.5" x14ac:dyDescent="0.4">
      <c r="A29" s="519" t="s">
        <v>154</v>
      </c>
      <c r="B29" s="415"/>
      <c r="C29" s="416"/>
      <c r="D29" s="419" t="s">
        <v>155</v>
      </c>
      <c r="E29" s="707">
        <f>G24</f>
        <v>0</v>
      </c>
      <c r="F29" s="668">
        <v>69</v>
      </c>
      <c r="G29" s="720">
        <f>E29*F29</f>
        <v>0</v>
      </c>
      <c r="H29" s="395">
        <f t="shared" si="6"/>
        <v>0</v>
      </c>
      <c r="I29" s="418"/>
      <c r="J29" s="396">
        <f>H29/DAY(B2)</f>
        <v>0</v>
      </c>
      <c r="K29" s="537"/>
      <c r="L29" s="427"/>
      <c r="N29" s="536"/>
      <c r="O29" s="171"/>
    </row>
    <row r="30" spans="1:15" ht="22.5" x14ac:dyDescent="0.4">
      <c r="A30" s="519" t="s">
        <v>156</v>
      </c>
      <c r="B30" s="415"/>
      <c r="C30" s="416"/>
      <c r="D30" s="419" t="s">
        <v>157</v>
      </c>
      <c r="E30" s="707">
        <f>G19</f>
        <v>55</v>
      </c>
      <c r="F30" s="668">
        <v>146</v>
      </c>
      <c r="G30" s="720">
        <f>E30*F30</f>
        <v>8030</v>
      </c>
      <c r="H30" s="395">
        <f t="shared" si="6"/>
        <v>8030</v>
      </c>
      <c r="I30" s="418"/>
      <c r="J30" s="396">
        <f>H30/DAY(B2)</f>
        <v>8030</v>
      </c>
      <c r="K30" s="537"/>
      <c r="L30" s="427"/>
      <c r="N30" s="536"/>
      <c r="O30" s="171"/>
    </row>
    <row r="31" spans="1:15" ht="22.5" x14ac:dyDescent="0.4">
      <c r="A31" s="519" t="s">
        <v>158</v>
      </c>
      <c r="B31" s="415"/>
      <c r="C31" s="416"/>
      <c r="D31" s="419" t="s">
        <v>142</v>
      </c>
      <c r="E31" s="707">
        <f>G18</f>
        <v>180</v>
      </c>
      <c r="F31" s="668">
        <v>80</v>
      </c>
      <c r="G31" s="720">
        <f>E31*F31</f>
        <v>14400</v>
      </c>
      <c r="H31" s="395">
        <f t="shared" si="6"/>
        <v>14400</v>
      </c>
      <c r="I31" s="418"/>
      <c r="J31" s="396">
        <f>H31/DAY(B2)</f>
        <v>14400</v>
      </c>
      <c r="K31" s="537"/>
      <c r="L31" s="427"/>
      <c r="N31" s="536"/>
      <c r="O31" s="171"/>
    </row>
    <row r="32" spans="1:15" ht="22.5" x14ac:dyDescent="0.4">
      <c r="A32" s="520" t="s">
        <v>159</v>
      </c>
      <c r="B32" s="420"/>
      <c r="C32" s="421"/>
      <c r="D32" s="422"/>
      <c r="E32" s="422"/>
      <c r="F32" s="649"/>
      <c r="G32" s="721">
        <f>G27+G28+G29+G30+G31</f>
        <v>227324.66599999776</v>
      </c>
      <c r="H32" s="673">
        <f t="shared" si="6"/>
        <v>227324.66599999776</v>
      </c>
      <c r="I32" s="674"/>
      <c r="J32" s="675">
        <f>H32/DAY(B2)</f>
        <v>227324.66599999776</v>
      </c>
      <c r="K32" s="537"/>
      <c r="L32" s="427"/>
      <c r="N32" s="536"/>
      <c r="O32" s="171"/>
    </row>
    <row r="33" spans="1:15" ht="25.5" customHeight="1" x14ac:dyDescent="0.4">
      <c r="A33" s="832" t="s">
        <v>331</v>
      </c>
      <c r="B33" s="833"/>
      <c r="C33" s="833"/>
      <c r="D33" s="539"/>
      <c r="E33" s="708"/>
      <c r="F33" s="670"/>
      <c r="G33" s="670"/>
      <c r="H33" s="670"/>
      <c r="I33" s="670"/>
      <c r="J33" s="671"/>
      <c r="K33" s="537"/>
      <c r="L33" s="427"/>
      <c r="N33" s="536"/>
      <c r="O33" s="171"/>
    </row>
    <row r="34" spans="1:15" ht="22.5" x14ac:dyDescent="0.4">
      <c r="A34" s="521" t="s">
        <v>160</v>
      </c>
      <c r="B34" s="423"/>
      <c r="C34" s="423"/>
      <c r="D34" s="390"/>
      <c r="E34" s="389"/>
      <c r="F34" s="647"/>
      <c r="G34" s="647"/>
      <c r="H34" s="647"/>
      <c r="I34" s="647"/>
      <c r="J34" s="648"/>
      <c r="K34" s="537"/>
      <c r="L34" s="427"/>
      <c r="N34" s="536"/>
      <c r="O34" s="171"/>
    </row>
    <row r="35" spans="1:15" ht="22.5" x14ac:dyDescent="0.4">
      <c r="A35" s="512" t="s">
        <v>161</v>
      </c>
      <c r="B35" s="392"/>
      <c r="C35" s="392"/>
      <c r="D35" s="393" t="s">
        <v>130</v>
      </c>
      <c r="E35" s="709">
        <v>32004.98</v>
      </c>
      <c r="F35" s="661">
        <v>33251</v>
      </c>
      <c r="G35" s="715">
        <f t="shared" ref="G35:G46" si="7">F35-E35</f>
        <v>1246.0200000000004</v>
      </c>
      <c r="H35" s="395">
        <f t="shared" ref="H35:H47" si="8">G35</f>
        <v>1246.0200000000004</v>
      </c>
      <c r="I35" s="395"/>
      <c r="J35" s="396">
        <f>H35/DAY(B2)</f>
        <v>1246.0200000000004</v>
      </c>
      <c r="K35" s="537"/>
      <c r="L35" s="427"/>
      <c r="N35" s="536"/>
      <c r="O35" s="171"/>
    </row>
    <row r="36" spans="1:15" ht="22.5" x14ac:dyDescent="0.4">
      <c r="A36" s="512" t="s">
        <v>162</v>
      </c>
      <c r="B36" s="392"/>
      <c r="C36" s="392"/>
      <c r="D36" s="393" t="s">
        <v>130</v>
      </c>
      <c r="E36" s="709">
        <v>43458.74</v>
      </c>
      <c r="F36" s="661">
        <v>44169.5</v>
      </c>
      <c r="G36" s="715">
        <f t="shared" si="7"/>
        <v>710.76000000000204</v>
      </c>
      <c r="H36" s="395">
        <f t="shared" si="8"/>
        <v>710.76000000000204</v>
      </c>
      <c r="I36" s="395"/>
      <c r="J36" s="396">
        <f>H36/DAY(B2)</f>
        <v>710.76000000000204</v>
      </c>
      <c r="K36" s="537"/>
      <c r="L36" s="427"/>
      <c r="N36" s="536"/>
      <c r="O36" s="540"/>
    </row>
    <row r="37" spans="1:15" ht="22.5" x14ac:dyDescent="0.4">
      <c r="A37" s="512" t="s">
        <v>163</v>
      </c>
      <c r="B37" s="392"/>
      <c r="C37" s="392"/>
      <c r="D37" s="393" t="s">
        <v>130</v>
      </c>
      <c r="E37" s="709">
        <v>35425.089999999997</v>
      </c>
      <c r="F37" s="661">
        <v>36979.199999999997</v>
      </c>
      <c r="G37" s="715">
        <f t="shared" si="7"/>
        <v>1554.1100000000006</v>
      </c>
      <c r="H37" s="395">
        <f t="shared" si="8"/>
        <v>1554.1100000000006</v>
      </c>
      <c r="I37" s="395"/>
      <c r="J37" s="396">
        <f>H37/DAY(B2)</f>
        <v>1554.1100000000006</v>
      </c>
      <c r="K37" s="537"/>
      <c r="L37" s="427"/>
      <c r="N37" s="536"/>
      <c r="O37" s="541"/>
    </row>
    <row r="38" spans="1:15" ht="22.5" x14ac:dyDescent="0.4">
      <c r="A38" s="512" t="s">
        <v>164</v>
      </c>
      <c r="B38" s="392"/>
      <c r="C38" s="392"/>
      <c r="D38" s="393" t="s">
        <v>130</v>
      </c>
      <c r="E38" s="710">
        <v>38376.43</v>
      </c>
      <c r="F38" s="395">
        <v>39996.699999999997</v>
      </c>
      <c r="G38" s="715">
        <f t="shared" si="7"/>
        <v>1620.2699999999968</v>
      </c>
      <c r="H38" s="395">
        <f t="shared" si="8"/>
        <v>1620.2699999999968</v>
      </c>
      <c r="I38" s="395"/>
      <c r="J38" s="396">
        <f>H38/DAY(B2)</f>
        <v>1620.2699999999968</v>
      </c>
      <c r="K38" s="537"/>
      <c r="L38" s="427"/>
      <c r="N38" s="536"/>
      <c r="O38" s="171"/>
    </row>
    <row r="39" spans="1:15" ht="22.5" x14ac:dyDescent="0.4">
      <c r="A39" s="512" t="s">
        <v>165</v>
      </c>
      <c r="B39" s="392"/>
      <c r="C39" s="392"/>
      <c r="D39" s="393" t="s">
        <v>130</v>
      </c>
      <c r="E39" s="709">
        <v>59173.29</v>
      </c>
      <c r="F39" s="661">
        <v>61782.879999999997</v>
      </c>
      <c r="G39" s="715">
        <f t="shared" si="7"/>
        <v>2609.5899999999965</v>
      </c>
      <c r="H39" s="395">
        <f t="shared" si="8"/>
        <v>2609.5899999999965</v>
      </c>
      <c r="I39" s="395"/>
      <c r="J39" s="396">
        <f>H39/DAY(B2)</f>
        <v>2609.5899999999965</v>
      </c>
      <c r="K39" s="537"/>
      <c r="L39" s="427"/>
      <c r="N39" s="536"/>
      <c r="O39" s="171"/>
    </row>
    <row r="40" spans="1:15" ht="22.5" x14ac:dyDescent="0.4">
      <c r="A40" s="522" t="s">
        <v>166</v>
      </c>
      <c r="B40" s="424"/>
      <c r="C40" s="424"/>
      <c r="D40" s="393" t="s">
        <v>130</v>
      </c>
      <c r="E40" s="709">
        <v>21249.86</v>
      </c>
      <c r="F40" s="661">
        <v>21938.6</v>
      </c>
      <c r="G40" s="715">
        <f t="shared" si="7"/>
        <v>688.73999999999796</v>
      </c>
      <c r="H40" s="395">
        <f t="shared" si="8"/>
        <v>688.73999999999796</v>
      </c>
      <c r="I40" s="395"/>
      <c r="J40" s="396">
        <f>H40/DAY(B2)</f>
        <v>688.73999999999796</v>
      </c>
      <c r="K40" s="538"/>
      <c r="L40" s="427"/>
      <c r="N40" s="536"/>
      <c r="O40" s="171"/>
    </row>
    <row r="41" spans="1:15" ht="22.5" x14ac:dyDescent="0.4">
      <c r="A41" s="512" t="s">
        <v>167</v>
      </c>
      <c r="B41" s="392"/>
      <c r="C41" s="392"/>
      <c r="D41" s="393" t="s">
        <v>130</v>
      </c>
      <c r="E41" s="709">
        <v>62.73</v>
      </c>
      <c r="F41" s="661">
        <v>62.73</v>
      </c>
      <c r="G41" s="715">
        <f t="shared" si="7"/>
        <v>0</v>
      </c>
      <c r="H41" s="395">
        <f t="shared" si="8"/>
        <v>0</v>
      </c>
      <c r="I41" s="395"/>
      <c r="J41" s="396">
        <f>H41/DAY(B2)</f>
        <v>0</v>
      </c>
      <c r="K41" s="537"/>
      <c r="L41" s="427"/>
      <c r="N41" s="536"/>
      <c r="O41" s="171"/>
    </row>
    <row r="42" spans="1:15" ht="22.5" x14ac:dyDescent="0.4">
      <c r="A42" s="512" t="s">
        <v>168</v>
      </c>
      <c r="B42" s="392"/>
      <c r="C42" s="392"/>
      <c r="D42" s="393" t="s">
        <v>130</v>
      </c>
      <c r="E42" s="709">
        <v>100129.74</v>
      </c>
      <c r="F42" s="661">
        <v>104117.53</v>
      </c>
      <c r="G42" s="715">
        <f t="shared" si="7"/>
        <v>3987.7899999999936</v>
      </c>
      <c r="H42" s="395">
        <f t="shared" si="8"/>
        <v>3987.7899999999936</v>
      </c>
      <c r="I42" s="395"/>
      <c r="J42" s="396">
        <f>H42/DAY(B2)</f>
        <v>3987.7899999999936</v>
      </c>
      <c r="K42" s="537"/>
      <c r="L42" s="427"/>
      <c r="N42" s="536"/>
      <c r="O42" s="171"/>
    </row>
    <row r="43" spans="1:15" ht="22.5" x14ac:dyDescent="0.4">
      <c r="A43" s="512" t="s">
        <v>169</v>
      </c>
      <c r="B43" s="392"/>
      <c r="C43" s="392"/>
      <c r="D43" s="393" t="s">
        <v>130</v>
      </c>
      <c r="E43" s="709">
        <v>114851.6</v>
      </c>
      <c r="F43" s="661">
        <v>116753.53</v>
      </c>
      <c r="G43" s="715">
        <f t="shared" si="7"/>
        <v>1901.929999999993</v>
      </c>
      <c r="H43" s="395">
        <f t="shared" si="8"/>
        <v>1901.929999999993</v>
      </c>
      <c r="I43" s="395"/>
      <c r="J43" s="396">
        <f>H43/DAY(B2)</f>
        <v>1901.929999999993</v>
      </c>
      <c r="K43" s="537"/>
      <c r="L43" s="427"/>
      <c r="N43" s="536"/>
      <c r="O43" s="171"/>
    </row>
    <row r="44" spans="1:15" ht="22.5" x14ac:dyDescent="0.4">
      <c r="A44" s="512" t="s">
        <v>170</v>
      </c>
      <c r="B44" s="392"/>
      <c r="C44" s="392"/>
      <c r="D44" s="393" t="s">
        <v>130</v>
      </c>
      <c r="E44" s="709">
        <v>0</v>
      </c>
      <c r="F44" s="661">
        <v>0</v>
      </c>
      <c r="G44" s="715">
        <f t="shared" si="7"/>
        <v>0</v>
      </c>
      <c r="H44" s="395">
        <f t="shared" si="8"/>
        <v>0</v>
      </c>
      <c r="I44" s="395"/>
      <c r="J44" s="396">
        <f>H44/DAY(B2)</f>
        <v>0</v>
      </c>
      <c r="K44" s="537"/>
      <c r="L44" s="427"/>
      <c r="N44" s="536"/>
      <c r="O44" s="171"/>
    </row>
    <row r="45" spans="1:15" ht="22.5" x14ac:dyDescent="0.4">
      <c r="A45" s="512" t="s">
        <v>171</v>
      </c>
      <c r="B45" s="392"/>
      <c r="C45" s="392"/>
      <c r="D45" s="393" t="s">
        <v>130</v>
      </c>
      <c r="E45" s="709">
        <v>0</v>
      </c>
      <c r="F45" s="661">
        <v>0</v>
      </c>
      <c r="G45" s="715">
        <f t="shared" si="7"/>
        <v>0</v>
      </c>
      <c r="H45" s="395">
        <f t="shared" si="8"/>
        <v>0</v>
      </c>
      <c r="I45" s="395"/>
      <c r="J45" s="396">
        <f>H45/DAY(B2)</f>
        <v>0</v>
      </c>
      <c r="K45" s="537"/>
      <c r="L45" s="427"/>
      <c r="N45" s="536"/>
      <c r="O45" s="171"/>
    </row>
    <row r="46" spans="1:15" ht="22.5" x14ac:dyDescent="0.4">
      <c r="A46" s="512" t="s">
        <v>172</v>
      </c>
      <c r="B46" s="392"/>
      <c r="C46" s="392"/>
      <c r="D46" s="393" t="s">
        <v>130</v>
      </c>
      <c r="E46" s="709">
        <v>0</v>
      </c>
      <c r="F46" s="661">
        <v>0</v>
      </c>
      <c r="G46" s="715">
        <f t="shared" si="7"/>
        <v>0</v>
      </c>
      <c r="H46" s="395">
        <f t="shared" si="8"/>
        <v>0</v>
      </c>
      <c r="I46" s="395"/>
      <c r="J46" s="396">
        <f>H46/DAY(B2)</f>
        <v>0</v>
      </c>
      <c r="K46" s="537"/>
      <c r="L46" s="427"/>
      <c r="N46" s="536"/>
      <c r="O46" s="171"/>
    </row>
    <row r="47" spans="1:15" ht="22.5" x14ac:dyDescent="0.4">
      <c r="A47" s="515" t="s">
        <v>173</v>
      </c>
      <c r="B47" s="403"/>
      <c r="C47" s="403"/>
      <c r="D47" s="388"/>
      <c r="E47" s="387"/>
      <c r="F47" s="395"/>
      <c r="G47" s="656">
        <f>G35+G36+G37+G38+G39+G40+G41+G42+G43+G44+G45+G46</f>
        <v>14319.209999999981</v>
      </c>
      <c r="H47" s="395">
        <f t="shared" si="8"/>
        <v>14319.209999999981</v>
      </c>
      <c r="I47" s="395"/>
      <c r="J47" s="396">
        <f>H47/DAY(B2)</f>
        <v>14319.209999999981</v>
      </c>
      <c r="K47" s="537"/>
      <c r="L47" s="427"/>
      <c r="N47" s="536"/>
      <c r="O47" s="171"/>
    </row>
    <row r="48" spans="1:15" ht="22.5" x14ac:dyDescent="0.4">
      <c r="A48" s="521" t="s">
        <v>174</v>
      </c>
      <c r="B48" s="423"/>
      <c r="C48" s="423"/>
      <c r="D48" s="390"/>
      <c r="E48" s="389"/>
      <c r="F48" s="647"/>
      <c r="G48" s="647"/>
      <c r="H48" s="647"/>
      <c r="I48" s="647"/>
      <c r="J48" s="648"/>
      <c r="K48" s="537"/>
      <c r="L48" s="427"/>
      <c r="N48" s="536"/>
      <c r="O48" s="171"/>
    </row>
    <row r="49" spans="1:15" ht="22.5" x14ac:dyDescent="0.4">
      <c r="A49" s="512" t="s">
        <v>161</v>
      </c>
      <c r="B49" s="425"/>
      <c r="C49" s="425"/>
      <c r="D49" s="393" t="s">
        <v>130</v>
      </c>
      <c r="E49" s="709">
        <v>24996.19</v>
      </c>
      <c r="F49" s="661">
        <v>25935.27</v>
      </c>
      <c r="G49" s="715">
        <f t="shared" ref="G49:G58" si="9">F49-E49</f>
        <v>939.08000000000175</v>
      </c>
      <c r="H49" s="395">
        <f t="shared" ref="H49:H60" si="10">G49</f>
        <v>939.08000000000175</v>
      </c>
      <c r="I49" s="395"/>
      <c r="J49" s="396">
        <f>H49/DAY(B2)</f>
        <v>939.08000000000175</v>
      </c>
      <c r="K49" s="537"/>
      <c r="L49" s="427"/>
      <c r="N49" s="536"/>
      <c r="O49" s="171"/>
    </row>
    <row r="50" spans="1:15" ht="22.5" x14ac:dyDescent="0.4">
      <c r="A50" s="512" t="s">
        <v>175</v>
      </c>
      <c r="B50" s="425"/>
      <c r="C50" s="425"/>
      <c r="D50" s="393" t="s">
        <v>130</v>
      </c>
      <c r="E50" s="709">
        <v>56386.63</v>
      </c>
      <c r="F50" s="661">
        <v>57325.55</v>
      </c>
      <c r="G50" s="715">
        <f t="shared" si="9"/>
        <v>938.92000000000553</v>
      </c>
      <c r="H50" s="395">
        <f t="shared" si="10"/>
        <v>938.92000000000553</v>
      </c>
      <c r="I50" s="395"/>
      <c r="J50" s="396">
        <f>H50/DAY(B2)</f>
        <v>938.92000000000553</v>
      </c>
      <c r="K50" s="537"/>
      <c r="L50" s="427"/>
      <c r="N50" s="536"/>
      <c r="O50" s="171"/>
    </row>
    <row r="51" spans="1:15" ht="22.5" x14ac:dyDescent="0.4">
      <c r="A51" s="512" t="s">
        <v>163</v>
      </c>
      <c r="B51" s="425"/>
      <c r="C51" s="425"/>
      <c r="D51" s="393" t="s">
        <v>130</v>
      </c>
      <c r="E51" s="709">
        <v>0</v>
      </c>
      <c r="F51" s="661">
        <v>0</v>
      </c>
      <c r="G51" s="715">
        <f t="shared" si="9"/>
        <v>0</v>
      </c>
      <c r="H51" s="395">
        <f t="shared" si="10"/>
        <v>0</v>
      </c>
      <c r="I51" s="395"/>
      <c r="J51" s="396">
        <f>H51/DAY(B2)</f>
        <v>0</v>
      </c>
      <c r="K51" s="537"/>
      <c r="L51" s="427"/>
      <c r="N51" s="536"/>
      <c r="O51" s="171"/>
    </row>
    <row r="52" spans="1:15" ht="22.5" x14ac:dyDescent="0.4">
      <c r="A52" s="512" t="s">
        <v>176</v>
      </c>
      <c r="B52" s="425"/>
      <c r="C52" s="425"/>
      <c r="D52" s="393" t="s">
        <v>130</v>
      </c>
      <c r="E52" s="709">
        <v>0</v>
      </c>
      <c r="F52" s="661">
        <v>0</v>
      </c>
      <c r="G52" s="715">
        <f t="shared" si="9"/>
        <v>0</v>
      </c>
      <c r="H52" s="395">
        <f t="shared" si="10"/>
        <v>0</v>
      </c>
      <c r="I52" s="395"/>
      <c r="J52" s="396">
        <f>H52/DAY(B2)</f>
        <v>0</v>
      </c>
      <c r="K52" s="537"/>
      <c r="L52" s="427"/>
      <c r="N52" s="536"/>
      <c r="O52" s="171"/>
    </row>
    <row r="53" spans="1:15" ht="22.5" x14ac:dyDescent="0.4">
      <c r="A53" s="512" t="s">
        <v>165</v>
      </c>
      <c r="B53" s="425"/>
      <c r="C53" s="425"/>
      <c r="D53" s="393" t="s">
        <v>130</v>
      </c>
      <c r="E53" s="709">
        <v>0</v>
      </c>
      <c r="F53" s="661">
        <v>0</v>
      </c>
      <c r="G53" s="715">
        <f t="shared" si="9"/>
        <v>0</v>
      </c>
      <c r="H53" s="395">
        <f t="shared" si="10"/>
        <v>0</v>
      </c>
      <c r="I53" s="395"/>
      <c r="J53" s="396">
        <f>H53/DAY(B2)</f>
        <v>0</v>
      </c>
      <c r="K53" s="537"/>
      <c r="L53" s="427"/>
      <c r="N53" s="536"/>
      <c r="O53" s="171"/>
    </row>
    <row r="54" spans="1:15" ht="22.5" x14ac:dyDescent="0.4">
      <c r="A54" s="512" t="s">
        <v>177</v>
      </c>
      <c r="B54" s="425"/>
      <c r="C54" s="425"/>
      <c r="D54" s="393" t="s">
        <v>130</v>
      </c>
      <c r="E54" s="709">
        <v>5147.42</v>
      </c>
      <c r="F54" s="661">
        <v>5147.42</v>
      </c>
      <c r="G54" s="715">
        <f t="shared" si="9"/>
        <v>0</v>
      </c>
      <c r="H54" s="395">
        <f t="shared" si="10"/>
        <v>0</v>
      </c>
      <c r="I54" s="395"/>
      <c r="J54" s="396">
        <f>H54/DAY(B2)</f>
        <v>0</v>
      </c>
      <c r="K54" s="537"/>
      <c r="L54" s="427"/>
      <c r="N54" s="536"/>
      <c r="O54" s="171"/>
    </row>
    <row r="55" spans="1:15" ht="22.5" x14ac:dyDescent="0.4">
      <c r="A55" s="512" t="s">
        <v>178</v>
      </c>
      <c r="B55" s="425"/>
      <c r="C55" s="425"/>
      <c r="D55" s="393" t="s">
        <v>130</v>
      </c>
      <c r="E55" s="709">
        <v>74366.11</v>
      </c>
      <c r="F55" s="661">
        <v>74366.11</v>
      </c>
      <c r="G55" s="715">
        <f t="shared" si="9"/>
        <v>0</v>
      </c>
      <c r="H55" s="395">
        <f t="shared" si="10"/>
        <v>0</v>
      </c>
      <c r="I55" s="395"/>
      <c r="J55" s="396">
        <f>H55/DAY(B2)</f>
        <v>0</v>
      </c>
      <c r="K55" s="537"/>
      <c r="L55" s="427"/>
      <c r="N55" s="536"/>
      <c r="O55" s="171"/>
    </row>
    <row r="56" spans="1:15" ht="22.5" x14ac:dyDescent="0.4">
      <c r="A56" s="512" t="s">
        <v>179</v>
      </c>
      <c r="B56" s="425"/>
      <c r="C56" s="425"/>
      <c r="D56" s="393" t="s">
        <v>180</v>
      </c>
      <c r="E56" s="709">
        <v>8610.5400000000009</v>
      </c>
      <c r="F56" s="661">
        <v>8610.5400000000009</v>
      </c>
      <c r="G56" s="715">
        <f t="shared" si="9"/>
        <v>0</v>
      </c>
      <c r="H56" s="395">
        <f t="shared" si="10"/>
        <v>0</v>
      </c>
      <c r="I56" s="395"/>
      <c r="J56" s="396">
        <f>H56/DAY(B2)</f>
        <v>0</v>
      </c>
      <c r="K56" s="534"/>
      <c r="L56" s="427"/>
      <c r="N56" s="536"/>
      <c r="O56" s="171"/>
    </row>
    <row r="57" spans="1:15" ht="22.5" x14ac:dyDescent="0.4">
      <c r="A57" s="512" t="s">
        <v>169</v>
      </c>
      <c r="B57" s="425"/>
      <c r="C57" s="425"/>
      <c r="D57" s="393" t="s">
        <v>130</v>
      </c>
      <c r="E57" s="709">
        <v>0</v>
      </c>
      <c r="F57" s="661">
        <v>0</v>
      </c>
      <c r="G57" s="715">
        <f t="shared" si="9"/>
        <v>0</v>
      </c>
      <c r="H57" s="395">
        <f t="shared" si="10"/>
        <v>0</v>
      </c>
      <c r="I57" s="395"/>
      <c r="J57" s="396">
        <f>H57/DAY(B2)</f>
        <v>0</v>
      </c>
      <c r="K57" s="537"/>
      <c r="L57" s="427"/>
      <c r="N57" s="536"/>
      <c r="O57" s="171"/>
    </row>
    <row r="58" spans="1:15" ht="22.5" x14ac:dyDescent="0.4">
      <c r="A58" s="512" t="s">
        <v>181</v>
      </c>
      <c r="B58" s="425"/>
      <c r="C58" s="425"/>
      <c r="D58" s="393" t="s">
        <v>130</v>
      </c>
      <c r="E58" s="709">
        <v>4796.21</v>
      </c>
      <c r="F58" s="661">
        <v>4983.34</v>
      </c>
      <c r="G58" s="715">
        <f t="shared" si="9"/>
        <v>187.13000000000011</v>
      </c>
      <c r="H58" s="395">
        <f t="shared" si="10"/>
        <v>187.13000000000011</v>
      </c>
      <c r="I58" s="395"/>
      <c r="J58" s="396">
        <f>H58/DAY(B2)</f>
        <v>187.13000000000011</v>
      </c>
      <c r="K58" s="537"/>
      <c r="L58" s="427"/>
      <c r="N58" s="536"/>
      <c r="O58" s="171"/>
    </row>
    <row r="59" spans="1:15" ht="22.5" x14ac:dyDescent="0.4">
      <c r="A59" s="515" t="s">
        <v>173</v>
      </c>
      <c r="B59" s="403"/>
      <c r="C59" s="403"/>
      <c r="D59" s="387"/>
      <c r="E59" s="387"/>
      <c r="F59" s="395"/>
      <c r="G59" s="656">
        <f>G49+G50+G51+G52+G53+G54+G55+G56+G57+G58</f>
        <v>2065.1300000000074</v>
      </c>
      <c r="H59" s="395">
        <f t="shared" si="10"/>
        <v>2065.1300000000074</v>
      </c>
      <c r="I59" s="395">
        <f>G7-G60</f>
        <v>880.43000000002939</v>
      </c>
      <c r="J59" s="396">
        <f>H59/DAY(B2)</f>
        <v>2065.1300000000074</v>
      </c>
      <c r="K59" s="537"/>
      <c r="L59" s="427"/>
      <c r="N59" s="536"/>
      <c r="O59" s="171"/>
    </row>
    <row r="60" spans="1:15" ht="22.5" x14ac:dyDescent="0.4">
      <c r="A60" s="512"/>
      <c r="B60" s="392"/>
      <c r="C60" s="392"/>
      <c r="D60" s="387" t="s">
        <v>182</v>
      </c>
      <c r="E60" s="387"/>
      <c r="F60" s="395"/>
      <c r="G60" s="656">
        <f>G47+G59</f>
        <v>16384.339999999989</v>
      </c>
      <c r="H60" s="395">
        <f t="shared" si="10"/>
        <v>16384.339999999989</v>
      </c>
      <c r="I60" s="395">
        <f>G13-G60</f>
        <v>-16384.339999999989</v>
      </c>
      <c r="J60" s="396">
        <f>H60/DAY(B2)</f>
        <v>16384.339999999989</v>
      </c>
      <c r="K60" s="537"/>
      <c r="L60" s="427"/>
      <c r="N60" s="536"/>
      <c r="O60" s="171"/>
    </row>
    <row r="61" spans="1:15" s="544" customFormat="1" ht="22.5" x14ac:dyDescent="0.4">
      <c r="A61" s="812" t="s">
        <v>332</v>
      </c>
      <c r="B61" s="813"/>
      <c r="C61" s="814"/>
      <c r="D61" s="426"/>
      <c r="E61" s="426"/>
      <c r="F61" s="646"/>
      <c r="G61" s="722"/>
      <c r="H61" s="646"/>
      <c r="I61" s="646"/>
      <c r="J61" s="672"/>
      <c r="K61" s="542"/>
      <c r="L61" s="543"/>
      <c r="N61" s="536"/>
      <c r="O61" s="171"/>
    </row>
    <row r="62" spans="1:15" ht="22.5" x14ac:dyDescent="0.4">
      <c r="A62" s="792" t="s">
        <v>198</v>
      </c>
      <c r="B62" s="793"/>
      <c r="C62" s="794"/>
      <c r="D62" s="393" t="s">
        <v>142</v>
      </c>
      <c r="E62" s="411">
        <v>269516</v>
      </c>
      <c r="F62" s="663">
        <v>269579</v>
      </c>
      <c r="G62" s="715">
        <f t="shared" ref="G62:G63" si="11">F62-E62</f>
        <v>63</v>
      </c>
      <c r="H62" s="395">
        <f t="shared" ref="H62:H71" si="12">G62</f>
        <v>63</v>
      </c>
      <c r="I62" s="395"/>
      <c r="J62" s="396">
        <f>H62/DAY(B2)</f>
        <v>63</v>
      </c>
      <c r="K62" s="538"/>
      <c r="L62" s="427"/>
      <c r="N62" s="536"/>
      <c r="O62" s="171"/>
    </row>
    <row r="63" spans="1:15" ht="22.5" x14ac:dyDescent="0.4">
      <c r="A63" s="792" t="s">
        <v>199</v>
      </c>
      <c r="B63" s="793"/>
      <c r="C63" s="794"/>
      <c r="D63" s="393" t="s">
        <v>142</v>
      </c>
      <c r="E63" s="433">
        <v>215797</v>
      </c>
      <c r="F63" s="663">
        <v>215929</v>
      </c>
      <c r="G63" s="715">
        <f t="shared" si="11"/>
        <v>132</v>
      </c>
      <c r="H63" s="395">
        <f t="shared" si="12"/>
        <v>132</v>
      </c>
      <c r="I63" s="395"/>
      <c r="J63" s="396">
        <f>H63/DAY(B2)</f>
        <v>132</v>
      </c>
      <c r="K63" s="542"/>
      <c r="L63" s="427"/>
      <c r="N63" s="536"/>
      <c r="O63" s="171"/>
    </row>
    <row r="64" spans="1:15" ht="22.5" x14ac:dyDescent="0.4">
      <c r="A64" s="786" t="s">
        <v>200</v>
      </c>
      <c r="B64" s="787"/>
      <c r="C64" s="788"/>
      <c r="D64" s="393"/>
      <c r="E64" s="411"/>
      <c r="F64" s="663"/>
      <c r="G64" s="715">
        <f>G62+G63</f>
        <v>195</v>
      </c>
      <c r="H64" s="395">
        <f t="shared" si="12"/>
        <v>195</v>
      </c>
      <c r="I64" s="395"/>
      <c r="J64" s="396">
        <f>H64/DAY(B2)</f>
        <v>195</v>
      </c>
      <c r="K64" s="542"/>
      <c r="L64" s="427"/>
      <c r="N64" s="536"/>
      <c r="O64" s="171"/>
    </row>
    <row r="65" spans="1:15" ht="22.5" x14ac:dyDescent="0.4">
      <c r="A65" s="827" t="s">
        <v>201</v>
      </c>
      <c r="B65" s="828"/>
      <c r="C65" s="829"/>
      <c r="D65" s="393" t="s">
        <v>142</v>
      </c>
      <c r="E65" s="411">
        <v>434923</v>
      </c>
      <c r="F65" s="663">
        <v>434994</v>
      </c>
      <c r="G65" s="715">
        <f t="shared" ref="G65:G70" si="13">F65-E65</f>
        <v>71</v>
      </c>
      <c r="H65" s="395">
        <f t="shared" si="12"/>
        <v>71</v>
      </c>
      <c r="I65" s="395"/>
      <c r="J65" s="396">
        <f>H65/DAY(B2)</f>
        <v>71</v>
      </c>
      <c r="K65" s="542"/>
      <c r="L65" s="427"/>
      <c r="N65" s="536"/>
      <c r="O65" s="171"/>
    </row>
    <row r="66" spans="1:15" ht="22.5" x14ac:dyDescent="0.4">
      <c r="A66" s="516" t="s">
        <v>202</v>
      </c>
      <c r="B66" s="405"/>
      <c r="C66" s="405"/>
      <c r="D66" s="393" t="s">
        <v>142</v>
      </c>
      <c r="E66" s="411">
        <v>107743</v>
      </c>
      <c r="F66" s="663">
        <v>107760</v>
      </c>
      <c r="G66" s="715">
        <f t="shared" si="13"/>
        <v>17</v>
      </c>
      <c r="H66" s="395">
        <f t="shared" si="12"/>
        <v>17</v>
      </c>
      <c r="I66" s="395"/>
      <c r="J66" s="396">
        <f>H66/DAY(B2)</f>
        <v>17</v>
      </c>
      <c r="K66" s="534"/>
      <c r="L66" s="427"/>
      <c r="N66" s="536"/>
      <c r="O66" s="171"/>
    </row>
    <row r="67" spans="1:15" ht="22.5" x14ac:dyDescent="0.4">
      <c r="A67" s="516" t="s">
        <v>203</v>
      </c>
      <c r="B67" s="405"/>
      <c r="C67" s="405"/>
      <c r="D67" s="393" t="s">
        <v>142</v>
      </c>
      <c r="E67" s="411">
        <v>104648</v>
      </c>
      <c r="F67" s="663">
        <v>104662</v>
      </c>
      <c r="G67" s="715">
        <f t="shared" si="13"/>
        <v>14</v>
      </c>
      <c r="H67" s="395">
        <f t="shared" si="12"/>
        <v>14</v>
      </c>
      <c r="I67" s="395"/>
      <c r="J67" s="396">
        <f>H67/DAY(B2)</f>
        <v>14</v>
      </c>
      <c r="K67" s="545"/>
      <c r="L67" s="427"/>
      <c r="N67" s="536"/>
      <c r="O67" s="171"/>
    </row>
    <row r="68" spans="1:15" ht="22.5" x14ac:dyDescent="0.4">
      <c r="A68" s="516" t="s">
        <v>204</v>
      </c>
      <c r="B68" s="405"/>
      <c r="C68" s="405"/>
      <c r="D68" s="393" t="s">
        <v>142</v>
      </c>
      <c r="E68" s="411">
        <v>157697</v>
      </c>
      <c r="F68" s="663">
        <v>157736</v>
      </c>
      <c r="G68" s="715">
        <f t="shared" si="13"/>
        <v>39</v>
      </c>
      <c r="H68" s="395">
        <f t="shared" si="12"/>
        <v>39</v>
      </c>
      <c r="I68" s="395"/>
      <c r="J68" s="396">
        <f>H68/DAY(B2)</f>
        <v>39</v>
      </c>
      <c r="K68" s="542"/>
      <c r="L68" s="427"/>
      <c r="N68" s="536"/>
      <c r="O68" s="171"/>
    </row>
    <row r="69" spans="1:15" ht="22.5" x14ac:dyDescent="0.4">
      <c r="A69" s="516" t="s">
        <v>205</v>
      </c>
      <c r="B69" s="405"/>
      <c r="C69" s="405"/>
      <c r="D69" s="393" t="s">
        <v>142</v>
      </c>
      <c r="E69" s="411">
        <v>10541</v>
      </c>
      <c r="F69" s="663">
        <v>10550</v>
      </c>
      <c r="G69" s="715">
        <f t="shared" si="13"/>
        <v>9</v>
      </c>
      <c r="H69" s="395">
        <f t="shared" si="12"/>
        <v>9</v>
      </c>
      <c r="I69" s="395"/>
      <c r="J69" s="396">
        <f>H69/DAY(B2)</f>
        <v>9</v>
      </c>
      <c r="K69" s="542"/>
      <c r="L69" s="427"/>
      <c r="N69" s="536"/>
      <c r="O69" s="171"/>
    </row>
    <row r="70" spans="1:15" ht="22.5" x14ac:dyDescent="0.4">
      <c r="A70" s="516" t="s">
        <v>206</v>
      </c>
      <c r="B70" s="405"/>
      <c r="C70" s="405"/>
      <c r="D70" s="393" t="s">
        <v>142</v>
      </c>
      <c r="E70" s="411">
        <v>8120</v>
      </c>
      <c r="F70" s="411">
        <v>8128</v>
      </c>
      <c r="G70" s="723">
        <f t="shared" si="13"/>
        <v>8</v>
      </c>
      <c r="H70" s="395">
        <f t="shared" si="12"/>
        <v>8</v>
      </c>
      <c r="I70" s="394"/>
      <c r="J70" s="396">
        <f>H70/DAY(B2)</f>
        <v>8</v>
      </c>
      <c r="K70" s="542"/>
      <c r="L70" s="427"/>
      <c r="N70" s="536"/>
      <c r="O70" s="171"/>
    </row>
    <row r="71" spans="1:15" ht="22.5" x14ac:dyDescent="0.4">
      <c r="A71" s="786" t="s">
        <v>208</v>
      </c>
      <c r="B71" s="787"/>
      <c r="C71" s="788"/>
      <c r="D71" s="409"/>
      <c r="E71" s="409"/>
      <c r="F71" s="409"/>
      <c r="G71" s="724">
        <f>SUM(G65:G70)</f>
        <v>158</v>
      </c>
      <c r="H71" s="395">
        <f t="shared" si="12"/>
        <v>158</v>
      </c>
      <c r="I71" s="652"/>
      <c r="J71" s="396">
        <f>H71/DAY(B2)</f>
        <v>158</v>
      </c>
      <c r="K71" s="542"/>
      <c r="L71" s="427"/>
      <c r="N71" s="536"/>
      <c r="O71" s="171"/>
    </row>
    <row r="72" spans="1:15" ht="22.5" x14ac:dyDescent="0.4">
      <c r="A72" s="834"/>
      <c r="B72" s="782"/>
      <c r="C72" s="505"/>
      <c r="D72" s="427"/>
      <c r="E72" s="653"/>
      <c r="F72" s="653"/>
      <c r="G72" s="725"/>
      <c r="H72" s="428"/>
      <c r="I72" s="653"/>
      <c r="J72" s="654"/>
      <c r="N72" s="536"/>
      <c r="O72" s="171"/>
    </row>
    <row r="73" spans="1:15" ht="22.5" x14ac:dyDescent="0.4">
      <c r="A73" s="812" t="s">
        <v>333</v>
      </c>
      <c r="B73" s="813"/>
      <c r="C73" s="814"/>
      <c r="D73" s="426"/>
      <c r="E73" s="426"/>
      <c r="F73" s="426"/>
      <c r="G73" s="726"/>
      <c r="H73" s="429"/>
      <c r="I73" s="429"/>
      <c r="J73" s="430"/>
      <c r="K73" s="542"/>
      <c r="L73" s="427"/>
      <c r="N73" s="536"/>
      <c r="O73" s="171"/>
    </row>
    <row r="74" spans="1:15" ht="22.5" x14ac:dyDescent="0.4">
      <c r="A74" s="792" t="s">
        <v>220</v>
      </c>
      <c r="B74" s="793"/>
      <c r="C74" s="794"/>
      <c r="D74" s="393" t="s">
        <v>139</v>
      </c>
      <c r="E74" s="406">
        <v>901306.14899999998</v>
      </c>
      <c r="F74" s="406">
        <v>901620.68</v>
      </c>
      <c r="G74" s="723">
        <f t="shared" ref="G74:G78" si="14">F74-E74</f>
        <v>314.53100000007544</v>
      </c>
      <c r="H74" s="395">
        <f t="shared" ref="H74:H79" si="15">G74</f>
        <v>314.53100000007544</v>
      </c>
      <c r="I74" s="652"/>
      <c r="J74" s="396">
        <f>H74/DAY(B2)</f>
        <v>314.53100000007544</v>
      </c>
      <c r="K74" s="542"/>
      <c r="L74" s="427"/>
      <c r="N74" s="536"/>
      <c r="O74" s="171"/>
    </row>
    <row r="75" spans="1:15" ht="22.5" x14ac:dyDescent="0.4">
      <c r="A75" s="792" t="s">
        <v>221</v>
      </c>
      <c r="B75" s="793"/>
      <c r="C75" s="794"/>
      <c r="D75" s="393" t="s">
        <v>139</v>
      </c>
      <c r="E75" s="406">
        <v>73586.8</v>
      </c>
      <c r="F75" s="406">
        <v>73586.8</v>
      </c>
      <c r="G75" s="723">
        <f t="shared" si="14"/>
        <v>0</v>
      </c>
      <c r="H75" s="395">
        <f t="shared" si="15"/>
        <v>0</v>
      </c>
      <c r="I75" s="652"/>
      <c r="J75" s="396">
        <f>H75/DAY(B2)</f>
        <v>0</v>
      </c>
      <c r="K75" s="542"/>
      <c r="L75" s="427"/>
      <c r="N75" s="536"/>
      <c r="O75" s="171"/>
    </row>
    <row r="76" spans="1:15" ht="22.5" x14ac:dyDescent="0.4">
      <c r="A76" s="815" t="s">
        <v>222</v>
      </c>
      <c r="B76" s="816"/>
      <c r="C76" s="817"/>
      <c r="D76" s="393" t="s">
        <v>139</v>
      </c>
      <c r="E76" s="406">
        <v>169975</v>
      </c>
      <c r="F76" s="406">
        <v>170066.06</v>
      </c>
      <c r="G76" s="723">
        <f t="shared" si="14"/>
        <v>91.059999999997672</v>
      </c>
      <c r="H76" s="395">
        <f t="shared" si="15"/>
        <v>91.059999999997672</v>
      </c>
      <c r="I76" s="652"/>
      <c r="J76" s="396">
        <f>H76/DAY(B2)</f>
        <v>91.059999999997672</v>
      </c>
      <c r="K76" s="542"/>
      <c r="L76" s="427"/>
      <c r="N76" s="536"/>
      <c r="O76" s="171"/>
    </row>
    <row r="77" spans="1:15" ht="22.5" x14ac:dyDescent="0.4">
      <c r="A77" s="815" t="s">
        <v>223</v>
      </c>
      <c r="B77" s="816"/>
      <c r="C77" s="817"/>
      <c r="D77" s="393" t="s">
        <v>139</v>
      </c>
      <c r="E77" s="507">
        <v>41302.199999999997</v>
      </c>
      <c r="F77" s="406">
        <v>41331.9</v>
      </c>
      <c r="G77" s="723">
        <f t="shared" si="14"/>
        <v>29.700000000004366</v>
      </c>
      <c r="H77" s="395">
        <f t="shared" si="15"/>
        <v>29.700000000004366</v>
      </c>
      <c r="I77" s="652"/>
      <c r="J77" s="396">
        <f>H77/DAY(B2)</f>
        <v>29.700000000004366</v>
      </c>
      <c r="K77" s="542"/>
      <c r="L77" s="427"/>
      <c r="N77" s="536"/>
      <c r="O77" s="171"/>
    </row>
    <row r="78" spans="1:15" ht="22.5" x14ac:dyDescent="0.4">
      <c r="A78" s="815" t="s">
        <v>224</v>
      </c>
      <c r="B78" s="816"/>
      <c r="C78" s="817"/>
      <c r="D78" s="393" t="s">
        <v>139</v>
      </c>
      <c r="E78" s="507">
        <v>9516</v>
      </c>
      <c r="F78" s="406">
        <v>9516</v>
      </c>
      <c r="G78" s="723">
        <f t="shared" si="14"/>
        <v>0</v>
      </c>
      <c r="H78" s="395">
        <f t="shared" si="15"/>
        <v>0</v>
      </c>
      <c r="I78" s="394"/>
      <c r="J78" s="396">
        <f>H78/DAY(B2)</f>
        <v>0</v>
      </c>
      <c r="K78" s="542"/>
      <c r="L78" s="427"/>
      <c r="N78" s="536"/>
      <c r="O78" s="171"/>
    </row>
    <row r="79" spans="1:15" ht="22.5" x14ac:dyDescent="0.4">
      <c r="A79" s="815" t="s">
        <v>225</v>
      </c>
      <c r="B79" s="816"/>
      <c r="C79" s="817"/>
      <c r="D79" s="393"/>
      <c r="E79" s="406"/>
      <c r="F79" s="406"/>
      <c r="G79" s="723">
        <f>G15-SUM(G74:G78)</f>
        <v>483.26699999988341</v>
      </c>
      <c r="H79" s="395">
        <f t="shared" si="15"/>
        <v>483.26699999988341</v>
      </c>
      <c r="I79" s="394"/>
      <c r="J79" s="396"/>
      <c r="K79" s="542"/>
      <c r="L79" s="427"/>
      <c r="N79" s="536"/>
      <c r="O79" s="171"/>
    </row>
    <row r="80" spans="1:15" ht="22.5" x14ac:dyDescent="0.4">
      <c r="A80" s="786" t="s">
        <v>329</v>
      </c>
      <c r="B80" s="787"/>
      <c r="C80" s="788"/>
      <c r="D80" s="393"/>
      <c r="E80" s="401"/>
      <c r="F80" s="401"/>
      <c r="G80" s="723">
        <f>SUM(G74:G79)</f>
        <v>918.55799999996088</v>
      </c>
      <c r="H80" s="395"/>
      <c r="I80" s="394"/>
      <c r="J80" s="396"/>
      <c r="K80" s="542"/>
      <c r="L80" s="427"/>
      <c r="N80" s="536"/>
      <c r="O80" s="171"/>
    </row>
    <row r="81" spans="1:15" ht="22.5" x14ac:dyDescent="0.4">
      <c r="A81" s="806" t="s">
        <v>226</v>
      </c>
      <c r="B81" s="807"/>
      <c r="C81" s="808"/>
      <c r="D81" s="389"/>
      <c r="E81" s="389"/>
      <c r="F81" s="390"/>
      <c r="G81" s="727"/>
      <c r="H81" s="431"/>
      <c r="I81" s="431"/>
      <c r="J81" s="432"/>
      <c r="O81" s="171"/>
    </row>
    <row r="82" spans="1:15" ht="22.5" x14ac:dyDescent="0.4">
      <c r="A82" s="516" t="s">
        <v>227</v>
      </c>
      <c r="B82" s="405"/>
      <c r="C82" s="405"/>
      <c r="D82" s="393" t="s">
        <v>228</v>
      </c>
      <c r="E82" s="411">
        <v>0</v>
      </c>
      <c r="F82" s="411">
        <v>0</v>
      </c>
      <c r="G82" s="723">
        <f t="shared" ref="G82:G92" si="16">F82-E82</f>
        <v>0</v>
      </c>
      <c r="H82" s="395">
        <f t="shared" ref="H82:H92" si="17">G82</f>
        <v>0</v>
      </c>
      <c r="I82" s="394"/>
      <c r="J82" s="396">
        <f>H82/DAY(B2)</f>
        <v>0</v>
      </c>
      <c r="O82" s="171"/>
    </row>
    <row r="83" spans="1:15" ht="22.5" x14ac:dyDescent="0.4">
      <c r="A83" s="516" t="s">
        <v>229</v>
      </c>
      <c r="B83" s="405"/>
      <c r="C83" s="405"/>
      <c r="D83" s="393" t="s">
        <v>228</v>
      </c>
      <c r="E83" s="411">
        <v>0</v>
      </c>
      <c r="F83" s="411">
        <v>0</v>
      </c>
      <c r="G83" s="723">
        <f t="shared" si="16"/>
        <v>0</v>
      </c>
      <c r="H83" s="395">
        <f t="shared" si="17"/>
        <v>0</v>
      </c>
      <c r="I83" s="394"/>
      <c r="J83" s="396">
        <f>H83/DAY(B2)</f>
        <v>0</v>
      </c>
      <c r="O83" s="171"/>
    </row>
    <row r="84" spans="1:15" ht="22.5" x14ac:dyDescent="0.4">
      <c r="A84" s="516" t="s">
        <v>230</v>
      </c>
      <c r="B84" s="405"/>
      <c r="C84" s="405"/>
      <c r="D84" s="393" t="s">
        <v>228</v>
      </c>
      <c r="E84" s="433">
        <v>41675</v>
      </c>
      <c r="F84" s="433">
        <v>41675</v>
      </c>
      <c r="G84" s="723">
        <f t="shared" si="16"/>
        <v>0</v>
      </c>
      <c r="H84" s="395">
        <f t="shared" si="17"/>
        <v>0</v>
      </c>
      <c r="I84" s="394"/>
      <c r="J84" s="396">
        <f>H84/DAY(B2)</f>
        <v>0</v>
      </c>
      <c r="O84" s="171"/>
    </row>
    <row r="85" spans="1:15" ht="22.5" x14ac:dyDescent="0.4">
      <c r="A85" s="516" t="s">
        <v>231</v>
      </c>
      <c r="B85" s="405"/>
      <c r="C85" s="405"/>
      <c r="D85" s="393" t="s">
        <v>228</v>
      </c>
      <c r="E85" s="433">
        <v>2262</v>
      </c>
      <c r="F85" s="433">
        <v>2286</v>
      </c>
      <c r="G85" s="723">
        <f t="shared" si="16"/>
        <v>24</v>
      </c>
      <c r="H85" s="395">
        <f t="shared" si="17"/>
        <v>24</v>
      </c>
      <c r="I85" s="394">
        <f>G82+G83+G84+G85</f>
        <v>24</v>
      </c>
      <c r="J85" s="396">
        <f>H85/DAY(B2)</f>
        <v>24</v>
      </c>
      <c r="O85" s="171"/>
    </row>
    <row r="86" spans="1:15" ht="22.5" x14ac:dyDescent="0.4">
      <c r="A86" s="516" t="s">
        <v>232</v>
      </c>
      <c r="B86" s="405"/>
      <c r="C86" s="405"/>
      <c r="D86" s="393" t="s">
        <v>228</v>
      </c>
      <c r="E86" s="433">
        <v>43442</v>
      </c>
      <c r="F86" s="433">
        <v>43442</v>
      </c>
      <c r="G86" s="728">
        <f t="shared" si="16"/>
        <v>0</v>
      </c>
      <c r="H86" s="395">
        <f t="shared" si="17"/>
        <v>0</v>
      </c>
      <c r="I86" s="394"/>
      <c r="J86" s="396">
        <f>H86/DAY(B2)</f>
        <v>0</v>
      </c>
      <c r="O86" s="171"/>
    </row>
    <row r="87" spans="1:15" ht="22.5" x14ac:dyDescent="0.4">
      <c r="A87" s="516" t="s">
        <v>233</v>
      </c>
      <c r="B87" s="405"/>
      <c r="C87" s="405"/>
      <c r="D87" s="393" t="s">
        <v>228</v>
      </c>
      <c r="E87" s="433">
        <v>34598.5</v>
      </c>
      <c r="F87" s="433">
        <v>34598.550000000003</v>
      </c>
      <c r="G87" s="723">
        <f t="shared" si="16"/>
        <v>5.0000000002910383E-2</v>
      </c>
      <c r="H87" s="395">
        <f t="shared" si="17"/>
        <v>5.0000000002910383E-2</v>
      </c>
      <c r="I87" s="394"/>
      <c r="J87" s="396">
        <f>H87/DAY(B2)</f>
        <v>5.0000000002910383E-2</v>
      </c>
      <c r="O87" s="171"/>
    </row>
    <row r="88" spans="1:15" ht="22.5" x14ac:dyDescent="0.4">
      <c r="A88" s="516" t="s">
        <v>234</v>
      </c>
      <c r="B88" s="405"/>
      <c r="C88" s="405"/>
      <c r="D88" s="393" t="s">
        <v>228</v>
      </c>
      <c r="E88" s="433">
        <v>24063.43</v>
      </c>
      <c r="F88" s="433">
        <v>24063.43</v>
      </c>
      <c r="G88" s="723">
        <f t="shared" si="16"/>
        <v>0</v>
      </c>
      <c r="H88" s="395">
        <f t="shared" si="17"/>
        <v>0</v>
      </c>
      <c r="I88" s="394">
        <f>G86+G87+G88</f>
        <v>5.0000000002910383E-2</v>
      </c>
      <c r="J88" s="396">
        <f>H88/DAY(B2)</f>
        <v>0</v>
      </c>
      <c r="O88" s="171"/>
    </row>
    <row r="89" spans="1:15" ht="22.5" x14ac:dyDescent="0.4">
      <c r="A89" s="516" t="s">
        <v>235</v>
      </c>
      <c r="B89" s="405"/>
      <c r="C89" s="405"/>
      <c r="D89" s="393" t="s">
        <v>228</v>
      </c>
      <c r="E89" s="433">
        <v>25891.119999999999</v>
      </c>
      <c r="F89" s="433">
        <v>25900.61</v>
      </c>
      <c r="G89" s="723">
        <f t="shared" si="16"/>
        <v>9.4900000000016007</v>
      </c>
      <c r="H89" s="395">
        <f t="shared" si="17"/>
        <v>9.4900000000016007</v>
      </c>
      <c r="I89" s="394"/>
      <c r="J89" s="396">
        <f>H89/DAY(B2)</f>
        <v>9.4900000000016007</v>
      </c>
      <c r="O89" s="171"/>
    </row>
    <row r="90" spans="1:15" ht="22.5" x14ac:dyDescent="0.4">
      <c r="A90" s="516" t="s">
        <v>236</v>
      </c>
      <c r="B90" s="405"/>
      <c r="C90" s="405"/>
      <c r="D90" s="393" t="s">
        <v>228</v>
      </c>
      <c r="E90" s="433">
        <v>71163.320000000007</v>
      </c>
      <c r="F90" s="433">
        <v>71165.37</v>
      </c>
      <c r="G90" s="723">
        <f t="shared" si="16"/>
        <v>2.0499999999883585</v>
      </c>
      <c r="H90" s="395">
        <f t="shared" si="17"/>
        <v>2.0499999999883585</v>
      </c>
      <c r="I90" s="394">
        <f>G89+G90</f>
        <v>11.539999999989959</v>
      </c>
      <c r="J90" s="396">
        <f>H90/DAY(B2)</f>
        <v>2.0499999999883585</v>
      </c>
      <c r="O90" s="171"/>
    </row>
    <row r="91" spans="1:15" ht="22.5" x14ac:dyDescent="0.4">
      <c r="A91" s="516" t="s">
        <v>237</v>
      </c>
      <c r="B91" s="405"/>
      <c r="C91" s="405"/>
      <c r="D91" s="393" t="s">
        <v>228</v>
      </c>
      <c r="E91" s="411">
        <v>3251.09</v>
      </c>
      <c r="F91" s="411">
        <v>3262.86</v>
      </c>
      <c r="G91" s="723">
        <f t="shared" si="16"/>
        <v>11.769999999999982</v>
      </c>
      <c r="H91" s="395">
        <f t="shared" si="17"/>
        <v>11.769999999999982</v>
      </c>
      <c r="I91" s="442"/>
      <c r="J91" s="396">
        <f>H91/DAY(B2)</f>
        <v>11.769999999999982</v>
      </c>
      <c r="O91" s="171"/>
    </row>
    <row r="92" spans="1:15" ht="22.5" x14ac:dyDescent="0.4">
      <c r="A92" s="516" t="s">
        <v>238</v>
      </c>
      <c r="B92" s="405"/>
      <c r="C92" s="405"/>
      <c r="D92" s="393" t="s">
        <v>228</v>
      </c>
      <c r="E92" s="411">
        <v>5741.07</v>
      </c>
      <c r="F92" s="411">
        <v>5741.07</v>
      </c>
      <c r="G92" s="723">
        <f t="shared" si="16"/>
        <v>0</v>
      </c>
      <c r="H92" s="395">
        <f t="shared" si="17"/>
        <v>0</v>
      </c>
      <c r="I92" s="442"/>
      <c r="J92" s="396">
        <f>H92/DAY(B2)</f>
        <v>0</v>
      </c>
      <c r="O92" s="171"/>
    </row>
    <row r="93" spans="1:15" ht="22.5" x14ac:dyDescent="0.4">
      <c r="A93" s="809" t="s">
        <v>239</v>
      </c>
      <c r="B93" s="810"/>
      <c r="C93" s="811"/>
      <c r="D93" s="390"/>
      <c r="E93" s="390"/>
      <c r="F93" s="390"/>
      <c r="G93" s="729"/>
      <c r="H93" s="404"/>
      <c r="I93" s="404"/>
      <c r="J93" s="435"/>
      <c r="K93" s="542"/>
      <c r="L93" s="427"/>
      <c r="O93" s="171"/>
    </row>
    <row r="94" spans="1:15" ht="22.5" x14ac:dyDescent="0.4">
      <c r="A94" s="792" t="s">
        <v>240</v>
      </c>
      <c r="B94" s="793"/>
      <c r="C94" s="794"/>
      <c r="D94" s="393" t="s">
        <v>130</v>
      </c>
      <c r="E94" s="393"/>
      <c r="F94" s="393"/>
      <c r="G94" s="730">
        <f>G35+G43+G49+G57</f>
        <v>4087.0299999999952</v>
      </c>
      <c r="H94" s="395">
        <f t="shared" ref="H94:H105" si="18">G94</f>
        <v>4087.0299999999952</v>
      </c>
      <c r="I94" s="394"/>
      <c r="J94" s="396">
        <f>H94/DAY(B2)</f>
        <v>4087.0299999999952</v>
      </c>
      <c r="K94" s="542"/>
      <c r="L94" s="427"/>
      <c r="O94" s="171"/>
    </row>
    <row r="95" spans="1:15" ht="22.5" x14ac:dyDescent="0.4">
      <c r="A95" s="792" t="s">
        <v>241</v>
      </c>
      <c r="B95" s="793"/>
      <c r="C95" s="794"/>
      <c r="D95" s="393" t="s">
        <v>23</v>
      </c>
      <c r="E95" s="387"/>
      <c r="F95" s="393"/>
      <c r="G95" s="731">
        <f>G94/G7</f>
        <v>0.23672658251456524</v>
      </c>
      <c r="H95" s="395">
        <f t="shared" si="18"/>
        <v>0.23672658251456524</v>
      </c>
      <c r="I95" s="655"/>
      <c r="J95" s="396">
        <f>H95/DAY(B2)</f>
        <v>0.23672658251456524</v>
      </c>
      <c r="K95" s="542"/>
      <c r="L95" s="427"/>
      <c r="O95" s="171"/>
    </row>
    <row r="96" spans="1:15" ht="22.5" x14ac:dyDescent="0.4">
      <c r="A96" s="792" t="s">
        <v>242</v>
      </c>
      <c r="B96" s="793"/>
      <c r="C96" s="794"/>
      <c r="D96" s="393" t="s">
        <v>130</v>
      </c>
      <c r="E96" s="394"/>
      <c r="F96" s="394"/>
      <c r="G96" s="730">
        <f>G41+G42+G55+G56</f>
        <v>3987.7899999999936</v>
      </c>
      <c r="H96" s="395">
        <f t="shared" si="18"/>
        <v>3987.7899999999936</v>
      </c>
      <c r="I96" s="394"/>
      <c r="J96" s="396">
        <f>H96/DAY(B2)</f>
        <v>3987.7899999999936</v>
      </c>
      <c r="K96" s="542"/>
      <c r="L96" s="427"/>
      <c r="O96" s="171"/>
    </row>
    <row r="97" spans="1:15" ht="22.5" x14ac:dyDescent="0.4">
      <c r="A97" s="792" t="s">
        <v>243</v>
      </c>
      <c r="B97" s="793"/>
      <c r="C97" s="794"/>
      <c r="D97" s="393" t="s">
        <v>23</v>
      </c>
      <c r="E97" s="394"/>
      <c r="F97" s="394"/>
      <c r="G97" s="731">
        <f>G96/G7</f>
        <v>0.23097846076142278</v>
      </c>
      <c r="H97" s="395">
        <f t="shared" si="18"/>
        <v>0.23097846076142278</v>
      </c>
      <c r="I97" s="655"/>
      <c r="J97" s="396">
        <f>H97/DAY(B2)</f>
        <v>0.23097846076142278</v>
      </c>
      <c r="K97" s="542"/>
      <c r="L97" s="427"/>
      <c r="O97" s="171"/>
    </row>
    <row r="98" spans="1:15" ht="22.5" x14ac:dyDescent="0.4">
      <c r="A98" s="792" t="s">
        <v>244</v>
      </c>
      <c r="B98" s="793"/>
      <c r="C98" s="794"/>
      <c r="D98" s="393" t="s">
        <v>130</v>
      </c>
      <c r="E98" s="394"/>
      <c r="F98" s="394"/>
      <c r="G98" s="730">
        <f>G39+G53</f>
        <v>2609.5899999999965</v>
      </c>
      <c r="H98" s="395">
        <f t="shared" si="18"/>
        <v>2609.5899999999965</v>
      </c>
      <c r="I98" s="656"/>
      <c r="J98" s="396">
        <f>H98/DAY(B2)</f>
        <v>2609.5899999999965</v>
      </c>
      <c r="K98" s="542"/>
      <c r="L98" s="427"/>
      <c r="O98" s="171"/>
    </row>
    <row r="99" spans="1:15" ht="22.5" x14ac:dyDescent="0.4">
      <c r="A99" s="792" t="s">
        <v>245</v>
      </c>
      <c r="B99" s="793"/>
      <c r="C99" s="794"/>
      <c r="D99" s="393" t="s">
        <v>23</v>
      </c>
      <c r="E99" s="394"/>
      <c r="F99" s="394"/>
      <c r="G99" s="731">
        <f>G98/G7</f>
        <v>0.15115115926826675</v>
      </c>
      <c r="H99" s="395">
        <f t="shared" si="18"/>
        <v>0.15115115926826675</v>
      </c>
      <c r="I99" s="656"/>
      <c r="J99" s="396">
        <f>H99/DAY(B2)</f>
        <v>0.15115115926826675</v>
      </c>
      <c r="O99" s="171"/>
    </row>
    <row r="100" spans="1:15" ht="22.5" x14ac:dyDescent="0.4">
      <c r="A100" s="792" t="s">
        <v>246</v>
      </c>
      <c r="B100" s="793"/>
      <c r="C100" s="794"/>
      <c r="D100" s="393" t="s">
        <v>180</v>
      </c>
      <c r="E100" s="394"/>
      <c r="F100" s="394"/>
      <c r="G100" s="730">
        <f>G38+G52</f>
        <v>1620.2699999999968</v>
      </c>
      <c r="H100" s="395">
        <f t="shared" si="18"/>
        <v>1620.2699999999968</v>
      </c>
      <c r="I100" s="394"/>
      <c r="J100" s="396">
        <f>H100/DAY(B2)</f>
        <v>1620.2699999999968</v>
      </c>
      <c r="K100" s="546"/>
      <c r="O100" s="171"/>
    </row>
    <row r="101" spans="1:15" ht="22.5" x14ac:dyDescent="0.4">
      <c r="A101" s="792" t="s">
        <v>247</v>
      </c>
      <c r="B101" s="793"/>
      <c r="C101" s="794"/>
      <c r="D101" s="393" t="s">
        <v>23</v>
      </c>
      <c r="E101" s="394"/>
      <c r="F101" s="394"/>
      <c r="G101" s="731">
        <f>G100/G7</f>
        <v>9.3848339711446779E-2</v>
      </c>
      <c r="H101" s="395">
        <f t="shared" si="18"/>
        <v>9.3848339711446779E-2</v>
      </c>
      <c r="I101" s="656"/>
      <c r="J101" s="396">
        <f>H101/DAY(B2)</f>
        <v>9.3848339711446779E-2</v>
      </c>
      <c r="O101" s="171"/>
    </row>
    <row r="102" spans="1:15" ht="22.5" x14ac:dyDescent="0.4">
      <c r="A102" s="792" t="s">
        <v>248</v>
      </c>
      <c r="B102" s="793"/>
      <c r="C102" s="794"/>
      <c r="D102" s="393" t="s">
        <v>180</v>
      </c>
      <c r="E102" s="394"/>
      <c r="F102" s="394"/>
      <c r="G102" s="730">
        <f>G36+G50</f>
        <v>1649.6800000000076</v>
      </c>
      <c r="H102" s="395">
        <f t="shared" si="18"/>
        <v>1649.6800000000076</v>
      </c>
      <c r="I102" s="656"/>
      <c r="J102" s="396">
        <f>H102/DAY(B2)</f>
        <v>1649.6800000000076</v>
      </c>
      <c r="O102" s="171"/>
    </row>
    <row r="103" spans="1:15" ht="22.5" x14ac:dyDescent="0.4">
      <c r="A103" s="792" t="s">
        <v>249</v>
      </c>
      <c r="B103" s="793"/>
      <c r="C103" s="794"/>
      <c r="D103" s="393" t="s">
        <v>23</v>
      </c>
      <c r="E103" s="394"/>
      <c r="F103" s="394"/>
      <c r="G103" s="731">
        <f>G102/G7</f>
        <v>9.5551808683232139E-2</v>
      </c>
      <c r="H103" s="395">
        <f t="shared" si="18"/>
        <v>9.5551808683232139E-2</v>
      </c>
      <c r="I103" s="394"/>
      <c r="J103" s="396">
        <f>H103/DAY(B2)</f>
        <v>9.5551808683232139E-2</v>
      </c>
      <c r="O103" s="171"/>
    </row>
    <row r="104" spans="1:15" ht="22.5" x14ac:dyDescent="0.4">
      <c r="A104" s="792" t="s">
        <v>250</v>
      </c>
      <c r="B104" s="793"/>
      <c r="C104" s="794"/>
      <c r="D104" s="393" t="s">
        <v>180</v>
      </c>
      <c r="E104" s="394"/>
      <c r="F104" s="394"/>
      <c r="G104" s="730">
        <f>G37+G51</f>
        <v>1554.1100000000006</v>
      </c>
      <c r="H104" s="395">
        <f t="shared" si="18"/>
        <v>1554.1100000000006</v>
      </c>
      <c r="I104" s="394"/>
      <c r="J104" s="396">
        <f>H104/DAY(B2)</f>
        <v>1554.1100000000006</v>
      </c>
      <c r="O104" s="171"/>
    </row>
    <row r="105" spans="1:15" ht="23.25" thickBot="1" x14ac:dyDescent="0.45">
      <c r="A105" s="799" t="s">
        <v>251</v>
      </c>
      <c r="B105" s="800"/>
      <c r="C105" s="801"/>
      <c r="D105" s="436" t="s">
        <v>23</v>
      </c>
      <c r="E105" s="437"/>
      <c r="F105" s="437"/>
      <c r="G105" s="732">
        <f>G104/G7</f>
        <v>9.0016258542685412E-2</v>
      </c>
      <c r="H105" s="395">
        <f t="shared" si="18"/>
        <v>9.0016258542685412E-2</v>
      </c>
      <c r="I105" s="437"/>
      <c r="J105" s="438">
        <f>H105/DAY(B2)</f>
        <v>9.0016258542685412E-2</v>
      </c>
      <c r="O105" s="171"/>
    </row>
    <row r="106" spans="1:15" ht="22.5" x14ac:dyDescent="0.4">
      <c r="O106" s="171"/>
    </row>
    <row r="107" spans="1:15" ht="22.5" x14ac:dyDescent="0.4"/>
    <row r="108" spans="1:15" ht="22.5" x14ac:dyDescent="0.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2.5" x14ac:dyDescent="0.4">
      <c r="A109" s="795"/>
      <c r="B109" s="795"/>
    </row>
    <row r="110" spans="1:15" ht="22.5" x14ac:dyDescent="0.4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2.5" x14ac:dyDescent="0.4">
      <c r="A111" s="789"/>
      <c r="B111" s="790"/>
      <c r="C111" s="791"/>
      <c r="D111" s="434"/>
      <c r="E111" s="442"/>
      <c r="F111" s="442"/>
      <c r="G111" s="734"/>
      <c r="H111" s="439"/>
      <c r="I111" s="442"/>
      <c r="J111" s="439"/>
    </row>
    <row r="112" spans="1:15" ht="22.5" x14ac:dyDescent="0.4">
      <c r="A112" s="781" t="s">
        <v>252</v>
      </c>
      <c r="B112" s="784"/>
      <c r="C112" s="782"/>
      <c r="D112" s="387" t="s">
        <v>183</v>
      </c>
      <c r="E112" s="440">
        <v>58054</v>
      </c>
      <c r="F112" s="440">
        <v>58132</v>
      </c>
      <c r="G112" s="723">
        <f t="shared" ref="G112:G123" si="19">F112-E112</f>
        <v>78</v>
      </c>
      <c r="H112" s="395">
        <f t="shared" ref="H112:H123" si="20">G112</f>
        <v>78</v>
      </c>
      <c r="I112" s="442"/>
      <c r="J112" s="441">
        <f>H112/DAY(B2)</f>
        <v>78</v>
      </c>
    </row>
    <row r="113" spans="1:18" ht="29.25" customHeight="1" x14ac:dyDescent="0.4">
      <c r="A113" s="781" t="s">
        <v>253</v>
      </c>
      <c r="B113" s="784"/>
      <c r="C113" s="782"/>
      <c r="D113" s="387" t="s">
        <v>183</v>
      </c>
      <c r="E113" s="440">
        <v>46400.89</v>
      </c>
      <c r="F113" s="440">
        <v>46884.44</v>
      </c>
      <c r="G113" s="723">
        <f t="shared" si="19"/>
        <v>483.55000000000291</v>
      </c>
      <c r="H113" s="395">
        <f t="shared" si="20"/>
        <v>483.55000000000291</v>
      </c>
      <c r="I113" s="442"/>
      <c r="J113" s="441">
        <f>H113/DAY(B2)</f>
        <v>483.55000000000291</v>
      </c>
    </row>
    <row r="114" spans="1:18" ht="29.25" customHeight="1" x14ac:dyDescent="0.4">
      <c r="A114" s="781" t="s">
        <v>254</v>
      </c>
      <c r="B114" s="784"/>
      <c r="C114" s="782"/>
      <c r="D114" s="387" t="s">
        <v>183</v>
      </c>
      <c r="E114" s="440">
        <v>33160</v>
      </c>
      <c r="F114" s="440">
        <v>33421.300000000003</v>
      </c>
      <c r="G114" s="723">
        <f t="shared" si="19"/>
        <v>261.30000000000291</v>
      </c>
      <c r="H114" s="395">
        <f t="shared" si="20"/>
        <v>261.30000000000291</v>
      </c>
      <c r="I114" s="442"/>
      <c r="J114" s="441">
        <f>H114/DAY(B2)</f>
        <v>261.30000000000291</v>
      </c>
    </row>
    <row r="115" spans="1:18" ht="29.25" customHeight="1" x14ac:dyDescent="0.4">
      <c r="A115" s="781" t="s">
        <v>255</v>
      </c>
      <c r="B115" s="784"/>
      <c r="C115" s="782"/>
      <c r="D115" s="387" t="s">
        <v>183</v>
      </c>
      <c r="E115" s="440">
        <v>9094.65</v>
      </c>
      <c r="F115" s="440">
        <v>9103.4500000000007</v>
      </c>
      <c r="G115" s="723">
        <f t="shared" si="19"/>
        <v>8.8000000000010914</v>
      </c>
      <c r="H115" s="395">
        <f t="shared" si="20"/>
        <v>8.8000000000010914</v>
      </c>
      <c r="I115" s="442"/>
      <c r="J115" s="441">
        <f>H115/DAY(B2)</f>
        <v>8.8000000000010914</v>
      </c>
    </row>
    <row r="116" spans="1:18" ht="29.25" customHeight="1" x14ac:dyDescent="0.4">
      <c r="A116" s="796" t="s">
        <v>96</v>
      </c>
      <c r="B116" s="797"/>
      <c r="C116" s="798"/>
      <c r="D116" s="387" t="s">
        <v>183</v>
      </c>
      <c r="E116" s="440">
        <v>0</v>
      </c>
      <c r="F116" s="440">
        <v>0</v>
      </c>
      <c r="G116" s="723">
        <f t="shared" si="19"/>
        <v>0</v>
      </c>
      <c r="H116" s="395">
        <f t="shared" si="20"/>
        <v>0</v>
      </c>
      <c r="I116" s="442"/>
      <c r="J116" s="441">
        <f>H116/DAY(B2)</f>
        <v>0</v>
      </c>
      <c r="Q116" s="781"/>
      <c r="R116" s="782"/>
    </row>
    <row r="117" spans="1:18" ht="29.25" customHeight="1" x14ac:dyDescent="0.4">
      <c r="A117" s="796" t="s">
        <v>184</v>
      </c>
      <c r="B117" s="797"/>
      <c r="C117" s="798"/>
      <c r="D117" s="387" t="s">
        <v>183</v>
      </c>
      <c r="E117" s="440">
        <v>3337.95</v>
      </c>
      <c r="F117" s="440">
        <v>3359.77</v>
      </c>
      <c r="G117" s="723">
        <f t="shared" si="19"/>
        <v>21.820000000000164</v>
      </c>
      <c r="H117" s="395">
        <f t="shared" si="20"/>
        <v>21.820000000000164</v>
      </c>
      <c r="I117" s="442"/>
      <c r="J117" s="441">
        <f>H117/DAY(B2)</f>
        <v>21.820000000000164</v>
      </c>
      <c r="Q117" s="781"/>
      <c r="R117" s="782"/>
    </row>
    <row r="118" spans="1:18" ht="22.5" x14ac:dyDescent="0.4">
      <c r="A118" s="780" t="s">
        <v>97</v>
      </c>
      <c r="B118" s="780"/>
      <c r="C118" s="780"/>
      <c r="D118" s="393" t="s">
        <v>183</v>
      </c>
      <c r="E118" s="440">
        <v>252452.31</v>
      </c>
      <c r="F118" s="440">
        <v>252762.81</v>
      </c>
      <c r="G118" s="723">
        <f t="shared" si="19"/>
        <v>310.5</v>
      </c>
      <c r="H118" s="395">
        <f t="shared" si="20"/>
        <v>310.5</v>
      </c>
      <c r="I118" s="442"/>
      <c r="J118" s="441">
        <f>H118/DAY(B2)</f>
        <v>310.5</v>
      </c>
      <c r="Q118" s="781"/>
      <c r="R118" s="782"/>
    </row>
    <row r="119" spans="1:18" ht="22.5" x14ac:dyDescent="0.4">
      <c r="A119" s="780" t="s">
        <v>98</v>
      </c>
      <c r="B119" s="780"/>
      <c r="C119" s="780"/>
      <c r="D119" s="393" t="s">
        <v>183</v>
      </c>
      <c r="E119" s="440">
        <v>258148.55</v>
      </c>
      <c r="F119" s="440">
        <v>258589.7</v>
      </c>
      <c r="G119" s="723">
        <f t="shared" si="19"/>
        <v>441.15000000002328</v>
      </c>
      <c r="H119" s="395">
        <f t="shared" si="20"/>
        <v>441.15000000002328</v>
      </c>
      <c r="I119" s="442"/>
      <c r="J119" s="441">
        <f>H119/DAY(B2)</f>
        <v>441.15000000002328</v>
      </c>
    </row>
    <row r="120" spans="1:18" ht="22.5" x14ac:dyDescent="0.4">
      <c r="A120" s="780" t="s">
        <v>99</v>
      </c>
      <c r="B120" s="780"/>
      <c r="C120" s="780"/>
      <c r="D120" s="393" t="s">
        <v>183</v>
      </c>
      <c r="E120" s="440">
        <v>42959.61</v>
      </c>
      <c r="F120" s="440">
        <v>43373.75</v>
      </c>
      <c r="G120" s="723">
        <f t="shared" si="19"/>
        <v>414.13999999999942</v>
      </c>
      <c r="H120" s="395">
        <f t="shared" si="20"/>
        <v>414.13999999999942</v>
      </c>
      <c r="I120" s="442"/>
      <c r="J120" s="441">
        <f>H120/DAY(B2)</f>
        <v>414.13999999999942</v>
      </c>
    </row>
    <row r="121" spans="1:18" ht="22.5" x14ac:dyDescent="0.4">
      <c r="A121" s="780" t="s">
        <v>100</v>
      </c>
      <c r="B121" s="780"/>
      <c r="C121" s="780"/>
      <c r="D121" s="393" t="s">
        <v>183</v>
      </c>
      <c r="E121" s="440">
        <v>398034.43</v>
      </c>
      <c r="F121" s="440">
        <v>398755.31</v>
      </c>
      <c r="G121" s="723">
        <f t="shared" si="19"/>
        <v>720.88000000000466</v>
      </c>
      <c r="H121" s="395">
        <f t="shared" si="20"/>
        <v>720.88000000000466</v>
      </c>
      <c r="I121" s="442"/>
      <c r="J121" s="441">
        <f>H121/DAY(B2)</f>
        <v>720.88000000000466</v>
      </c>
    </row>
    <row r="122" spans="1:18" ht="22.5" x14ac:dyDescent="0.4">
      <c r="A122" s="780" t="s">
        <v>101</v>
      </c>
      <c r="B122" s="780"/>
      <c r="C122" s="780"/>
      <c r="D122" s="393" t="s">
        <v>183</v>
      </c>
      <c r="E122" s="440">
        <v>126186.18</v>
      </c>
      <c r="F122" s="440">
        <v>126392.21</v>
      </c>
      <c r="G122" s="723">
        <f t="shared" si="19"/>
        <v>206.03000000001339</v>
      </c>
      <c r="H122" s="395">
        <f t="shared" si="20"/>
        <v>206.03000000001339</v>
      </c>
      <c r="I122" s="442"/>
      <c r="J122" s="441">
        <f>H122/DAY(B2)</f>
        <v>206.03000000001339</v>
      </c>
    </row>
    <row r="123" spans="1:18" ht="22.5" x14ac:dyDescent="0.4">
      <c r="A123" s="780" t="s">
        <v>102</v>
      </c>
      <c r="B123" s="780"/>
      <c r="C123" s="780"/>
      <c r="D123" s="393" t="s">
        <v>183</v>
      </c>
      <c r="E123" s="440">
        <v>154046.95000000001</v>
      </c>
      <c r="F123" s="440">
        <v>154308.20000000001</v>
      </c>
      <c r="G123" s="723">
        <f t="shared" si="19"/>
        <v>261.25</v>
      </c>
      <c r="H123" s="395">
        <f t="shared" si="20"/>
        <v>261.25</v>
      </c>
      <c r="I123" s="442"/>
      <c r="J123" s="441">
        <f>H123/DAY(B2)</f>
        <v>261.25</v>
      </c>
    </row>
    <row r="124" spans="1:18" ht="29.25" customHeight="1" x14ac:dyDescent="0.4">
      <c r="A124" s="789"/>
      <c r="B124" s="790"/>
      <c r="C124" s="791"/>
      <c r="D124" s="434"/>
      <c r="E124" s="442"/>
      <c r="F124" s="442"/>
      <c r="G124" s="734"/>
      <c r="H124" s="439"/>
      <c r="I124" s="442"/>
      <c r="J124" s="439"/>
    </row>
    <row r="125" spans="1:18" ht="27" x14ac:dyDescent="0.5">
      <c r="A125" s="786" t="s">
        <v>196</v>
      </c>
      <c r="B125" s="787"/>
      <c r="C125" s="788"/>
      <c r="D125" s="393"/>
      <c r="E125" s="711"/>
      <c r="F125" s="442"/>
      <c r="G125" s="723">
        <f>SUM(G112:G124)</f>
        <v>3207.4200000000478</v>
      </c>
      <c r="H125" s="439"/>
      <c r="I125" s="156">
        <f>G125-(G39+G53)</f>
        <v>597.83000000005131</v>
      </c>
      <c r="J125" s="439"/>
    </row>
    <row r="126" spans="1:18" ht="22.5" x14ac:dyDescent="0.4">
      <c r="A126" s="774" t="s">
        <v>317</v>
      </c>
      <c r="B126" s="774"/>
      <c r="C126" s="774"/>
      <c r="D126" s="774"/>
      <c r="E126" s="774"/>
      <c r="F126" s="774"/>
      <c r="G126" s="774"/>
      <c r="H126" s="774"/>
      <c r="I126" s="774"/>
      <c r="J126" s="774"/>
    </row>
    <row r="127" spans="1:18" ht="27" x14ac:dyDescent="0.5">
      <c r="A127" s="775"/>
      <c r="B127" s="775"/>
      <c r="C127" s="434"/>
      <c r="D127" s="393"/>
      <c r="E127" s="711"/>
      <c r="F127" s="442"/>
      <c r="G127" s="723"/>
      <c r="H127" s="395">
        <f t="shared" ref="H127:H135" si="21">G127</f>
        <v>0</v>
      </c>
      <c r="I127" s="442"/>
      <c r="J127" s="441">
        <f>H127/DAY(B2)</f>
        <v>0</v>
      </c>
    </row>
    <row r="128" spans="1:18" ht="29.25" customHeight="1" x14ac:dyDescent="0.4">
      <c r="A128" s="781" t="s">
        <v>318</v>
      </c>
      <c r="B128" s="784"/>
      <c r="C128" s="782"/>
      <c r="D128" s="393" t="s">
        <v>183</v>
      </c>
      <c r="E128" s="442">
        <v>47746</v>
      </c>
      <c r="F128" s="442">
        <v>48067</v>
      </c>
      <c r="G128" s="723">
        <f t="shared" ref="G128:G133" si="22">F128-E128</f>
        <v>321</v>
      </c>
      <c r="H128" s="395">
        <f t="shared" si="21"/>
        <v>321</v>
      </c>
      <c r="I128" s="442"/>
      <c r="J128" s="441">
        <f>H128/DAY(B2)</f>
        <v>321</v>
      </c>
    </row>
    <row r="129" spans="1:15" ht="22.5" x14ac:dyDescent="0.4">
      <c r="A129" s="523" t="s">
        <v>319</v>
      </c>
      <c r="B129" s="443"/>
      <c r="C129" s="444"/>
      <c r="D129" s="393" t="s">
        <v>183</v>
      </c>
      <c r="E129" s="442">
        <v>26910.87</v>
      </c>
      <c r="F129" s="442">
        <v>27123</v>
      </c>
      <c r="G129" s="723">
        <f t="shared" si="22"/>
        <v>212.13000000000102</v>
      </c>
      <c r="H129" s="395">
        <f t="shared" si="21"/>
        <v>212.13000000000102</v>
      </c>
      <c r="I129" s="442"/>
      <c r="J129" s="441">
        <f>H129/DAY(B2)</f>
        <v>212.13000000000102</v>
      </c>
      <c r="N129" s="547"/>
      <c r="O129" s="495"/>
    </row>
    <row r="130" spans="1:15" ht="22.5" x14ac:dyDescent="0.4">
      <c r="A130" s="523" t="s">
        <v>320</v>
      </c>
      <c r="B130" s="443"/>
      <c r="C130" s="444"/>
      <c r="D130" s="393" t="s">
        <v>183</v>
      </c>
      <c r="E130" s="442">
        <v>35694</v>
      </c>
      <c r="F130" s="442">
        <v>36147.81</v>
      </c>
      <c r="G130" s="723">
        <f t="shared" si="22"/>
        <v>453.80999999999767</v>
      </c>
      <c r="H130" s="395">
        <f t="shared" si="21"/>
        <v>453.80999999999767</v>
      </c>
      <c r="I130" s="442"/>
      <c r="J130" s="441">
        <f>H130/DAY(B2)</f>
        <v>453.80999999999767</v>
      </c>
      <c r="N130" s="547"/>
      <c r="O130" s="495"/>
    </row>
    <row r="131" spans="1:15" ht="22.5" x14ac:dyDescent="0.4">
      <c r="A131" s="781" t="s">
        <v>321</v>
      </c>
      <c r="B131" s="784"/>
      <c r="C131" s="782"/>
      <c r="D131" s="393" t="s">
        <v>183</v>
      </c>
      <c r="E131" s="442">
        <v>15307.68</v>
      </c>
      <c r="F131" s="645">
        <v>15367.2</v>
      </c>
      <c r="G131" s="728">
        <f t="shared" si="22"/>
        <v>59.520000000000437</v>
      </c>
      <c r="H131" s="395">
        <f t="shared" si="21"/>
        <v>59.520000000000437</v>
      </c>
      <c r="I131" s="442"/>
      <c r="J131" s="441">
        <f>H131/DAY(B2)</f>
        <v>59.520000000000437</v>
      </c>
      <c r="N131" s="547"/>
      <c r="O131" s="495"/>
    </row>
    <row r="132" spans="1:15" ht="22.5" x14ac:dyDescent="0.4">
      <c r="A132" s="781" t="s">
        <v>322</v>
      </c>
      <c r="B132" s="784"/>
      <c r="C132" s="782"/>
      <c r="D132" s="393" t="s">
        <v>183</v>
      </c>
      <c r="E132" s="442">
        <v>51848.3</v>
      </c>
      <c r="F132" s="645">
        <v>52011.77</v>
      </c>
      <c r="G132" s="728">
        <f t="shared" si="22"/>
        <v>163.46999999999389</v>
      </c>
      <c r="H132" s="395">
        <f t="shared" si="21"/>
        <v>163.46999999999389</v>
      </c>
      <c r="I132" s="442"/>
      <c r="J132" s="441">
        <f>H132/DAY(B2)</f>
        <v>163.46999999999389</v>
      </c>
    </row>
    <row r="133" spans="1:15" ht="22.5" x14ac:dyDescent="0.4">
      <c r="A133" s="781" t="s">
        <v>342</v>
      </c>
      <c r="B133" s="784"/>
      <c r="C133" s="782"/>
      <c r="D133" s="393" t="s">
        <v>183</v>
      </c>
      <c r="E133" s="442">
        <v>105343.7</v>
      </c>
      <c r="F133" s="645">
        <v>105836.27</v>
      </c>
      <c r="G133" s="728">
        <f t="shared" si="22"/>
        <v>492.57000000000698</v>
      </c>
      <c r="H133" s="395">
        <f t="shared" si="21"/>
        <v>492.57000000000698</v>
      </c>
      <c r="I133" s="442"/>
      <c r="J133" s="441">
        <f>H133/DAY(B2)</f>
        <v>492.57000000000698</v>
      </c>
    </row>
    <row r="134" spans="1:15" ht="22.5" x14ac:dyDescent="0.4">
      <c r="A134" s="785" t="s">
        <v>340</v>
      </c>
      <c r="B134" s="779"/>
      <c r="C134" s="769"/>
      <c r="D134" s="393" t="s">
        <v>183</v>
      </c>
      <c r="E134" s="442">
        <v>8601.23</v>
      </c>
      <c r="F134" s="645">
        <v>8755.39</v>
      </c>
      <c r="G134" s="728">
        <f>F134-E134</f>
        <v>154.15999999999985</v>
      </c>
      <c r="H134" s="395">
        <f t="shared" ref="H134" si="23">G134</f>
        <v>154.15999999999985</v>
      </c>
      <c r="I134" s="442"/>
      <c r="J134" s="441">
        <f>H134/DAY(B2)</f>
        <v>154.15999999999985</v>
      </c>
    </row>
    <row r="135" spans="1:15" ht="22.5" x14ac:dyDescent="0.4">
      <c r="A135" s="786" t="s">
        <v>196</v>
      </c>
      <c r="B135" s="787"/>
      <c r="C135" s="788"/>
      <c r="D135" s="393"/>
      <c r="E135" s="442"/>
      <c r="F135" s="442"/>
      <c r="G135" s="723">
        <f>SUM(G128:G134)</f>
        <v>1856.6599999999999</v>
      </c>
      <c r="H135" s="395">
        <f t="shared" si="21"/>
        <v>1856.6599999999999</v>
      </c>
      <c r="I135" s="156">
        <f>G135-(G35+G49)</f>
        <v>-328.44000000000233</v>
      </c>
      <c r="J135" s="441">
        <f>H135/DAY(B2)</f>
        <v>1856.6599999999999</v>
      </c>
    </row>
    <row r="136" spans="1:15" ht="22.5" x14ac:dyDescent="0.4">
      <c r="A136" s="774" t="s">
        <v>325</v>
      </c>
      <c r="B136" s="774"/>
      <c r="C136" s="774"/>
      <c r="D136" s="774"/>
      <c r="E136" s="774"/>
      <c r="F136" s="774"/>
      <c r="G136" s="774"/>
      <c r="H136" s="774"/>
      <c r="I136" s="774"/>
      <c r="J136" s="774"/>
    </row>
    <row r="137" spans="1:15" ht="22.5" x14ac:dyDescent="0.4">
      <c r="A137" s="165"/>
      <c r="B137" s="434"/>
      <c r="C137" s="434"/>
      <c r="D137" s="434"/>
      <c r="E137" s="442"/>
      <c r="F137" s="442"/>
      <c r="G137" s="734"/>
      <c r="H137" s="439"/>
      <c r="I137" s="442"/>
      <c r="J137" s="439"/>
    </row>
    <row r="138" spans="1:15" ht="22.5" x14ac:dyDescent="0.4">
      <c r="A138" s="780" t="s">
        <v>185</v>
      </c>
      <c r="B138" s="780"/>
      <c r="C138" s="780"/>
      <c r="D138" s="393" t="s">
        <v>183</v>
      </c>
      <c r="E138" s="445">
        <v>866173</v>
      </c>
      <c r="F138" s="445">
        <v>866234</v>
      </c>
      <c r="G138" s="723">
        <f t="shared" ref="G138:G150" si="24">F138-E138</f>
        <v>61</v>
      </c>
      <c r="H138" s="395">
        <f t="shared" ref="H138:H150" si="25">G138</f>
        <v>61</v>
      </c>
      <c r="I138" s="394"/>
      <c r="J138" s="441">
        <f>H138/DAY(B2)</f>
        <v>61</v>
      </c>
    </row>
    <row r="139" spans="1:15" ht="22.5" x14ac:dyDescent="0.4">
      <c r="A139" s="780" t="s">
        <v>186</v>
      </c>
      <c r="B139" s="780"/>
      <c r="C139" s="780"/>
      <c r="D139" s="393" t="s">
        <v>183</v>
      </c>
      <c r="E139" s="446">
        <v>886573</v>
      </c>
      <c r="F139" s="446">
        <v>886574</v>
      </c>
      <c r="G139" s="723">
        <f t="shared" si="24"/>
        <v>1</v>
      </c>
      <c r="H139" s="395">
        <f t="shared" si="25"/>
        <v>1</v>
      </c>
      <c r="I139" s="394"/>
      <c r="J139" s="441">
        <f>H139/DAY(B2)</f>
        <v>1</v>
      </c>
    </row>
    <row r="140" spans="1:15" ht="22.5" x14ac:dyDescent="0.4">
      <c r="A140" s="780" t="s">
        <v>187</v>
      </c>
      <c r="B140" s="780"/>
      <c r="C140" s="780"/>
      <c r="D140" s="393" t="s">
        <v>183</v>
      </c>
      <c r="E140" s="447">
        <v>88922</v>
      </c>
      <c r="F140" s="447">
        <v>88922</v>
      </c>
      <c r="G140" s="723">
        <f t="shared" si="24"/>
        <v>0</v>
      </c>
      <c r="H140" s="395">
        <f t="shared" si="25"/>
        <v>0</v>
      </c>
      <c r="I140" s="394"/>
      <c r="J140" s="441">
        <f>H140/DAY(B2)</f>
        <v>0</v>
      </c>
    </row>
    <row r="141" spans="1:15" ht="22.5" x14ac:dyDescent="0.4">
      <c r="A141" s="783" t="s">
        <v>188</v>
      </c>
      <c r="B141" s="783"/>
      <c r="C141" s="783"/>
      <c r="D141" s="448" t="s">
        <v>183</v>
      </c>
      <c r="E141" s="447">
        <v>54685.58</v>
      </c>
      <c r="F141" s="446">
        <v>54851.17</v>
      </c>
      <c r="G141" s="728">
        <f t="shared" si="24"/>
        <v>165.58999999999651</v>
      </c>
      <c r="H141" s="453">
        <f t="shared" si="25"/>
        <v>165.58999999999651</v>
      </c>
      <c r="I141" s="657"/>
      <c r="J141" s="525">
        <f>H141/DAY(B2)</f>
        <v>165.58999999999651</v>
      </c>
    </row>
    <row r="142" spans="1:15" ht="22.5" x14ac:dyDescent="0.4">
      <c r="A142" s="783" t="s">
        <v>189</v>
      </c>
      <c r="B142" s="783"/>
      <c r="C142" s="783"/>
      <c r="D142" s="448" t="s">
        <v>183</v>
      </c>
      <c r="E142" s="446">
        <v>21284.1</v>
      </c>
      <c r="F142" s="446">
        <v>21357.57</v>
      </c>
      <c r="G142" s="728">
        <f t="shared" si="24"/>
        <v>73.470000000001164</v>
      </c>
      <c r="H142" s="453">
        <f t="shared" si="25"/>
        <v>73.470000000001164</v>
      </c>
      <c r="I142" s="658"/>
      <c r="J142" s="525">
        <f>H142/DAY(B2)</f>
        <v>73.470000000001164</v>
      </c>
    </row>
    <row r="143" spans="1:15" ht="22.5" x14ac:dyDescent="0.4">
      <c r="A143" s="839" t="s">
        <v>91</v>
      </c>
      <c r="B143" s="839"/>
      <c r="C143" s="839"/>
      <c r="D143" s="448" t="s">
        <v>183</v>
      </c>
      <c r="E143" s="447">
        <v>3835.39</v>
      </c>
      <c r="F143" s="446">
        <v>3864.39</v>
      </c>
      <c r="G143" s="728">
        <f t="shared" si="24"/>
        <v>29</v>
      </c>
      <c r="H143" s="453">
        <f t="shared" si="25"/>
        <v>29</v>
      </c>
      <c r="I143" s="658"/>
      <c r="J143" s="525">
        <f>H143/DAY(B2)</f>
        <v>29</v>
      </c>
    </row>
    <row r="144" spans="1:15" ht="22.5" x14ac:dyDescent="0.4">
      <c r="A144" s="783" t="s">
        <v>90</v>
      </c>
      <c r="B144" s="783"/>
      <c r="C144" s="783"/>
      <c r="D144" s="448" t="s">
        <v>183</v>
      </c>
      <c r="E144" s="447">
        <v>876487</v>
      </c>
      <c r="F144" s="446">
        <v>876683</v>
      </c>
      <c r="G144" s="728">
        <f t="shared" si="24"/>
        <v>196</v>
      </c>
      <c r="H144" s="453">
        <f t="shared" si="25"/>
        <v>196</v>
      </c>
      <c r="I144" s="658"/>
      <c r="J144" s="525">
        <f>H144/DAY(B2)</f>
        <v>196</v>
      </c>
    </row>
    <row r="145" spans="1:10" ht="22.5" x14ac:dyDescent="0.4">
      <c r="A145" s="839" t="s">
        <v>190</v>
      </c>
      <c r="B145" s="839"/>
      <c r="C145" s="839"/>
      <c r="D145" s="448" t="s">
        <v>183</v>
      </c>
      <c r="E145" s="447">
        <v>4958.84</v>
      </c>
      <c r="F145" s="446">
        <v>4971.62</v>
      </c>
      <c r="G145" s="728">
        <f t="shared" si="24"/>
        <v>12.779999999999745</v>
      </c>
      <c r="H145" s="453">
        <f t="shared" si="25"/>
        <v>12.779999999999745</v>
      </c>
      <c r="I145" s="658"/>
      <c r="J145" s="525">
        <f>H145/DAY(B2)</f>
        <v>12.779999999999745</v>
      </c>
    </row>
    <row r="146" spans="1:10" ht="22.5" x14ac:dyDescent="0.4">
      <c r="A146" s="840" t="s">
        <v>191</v>
      </c>
      <c r="B146" s="841"/>
      <c r="C146" s="842"/>
      <c r="D146" s="448" t="s">
        <v>183</v>
      </c>
      <c r="E146" s="446">
        <v>737333</v>
      </c>
      <c r="F146" s="446">
        <v>737727</v>
      </c>
      <c r="G146" s="728">
        <f t="shared" si="24"/>
        <v>394</v>
      </c>
      <c r="H146" s="453">
        <f t="shared" si="25"/>
        <v>394</v>
      </c>
      <c r="I146" s="658"/>
      <c r="J146" s="525">
        <f>H146/DAY(B2)</f>
        <v>394</v>
      </c>
    </row>
    <row r="147" spans="1:10" ht="22.5" x14ac:dyDescent="0.4">
      <c r="A147" s="783" t="s">
        <v>192</v>
      </c>
      <c r="B147" s="783"/>
      <c r="C147" s="783"/>
      <c r="D147" s="448" t="s">
        <v>183</v>
      </c>
      <c r="E147" s="446">
        <v>626612.52</v>
      </c>
      <c r="F147" s="446">
        <v>626981.80000000005</v>
      </c>
      <c r="G147" s="728">
        <f t="shared" si="24"/>
        <v>369.28000000002794</v>
      </c>
      <c r="H147" s="453">
        <f t="shared" si="25"/>
        <v>369.28000000002794</v>
      </c>
      <c r="I147" s="658"/>
      <c r="J147" s="525">
        <f>H147/DAY(B2)</f>
        <v>369.28000000002794</v>
      </c>
    </row>
    <row r="148" spans="1:10" ht="22.5" x14ac:dyDescent="0.4">
      <c r="A148" s="835" t="s">
        <v>193</v>
      </c>
      <c r="B148" s="836"/>
      <c r="C148" s="837"/>
      <c r="D148" s="507" t="s">
        <v>130</v>
      </c>
      <c r="E148" s="407">
        <v>689442.96</v>
      </c>
      <c r="F148" s="433">
        <v>689638</v>
      </c>
      <c r="G148" s="728">
        <f t="shared" si="24"/>
        <v>195.04000000003725</v>
      </c>
      <c r="H148" s="453">
        <f t="shared" si="25"/>
        <v>195.04000000003725</v>
      </c>
      <c r="I148" s="453"/>
      <c r="J148" s="525">
        <f>H148/DAY(B2)</f>
        <v>195.04000000003725</v>
      </c>
    </row>
    <row r="149" spans="1:10" ht="22.5" x14ac:dyDescent="0.4">
      <c r="A149" s="835" t="s">
        <v>336</v>
      </c>
      <c r="B149" s="836"/>
      <c r="C149" s="837"/>
      <c r="D149" s="526" t="s">
        <v>130</v>
      </c>
      <c r="E149" s="387">
        <v>24678.2</v>
      </c>
      <c r="F149" s="448">
        <v>25075.18</v>
      </c>
      <c r="G149" s="728">
        <f t="shared" si="24"/>
        <v>396.97999999999956</v>
      </c>
      <c r="H149" s="453">
        <f t="shared" si="25"/>
        <v>396.97999999999956</v>
      </c>
      <c r="I149" s="650"/>
      <c r="J149" s="525">
        <f>H149/DAY(B2)</f>
        <v>396.97999999999956</v>
      </c>
    </row>
    <row r="150" spans="1:10" ht="22.5" x14ac:dyDescent="0.4">
      <c r="A150" s="835" t="s">
        <v>337</v>
      </c>
      <c r="B150" s="836"/>
      <c r="C150" s="837"/>
      <c r="D150" s="507" t="s">
        <v>130</v>
      </c>
      <c r="E150" s="448">
        <v>10850.83</v>
      </c>
      <c r="F150" s="448">
        <v>11065.7</v>
      </c>
      <c r="G150" s="728">
        <f t="shared" si="24"/>
        <v>214.8700000000008</v>
      </c>
      <c r="H150" s="453">
        <f t="shared" si="25"/>
        <v>214.8700000000008</v>
      </c>
      <c r="I150" s="650"/>
      <c r="J150" s="525">
        <f>H150/DAY(B2)</f>
        <v>214.8700000000008</v>
      </c>
    </row>
    <row r="151" spans="1:10" ht="22.5" x14ac:dyDescent="0.4">
      <c r="A151" s="835" t="s">
        <v>338</v>
      </c>
      <c r="B151" s="836"/>
      <c r="C151" s="837"/>
      <c r="D151" s="527"/>
      <c r="E151" s="448">
        <v>85480</v>
      </c>
      <c r="F151" s="448">
        <v>85706</v>
      </c>
      <c r="G151" s="728">
        <f t="shared" ref="G151:G152" si="26">F151-E151</f>
        <v>226</v>
      </c>
      <c r="H151" s="453">
        <f t="shared" ref="H151:H153" si="27">G151</f>
        <v>226</v>
      </c>
      <c r="I151" s="650"/>
      <c r="J151" s="525">
        <f>H151/DAY(B2)</f>
        <v>226</v>
      </c>
    </row>
    <row r="152" spans="1:10" ht="22.5" x14ac:dyDescent="0.4">
      <c r="A152" s="835" t="s">
        <v>339</v>
      </c>
      <c r="B152" s="836"/>
      <c r="C152" s="837"/>
      <c r="D152" s="527"/>
      <c r="E152" s="448">
        <v>1660</v>
      </c>
      <c r="F152" s="448">
        <v>1676.46</v>
      </c>
      <c r="G152" s="728">
        <f t="shared" si="26"/>
        <v>16.460000000000036</v>
      </c>
      <c r="H152" s="453">
        <f t="shared" si="27"/>
        <v>16.460000000000036</v>
      </c>
      <c r="I152" s="650"/>
      <c r="J152" s="525">
        <f>H152/DAY(B2)</f>
        <v>16.460000000000036</v>
      </c>
    </row>
    <row r="153" spans="1:10" ht="22.5" x14ac:dyDescent="0.4">
      <c r="A153" s="786" t="s">
        <v>196</v>
      </c>
      <c r="B153" s="787"/>
      <c r="C153" s="788"/>
      <c r="D153" s="527"/>
      <c r="E153" s="449"/>
      <c r="F153" s="449"/>
      <c r="G153" s="735">
        <f>SUM(G138:G152)</f>
        <v>2351.470000000063</v>
      </c>
      <c r="H153" s="528">
        <f t="shared" si="27"/>
        <v>2351.470000000063</v>
      </c>
      <c r="I153" s="651">
        <f>G153-(G38+G52)</f>
        <v>731.20000000006621</v>
      </c>
      <c r="J153" s="529"/>
    </row>
    <row r="154" spans="1:10" ht="22.5" x14ac:dyDescent="0.4">
      <c r="A154" s="838" t="s">
        <v>344</v>
      </c>
      <c r="B154" s="838"/>
      <c r="C154" s="838"/>
      <c r="D154" s="838"/>
      <c r="E154" s="838"/>
      <c r="F154" s="838"/>
      <c r="G154" s="838"/>
      <c r="H154" s="838"/>
      <c r="I154" s="838"/>
      <c r="J154" s="838"/>
    </row>
    <row r="155" spans="1:10" ht="27.75" customHeight="1" x14ac:dyDescent="0.5">
      <c r="A155" s="783" t="s">
        <v>345</v>
      </c>
      <c r="B155" s="783"/>
      <c r="C155" s="783"/>
      <c r="D155" s="457"/>
      <c r="E155" s="712">
        <v>32385</v>
      </c>
      <c r="F155" s="645">
        <v>32945</v>
      </c>
      <c r="G155" s="728">
        <f t="shared" ref="G155:G158" si="28">F155-E155</f>
        <v>560</v>
      </c>
      <c r="H155" s="645"/>
      <c r="I155" s="645"/>
      <c r="J155" s="525">
        <f>H155/DAY(B2)</f>
        <v>0</v>
      </c>
    </row>
    <row r="156" spans="1:10" ht="25.5" customHeight="1" x14ac:dyDescent="0.4">
      <c r="A156" s="783" t="s">
        <v>349</v>
      </c>
      <c r="B156" s="783"/>
      <c r="C156" s="783"/>
      <c r="D156" s="461"/>
      <c r="E156" s="442">
        <v>2736</v>
      </c>
      <c r="F156" s="645">
        <v>2788</v>
      </c>
      <c r="G156" s="728">
        <f t="shared" si="28"/>
        <v>52</v>
      </c>
      <c r="H156" s="460"/>
      <c r="I156" s="645"/>
      <c r="J156" s="525">
        <f>H156/DAY(B2)</f>
        <v>0</v>
      </c>
    </row>
    <row r="157" spans="1:10" ht="25.5" customHeight="1" x14ac:dyDescent="0.5">
      <c r="A157" s="760" t="s">
        <v>363</v>
      </c>
      <c r="B157" s="761"/>
      <c r="C157" s="762"/>
      <c r="D157" s="401" t="s">
        <v>130</v>
      </c>
      <c r="E157" s="394">
        <v>4032</v>
      </c>
      <c r="F157" s="645">
        <v>4127.37</v>
      </c>
      <c r="G157" s="728">
        <f t="shared" si="28"/>
        <v>95.369999999999891</v>
      </c>
      <c r="H157" s="460"/>
      <c r="I157" s="645"/>
      <c r="J157" s="525"/>
    </row>
    <row r="158" spans="1:10" ht="25.5" customHeight="1" x14ac:dyDescent="0.5">
      <c r="A158" s="760" t="s">
        <v>364</v>
      </c>
      <c r="B158" s="761"/>
      <c r="C158" s="762"/>
      <c r="D158" s="401" t="s">
        <v>130</v>
      </c>
      <c r="E158" s="442">
        <v>46.66</v>
      </c>
      <c r="F158" s="645">
        <v>46.66</v>
      </c>
      <c r="G158" s="728">
        <f t="shared" si="28"/>
        <v>0</v>
      </c>
      <c r="H158" s="460"/>
      <c r="I158" s="645"/>
      <c r="J158" s="525"/>
    </row>
    <row r="159" spans="1:10" ht="25.5" customHeight="1" x14ac:dyDescent="0.4">
      <c r="A159" s="763"/>
      <c r="B159" s="764"/>
      <c r="C159" s="765"/>
      <c r="D159" s="461"/>
      <c r="E159" s="442"/>
      <c r="F159" s="645"/>
      <c r="G159" s="728"/>
      <c r="H159" s="460"/>
      <c r="I159" s="645"/>
      <c r="J159" s="525"/>
    </row>
    <row r="160" spans="1:10" ht="22.5" x14ac:dyDescent="0.4">
      <c r="A160" s="774" t="s">
        <v>326</v>
      </c>
      <c r="B160" s="774"/>
      <c r="C160" s="774"/>
      <c r="D160" s="774"/>
      <c r="E160" s="774"/>
      <c r="F160" s="774"/>
      <c r="G160" s="774"/>
      <c r="H160" s="774"/>
      <c r="I160" s="774"/>
      <c r="J160" s="774"/>
    </row>
    <row r="161" spans="1:10" ht="22.5" x14ac:dyDescent="0.4">
      <c r="A161" s="524" t="s">
        <v>92</v>
      </c>
      <c r="B161" s="450"/>
      <c r="C161" s="450"/>
      <c r="D161" s="451" t="s">
        <v>180</v>
      </c>
      <c r="E161" s="452">
        <v>472053.56</v>
      </c>
      <c r="F161" s="452">
        <v>472101.84</v>
      </c>
      <c r="G161" s="736">
        <f t="shared" ref="G161:G168" si="29">F161-E161</f>
        <v>48.28000000002794</v>
      </c>
      <c r="H161" s="395">
        <f t="shared" ref="H161:H168" si="30">G161</f>
        <v>48.28000000002794</v>
      </c>
      <c r="I161" s="650"/>
      <c r="J161" s="454">
        <f>H161/DAY(B2)</f>
        <v>48.28000000002794</v>
      </c>
    </row>
    <row r="162" spans="1:10" ht="22.5" x14ac:dyDescent="0.4">
      <c r="A162" s="524" t="s">
        <v>93</v>
      </c>
      <c r="B162" s="450"/>
      <c r="C162" s="450"/>
      <c r="D162" s="451" t="s">
        <v>180</v>
      </c>
      <c r="E162" s="452">
        <v>88516.4</v>
      </c>
      <c r="F162" s="452">
        <v>88558.399999999994</v>
      </c>
      <c r="G162" s="736">
        <f t="shared" si="29"/>
        <v>42</v>
      </c>
      <c r="H162" s="395">
        <f t="shared" si="30"/>
        <v>42</v>
      </c>
      <c r="I162" s="650"/>
      <c r="J162" s="454">
        <f>H162/DAY(B2)</f>
        <v>42</v>
      </c>
    </row>
    <row r="163" spans="1:10" ht="22.5" x14ac:dyDescent="0.4">
      <c r="A163" s="524" t="s">
        <v>197</v>
      </c>
      <c r="B163" s="450"/>
      <c r="C163" s="450"/>
      <c r="D163" s="451" t="s">
        <v>180</v>
      </c>
      <c r="E163" s="452">
        <v>79220.100000000006</v>
      </c>
      <c r="F163" s="452">
        <v>79251.5</v>
      </c>
      <c r="G163" s="736">
        <f t="shared" si="29"/>
        <v>31.399999999994179</v>
      </c>
      <c r="H163" s="395">
        <f t="shared" si="30"/>
        <v>31.399999999994179</v>
      </c>
      <c r="I163" s="650"/>
      <c r="J163" s="454">
        <f>H163/DAY(B2)</f>
        <v>31.399999999994179</v>
      </c>
    </row>
    <row r="164" spans="1:10" ht="22.5" x14ac:dyDescent="0.4">
      <c r="A164" s="524" t="s">
        <v>197</v>
      </c>
      <c r="B164" s="450"/>
      <c r="C164" s="450"/>
      <c r="D164" s="451" t="s">
        <v>180</v>
      </c>
      <c r="E164" s="452">
        <v>4320</v>
      </c>
      <c r="F164" s="452">
        <v>4320.8</v>
      </c>
      <c r="G164" s="736">
        <f>F164-E164</f>
        <v>0.8000000000001819</v>
      </c>
      <c r="H164" s="395">
        <f t="shared" si="30"/>
        <v>0.8000000000001819</v>
      </c>
      <c r="I164" s="650"/>
      <c r="J164" s="454">
        <f>H164/DAY(B2)</f>
        <v>0.8000000000001819</v>
      </c>
    </row>
    <row r="165" spans="1:10" ht="22.5" x14ac:dyDescent="0.4">
      <c r="A165" s="524" t="s">
        <v>309</v>
      </c>
      <c r="B165" s="450"/>
      <c r="C165" s="450"/>
      <c r="D165" s="451" t="s">
        <v>180</v>
      </c>
      <c r="E165" s="452">
        <v>29857.25</v>
      </c>
      <c r="F165" s="452">
        <v>29866.080000000002</v>
      </c>
      <c r="G165" s="736">
        <f t="shared" si="29"/>
        <v>8.8300000000017462</v>
      </c>
      <c r="H165" s="395">
        <f t="shared" si="30"/>
        <v>8.8300000000017462</v>
      </c>
      <c r="I165" s="650"/>
      <c r="J165" s="454">
        <f>H165/DAY(B2)</f>
        <v>8.8300000000017462</v>
      </c>
    </row>
    <row r="166" spans="1:10" ht="22.5" x14ac:dyDescent="0.4">
      <c r="A166" s="775"/>
      <c r="B166" s="775"/>
      <c r="C166" s="434"/>
      <c r="D166" s="451" t="s">
        <v>180</v>
      </c>
      <c r="E166" s="442"/>
      <c r="F166" s="442"/>
      <c r="G166" s="736">
        <f t="shared" si="29"/>
        <v>0</v>
      </c>
      <c r="H166" s="395">
        <f t="shared" si="30"/>
        <v>0</v>
      </c>
      <c r="I166" s="442"/>
      <c r="J166" s="439"/>
    </row>
    <row r="167" spans="1:10" ht="22.5" x14ac:dyDescent="0.4">
      <c r="A167" s="775"/>
      <c r="B167" s="775"/>
      <c r="C167" s="434"/>
      <c r="D167" s="451" t="s">
        <v>180</v>
      </c>
      <c r="E167" s="442"/>
      <c r="F167" s="442"/>
      <c r="G167" s="736">
        <f t="shared" si="29"/>
        <v>0</v>
      </c>
      <c r="H167" s="395">
        <f t="shared" si="30"/>
        <v>0</v>
      </c>
      <c r="I167" s="442"/>
      <c r="J167" s="439"/>
    </row>
    <row r="168" spans="1:10" ht="22.5" x14ac:dyDescent="0.4">
      <c r="A168" s="775"/>
      <c r="B168" s="775"/>
      <c r="C168" s="434"/>
      <c r="D168" s="451" t="s">
        <v>180</v>
      </c>
      <c r="E168" s="442"/>
      <c r="F168" s="442"/>
      <c r="G168" s="736">
        <f t="shared" si="29"/>
        <v>0</v>
      </c>
      <c r="H168" s="395">
        <f t="shared" si="30"/>
        <v>0</v>
      </c>
      <c r="I168" s="442"/>
      <c r="J168" s="439"/>
    </row>
    <row r="169" spans="1:10" ht="22.5" x14ac:dyDescent="0.4"/>
    <row r="170" spans="1:10" ht="22.5" x14ac:dyDescent="0.4"/>
    <row r="171" spans="1:10" ht="22.5" x14ac:dyDescent="0.4">
      <c r="A171" s="776" t="s">
        <v>330</v>
      </c>
      <c r="B171" s="777"/>
      <c r="C171" s="777"/>
      <c r="D171" s="777"/>
      <c r="E171" s="777"/>
      <c r="F171" s="777"/>
      <c r="G171" s="777"/>
      <c r="H171" s="777"/>
      <c r="I171" s="777"/>
      <c r="J171" s="778"/>
    </row>
    <row r="172" spans="1:10" ht="22.5" x14ac:dyDescent="0.4">
      <c r="A172" s="772"/>
      <c r="B172" s="773"/>
      <c r="C172" s="455"/>
      <c r="D172" s="506"/>
      <c r="E172" s="442"/>
      <c r="F172" s="442"/>
      <c r="G172" s="734"/>
      <c r="H172" s="439"/>
      <c r="I172" s="442"/>
      <c r="J172" s="456">
        <f>H172/DAY(B2)</f>
        <v>0</v>
      </c>
    </row>
    <row r="173" spans="1:10" ht="22.5" x14ac:dyDescent="0.4">
      <c r="A173" s="768" t="s">
        <v>209</v>
      </c>
      <c r="B173" s="769"/>
      <c r="C173" s="377"/>
      <c r="D173" s="506" t="s">
        <v>142</v>
      </c>
      <c r="E173" s="700">
        <v>8126</v>
      </c>
      <c r="F173" s="442">
        <v>8126</v>
      </c>
      <c r="G173" s="734">
        <f>F173-E173</f>
        <v>0</v>
      </c>
      <c r="H173" s="395">
        <f t="shared" ref="H173:H189" si="31">G173</f>
        <v>0</v>
      </c>
      <c r="I173" s="442"/>
      <c r="J173" s="456">
        <f>H173/DAY(B2)</f>
        <v>0</v>
      </c>
    </row>
    <row r="174" spans="1:10" ht="22.5" x14ac:dyDescent="0.4">
      <c r="A174" s="768" t="s">
        <v>75</v>
      </c>
      <c r="B174" s="769"/>
      <c r="C174" s="377"/>
      <c r="D174" s="506" t="s">
        <v>142</v>
      </c>
      <c r="E174" s="699">
        <v>38615</v>
      </c>
      <c r="F174" s="645">
        <v>38626</v>
      </c>
      <c r="G174" s="734">
        <f t="shared" ref="G174:G175" si="32">F174-E174</f>
        <v>11</v>
      </c>
      <c r="H174" s="395">
        <f t="shared" si="31"/>
        <v>11</v>
      </c>
      <c r="I174" s="442"/>
      <c r="J174" s="456">
        <f>H174/DAY(B2)</f>
        <v>11</v>
      </c>
    </row>
    <row r="175" spans="1:10" ht="22.5" x14ac:dyDescent="0.4">
      <c r="A175" s="768" t="s">
        <v>76</v>
      </c>
      <c r="B175" s="779"/>
      <c r="C175" s="769"/>
      <c r="D175" s="506" t="s">
        <v>142</v>
      </c>
      <c r="E175" s="442">
        <v>21813</v>
      </c>
      <c r="F175" s="442">
        <v>21823</v>
      </c>
      <c r="G175" s="734">
        <f t="shared" si="32"/>
        <v>10</v>
      </c>
      <c r="H175" s="395">
        <f t="shared" si="31"/>
        <v>10</v>
      </c>
      <c r="I175" s="442"/>
      <c r="J175" s="456"/>
    </row>
    <row r="176" spans="1:10" ht="22.5" x14ac:dyDescent="0.4">
      <c r="A176" s="766" t="s">
        <v>196</v>
      </c>
      <c r="B176" s="767"/>
      <c r="C176" s="377"/>
      <c r="D176" s="506"/>
      <c r="E176" s="442"/>
      <c r="F176" s="442"/>
      <c r="G176" s="734">
        <f>SUM(G173:G175)</f>
        <v>21</v>
      </c>
      <c r="H176" s="395">
        <f t="shared" si="31"/>
        <v>21</v>
      </c>
      <c r="I176" s="442"/>
      <c r="J176" s="456">
        <f>H176/DAY(B2)</f>
        <v>21</v>
      </c>
    </row>
    <row r="177" spans="1:10" ht="22.5" x14ac:dyDescent="0.4">
      <c r="A177" s="768" t="s">
        <v>77</v>
      </c>
      <c r="B177" s="769"/>
      <c r="C177" s="377"/>
      <c r="D177" s="506" t="s">
        <v>142</v>
      </c>
      <c r="E177" s="442"/>
      <c r="F177" s="442"/>
      <c r="G177" s="734"/>
      <c r="H177" s="395">
        <f t="shared" si="31"/>
        <v>0</v>
      </c>
      <c r="I177" s="442"/>
      <c r="J177" s="456">
        <f>H177/DAY(B2)</f>
        <v>0</v>
      </c>
    </row>
    <row r="178" spans="1:10" ht="22.5" x14ac:dyDescent="0.4">
      <c r="A178" s="768" t="s">
        <v>210</v>
      </c>
      <c r="B178" s="769"/>
      <c r="C178" s="377"/>
      <c r="D178" s="506" t="s">
        <v>142</v>
      </c>
      <c r="E178" s="442">
        <v>81315</v>
      </c>
      <c r="F178" s="442">
        <v>81358</v>
      </c>
      <c r="G178" s="734">
        <f>F178-E178</f>
        <v>43</v>
      </c>
      <c r="H178" s="395">
        <f t="shared" si="31"/>
        <v>43</v>
      </c>
      <c r="I178" s="442"/>
      <c r="J178" s="456">
        <f>H178/DAY(B2)</f>
        <v>43</v>
      </c>
    </row>
    <row r="179" spans="1:10" ht="22.5" x14ac:dyDescent="0.4">
      <c r="A179" s="768" t="s">
        <v>211</v>
      </c>
      <c r="B179" s="769"/>
      <c r="C179" s="377"/>
      <c r="D179" s="506" t="s">
        <v>142</v>
      </c>
      <c r="E179" s="699">
        <v>34803</v>
      </c>
      <c r="F179" s="442">
        <v>34832</v>
      </c>
      <c r="G179" s="734">
        <f t="shared" ref="G179:G180" si="33">F179-E179</f>
        <v>29</v>
      </c>
      <c r="H179" s="395">
        <f t="shared" si="31"/>
        <v>29</v>
      </c>
      <c r="I179" s="442"/>
      <c r="J179" s="456">
        <f>H179/DAY(B2)</f>
        <v>29</v>
      </c>
    </row>
    <row r="180" spans="1:10" ht="22.5" x14ac:dyDescent="0.4">
      <c r="A180" s="768" t="s">
        <v>212</v>
      </c>
      <c r="B180" s="769"/>
      <c r="C180" s="377"/>
      <c r="D180" s="506" t="s">
        <v>142</v>
      </c>
      <c r="E180" s="699">
        <v>5702</v>
      </c>
      <c r="F180" s="442">
        <v>5705</v>
      </c>
      <c r="G180" s="734">
        <f t="shared" si="33"/>
        <v>3</v>
      </c>
      <c r="H180" s="395">
        <f t="shared" si="31"/>
        <v>3</v>
      </c>
      <c r="I180" s="442"/>
      <c r="J180" s="456">
        <f>H180/DAY(B2)</f>
        <v>3</v>
      </c>
    </row>
    <row r="181" spans="1:10" ht="22.5" x14ac:dyDescent="0.4">
      <c r="A181" s="766" t="s">
        <v>108</v>
      </c>
      <c r="B181" s="767"/>
      <c r="C181" s="377"/>
      <c r="D181" s="506"/>
      <c r="E181" s="699"/>
      <c r="F181" s="442"/>
      <c r="G181" s="734">
        <f>SUM(G178:G180)</f>
        <v>75</v>
      </c>
      <c r="H181" s="395">
        <f t="shared" si="31"/>
        <v>75</v>
      </c>
      <c r="I181" s="442"/>
      <c r="J181" s="456">
        <f>H181/DAY(B2)</f>
        <v>75</v>
      </c>
    </row>
    <row r="182" spans="1:10" ht="21.95" customHeight="1" x14ac:dyDescent="0.4">
      <c r="A182" s="768" t="s">
        <v>213</v>
      </c>
      <c r="B182" s="769"/>
      <c r="C182" s="377"/>
      <c r="D182" s="506"/>
      <c r="E182" s="442"/>
      <c r="F182" s="442"/>
      <c r="G182" s="734"/>
      <c r="H182" s="395">
        <f t="shared" si="31"/>
        <v>0</v>
      </c>
      <c r="I182" s="442"/>
      <c r="J182" s="456">
        <f>H182/DAY(B2)</f>
        <v>0</v>
      </c>
    </row>
    <row r="183" spans="1:10" ht="21.95" customHeight="1" x14ac:dyDescent="0.4">
      <c r="A183" s="768" t="s">
        <v>214</v>
      </c>
      <c r="B183" s="769"/>
      <c r="C183" s="377"/>
      <c r="D183" s="506" t="s">
        <v>142</v>
      </c>
      <c r="E183" s="699">
        <v>15345</v>
      </c>
      <c r="F183" s="645">
        <v>15356</v>
      </c>
      <c r="G183" s="584">
        <f>F183-E183</f>
        <v>11</v>
      </c>
      <c r="H183" s="395">
        <f t="shared" si="31"/>
        <v>11</v>
      </c>
      <c r="I183" s="442"/>
      <c r="J183" s="456">
        <f>H183/DAY(B2)</f>
        <v>11</v>
      </c>
    </row>
    <row r="184" spans="1:10" ht="21.95" customHeight="1" x14ac:dyDescent="0.4">
      <c r="A184" s="768" t="s">
        <v>215</v>
      </c>
      <c r="B184" s="769"/>
      <c r="C184" s="377"/>
      <c r="D184" s="506" t="s">
        <v>142</v>
      </c>
      <c r="E184" s="699">
        <v>10518</v>
      </c>
      <c r="F184" s="645">
        <v>10525</v>
      </c>
      <c r="G184" s="584">
        <f t="shared" ref="G184:G185" si="34">F184-E184</f>
        <v>7</v>
      </c>
      <c r="H184" s="395">
        <f t="shared" si="31"/>
        <v>7</v>
      </c>
      <c r="I184" s="442"/>
      <c r="J184" s="456">
        <f>H184/DAY(B2)</f>
        <v>7</v>
      </c>
    </row>
    <row r="185" spans="1:10" ht="22.5" x14ac:dyDescent="0.4">
      <c r="A185" s="768" t="s">
        <v>216</v>
      </c>
      <c r="B185" s="769"/>
      <c r="C185" s="377"/>
      <c r="D185" s="506" t="s">
        <v>142</v>
      </c>
      <c r="E185" s="699"/>
      <c r="F185" s="645"/>
      <c r="G185" s="584">
        <f t="shared" si="34"/>
        <v>0</v>
      </c>
      <c r="H185" s="395">
        <f t="shared" si="31"/>
        <v>0</v>
      </c>
      <c r="I185" s="442"/>
      <c r="J185" s="458">
        <f>H185/DAY(B2)</f>
        <v>0</v>
      </c>
    </row>
    <row r="186" spans="1:10" ht="22.5" x14ac:dyDescent="0.4">
      <c r="A186" s="766" t="s">
        <v>196</v>
      </c>
      <c r="B186" s="767"/>
      <c r="C186" s="377"/>
      <c r="D186" s="229"/>
      <c r="E186" s="699"/>
      <c r="F186" s="645"/>
      <c r="G186" s="584">
        <f>SUM(G183:G185)</f>
        <v>18</v>
      </c>
      <c r="H186" s="395">
        <f t="shared" si="31"/>
        <v>18</v>
      </c>
      <c r="I186" s="645"/>
      <c r="J186" s="458">
        <f>H186/DAY(B2)</f>
        <v>18</v>
      </c>
    </row>
    <row r="187" spans="1:10" ht="22.5" x14ac:dyDescent="0.4">
      <c r="A187" s="768" t="s">
        <v>217</v>
      </c>
      <c r="B187" s="769"/>
      <c r="C187" s="377"/>
      <c r="D187" s="459" t="s">
        <v>142</v>
      </c>
      <c r="E187" s="460"/>
      <c r="F187" s="460"/>
      <c r="G187" s="584">
        <f>G62+G19</f>
        <v>118</v>
      </c>
      <c r="H187" s="395">
        <f t="shared" si="31"/>
        <v>118</v>
      </c>
      <c r="I187" s="645"/>
      <c r="J187" s="458">
        <f>H187/DAY(B2)</f>
        <v>118</v>
      </c>
    </row>
    <row r="188" spans="1:10" ht="22.5" x14ac:dyDescent="0.4">
      <c r="A188" s="768" t="s">
        <v>218</v>
      </c>
      <c r="B188" s="769"/>
      <c r="C188" s="377"/>
      <c r="D188" s="459" t="s">
        <v>142</v>
      </c>
      <c r="E188" s="460"/>
      <c r="F188" s="460"/>
      <c r="G188" s="584">
        <f>G65+G66+G67+G69+G70</f>
        <v>119</v>
      </c>
      <c r="H188" s="395">
        <f t="shared" si="31"/>
        <v>119</v>
      </c>
      <c r="I188" s="645"/>
      <c r="J188" s="654"/>
    </row>
    <row r="189" spans="1:10" ht="22.5" x14ac:dyDescent="0.4">
      <c r="A189" s="768" t="s">
        <v>219</v>
      </c>
      <c r="B189" s="769"/>
      <c r="C189" s="377"/>
      <c r="D189" s="459" t="s">
        <v>142</v>
      </c>
      <c r="E189" s="699"/>
      <c r="F189" s="645"/>
      <c r="G189" s="584">
        <f>G181</f>
        <v>75</v>
      </c>
      <c r="H189" s="395">
        <f t="shared" si="31"/>
        <v>75</v>
      </c>
      <c r="I189" s="645"/>
      <c r="J189" s="454">
        <f>H189/DAY(B2)</f>
        <v>75</v>
      </c>
    </row>
    <row r="190" spans="1:10" ht="27" x14ac:dyDescent="0.5">
      <c r="A190" s="770" t="s">
        <v>360</v>
      </c>
      <c r="B190" s="771"/>
      <c r="C190" s="595"/>
      <c r="D190" s="474"/>
      <c r="E190" s="659"/>
      <c r="F190" s="596">
        <v>52955</v>
      </c>
      <c r="G190" s="737">
        <f>F190-E190</f>
        <v>52955</v>
      </c>
      <c r="H190" s="476"/>
      <c r="I190" s="596"/>
      <c r="J190" s="476"/>
    </row>
    <row r="191" spans="1:10" ht="22.5" x14ac:dyDescent="0.4">
      <c r="A191" s="768"/>
      <c r="B191" s="769"/>
    </row>
    <row r="192" spans="1:10" ht="22.5" x14ac:dyDescent="0.4"/>
    <row r="193" ht="22.5" x14ac:dyDescent="0.4"/>
    <row r="194" ht="22.5" x14ac:dyDescent="0.4"/>
    <row r="195" ht="22.5" x14ac:dyDescent="0.4"/>
    <row r="196" ht="22.5" x14ac:dyDescent="0.4"/>
    <row r="197" ht="22.5" x14ac:dyDescent="0.4"/>
    <row r="198" ht="22.5" x14ac:dyDescent="0.4"/>
    <row r="199" ht="22.5" x14ac:dyDescent="0.4"/>
    <row r="200" ht="22.5" x14ac:dyDescent="0.4"/>
    <row r="201" ht="22.5" x14ac:dyDescent="0.4"/>
    <row r="202" ht="22.5" x14ac:dyDescent="0.4"/>
    <row r="203" ht="22.5" x14ac:dyDescent="0.4"/>
    <row r="204" ht="22.5" x14ac:dyDescent="0.4"/>
    <row r="205" ht="22.5" x14ac:dyDescent="0.4"/>
    <row r="206" ht="22.5" x14ac:dyDescent="0.4"/>
    <row r="207" ht="22.5" x14ac:dyDescent="0.4"/>
    <row r="208" ht="22.5" x14ac:dyDescent="0.4"/>
    <row r="209" ht="22.5" x14ac:dyDescent="0.4"/>
    <row r="210" ht="22.5" x14ac:dyDescent="0.4"/>
    <row r="211" ht="22.5" x14ac:dyDescent="0.4"/>
    <row r="212" ht="22.5" x14ac:dyDescent="0.4"/>
    <row r="213" ht="22.5" x14ac:dyDescent="0.4"/>
    <row r="214" ht="22.5" x14ac:dyDescent="0.4"/>
    <row r="215" ht="22.5" x14ac:dyDescent="0.4"/>
    <row r="216" ht="22.5" x14ac:dyDescent="0.4"/>
    <row r="217" ht="22.5" x14ac:dyDescent="0.4"/>
    <row r="218" ht="22.5" x14ac:dyDescent="0.4"/>
    <row r="219" ht="22.5" x14ac:dyDescent="0.4"/>
    <row r="220" ht="22.5" x14ac:dyDescent="0.4"/>
    <row r="221" ht="22.5" x14ac:dyDescent="0.4"/>
    <row r="222" ht="22.5" x14ac:dyDescent="0.4"/>
    <row r="223" ht="22.5" x14ac:dyDescent="0.4"/>
    <row r="224" ht="22.5" x14ac:dyDescent="0.4"/>
    <row r="225" ht="22.5" x14ac:dyDescent="0.4"/>
    <row r="226" ht="22.5" x14ac:dyDescent="0.4"/>
    <row r="227" ht="22.5" x14ac:dyDescent="0.4"/>
    <row r="228" ht="22.5" x14ac:dyDescent="0.4"/>
    <row r="229" ht="22.5" x14ac:dyDescent="0.4"/>
    <row r="230" ht="22.5" x14ac:dyDescent="0.4"/>
    <row r="231" ht="22.5" x14ac:dyDescent="0.4"/>
    <row r="232" ht="22.5" x14ac:dyDescent="0.4"/>
    <row r="233" ht="22.5" x14ac:dyDescent="0.4"/>
    <row r="234" ht="22.5" x14ac:dyDescent="0.4"/>
    <row r="235" ht="22.5" x14ac:dyDescent="0.4"/>
    <row r="236" ht="22.5" x14ac:dyDescent="0.4"/>
    <row r="237" ht="22.5" x14ac:dyDescent="0.4"/>
    <row r="238" ht="22.5" x14ac:dyDescent="0.4"/>
    <row r="239" ht="22.5" x14ac:dyDescent="0.4"/>
    <row r="240" ht="22.5" x14ac:dyDescent="0.4"/>
    <row r="241" ht="22.5" x14ac:dyDescent="0.4"/>
    <row r="242" ht="22.5" x14ac:dyDescent="0.4"/>
    <row r="243" ht="22.5" x14ac:dyDescent="0.4"/>
    <row r="244" ht="22.5" x14ac:dyDescent="0.4"/>
    <row r="245" ht="22.5" x14ac:dyDescent="0.4"/>
    <row r="246" ht="22.5" x14ac:dyDescent="0.4"/>
    <row r="247" ht="22.5" x14ac:dyDescent="0.4"/>
    <row r="248" ht="22.5" x14ac:dyDescent="0.4"/>
    <row r="249" ht="22.5" x14ac:dyDescent="0.4"/>
    <row r="250" ht="22.5" x14ac:dyDescent="0.4"/>
    <row r="251" ht="22.5" x14ac:dyDescent="0.4"/>
    <row r="252" ht="22.5" x14ac:dyDescent="0.4"/>
    <row r="253" ht="22.5" x14ac:dyDescent="0.4"/>
    <row r="254" ht="22.5" x14ac:dyDescent="0.4"/>
    <row r="255" ht="22.5" x14ac:dyDescent="0.4"/>
    <row r="256" ht="22.5" x14ac:dyDescent="0.4"/>
    <row r="257" ht="22.5" x14ac:dyDescent="0.4"/>
    <row r="258" ht="22.5" x14ac:dyDescent="0.4"/>
    <row r="259" ht="22.5" x14ac:dyDescent="0.4"/>
    <row r="260" ht="22.5" x14ac:dyDescent="0.4"/>
    <row r="261" ht="22.5" x14ac:dyDescent="0.4"/>
    <row r="262" ht="22.5" x14ac:dyDescent="0.4"/>
    <row r="263" ht="22.5" x14ac:dyDescent="0.4"/>
    <row r="264" ht="22.5" x14ac:dyDescent="0.4"/>
    <row r="265" ht="22.5" x14ac:dyDescent="0.4"/>
    <row r="266" ht="22.5" x14ac:dyDescent="0.4"/>
    <row r="267" ht="22.5" x14ac:dyDescent="0.4"/>
    <row r="268" ht="22.5" x14ac:dyDescent="0.4"/>
    <row r="269" ht="22.5" x14ac:dyDescent="0.4"/>
    <row r="270" ht="22.5" x14ac:dyDescent="0.4"/>
  </sheetData>
  <mergeCells count="116"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</mergeCells>
  <pageMargins left="0.22" right="0.17" top="0.14000000000000001" bottom="0.2" header="0.2" footer="0.2"/>
  <pageSetup paperSize="5" scale="2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topLeftCell="A73" zoomScale="55" zoomScaleSheetLayoutView="55" workbookViewId="0">
      <selection activeCell="F42" sqref="F42"/>
    </sheetView>
  </sheetViews>
  <sheetFormatPr defaultColWidth="22.33203125" defaultRowHeight="21.95" customHeight="1" x14ac:dyDescent="0.5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6" s="57" customFormat="1" ht="27" x14ac:dyDescent="0.5">
      <c r="A2" s="191" t="s">
        <v>350</v>
      </c>
      <c r="B2" s="262">
        <v>44594</v>
      </c>
      <c r="C2" s="348" t="s">
        <v>67</v>
      </c>
      <c r="D2" s="218">
        <v>0.52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48" t="s">
        <v>118</v>
      </c>
      <c r="D3" s="219">
        <v>28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'1'!F7</f>
        <v>668445</v>
      </c>
      <c r="F7" s="95">
        <v>686494</v>
      </c>
      <c r="G7" s="112">
        <f>F7-E7</f>
        <v>18049</v>
      </c>
      <c r="H7" s="99">
        <f>G7+'1'!H7</f>
        <v>35313.770000000019</v>
      </c>
      <c r="I7" s="113">
        <f>'[1]1'!I7</f>
        <v>12000</v>
      </c>
      <c r="J7" s="175">
        <f>H7/DAY(B2)</f>
        <v>17656.885000000009</v>
      </c>
      <c r="K7" s="172">
        <v>1375467</v>
      </c>
      <c r="L7" s="66"/>
      <c r="N7" s="87"/>
      <c r="O7" s="373">
        <v>26905.200000000001</v>
      </c>
      <c r="P7" s="57" t="s">
        <v>351</v>
      </c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'1'!F8</f>
        <v>726007</v>
      </c>
      <c r="F8" s="114">
        <v>744345</v>
      </c>
      <c r="G8" s="115">
        <f>F8-E8</f>
        <v>18338</v>
      </c>
      <c r="H8" s="99">
        <f>G8+'1'!H8</f>
        <v>35796.849999999977</v>
      </c>
      <c r="I8" s="116">
        <v>12000</v>
      </c>
      <c r="J8" s="175">
        <f>H8/DAY(B2)</f>
        <v>17898.424999999988</v>
      </c>
      <c r="K8" s="172">
        <v>1715917</v>
      </c>
      <c r="L8" s="76">
        <v>1728480</v>
      </c>
      <c r="M8" s="87">
        <f>L8-K8</f>
        <v>12563</v>
      </c>
      <c r="N8" s="87"/>
      <c r="O8" s="373">
        <v>12182.6</v>
      </c>
      <c r="P8" s="57" t="s">
        <v>130</v>
      </c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'1'!F9</f>
        <v>297005.71000000002</v>
      </c>
      <c r="F9" s="353">
        <v>310735.19</v>
      </c>
      <c r="G9" s="112">
        <f t="shared" ref="G9:G11" si="0">F9-E9</f>
        <v>13729.479999999981</v>
      </c>
      <c r="H9" s="99">
        <f>G9+'1'!H9</f>
        <v>28481.340000000026</v>
      </c>
      <c r="I9" s="124">
        <f>I8-J8</f>
        <v>-5898.4249999999884</v>
      </c>
      <c r="J9" s="175">
        <f>H9/DAY(B2)</f>
        <v>14240.670000000013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'1'!F10</f>
        <v>107261.54</v>
      </c>
      <c r="F10" s="117">
        <v>111088.19</v>
      </c>
      <c r="G10" s="112">
        <f t="shared" si="0"/>
        <v>3826.6500000000087</v>
      </c>
      <c r="H10" s="99">
        <f>G10+'1'!H10</f>
        <v>5829.2200000000012</v>
      </c>
      <c r="I10" s="118"/>
      <c r="J10" s="175">
        <f>H10/DAY(B2)</f>
        <v>2914.6100000000006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'1'!F11</f>
        <v>37170</v>
      </c>
      <c r="F11" s="95">
        <v>37170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'1'!F12</f>
        <v>40010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17556.12999999999</v>
      </c>
      <c r="H13" s="99">
        <f>G13+'1'!H13</f>
        <v>17556.12999999999</v>
      </c>
      <c r="I13" s="120">
        <f>G7-G13</f>
        <v>492.8700000000099</v>
      </c>
      <c r="J13" s="175">
        <f>H13/DAY(B2)</f>
        <v>8778.0649999999951</v>
      </c>
      <c r="K13" s="79"/>
      <c r="L13" s="66"/>
      <c r="N13" s="87"/>
      <c r="O13" s="71"/>
      <c r="P13" s="65">
        <v>822</v>
      </c>
    </row>
    <row r="14" spans="1:16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95">
        <f>'1'!F15</f>
        <v>1907555.325</v>
      </c>
      <c r="F15" s="352">
        <v>1908538.47</v>
      </c>
      <c r="G15" s="356">
        <f>(F15-E15)</f>
        <v>983.14500000001863</v>
      </c>
      <c r="H15" s="99">
        <f>G15+'1'!H15</f>
        <v>1901.7029999999795</v>
      </c>
      <c r="I15" s="113">
        <v>800</v>
      </c>
      <c r="J15" s="175">
        <f>H15/DAY(B2)</f>
        <v>950.85149999998976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-150.85149999998976</v>
      </c>
      <c r="J16" s="176"/>
      <c r="K16" s="79"/>
      <c r="L16" s="66"/>
      <c r="N16" s="87"/>
      <c r="O16" s="71"/>
      <c r="P16" s="71">
        <f>G9+P12</f>
        <v>14427.479999999981</v>
      </c>
    </row>
    <row r="17" spans="1:16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14551.479999999981</v>
      </c>
    </row>
    <row r="18" spans="1:16" ht="27.75" x14ac:dyDescent="0.5">
      <c r="A18" s="884" t="s">
        <v>141</v>
      </c>
      <c r="B18" s="885"/>
      <c r="C18" s="886"/>
      <c r="D18" s="151" t="s">
        <v>142</v>
      </c>
      <c r="E18" s="95">
        <f>'1'!F18</f>
        <v>18</v>
      </c>
      <c r="F18" s="117">
        <v>15</v>
      </c>
      <c r="G18" s="119">
        <f>F18*10</f>
        <v>150</v>
      </c>
      <c r="H18" s="99">
        <f>G18+'1'!H18</f>
        <v>330</v>
      </c>
      <c r="I18" s="113">
        <f>'[1]1'!I18</f>
        <v>65</v>
      </c>
      <c r="J18" s="175">
        <f>H18/DAY(B2)</f>
        <v>165</v>
      </c>
      <c r="K18" s="79"/>
      <c r="L18" s="66"/>
      <c r="N18" s="87"/>
      <c r="O18" s="71"/>
    </row>
    <row r="19" spans="1:16" ht="27.75" x14ac:dyDescent="0.5">
      <c r="A19" s="884" t="s">
        <v>69</v>
      </c>
      <c r="B19" s="885"/>
      <c r="C19" s="886"/>
      <c r="D19" s="151" t="s">
        <v>142</v>
      </c>
      <c r="E19" s="95">
        <f>'1'!F19</f>
        <v>153946</v>
      </c>
      <c r="F19" s="353">
        <v>153979</v>
      </c>
      <c r="G19" s="112">
        <f>F19-E19</f>
        <v>33</v>
      </c>
      <c r="H19" s="99">
        <f>G19+'1'!H19</f>
        <v>88</v>
      </c>
      <c r="I19" s="354"/>
      <c r="J19" s="175">
        <f>H19/DAY(B2)</f>
        <v>44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51"/>
      <c r="G20" s="355">
        <f>G18+G19</f>
        <v>183</v>
      </c>
      <c r="H20" s="99">
        <f>G20+'1'!H20</f>
        <v>418</v>
      </c>
      <c r="I20" s="336">
        <f>I18-J20</f>
        <v>-144</v>
      </c>
      <c r="J20" s="175">
        <f>H20/DAY(B2)</f>
        <v>209</v>
      </c>
      <c r="K20" s="79"/>
      <c r="L20" s="66"/>
      <c r="N20" s="87"/>
      <c r="O20" s="71"/>
    </row>
    <row r="21" spans="1:16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 x14ac:dyDescent="0.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1500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18338</v>
      </c>
      <c r="F27" s="136">
        <v>9</v>
      </c>
      <c r="G27" s="137">
        <f>E27*F27</f>
        <v>165042</v>
      </c>
      <c r="H27" s="99">
        <f>G27+'1'!H27</f>
        <v>322171.64999999979</v>
      </c>
      <c r="I27" s="138"/>
      <c r="J27" s="175">
        <f>H27/DAY(B2)</f>
        <v>161085.8249999999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983.14500000001863</v>
      </c>
      <c r="F28" s="136">
        <v>52</v>
      </c>
      <c r="G28" s="137">
        <f t="shared" ref="G28:G31" si="2">E28*F28</f>
        <v>51123.540000000969</v>
      </c>
      <c r="H28" s="99">
        <f>G28+'1'!H28</f>
        <v>98888.555999998935</v>
      </c>
      <c r="I28" s="140"/>
      <c r="J28" s="175">
        <f>H28/DAY(B2)</f>
        <v>49444.277999999467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33</v>
      </c>
      <c r="F30" s="136">
        <v>146</v>
      </c>
      <c r="G30" s="137">
        <f t="shared" si="2"/>
        <v>4818</v>
      </c>
      <c r="H30" s="99">
        <f>G30+'1'!H30</f>
        <v>12848</v>
      </c>
      <c r="I30" s="140"/>
      <c r="J30" s="175">
        <f>H30/DAY(B2)</f>
        <v>6424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137">
        <f t="shared" si="2"/>
        <v>12000</v>
      </c>
      <c r="H31" s="99">
        <f>G31+'1'!H31</f>
        <v>26400</v>
      </c>
      <c r="I31" s="140"/>
      <c r="J31" s="175">
        <f>H31/DAY(B2)</f>
        <v>13200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232983.54000000097</v>
      </c>
      <c r="H32" s="99">
        <f>G32+'1'!H32</f>
        <v>460308.20599999873</v>
      </c>
      <c r="I32" s="144"/>
      <c r="J32" s="175">
        <f>H32/DAY(B2)</f>
        <v>230154.10299999936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'1'!F35</f>
        <v>33251</v>
      </c>
      <c r="F35" s="145">
        <v>34639.31</v>
      </c>
      <c r="G35" s="112">
        <f t="shared" ref="G35:G46" si="3">F35-E35</f>
        <v>1388.3099999999977</v>
      </c>
      <c r="H35" s="99">
        <f>G35+'1'!H35</f>
        <v>2634.3299999999981</v>
      </c>
      <c r="I35" s="95"/>
      <c r="J35" s="175">
        <f>H35/DAY(B2)</f>
        <v>1317.1649999999991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'1'!F36</f>
        <v>44169.5</v>
      </c>
      <c r="F36" s="145">
        <v>44981</v>
      </c>
      <c r="G36" s="112">
        <f t="shared" si="3"/>
        <v>811.5</v>
      </c>
      <c r="H36" s="99">
        <f>G36+'1'!H36</f>
        <v>1522.260000000002</v>
      </c>
      <c r="I36" s="95"/>
      <c r="J36" s="175">
        <f>H36/DAY(B2)</f>
        <v>761.13000000000102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'1'!F37</f>
        <v>36979.199999999997</v>
      </c>
      <c r="F37" s="145">
        <v>38526.300000000003</v>
      </c>
      <c r="G37" s="112">
        <f t="shared" si="3"/>
        <v>1547.1000000000058</v>
      </c>
      <c r="H37" s="99">
        <f>G37+'1'!H37</f>
        <v>3101.2100000000064</v>
      </c>
      <c r="I37" s="95"/>
      <c r="J37" s="175">
        <f>H37/DAY(B2)</f>
        <v>1550.6050000000032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'1'!F38</f>
        <v>39996.699999999997</v>
      </c>
      <c r="F38" s="108">
        <v>41755.49</v>
      </c>
      <c r="G38" s="112">
        <f t="shared" si="3"/>
        <v>1758.7900000000009</v>
      </c>
      <c r="H38" s="99">
        <f>G38+'1'!H38</f>
        <v>3379.0599999999977</v>
      </c>
      <c r="I38" s="95"/>
      <c r="J38" s="175">
        <f>H38/DAY(B2)</f>
        <v>1689.5299999999988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'1'!F39</f>
        <v>61782.879999999997</v>
      </c>
      <c r="F39" s="145">
        <v>64411.1</v>
      </c>
      <c r="G39" s="112">
        <f t="shared" si="3"/>
        <v>2628.2200000000012</v>
      </c>
      <c r="H39" s="99">
        <f>G39+'1'!H39</f>
        <v>5237.8099999999977</v>
      </c>
      <c r="I39" s="95"/>
      <c r="J39" s="175">
        <f>H39/DAY(B2)</f>
        <v>2618.9049999999988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v>61</v>
      </c>
      <c r="F40" s="145">
        <v>61</v>
      </c>
      <c r="G40" s="112">
        <f t="shared" si="3"/>
        <v>0</v>
      </c>
      <c r="H40" s="99">
        <f>G40+'1'!H40</f>
        <v>688.73999999999796</v>
      </c>
      <c r="I40" s="95"/>
      <c r="J40" s="175">
        <f>H40/DAY(B2)</f>
        <v>344.36999999999898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'1'!F41</f>
        <v>62.73</v>
      </c>
      <c r="F41" s="145">
        <v>62.73</v>
      </c>
      <c r="G41" s="112">
        <f t="shared" si="3"/>
        <v>0</v>
      </c>
      <c r="H41" s="99">
        <f>G41+'1'!H41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'1'!F42</f>
        <v>104117.53</v>
      </c>
      <c r="F42" s="145">
        <v>106463.85</v>
      </c>
      <c r="G42" s="112">
        <f t="shared" si="3"/>
        <v>2346.320000000007</v>
      </c>
      <c r="H42" s="99">
        <f>G42+'1'!H42</f>
        <v>6334.1100000000006</v>
      </c>
      <c r="I42" s="95"/>
      <c r="J42" s="175">
        <f>H42/DAY(B2)</f>
        <v>3167.0550000000003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'1'!F43</f>
        <v>116753.53</v>
      </c>
      <c r="F43" s="145">
        <v>118750.69</v>
      </c>
      <c r="G43" s="112">
        <f t="shared" si="3"/>
        <v>1997.1600000000035</v>
      </c>
      <c r="H43" s="99">
        <f>G43+'1'!H43</f>
        <v>3899.0899999999965</v>
      </c>
      <c r="I43" s="95"/>
      <c r="J43" s="175">
        <f>H43/DAY(B2)</f>
        <v>1949.5449999999983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12477.400000000016</v>
      </c>
      <c r="H47" s="99">
        <f>G47+'1'!H47</f>
        <v>26796.609999999997</v>
      </c>
      <c r="I47" s="95"/>
      <c r="J47" s="175">
        <f>H47/DAY(B2)</f>
        <v>13398.304999999998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'1'!F49</f>
        <v>25935.27</v>
      </c>
      <c r="F49" s="145">
        <v>26982</v>
      </c>
      <c r="G49" s="112">
        <f t="shared" ref="G49:G58" si="4">F49-E49</f>
        <v>1046.7299999999996</v>
      </c>
      <c r="H49" s="99">
        <f>G49+'1'!H49</f>
        <v>1985.8100000000013</v>
      </c>
      <c r="I49" s="95"/>
      <c r="J49" s="175">
        <f>H49/DAY(B2)</f>
        <v>992.90500000000065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'1'!F50</f>
        <v>57325.55</v>
      </c>
      <c r="F50" s="145">
        <v>58313.08</v>
      </c>
      <c r="G50" s="112">
        <f t="shared" si="4"/>
        <v>987.52999999999884</v>
      </c>
      <c r="H50" s="99">
        <f>G50+'1'!H50</f>
        <v>1926.4500000000044</v>
      </c>
      <c r="I50" s="95"/>
      <c r="J50" s="175">
        <f>H50/DAY(B2)</f>
        <v>963.22500000000218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'1'!F51</f>
        <v>0</v>
      </c>
      <c r="F51" s="145">
        <v>0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'1'!F52</f>
        <v>0</v>
      </c>
      <c r="F52" s="145">
        <v>0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'1'!F54</f>
        <v>5147.42</v>
      </c>
      <c r="F54" s="145">
        <v>5303.73</v>
      </c>
      <c r="G54" s="112">
        <f t="shared" si="4"/>
        <v>156.30999999999949</v>
      </c>
      <c r="H54" s="99">
        <f>G54+'1'!H54</f>
        <v>156.30999999999949</v>
      </c>
      <c r="I54" s="95"/>
      <c r="J54" s="175">
        <f>H54/DAY(B2)</f>
        <v>78.154999999999745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'1'!F55</f>
        <v>74366.11</v>
      </c>
      <c r="F55" s="145">
        <v>75489.399999999994</v>
      </c>
      <c r="G55" s="112">
        <f t="shared" si="4"/>
        <v>1123.2899999999936</v>
      </c>
      <c r="H55" s="99">
        <f>G55+'1'!H55</f>
        <v>1123.2899999999936</v>
      </c>
      <c r="I55" s="95"/>
      <c r="J55" s="175">
        <f>H55/DAY(B2)</f>
        <v>561.6449999999968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'1'!F56</f>
        <v>8610.5400000000009</v>
      </c>
      <c r="F56" s="145">
        <v>8610.5400000000009</v>
      </c>
      <c r="G56" s="112">
        <f t="shared" si="4"/>
        <v>0</v>
      </c>
      <c r="H56" s="99">
        <f>G56+'1'!H56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'1'!F58</f>
        <v>4983.34</v>
      </c>
      <c r="F58" s="145">
        <v>5181.79</v>
      </c>
      <c r="G58" s="112">
        <f t="shared" si="4"/>
        <v>198.44999999999982</v>
      </c>
      <c r="H58" s="99">
        <f>G58+'1'!H58</f>
        <v>385.57999999999993</v>
      </c>
      <c r="I58" s="95"/>
      <c r="J58" s="175">
        <f>H58/DAY(B2)</f>
        <v>192.78999999999996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3512.3099999999913</v>
      </c>
      <c r="H59" s="99">
        <f>G59+'1'!H59</f>
        <v>5577.4399999999987</v>
      </c>
      <c r="I59" s="95">
        <f>G7-G60</f>
        <v>2059.2899999999936</v>
      </c>
      <c r="J59" s="175">
        <f>H59/DAY(B2)</f>
        <v>2788.7199999999993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15989.710000000006</v>
      </c>
      <c r="H60" s="99">
        <f>G60+'1'!H60</f>
        <v>32374.049999999996</v>
      </c>
      <c r="I60" s="95">
        <f>G13-G60</f>
        <v>1566.4199999999837</v>
      </c>
      <c r="J60" s="175">
        <f>H60/DAY(B2)</f>
        <v>16187.024999999998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'1'!F62</f>
        <v>269579</v>
      </c>
      <c r="F62" s="122">
        <v>269684</v>
      </c>
      <c r="G62" s="112">
        <f t="shared" ref="G62:G63" si="5">F62-E62</f>
        <v>105</v>
      </c>
      <c r="H62" s="99">
        <f>G62+'1'!H62</f>
        <v>168</v>
      </c>
      <c r="I62" s="118"/>
      <c r="J62" s="175">
        <f>H62/DAY(B2)</f>
        <v>84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'1'!F63</f>
        <v>215929</v>
      </c>
      <c r="F63" s="122">
        <v>216088</v>
      </c>
      <c r="G63" s="112">
        <f t="shared" si="5"/>
        <v>159</v>
      </c>
      <c r="H63" s="99">
        <f>G63+'1'!H63</f>
        <v>291</v>
      </c>
      <c r="I63" s="118"/>
      <c r="J63" s="175">
        <f>H63/DAY(B2)</f>
        <v>145.5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'1'!F64</f>
        <v>0</v>
      </c>
      <c r="F64" s="122"/>
      <c r="G64" s="112">
        <f>G62+G63</f>
        <v>264</v>
      </c>
      <c r="H64" s="99">
        <f>G64+'1'!H64</f>
        <v>459</v>
      </c>
      <c r="I64" s="118"/>
      <c r="J64" s="175">
        <f>H64/DAY(B2)</f>
        <v>229.5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'1'!F65</f>
        <v>434994</v>
      </c>
      <c r="F65" s="122">
        <v>435065</v>
      </c>
      <c r="G65" s="112">
        <f t="shared" ref="G65:G70" si="6">F65-E65</f>
        <v>71</v>
      </c>
      <c r="H65" s="99">
        <f>G65+'1'!H65</f>
        <v>142</v>
      </c>
      <c r="I65" s="118"/>
      <c r="J65" s="175">
        <f>H65/DAY(B2)</f>
        <v>71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'1'!F66</f>
        <v>107760</v>
      </c>
      <c r="F66" s="122">
        <v>107780</v>
      </c>
      <c r="G66" s="112">
        <f t="shared" si="6"/>
        <v>20</v>
      </c>
      <c r="H66" s="99">
        <f>G66+'1'!H66</f>
        <v>37</v>
      </c>
      <c r="I66" s="118"/>
      <c r="J66" s="175">
        <f>H66/DAY(B2)</f>
        <v>18.5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'1'!F67</f>
        <v>104662</v>
      </c>
      <c r="F67" s="122">
        <v>104682</v>
      </c>
      <c r="G67" s="112">
        <f t="shared" si="6"/>
        <v>20</v>
      </c>
      <c r="H67" s="99">
        <f>G67+'1'!H67</f>
        <v>34</v>
      </c>
      <c r="I67" s="118"/>
      <c r="J67" s="175">
        <f>H67/DAY(B2)</f>
        <v>17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'1'!F68</f>
        <v>157736</v>
      </c>
      <c r="F68" s="122">
        <v>157766</v>
      </c>
      <c r="G68" s="112">
        <f t="shared" si="6"/>
        <v>30</v>
      </c>
      <c r="H68" s="99">
        <f>G68+'1'!H68</f>
        <v>69</v>
      </c>
      <c r="I68" s="118"/>
      <c r="J68" s="175">
        <f>H68/DAY(B2)</f>
        <v>34.5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'1'!F69</f>
        <v>10550</v>
      </c>
      <c r="F69" s="122">
        <v>10569</v>
      </c>
      <c r="G69" s="236">
        <f t="shared" si="6"/>
        <v>19</v>
      </c>
      <c r="H69" s="99">
        <f>G69+'1'!H69</f>
        <v>28</v>
      </c>
      <c r="I69" s="118"/>
      <c r="J69" s="175">
        <f>H69/DAY(B2)</f>
        <v>14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'1'!F70</f>
        <v>8128</v>
      </c>
      <c r="F70" s="122">
        <v>8138</v>
      </c>
      <c r="G70" s="112">
        <f t="shared" si="6"/>
        <v>10</v>
      </c>
      <c r="H70" s="99">
        <f>G70+'1'!H70</f>
        <v>18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170</v>
      </c>
      <c r="H71" s="99">
        <f>G71+'1'!H71</f>
        <v>328</v>
      </c>
      <c r="I71" s="154"/>
      <c r="J71" s="175">
        <f>H71/DAY(B2)</f>
        <v>164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'1'!F74</f>
        <v>901620.68</v>
      </c>
      <c r="F74" s="123">
        <v>901931.71600000001</v>
      </c>
      <c r="G74" s="112">
        <f t="shared" ref="G74:G78" si="7">F74-E74</f>
        <v>311.03599999996368</v>
      </c>
      <c r="H74" s="99">
        <f>G74+'1'!H74</f>
        <v>625.56700000003912</v>
      </c>
      <c r="I74" s="154"/>
      <c r="J74" s="175">
        <f>H74/DAY(B2)</f>
        <v>312.78350000001956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'1'!F76</f>
        <v>170066.06</v>
      </c>
      <c r="F76" s="123">
        <v>170181.77</v>
      </c>
      <c r="G76" s="112">
        <f t="shared" si="7"/>
        <v>115.70999999999185</v>
      </c>
      <c r="H76" s="99">
        <f>G76+'1'!H76</f>
        <v>206.76999999998952</v>
      </c>
      <c r="I76" s="154"/>
      <c r="J76" s="175">
        <f>H76/DAY(B2)</f>
        <v>103.38499999999476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'1'!F77</f>
        <v>41331.9</v>
      </c>
      <c r="F77" s="123">
        <v>41381.1</v>
      </c>
      <c r="G77" s="112">
        <f t="shared" si="7"/>
        <v>49.19999999999709</v>
      </c>
      <c r="H77" s="99">
        <f>G77+'1'!H77</f>
        <v>78.900000000001455</v>
      </c>
      <c r="I77" s="154"/>
      <c r="J77" s="175">
        <f>H77/DAY(B2)</f>
        <v>39.450000000000728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'1'!F78</f>
        <v>9516</v>
      </c>
      <c r="F78" s="123">
        <v>9517.7000000000007</v>
      </c>
      <c r="G78" s="112">
        <f t="shared" si="7"/>
        <v>1.7000000000007276</v>
      </c>
      <c r="H78" s="99">
        <f>G78+'1'!H78</f>
        <v>1.7000000000007276</v>
      </c>
      <c r="I78" s="118"/>
      <c r="J78" s="175">
        <f>H78/DAY(B2)</f>
        <v>0.8500000000003638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'1'!F79</f>
        <v>0</v>
      </c>
      <c r="F79" s="123"/>
      <c r="G79" s="112">
        <f>G15-SUM(G74:G78)</f>
        <v>505.49900000006528</v>
      </c>
      <c r="H79" s="99">
        <f>G79+'1'!H79</f>
        <v>988.76599999994869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983.14500000001863</v>
      </c>
      <c r="H80" s="99">
        <f>G80+'1'!H80</f>
        <v>983.14500000001863</v>
      </c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'1'!F84</f>
        <v>41675</v>
      </c>
      <c r="F84" s="164">
        <v>41675</v>
      </c>
      <c r="G84" s="112">
        <f t="shared" si="8"/>
        <v>0</v>
      </c>
      <c r="H84" s="99">
        <f>G84+'1'!H84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'1'!F85</f>
        <v>2286</v>
      </c>
      <c r="F85" s="164">
        <v>2302</v>
      </c>
      <c r="G85" s="112">
        <f t="shared" si="8"/>
        <v>16</v>
      </c>
      <c r="H85" s="99">
        <f>G85+'1'!H85</f>
        <v>40</v>
      </c>
      <c r="I85" s="118">
        <f>G82+G83+G84+G85</f>
        <v>16</v>
      </c>
      <c r="J85" s="175">
        <f>H85/DAY(B2)</f>
        <v>20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'1'!F86</f>
        <v>43442</v>
      </c>
      <c r="F86" s="164">
        <v>43450</v>
      </c>
      <c r="G86" s="112">
        <f t="shared" si="8"/>
        <v>8</v>
      </c>
      <c r="H86" s="99">
        <f>G86+'1'!H86</f>
        <v>8</v>
      </c>
      <c r="I86" s="118"/>
      <c r="J86" s="175">
        <f>H86/DAY(B2)</f>
        <v>4</v>
      </c>
      <c r="O86" s="71">
        <f>24-8</f>
        <v>16</v>
      </c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'1'!F87</f>
        <v>34598.550000000003</v>
      </c>
      <c r="F87" s="164">
        <v>34598.550000000003</v>
      </c>
      <c r="G87" s="112">
        <f t="shared" si="8"/>
        <v>0</v>
      </c>
      <c r="H87" s="99">
        <f>G87+'1'!H87</f>
        <v>5.0000000002910383E-2</v>
      </c>
      <c r="I87" s="118"/>
      <c r="J87" s="175">
        <f>H87/DAY(B2)</f>
        <v>2.5000000001455192E-2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'1'!F88</f>
        <v>24063.43</v>
      </c>
      <c r="F88" s="164">
        <v>24063.43</v>
      </c>
      <c r="G88" s="112">
        <f t="shared" si="8"/>
        <v>0</v>
      </c>
      <c r="H88" s="99">
        <f>G88+'1'!H88</f>
        <v>0</v>
      </c>
      <c r="I88" s="118">
        <f>G86+G87+G88</f>
        <v>8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'1'!F89</f>
        <v>25900.61</v>
      </c>
      <c r="F89" s="164">
        <v>25910</v>
      </c>
      <c r="G89" s="112">
        <f t="shared" si="8"/>
        <v>9.3899999999994179</v>
      </c>
      <c r="H89" s="99">
        <f>G89+'1'!H89</f>
        <v>18.880000000001019</v>
      </c>
      <c r="I89" s="118"/>
      <c r="J89" s="175">
        <f>H89/DAY(B2)</f>
        <v>9.4400000000005093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'1'!F90</f>
        <v>71165.37</v>
      </c>
      <c r="F90" s="164">
        <v>71165.37</v>
      </c>
      <c r="G90" s="112">
        <f t="shared" si="8"/>
        <v>0</v>
      </c>
      <c r="H90" s="99">
        <f>G90+'1'!H90</f>
        <v>2.0499999999883585</v>
      </c>
      <c r="I90" s="118">
        <f>G89+G90</f>
        <v>9.3899999999994179</v>
      </c>
      <c r="J90" s="175">
        <f>H90/DAY(B2)</f>
        <v>1.0249999999941792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'1'!F91</f>
        <v>3262.86</v>
      </c>
      <c r="F91" s="122">
        <v>3274.32</v>
      </c>
      <c r="G91" s="112">
        <f t="shared" si="8"/>
        <v>11.460000000000036</v>
      </c>
      <c r="H91" s="99">
        <f>G91+'1'!H91</f>
        <v>23.230000000000018</v>
      </c>
      <c r="I91" s="165"/>
      <c r="J91" s="175">
        <f>H91/DAY(B2)</f>
        <v>11.615000000000009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'1'!F92</f>
        <v>5741.07</v>
      </c>
      <c r="F92" s="122">
        <v>5741.07</v>
      </c>
      <c r="G92" s="112">
        <f t="shared" si="8"/>
        <v>0</v>
      </c>
      <c r="H92" s="99">
        <f>G92+'1'!H92</f>
        <v>0</v>
      </c>
      <c r="I92" s="165"/>
      <c r="J92" s="175">
        <f>H92/DAY(B2)</f>
        <v>0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4432.2000000000007</v>
      </c>
      <c r="H94" s="99">
        <f>G94+'1'!H94</f>
        <v>8519.2299999999959</v>
      </c>
      <c r="I94" s="118"/>
      <c r="J94" s="175">
        <f>H94/DAY(B2)</f>
        <v>4259.614999999998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0.2455648512382958</v>
      </c>
      <c r="H95" s="99">
        <f>G95+'1'!H95</f>
        <v>0.48229143375286104</v>
      </c>
      <c r="I95" s="167"/>
      <c r="J95" s="175">
        <f>H95/DAY(B2)</f>
        <v>0.24114571687643052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3469.6100000000006</v>
      </c>
      <c r="H96" s="99">
        <f>G96+'1'!H96</f>
        <v>7457.3999999999942</v>
      </c>
      <c r="I96" s="118"/>
      <c r="J96" s="175">
        <f>H96/DAY(B2)</f>
        <v>3728.6999999999971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0.19223281068203227</v>
      </c>
      <c r="H97" s="99">
        <f>G97+'1'!H97</f>
        <v>0.42321127144345505</v>
      </c>
      <c r="I97" s="167"/>
      <c r="J97" s="175">
        <f>H97/DAY(B2)</f>
        <v>0.21160563572172753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2628.2200000000012</v>
      </c>
      <c r="H98" s="99">
        <f>G98+'1'!H98</f>
        <v>5237.8099999999977</v>
      </c>
      <c r="I98" s="168"/>
      <c r="J98" s="175">
        <f>H98/DAY(B2)</f>
        <v>2618.9049999999988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0.14561582359133476</v>
      </c>
      <c r="H99" s="99">
        <f>G99+'1'!H99</f>
        <v>0.29676698285960151</v>
      </c>
      <c r="I99" s="168"/>
      <c r="J99" s="175">
        <f>H99/DAY(B2)</f>
        <v>0.14838349142980076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1758.7900000000009</v>
      </c>
      <c r="H100" s="99">
        <f>G100+'1'!H100</f>
        <v>3379.0599999999977</v>
      </c>
      <c r="I100" s="118"/>
      <c r="J100" s="175">
        <f>H100/DAY(B2)</f>
        <v>1689.5299999999988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9.7445287827580523E-2</v>
      </c>
      <c r="H101" s="99">
        <f>G101+'1'!H101</f>
        <v>0.19129362753902729</v>
      </c>
      <c r="I101" s="168"/>
      <c r="J101" s="175">
        <f>H101/DAY(B2)</f>
        <v>9.5646813769513644E-2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1799.0299999999988</v>
      </c>
      <c r="H102" s="99">
        <f>G102+'1'!H102</f>
        <v>3448.7100000000064</v>
      </c>
      <c r="I102" s="168"/>
      <c r="J102" s="175">
        <f>H102/DAY(B2)</f>
        <v>1724.3550000000032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9.9674774225718812E-2</v>
      </c>
      <c r="H103" s="99">
        <f>G103+'1'!H103</f>
        <v>0.19522658290895095</v>
      </c>
      <c r="I103" s="118"/>
      <c r="J103" s="175">
        <f>H103/DAY(B2)</f>
        <v>9.7613291454475476E-2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1547.1000000000058</v>
      </c>
      <c r="H104" s="99">
        <f>G104+'1'!H104</f>
        <v>3101.2100000000064</v>
      </c>
      <c r="I104" s="118"/>
      <c r="J104" s="175">
        <f>H104/DAY(B2)</f>
        <v>1550.6050000000032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8.5716660202781639E-2</v>
      </c>
      <c r="H105" s="99">
        <f>G105+'1'!H105</f>
        <v>0.17573291874546704</v>
      </c>
      <c r="I105" s="187"/>
      <c r="J105" s="188">
        <f>H105/DAY(B2)</f>
        <v>8.7866459372733519E-2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'1'!F112</f>
        <v>58132</v>
      </c>
      <c r="F112" s="237">
        <v>58208.63</v>
      </c>
      <c r="G112" s="112">
        <f t="shared" ref="G112:G123" si="9">F112-E112</f>
        <v>76.629999999997381</v>
      </c>
      <c r="H112" s="99">
        <f>G112+'1'!H112</f>
        <v>154.62999999999738</v>
      </c>
      <c r="I112" s="165"/>
      <c r="J112" s="328">
        <f>H112/DAY(B2)</f>
        <v>77.31499999999869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'1'!F113</f>
        <v>46884.44</v>
      </c>
      <c r="F113" s="237">
        <v>47363.9</v>
      </c>
      <c r="G113" s="112">
        <f t="shared" si="9"/>
        <v>479.45999999999913</v>
      </c>
      <c r="H113" s="99">
        <f>G113+'1'!H113</f>
        <v>963.01000000000204</v>
      </c>
      <c r="I113" s="165"/>
      <c r="J113" s="328">
        <f>H113/DAY(B2)</f>
        <v>481.50500000000102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'1'!F114</f>
        <v>33421.300000000003</v>
      </c>
      <c r="F114" s="237">
        <v>33745.300000000003</v>
      </c>
      <c r="G114" s="112">
        <f t="shared" si="9"/>
        <v>324</v>
      </c>
      <c r="H114" s="99">
        <f>G114+'1'!H114</f>
        <v>585.30000000000291</v>
      </c>
      <c r="I114" s="165"/>
      <c r="J114" s="328">
        <f>H114/DAY(B2)</f>
        <v>292.65000000000146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'1'!F115</f>
        <v>9103.4500000000007</v>
      </c>
      <c r="F115" s="237">
        <v>9114.76</v>
      </c>
      <c r="G115" s="112">
        <f t="shared" si="9"/>
        <v>11.309999999999491</v>
      </c>
      <c r="H115" s="99">
        <f>G115+'1'!H115</f>
        <v>20.110000000000582</v>
      </c>
      <c r="I115" s="165"/>
      <c r="J115" s="328">
        <f>H115/DAY(B2)</f>
        <v>10.055000000000291</v>
      </c>
    </row>
    <row r="116" spans="1:18" ht="29.25" customHeight="1" x14ac:dyDescent="0.5">
      <c r="A116" s="870" t="s">
        <v>96</v>
      </c>
      <c r="B116" s="871"/>
      <c r="C116" s="872"/>
      <c r="D116" s="678" t="s">
        <v>183</v>
      </c>
      <c r="E116" s="95">
        <f>'1'!F116</f>
        <v>0</v>
      </c>
      <c r="F116" s="237">
        <v>0</v>
      </c>
      <c r="G116" s="112">
        <f t="shared" si="9"/>
        <v>0</v>
      </c>
      <c r="H116" s="99">
        <f>G116+'1'!H116</f>
        <v>0</v>
      </c>
      <c r="I116" s="165"/>
      <c r="J116" s="328">
        <f>H116/DAY(B2)</f>
        <v>0</v>
      </c>
      <c r="Q116" s="863"/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'1'!F117</f>
        <v>3359.77</v>
      </c>
      <c r="F117" s="237">
        <v>3395.23</v>
      </c>
      <c r="G117" s="112">
        <f t="shared" si="9"/>
        <v>35.460000000000036</v>
      </c>
      <c r="H117" s="99">
        <f>G117+'1'!H117</f>
        <v>57.2800000000002</v>
      </c>
      <c r="I117" s="165"/>
      <c r="J117" s="328">
        <f>H117/DAY(B2)</f>
        <v>28.6400000000001</v>
      </c>
      <c r="Q117" s="863"/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'1'!F118</f>
        <v>252762.81</v>
      </c>
      <c r="F118" s="237">
        <v>253080.85</v>
      </c>
      <c r="G118" s="112">
        <f t="shared" si="9"/>
        <v>318.04000000000815</v>
      </c>
      <c r="H118" s="99">
        <f>G118+'1'!H118</f>
        <v>628.54000000000815</v>
      </c>
      <c r="I118" s="165"/>
      <c r="J118" s="328">
        <f>H118/DAY(B2)</f>
        <v>314.27000000000407</v>
      </c>
      <c r="Q118" s="863"/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'1'!F119</f>
        <v>258589.7</v>
      </c>
      <c r="F119" s="237">
        <v>259012.89</v>
      </c>
      <c r="G119" s="112">
        <f t="shared" si="9"/>
        <v>423.19000000000233</v>
      </c>
      <c r="H119" s="99">
        <f>G119+'1'!H119</f>
        <v>864.34000000002561</v>
      </c>
      <c r="I119" s="165"/>
      <c r="J119" s="328">
        <f>H119/DAY(B2)</f>
        <v>432.17000000001281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'1'!F120</f>
        <v>43373.75</v>
      </c>
      <c r="F120" s="237">
        <v>43790.96</v>
      </c>
      <c r="G120" s="112">
        <f t="shared" si="9"/>
        <v>417.20999999999913</v>
      </c>
      <c r="H120" s="99">
        <f>G120+'1'!H120</f>
        <v>831.34999999999854</v>
      </c>
      <c r="I120" s="165"/>
      <c r="J120" s="328">
        <f>H120/DAY(B2)</f>
        <v>415.67499999999927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'1'!F121</f>
        <v>398755.31</v>
      </c>
      <c r="F121" s="237">
        <v>399468.55</v>
      </c>
      <c r="G121" s="112">
        <f t="shared" si="9"/>
        <v>713.23999999999069</v>
      </c>
      <c r="H121" s="99">
        <f>G121+'1'!H121</f>
        <v>1434.1199999999953</v>
      </c>
      <c r="I121" s="165"/>
      <c r="J121" s="328">
        <f>H121/DAY(B2)</f>
        <v>717.05999999999767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'1'!F122</f>
        <v>126392.21</v>
      </c>
      <c r="F122" s="237">
        <v>126606.82</v>
      </c>
      <c r="G122" s="112">
        <f t="shared" si="9"/>
        <v>214.61000000000058</v>
      </c>
      <c r="H122" s="99">
        <f>G122+'1'!H122</f>
        <v>420.64000000001397</v>
      </c>
      <c r="I122" s="165"/>
      <c r="J122" s="328">
        <f>H122/DAY(B2)</f>
        <v>210.32000000000698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'1'!F123</f>
        <v>154308.20000000001</v>
      </c>
      <c r="F123" s="237">
        <v>154565.59</v>
      </c>
      <c r="G123" s="112">
        <f t="shared" si="9"/>
        <v>257.38999999998487</v>
      </c>
      <c r="H123" s="99">
        <f>G123+'1'!H123</f>
        <v>518.63999999998487</v>
      </c>
      <c r="I123" s="165"/>
      <c r="J123" s="328">
        <f>H123/DAY(B2)</f>
        <v>259.31999999999243</v>
      </c>
    </row>
    <row r="124" spans="1:18" ht="29.25" customHeight="1" x14ac:dyDescent="0.5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3270.5399999999818</v>
      </c>
      <c r="H125" s="156"/>
      <c r="I125" s="327">
        <f>G125-(G39+G53)</f>
        <v>642.31999999998061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'1'!F128</f>
        <v>48067</v>
      </c>
      <c r="F128" s="165">
        <v>48382.55</v>
      </c>
      <c r="G128" s="112">
        <f t="shared" ref="G128:G133" si="10">F128-E128</f>
        <v>315.55000000000291</v>
      </c>
      <c r="H128" s="99">
        <f>G128+'1'!H128</f>
        <v>636.55000000000291</v>
      </c>
      <c r="I128" s="165"/>
      <c r="J128" s="328">
        <f>H128/DAY(B2)</f>
        <v>318.27500000000146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'1'!F129</f>
        <v>27123</v>
      </c>
      <c r="F129" s="165">
        <v>27328.1</v>
      </c>
      <c r="G129" s="112">
        <f t="shared" si="10"/>
        <v>205.09999999999854</v>
      </c>
      <c r="H129" s="99">
        <f>G129+'1'!H129</f>
        <v>417.22999999999956</v>
      </c>
      <c r="I129" s="165"/>
      <c r="J129" s="328">
        <f>H129/DAY(B2)</f>
        <v>208.61499999999978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'1'!F130</f>
        <v>36147.81</v>
      </c>
      <c r="F130" s="165">
        <v>36747.9</v>
      </c>
      <c r="G130" s="112">
        <f t="shared" si="10"/>
        <v>600.09000000000378</v>
      </c>
      <c r="H130" s="99">
        <f>G130+'1'!H130</f>
        <v>1053.9000000000015</v>
      </c>
      <c r="I130" s="165"/>
      <c r="J130" s="328">
        <f>H130/DAY(B2)</f>
        <v>526.95000000000073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'1'!F131</f>
        <v>15367.2</v>
      </c>
      <c r="F131" s="165">
        <v>15427.4</v>
      </c>
      <c r="G131" s="112">
        <f t="shared" si="10"/>
        <v>60.199999999998909</v>
      </c>
      <c r="H131" s="99">
        <f>G131+'1'!H131</f>
        <v>119.71999999999935</v>
      </c>
      <c r="I131" s="165"/>
      <c r="J131" s="328">
        <f>H131/DAY(B2)</f>
        <v>59.859999999999673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'1'!F132</f>
        <v>52011.77</v>
      </c>
      <c r="F132" s="165">
        <v>52212.32</v>
      </c>
      <c r="G132" s="112">
        <f t="shared" si="10"/>
        <v>200.55000000000291</v>
      </c>
      <c r="H132" s="99">
        <f>G132+'1'!H132</f>
        <v>364.0199999999968</v>
      </c>
      <c r="I132" s="165"/>
      <c r="J132" s="328">
        <f>H132/DAY(B2)</f>
        <v>182.0099999999984</v>
      </c>
    </row>
    <row r="133" spans="1:15" ht="27.75" x14ac:dyDescent="0.5">
      <c r="A133" s="863" t="s">
        <v>342</v>
      </c>
      <c r="B133" s="864"/>
      <c r="C133" s="865"/>
      <c r="D133" s="151" t="s">
        <v>183</v>
      </c>
      <c r="E133" s="95">
        <f>'1'!F133</f>
        <v>105836.27</v>
      </c>
      <c r="F133" s="165">
        <v>106404.31</v>
      </c>
      <c r="G133" s="112">
        <f t="shared" si="10"/>
        <v>568.0399999999936</v>
      </c>
      <c r="H133" s="99">
        <f>G133+'1'!H133</f>
        <v>1060.6100000000006</v>
      </c>
      <c r="I133" s="165"/>
      <c r="J133" s="328">
        <f>H133/DAY(B2)</f>
        <v>530.30500000000029</v>
      </c>
    </row>
    <row r="134" spans="1:15" ht="27.75" x14ac:dyDescent="0.5">
      <c r="A134" s="863" t="s">
        <v>340</v>
      </c>
      <c r="B134" s="864"/>
      <c r="C134" s="865"/>
      <c r="D134" s="676" t="s">
        <v>183</v>
      </c>
      <c r="E134" s="95">
        <f>'1'!F134</f>
        <v>8755.39</v>
      </c>
      <c r="F134" s="158">
        <v>8906.8799999999992</v>
      </c>
      <c r="G134" s="112">
        <f>F134-E134</f>
        <v>151.48999999999978</v>
      </c>
      <c r="H134" s="99">
        <f>G134+'1'!H134</f>
        <v>305.64999999999964</v>
      </c>
      <c r="I134" s="165"/>
      <c r="J134" s="328">
        <f>H134/DAY(B2)</f>
        <v>152.82499999999982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2101.0200000000004</v>
      </c>
      <c r="H135" s="99">
        <f>G135+'1'!H135</f>
        <v>3957.6800000000003</v>
      </c>
      <c r="I135" s="327">
        <f>G135-(G35+G49)</f>
        <v>-334.0199999999968</v>
      </c>
      <c r="J135" s="328">
        <f>H135/DAY(B2)</f>
        <v>1978.8400000000001</v>
      </c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676" t="s">
        <v>183</v>
      </c>
      <c r="E138" s="95">
        <f>'1'!F138</f>
        <v>866234</v>
      </c>
      <c r="F138" s="147">
        <v>866293</v>
      </c>
      <c r="G138" s="112">
        <f t="shared" ref="G138:G152" si="11">F138-E138</f>
        <v>59</v>
      </c>
      <c r="H138" s="99">
        <f>G138+'1'!H138</f>
        <v>120</v>
      </c>
      <c r="I138" s="118"/>
      <c r="J138" s="328">
        <f>H138/DAY(B2)</f>
        <v>60</v>
      </c>
    </row>
    <row r="139" spans="1:15" ht="27.75" x14ac:dyDescent="0.5">
      <c r="A139" s="862" t="s">
        <v>186</v>
      </c>
      <c r="B139" s="862"/>
      <c r="C139" s="862"/>
      <c r="D139" s="676" t="s">
        <v>183</v>
      </c>
      <c r="E139" s="95">
        <f>'1'!F139</f>
        <v>886574</v>
      </c>
      <c r="F139" s="148">
        <v>886576</v>
      </c>
      <c r="G139" s="112">
        <f t="shared" si="11"/>
        <v>2</v>
      </c>
      <c r="H139" s="99">
        <f>G139+'1'!H139</f>
        <v>3</v>
      </c>
      <c r="I139" s="118"/>
      <c r="J139" s="328">
        <f>H139/DAY(B2)</f>
        <v>1.5</v>
      </c>
    </row>
    <row r="140" spans="1:15" ht="27.75" x14ac:dyDescent="0.5">
      <c r="A140" s="862" t="s">
        <v>187</v>
      </c>
      <c r="B140" s="862"/>
      <c r="C140" s="862"/>
      <c r="D140" s="676" t="s">
        <v>183</v>
      </c>
      <c r="E140" s="95">
        <f>'1'!F140</f>
        <v>88922</v>
      </c>
      <c r="F140" s="149">
        <v>88932.6</v>
      </c>
      <c r="G140" s="112">
        <f t="shared" si="11"/>
        <v>10.600000000005821</v>
      </c>
      <c r="H140" s="99">
        <f>G140+'1'!H140</f>
        <v>10.600000000005821</v>
      </c>
      <c r="I140" s="118"/>
      <c r="J140" s="328">
        <f>H140/DAY(B2)</f>
        <v>5.3000000000029104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'1'!F141</f>
        <v>54851.17</v>
      </c>
      <c r="F141" s="149">
        <v>55027.8</v>
      </c>
      <c r="G141" s="112">
        <f t="shared" si="11"/>
        <v>176.63000000000466</v>
      </c>
      <c r="H141" s="99">
        <f>G141+'1'!H141</f>
        <v>342.22000000000116</v>
      </c>
      <c r="I141" s="118"/>
      <c r="J141" s="328">
        <f>H141/DAY(B2)</f>
        <v>171.11000000000058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'1'!F142</f>
        <v>21357.57</v>
      </c>
      <c r="F142" s="148">
        <v>21429.24</v>
      </c>
      <c r="G142" s="112">
        <f t="shared" si="11"/>
        <v>71.670000000001892</v>
      </c>
      <c r="H142" s="99">
        <f>G142+'1'!H142</f>
        <v>145.14000000000306</v>
      </c>
      <c r="I142" s="140"/>
      <c r="J142" s="328">
        <f>H142/DAY(B2)</f>
        <v>72.570000000001528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'1'!F143</f>
        <v>3864.39</v>
      </c>
      <c r="F143" s="149">
        <v>3889.08</v>
      </c>
      <c r="G143" s="112">
        <f t="shared" si="11"/>
        <v>24.690000000000055</v>
      </c>
      <c r="H143" s="99">
        <f>G143+'1'!H143</f>
        <v>53.690000000000055</v>
      </c>
      <c r="I143" s="140"/>
      <c r="J143" s="328">
        <f>H143/DAY(B2)</f>
        <v>26.845000000000027</v>
      </c>
    </row>
    <row r="144" spans="1:15" ht="27.75" x14ac:dyDescent="0.5">
      <c r="A144" s="843" t="s">
        <v>90</v>
      </c>
      <c r="B144" s="843"/>
      <c r="C144" s="843"/>
      <c r="D144" s="676" t="s">
        <v>183</v>
      </c>
      <c r="E144" s="95">
        <f>'1'!F144</f>
        <v>876683</v>
      </c>
      <c r="F144" s="149">
        <v>876893</v>
      </c>
      <c r="G144" s="112">
        <f t="shared" si="11"/>
        <v>210</v>
      </c>
      <c r="H144" s="99">
        <f>G144+'1'!H144</f>
        <v>406</v>
      </c>
      <c r="I144" s="140"/>
      <c r="J144" s="328">
        <f>H144/DAY(B2)</f>
        <v>203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'1'!F145</f>
        <v>4971.62</v>
      </c>
      <c r="F145" s="149">
        <v>4985.33</v>
      </c>
      <c r="G145" s="112">
        <f t="shared" si="11"/>
        <v>13.710000000000036</v>
      </c>
      <c r="H145" s="99">
        <f>G145+'1'!H145</f>
        <v>26.489999999999782</v>
      </c>
      <c r="I145" s="140"/>
      <c r="J145" s="328">
        <f>H145/DAY(B2)</f>
        <v>13.244999999999891</v>
      </c>
    </row>
    <row r="146" spans="1:10" ht="27.75" x14ac:dyDescent="0.5">
      <c r="A146" s="897" t="s">
        <v>191</v>
      </c>
      <c r="B146" s="882"/>
      <c r="C146" s="883"/>
      <c r="D146" s="676" t="s">
        <v>183</v>
      </c>
      <c r="E146" s="95">
        <f>'1'!F146</f>
        <v>737727</v>
      </c>
      <c r="F146" s="148">
        <v>738119</v>
      </c>
      <c r="G146" s="112">
        <f t="shared" si="11"/>
        <v>392</v>
      </c>
      <c r="H146" s="99">
        <f>G146+'1'!H146</f>
        <v>786</v>
      </c>
      <c r="I146" s="140"/>
      <c r="J146" s="328">
        <f>H146/DAY(B2)</f>
        <v>393</v>
      </c>
    </row>
    <row r="147" spans="1:10" ht="27.75" x14ac:dyDescent="0.5">
      <c r="A147" s="843" t="s">
        <v>192</v>
      </c>
      <c r="B147" s="843"/>
      <c r="C147" s="843"/>
      <c r="D147" s="676" t="s">
        <v>183</v>
      </c>
      <c r="E147" s="95">
        <f>'1'!F147</f>
        <v>626981.80000000005</v>
      </c>
      <c r="F147" s="148">
        <v>627378.12</v>
      </c>
      <c r="G147" s="112">
        <f t="shared" si="11"/>
        <v>396.31999999994878</v>
      </c>
      <c r="H147" s="99">
        <f>G147+'1'!H147</f>
        <v>765.59999999997672</v>
      </c>
      <c r="I147" s="140"/>
      <c r="J147" s="328">
        <f>H147/DAY(B2)</f>
        <v>382.79999999998836</v>
      </c>
    </row>
    <row r="148" spans="1:10" ht="27.75" x14ac:dyDescent="0.5">
      <c r="A148" s="844" t="s">
        <v>193</v>
      </c>
      <c r="B148" s="845"/>
      <c r="C148" s="846"/>
      <c r="D148" s="677" t="s">
        <v>130</v>
      </c>
      <c r="E148" s="95">
        <f>'1'!F148</f>
        <v>689638</v>
      </c>
      <c r="F148" s="150">
        <v>689904.24</v>
      </c>
      <c r="G148" s="112">
        <f t="shared" si="11"/>
        <v>266.23999999999069</v>
      </c>
      <c r="H148" s="99">
        <f>G148+'1'!H148</f>
        <v>461.28000000002794</v>
      </c>
      <c r="I148" s="124"/>
      <c r="J148" s="328">
        <f>H148/DAY(B2)</f>
        <v>230.64000000001397</v>
      </c>
    </row>
    <row r="149" spans="1:10" ht="27.75" x14ac:dyDescent="0.5">
      <c r="A149" s="844" t="s">
        <v>336</v>
      </c>
      <c r="B149" s="845"/>
      <c r="C149" s="846"/>
      <c r="D149" s="678" t="s">
        <v>130</v>
      </c>
      <c r="E149" s="95">
        <f>'1'!F149</f>
        <v>25075.18</v>
      </c>
      <c r="F149" s="146">
        <v>25534.7</v>
      </c>
      <c r="G149" s="112">
        <f t="shared" si="11"/>
        <v>459.52000000000044</v>
      </c>
      <c r="H149" s="99">
        <f>G149+'1'!H149</f>
        <v>856.5</v>
      </c>
      <c r="I149" s="119"/>
      <c r="J149" s="328">
        <f>H149/DAY(B2)</f>
        <v>428.25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'1'!F150</f>
        <v>11065.7</v>
      </c>
      <c r="F150" s="233">
        <v>11279.22</v>
      </c>
      <c r="G150" s="112">
        <f t="shared" si="11"/>
        <v>213.51999999999862</v>
      </c>
      <c r="H150" s="99">
        <f>G150+'1'!H150</f>
        <v>428.38999999999942</v>
      </c>
      <c r="I150" s="119"/>
      <c r="J150" s="328">
        <f>H150/DAY(B2)</f>
        <v>214.19499999999971</v>
      </c>
    </row>
    <row r="151" spans="1:10" ht="27.75" x14ac:dyDescent="0.5">
      <c r="A151" s="844" t="s">
        <v>338</v>
      </c>
      <c r="B151" s="845"/>
      <c r="C151" s="846"/>
      <c r="D151" s="677" t="s">
        <v>130</v>
      </c>
      <c r="E151" s="95">
        <f>'1'!F151</f>
        <v>85706</v>
      </c>
      <c r="F151" s="233">
        <v>86023</v>
      </c>
      <c r="G151" s="112">
        <f t="shared" si="11"/>
        <v>317</v>
      </c>
      <c r="H151" s="99">
        <f>G151+'1'!H151</f>
        <v>543</v>
      </c>
      <c r="I151" s="119"/>
      <c r="J151" s="328">
        <f>H151/DAY(B2)</f>
        <v>271.5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'1'!F152</f>
        <v>1676.46</v>
      </c>
      <c r="F152" s="233">
        <v>1706.35</v>
      </c>
      <c r="G152" s="112">
        <f t="shared" si="11"/>
        <v>29.889999999999873</v>
      </c>
      <c r="H152" s="99">
        <f>G152+'1'!H152</f>
        <v>46.349999999999909</v>
      </c>
      <c r="I152" s="119"/>
      <c r="J152" s="328">
        <f>H152/DAY(B2)</f>
        <v>23.174999999999955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2642.7899999999509</v>
      </c>
      <c r="H153" s="363"/>
      <c r="I153" s="119">
        <f>G153-(G38+G52)</f>
        <v>883.99999999994998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679" t="s">
        <v>130</v>
      </c>
      <c r="E155" s="95">
        <f>'1'!F155</f>
        <v>32945</v>
      </c>
      <c r="F155" s="548">
        <v>33621.9</v>
      </c>
      <c r="G155" s="112">
        <f t="shared" ref="G155:G158" si="12">F155-E155</f>
        <v>676.90000000000146</v>
      </c>
      <c r="H155" s="99">
        <f>G155+'1'!H155</f>
        <v>676.90000000000146</v>
      </c>
      <c r="I155" s="364"/>
      <c r="J155" s="328">
        <f>H155/DAY(B2)</f>
        <v>338.45000000000073</v>
      </c>
    </row>
    <row r="156" spans="1:10" ht="27.75" x14ac:dyDescent="0.5">
      <c r="A156" s="843" t="s">
        <v>347</v>
      </c>
      <c r="B156" s="843"/>
      <c r="C156" s="843"/>
      <c r="D156" s="679" t="s">
        <v>130</v>
      </c>
      <c r="E156" s="95">
        <f>'1'!F156</f>
        <v>2788</v>
      </c>
      <c r="F156" s="165">
        <v>2839.76</v>
      </c>
      <c r="G156" s="112">
        <f t="shared" si="12"/>
        <v>51.760000000000218</v>
      </c>
      <c r="H156" s="99">
        <f>G156+'1'!H156</f>
        <v>51.760000000000218</v>
      </c>
      <c r="I156" s="165"/>
      <c r="J156" s="328">
        <f>H156/DAY(B2)</f>
        <v>25.880000000000109</v>
      </c>
    </row>
    <row r="157" spans="1:10" ht="27.75" x14ac:dyDescent="0.5">
      <c r="A157" s="844" t="s">
        <v>363</v>
      </c>
      <c r="B157" s="845"/>
      <c r="C157" s="846"/>
      <c r="D157" s="679" t="s">
        <v>130</v>
      </c>
      <c r="E157" s="95">
        <f>'1'!F157</f>
        <v>4127.37</v>
      </c>
      <c r="F157" s="165">
        <v>4207</v>
      </c>
      <c r="G157" s="112">
        <f t="shared" si="12"/>
        <v>79.630000000000109</v>
      </c>
      <c r="H157" s="99"/>
      <c r="I157" s="165"/>
      <c r="J157" s="328"/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>
        <f>'1'!F158</f>
        <v>46.66</v>
      </c>
      <c r="F158" s="165">
        <v>60</v>
      </c>
      <c r="G158" s="112">
        <f t="shared" si="12"/>
        <v>13.340000000000003</v>
      </c>
      <c r="H158" s="99"/>
      <c r="I158" s="165"/>
      <c r="J158" s="328"/>
    </row>
    <row r="159" spans="1:10" ht="27.75" x14ac:dyDescent="0.5">
      <c r="A159" s="844"/>
      <c r="B159" s="845"/>
      <c r="C159" s="846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4" ht="29.25" x14ac:dyDescent="0.5">
      <c r="A161" s="242" t="s">
        <v>92</v>
      </c>
      <c r="B161" s="243"/>
      <c r="C161" s="243"/>
      <c r="D161" s="244" t="s">
        <v>180</v>
      </c>
      <c r="E161" s="95">
        <f>'1'!F161</f>
        <v>472101.84</v>
      </c>
      <c r="F161" s="235">
        <v>472154.68</v>
      </c>
      <c r="G161" s="238">
        <f t="shared" ref="G161:G165" si="13">F161-E161</f>
        <v>52.839999999967404</v>
      </c>
      <c r="H161" s="99">
        <f>G161+'1'!H161</f>
        <v>101.11999999999534</v>
      </c>
      <c r="I161" s="236"/>
      <c r="J161" s="239">
        <f>H161/DAY(B2)</f>
        <v>50.559999999997672</v>
      </c>
    </row>
    <row r="162" spans="1:14" ht="29.25" x14ac:dyDescent="0.5">
      <c r="A162" s="242" t="s">
        <v>93</v>
      </c>
      <c r="B162" s="243"/>
      <c r="C162" s="243"/>
      <c r="D162" s="244" t="s">
        <v>180</v>
      </c>
      <c r="E162" s="95">
        <f>'1'!F162</f>
        <v>88558.399999999994</v>
      </c>
      <c r="F162" s="235">
        <v>88596.5</v>
      </c>
      <c r="G162" s="238">
        <f t="shared" si="13"/>
        <v>38.100000000005821</v>
      </c>
      <c r="H162" s="99">
        <f>G162+'1'!H162</f>
        <v>80.100000000005821</v>
      </c>
      <c r="I162" s="236"/>
      <c r="J162" s="239">
        <f>H162/DAY(B2)</f>
        <v>40.05000000000291</v>
      </c>
    </row>
    <row r="163" spans="1:14" ht="29.25" x14ac:dyDescent="0.5">
      <c r="A163" s="242" t="s">
        <v>197</v>
      </c>
      <c r="B163" s="243"/>
      <c r="C163" s="243"/>
      <c r="D163" s="244" t="s">
        <v>180</v>
      </c>
      <c r="E163" s="95">
        <f>'1'!F163</f>
        <v>79251.5</v>
      </c>
      <c r="F163" s="235">
        <v>79285.3</v>
      </c>
      <c r="G163" s="238">
        <f t="shared" si="13"/>
        <v>33.80000000000291</v>
      </c>
      <c r="H163" s="99">
        <f>G163+'1'!H163</f>
        <v>65.19999999999709</v>
      </c>
      <c r="I163" s="236"/>
      <c r="J163" s="239">
        <f>H163/DAY(B2)</f>
        <v>32.599999999998545</v>
      </c>
    </row>
    <row r="164" spans="1:14" ht="29.25" x14ac:dyDescent="0.5">
      <c r="A164" s="242" t="s">
        <v>197</v>
      </c>
      <c r="B164" s="243"/>
      <c r="C164" s="243"/>
      <c r="D164" s="244" t="s">
        <v>180</v>
      </c>
      <c r="E164" s="95">
        <f>'1'!F164</f>
        <v>4320.8</v>
      </c>
      <c r="F164" s="235">
        <v>4323.3</v>
      </c>
      <c r="G164" s="238">
        <f t="shared" si="13"/>
        <v>2.5</v>
      </c>
      <c r="H164" s="99">
        <f>G164+'1'!H164</f>
        <v>3.3000000000001819</v>
      </c>
      <c r="I164" s="236"/>
      <c r="J164" s="239">
        <f>H164/DAY(B2)</f>
        <v>1.6500000000000909</v>
      </c>
    </row>
    <row r="165" spans="1:14" ht="29.25" x14ac:dyDescent="0.5">
      <c r="A165" s="242" t="s">
        <v>309</v>
      </c>
      <c r="B165" s="243"/>
      <c r="C165" s="243"/>
      <c r="D165" s="244" t="s">
        <v>180</v>
      </c>
      <c r="E165" s="95">
        <f>'1'!F165</f>
        <v>29866.080000000002</v>
      </c>
      <c r="F165" s="235">
        <v>29875.27</v>
      </c>
      <c r="G165" s="238">
        <f t="shared" si="13"/>
        <v>9.1899999999986903</v>
      </c>
      <c r="H165" s="99">
        <f>G165+'1'!H165</f>
        <v>18.020000000000437</v>
      </c>
      <c r="I165" s="236"/>
      <c r="J165" s="239">
        <f>H165/DAY(B2)</f>
        <v>9.0100000000002183</v>
      </c>
    </row>
    <row r="166" spans="1:14" ht="29.25" customHeight="1" x14ac:dyDescent="0.5">
      <c r="A166" s="852"/>
      <c r="B166" s="852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9.25" x14ac:dyDescent="0.5">
      <c r="A167" s="852"/>
      <c r="B167" s="852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9.25" x14ac:dyDescent="0.5">
      <c r="A168" s="852"/>
      <c r="B168" s="852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9.25" x14ac:dyDescent="0.5"/>
    <row r="170" spans="1:14" ht="29.25" x14ac:dyDescent="0.5"/>
    <row r="171" spans="1:14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4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 x14ac:dyDescent="0.5">
      <c r="A173" s="856" t="s">
        <v>209</v>
      </c>
      <c r="B173" s="857"/>
      <c r="C173" s="333"/>
      <c r="D173" s="228" t="s">
        <v>142</v>
      </c>
      <c r="E173" s="95">
        <f>'1'!F173</f>
        <v>8126</v>
      </c>
      <c r="F173" s="155">
        <v>8126</v>
      </c>
      <c r="G173" s="155">
        <f>F173-E173</f>
        <v>0</v>
      </c>
      <c r="H173" s="99">
        <f>G173+'1'!H173</f>
        <v>0</v>
      </c>
      <c r="I173" s="155"/>
      <c r="J173" s="178">
        <f>H173/DAY(B2)</f>
        <v>0</v>
      </c>
    </row>
    <row r="174" spans="1:14" ht="27.75" x14ac:dyDescent="0.5">
      <c r="A174" s="856" t="s">
        <v>75</v>
      </c>
      <c r="B174" s="857"/>
      <c r="C174" s="333"/>
      <c r="D174" s="228" t="s">
        <v>142</v>
      </c>
      <c r="E174" s="95">
        <f>'1'!F174</f>
        <v>38626</v>
      </c>
      <c r="F174" s="157">
        <v>38637</v>
      </c>
      <c r="G174" s="155">
        <f t="shared" ref="G174:G175" si="14">F174-E174</f>
        <v>11</v>
      </c>
      <c r="H174" s="99">
        <f>G174+'1'!H174</f>
        <v>22</v>
      </c>
      <c r="I174" s="155"/>
      <c r="J174" s="178">
        <f>H174/DAY(B2)</f>
        <v>11</v>
      </c>
    </row>
    <row r="175" spans="1:14" ht="27.75" x14ac:dyDescent="0.5">
      <c r="A175" s="856" t="s">
        <v>76</v>
      </c>
      <c r="B175" s="896"/>
      <c r="C175" s="857"/>
      <c r="D175" s="228" t="s">
        <v>142</v>
      </c>
      <c r="E175" s="95">
        <f>'1'!F175</f>
        <v>21823</v>
      </c>
      <c r="F175" s="155">
        <v>21832</v>
      </c>
      <c r="G175" s="155">
        <f t="shared" si="14"/>
        <v>9</v>
      </c>
      <c r="H175" s="99">
        <f>G175+'1'!H175</f>
        <v>19</v>
      </c>
      <c r="I175" s="155"/>
      <c r="J175" s="178">
        <f>H175/DAY(B2)</f>
        <v>9.5</v>
      </c>
      <c r="N175" s="599"/>
    </row>
    <row r="176" spans="1:14" ht="27.75" x14ac:dyDescent="0.5">
      <c r="A176" s="847" t="s">
        <v>196</v>
      </c>
      <c r="B176" s="848"/>
      <c r="C176" s="483"/>
      <c r="D176" s="228"/>
      <c r="E176" s="95"/>
      <c r="F176" s="155"/>
      <c r="G176" s="155">
        <f>SUM(G173:G175)</f>
        <v>20</v>
      </c>
      <c r="H176" s="99">
        <f>G176+'1'!H176</f>
        <v>41</v>
      </c>
      <c r="I176" s="155"/>
      <c r="J176" s="178">
        <f>H176/DAY(B2)</f>
        <v>20.5</v>
      </c>
    </row>
    <row r="177" spans="1:10" ht="27.75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'1'!F178</f>
        <v>81358</v>
      </c>
      <c r="F178" s="157">
        <v>81448</v>
      </c>
      <c r="G178" s="155">
        <f>F178-E178</f>
        <v>90</v>
      </c>
      <c r="H178" s="99">
        <f>G178+'1'!H178</f>
        <v>133</v>
      </c>
      <c r="I178" s="155"/>
      <c r="J178" s="178">
        <f>H178/DAY(B2)</f>
        <v>66.5</v>
      </c>
    </row>
    <row r="179" spans="1:10" ht="27.75" x14ac:dyDescent="0.5">
      <c r="A179" s="856" t="s">
        <v>211</v>
      </c>
      <c r="B179" s="857"/>
      <c r="C179" s="333"/>
      <c r="D179" s="228" t="s">
        <v>142</v>
      </c>
      <c r="E179" s="95">
        <f>'1'!F179</f>
        <v>34832</v>
      </c>
      <c r="F179" s="155">
        <v>34869</v>
      </c>
      <c r="G179" s="155">
        <f t="shared" ref="G179:G180" si="15">F179-E179</f>
        <v>37</v>
      </c>
      <c r="H179" s="99">
        <f>G179+'1'!H179</f>
        <v>66</v>
      </c>
      <c r="I179" s="155"/>
      <c r="J179" s="178">
        <f>H179/DAY(B2)</f>
        <v>33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'1'!F180</f>
        <v>5705</v>
      </c>
      <c r="F180" s="155">
        <v>5710</v>
      </c>
      <c r="G180" s="155">
        <f t="shared" si="15"/>
        <v>5</v>
      </c>
      <c r="H180" s="99">
        <f>G180+'1'!H180</f>
        <v>8</v>
      </c>
      <c r="I180" s="155"/>
      <c r="J180" s="178">
        <f>H180/DAY(B2)</f>
        <v>4</v>
      </c>
    </row>
    <row r="181" spans="1:10" ht="27.75" x14ac:dyDescent="0.5">
      <c r="A181" s="858" t="s">
        <v>108</v>
      </c>
      <c r="B181" s="859"/>
      <c r="C181" s="483"/>
      <c r="D181" s="228"/>
      <c r="E181" s="95"/>
      <c r="F181" s="155"/>
      <c r="G181" s="155">
        <f>SUM(G178:G180)</f>
        <v>132</v>
      </c>
      <c r="H181" s="99">
        <f>G181+'1'!H181</f>
        <v>207</v>
      </c>
      <c r="I181" s="155"/>
      <c r="J181" s="178">
        <f>H181/DAY(B2)</f>
        <v>103.5</v>
      </c>
    </row>
    <row r="182" spans="1:10" ht="31.5" customHeight="1" x14ac:dyDescent="0.5">
      <c r="A182" s="856" t="s">
        <v>213</v>
      </c>
      <c r="B182" s="857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 x14ac:dyDescent="0.5">
      <c r="A183" s="856" t="s">
        <v>214</v>
      </c>
      <c r="B183" s="857"/>
      <c r="C183" s="334"/>
      <c r="D183" s="228" t="s">
        <v>142</v>
      </c>
      <c r="E183" s="95">
        <f>'1'!F183</f>
        <v>15356</v>
      </c>
      <c r="F183" s="157">
        <v>15378</v>
      </c>
      <c r="G183" s="157">
        <f>F183-E183</f>
        <v>22</v>
      </c>
      <c r="H183" s="99">
        <f>G183+'1'!H183</f>
        <v>33</v>
      </c>
      <c r="I183" s="155"/>
      <c r="J183" s="178">
        <f>H183/DAY(B2)</f>
        <v>16.5</v>
      </c>
    </row>
    <row r="184" spans="1:10" ht="27.75" customHeight="1" x14ac:dyDescent="0.5">
      <c r="A184" s="856" t="s">
        <v>215</v>
      </c>
      <c r="B184" s="857"/>
      <c r="C184" s="334"/>
      <c r="D184" s="228" t="s">
        <v>142</v>
      </c>
      <c r="E184" s="95">
        <f>'1'!F184</f>
        <v>10525</v>
      </c>
      <c r="F184" s="157">
        <v>10532</v>
      </c>
      <c r="G184" s="157">
        <f t="shared" ref="G184:G185" si="16">F184-E184</f>
        <v>7</v>
      </c>
      <c r="H184" s="99">
        <f>G184+'1'!H184</f>
        <v>14</v>
      </c>
      <c r="I184" s="155"/>
      <c r="J184" s="178">
        <f>H184/DAY(B2)</f>
        <v>7</v>
      </c>
    </row>
    <row r="185" spans="1:10" ht="24.75" customHeight="1" x14ac:dyDescent="0.5">
      <c r="A185" s="856" t="s">
        <v>216</v>
      </c>
      <c r="B185" s="857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 x14ac:dyDescent="0.5">
      <c r="A186" s="847" t="s">
        <v>196</v>
      </c>
      <c r="B186" s="848"/>
      <c r="C186" s="482"/>
      <c r="D186" s="229"/>
      <c r="E186" s="95"/>
      <c r="F186" s="157"/>
      <c r="G186" s="157">
        <f>SUM(G183:G185)</f>
        <v>29</v>
      </c>
      <c r="H186" s="99">
        <f>G186+'1'!H186</f>
        <v>47</v>
      </c>
      <c r="I186" s="157"/>
      <c r="J186" s="178">
        <f>H186/DAY(B2)</f>
        <v>23.5</v>
      </c>
    </row>
    <row r="187" spans="1:10" ht="28.5" customHeight="1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138</v>
      </c>
      <c r="H187" s="99">
        <f>G187+'1'!H187</f>
        <v>256</v>
      </c>
      <c r="I187" s="158"/>
      <c r="J187" s="179">
        <f>H187/DAY(B2)</f>
        <v>128</v>
      </c>
    </row>
    <row r="188" spans="1:10" ht="24" customHeight="1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140</v>
      </c>
      <c r="H188" s="99">
        <f>G188+'1'!H188</f>
        <v>259</v>
      </c>
      <c r="I188" s="158"/>
      <c r="J188" s="179">
        <f>H188/DAY(B2)</f>
        <v>129.5</v>
      </c>
    </row>
    <row r="189" spans="1:10" ht="24.75" customHeight="1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132</v>
      </c>
      <c r="H189" s="99">
        <f>G189+'1'!H189</f>
        <v>207</v>
      </c>
      <c r="I189" s="158"/>
      <c r="J189" s="179">
        <f>H189/DAY(B2)</f>
        <v>103.5</v>
      </c>
    </row>
    <row r="190" spans="1:10" ht="27.75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zoomScale="55" zoomScaleSheetLayoutView="55" workbookViewId="0">
      <selection activeCell="F41" sqref="F41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6" s="57" customFormat="1" ht="27" x14ac:dyDescent="0.5">
      <c r="A2" s="191" t="s">
        <v>350</v>
      </c>
      <c r="B2" s="375">
        <v>44595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 x14ac:dyDescent="0.5">
      <c r="A3" s="189"/>
      <c r="B3" s="221"/>
      <c r="C3" s="348" t="s">
        <v>118</v>
      </c>
      <c r="D3" s="219">
        <v>28</v>
      </c>
      <c r="E3" s="911" t="s">
        <v>119</v>
      </c>
      <c r="F3" s="912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'2'!F7</f>
        <v>686494</v>
      </c>
      <c r="F7" s="95">
        <v>705577</v>
      </c>
      <c r="G7" s="112">
        <f>F7-E7</f>
        <v>19083</v>
      </c>
      <c r="H7" s="99">
        <f>G7+'2'!H7</f>
        <v>54396.770000000019</v>
      </c>
      <c r="I7" s="113">
        <f>'1'!I7</f>
        <v>12000</v>
      </c>
      <c r="J7" s="175">
        <f>H7/DAY(B2)</f>
        <v>18132.256666666672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'2'!F8</f>
        <v>744345</v>
      </c>
      <c r="F8" s="114">
        <v>763564</v>
      </c>
      <c r="G8" s="115">
        <f>F8-E8</f>
        <v>19219</v>
      </c>
      <c r="H8" s="99">
        <f>G8+'2'!H8</f>
        <v>55015.849999999977</v>
      </c>
      <c r="I8" s="116"/>
      <c r="J8" s="175">
        <f>H8/DAY(B2)</f>
        <v>18338.616666666658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'2'!F9</f>
        <v>310735.19</v>
      </c>
      <c r="F9" s="117">
        <v>322590.71000000002</v>
      </c>
      <c r="G9" s="112">
        <f>F9-E9</f>
        <v>11855.520000000019</v>
      </c>
      <c r="H9" s="99">
        <f>G9+'2'!H9</f>
        <v>40336.860000000044</v>
      </c>
      <c r="I9" s="124">
        <f>I7-J7</f>
        <v>-6132.2566666666717</v>
      </c>
      <c r="J9" s="175">
        <f>H9/DAY(B2)</f>
        <v>13445.620000000015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'2'!F10</f>
        <v>111088.19</v>
      </c>
      <c r="F10" s="117">
        <v>117782.93</v>
      </c>
      <c r="G10" s="112">
        <f t="shared" ref="G10:G12" si="0">F10-E10</f>
        <v>6694.7399999999907</v>
      </c>
      <c r="H10" s="99">
        <f>G10+'2'!H10</f>
        <v>12523.959999999992</v>
      </c>
      <c r="I10" s="282"/>
      <c r="J10" s="175">
        <f>H10/DAY(B2)</f>
        <v>4174.6533333333309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'2'!F11</f>
        <v>37170</v>
      </c>
      <c r="F11" s="95">
        <v>37170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18550.260000000009</v>
      </c>
      <c r="H13" s="99">
        <f>G13+'2'!H13</f>
        <v>36106.39</v>
      </c>
      <c r="I13" s="120">
        <f>G7-G13</f>
        <v>532.73999999999069</v>
      </c>
      <c r="J13" s="175">
        <f>H13/DAY(B2)</f>
        <v>12035.463333333333</v>
      </c>
      <c r="K13" s="79"/>
      <c r="L13" s="66"/>
      <c r="N13" s="87"/>
      <c r="O13" s="71"/>
    </row>
    <row r="14" spans="1:16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95">
        <f>'2'!F15</f>
        <v>1908538.47</v>
      </c>
      <c r="F15" s="492">
        <v>1909550.818</v>
      </c>
      <c r="G15" s="112">
        <f>(F15-E15)</f>
        <v>1012.3479999999981</v>
      </c>
      <c r="H15" s="99">
        <f>G15+'2'!H15</f>
        <v>2914.0509999999776</v>
      </c>
      <c r="I15" s="113">
        <f>'1'!I15</f>
        <v>800</v>
      </c>
      <c r="J15" s="175">
        <f>H15/DAY(B2)</f>
        <v>971.35033333332592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-171.35033333332592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'2'!F18</f>
        <v>15</v>
      </c>
      <c r="F18" s="122">
        <v>18</v>
      </c>
      <c r="G18" s="119">
        <f>F18*10</f>
        <v>180</v>
      </c>
      <c r="H18" s="99">
        <f>G18+'2'!H18</f>
        <v>510</v>
      </c>
      <c r="I18" s="113">
        <f>'1'!I18</f>
        <v>65</v>
      </c>
      <c r="J18" s="175">
        <f>H18/DAY(B2)</f>
        <v>170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'2'!F19</f>
        <v>153979</v>
      </c>
      <c r="F19" s="122">
        <v>154032</v>
      </c>
      <c r="G19" s="112">
        <f t="shared" ref="G19" si="1">F19-E19</f>
        <v>53</v>
      </c>
      <c r="H19" s="99">
        <f>G19+'2'!H19</f>
        <v>141</v>
      </c>
      <c r="I19" s="335"/>
      <c r="J19" s="175">
        <f>H19/DAY(B2)</f>
        <v>47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233</v>
      </c>
      <c r="H20" s="99">
        <f>G20+'2'!H20</f>
        <v>651</v>
      </c>
      <c r="I20" s="336">
        <f>I18-J20</f>
        <v>-152</v>
      </c>
      <c r="J20" s="175">
        <f>H20/DAY(B2)</f>
        <v>217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'2'!F23</f>
        <v>1500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19219</v>
      </c>
      <c r="F27" s="136">
        <v>9</v>
      </c>
      <c r="G27" s="137">
        <f>E27*F27</f>
        <v>172971</v>
      </c>
      <c r="H27" s="99">
        <f>G27+'2'!H27</f>
        <v>495142.64999999979</v>
      </c>
      <c r="I27" s="138"/>
      <c r="J27" s="175">
        <f>H27/DAY(B2)</f>
        <v>165047.54999999993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1012.3479999999981</v>
      </c>
      <c r="F28" s="136">
        <v>52</v>
      </c>
      <c r="G28" s="137">
        <f>E28*F28</f>
        <v>52642.095999999903</v>
      </c>
      <c r="H28" s="99">
        <f>G28+'2'!H28</f>
        <v>151530.65199999884</v>
      </c>
      <c r="I28" s="140"/>
      <c r="J28" s="175">
        <f>H28/DAY(B2)</f>
        <v>50510.217333332948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G30+'2'!H30</f>
        <v>20586</v>
      </c>
      <c r="I30" s="140"/>
      <c r="J30" s="175">
        <f>H30/DAY(B2)</f>
        <v>6862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G31+'2'!H31</f>
        <v>40800</v>
      </c>
      <c r="I31" s="140"/>
      <c r="J31" s="175">
        <f>H31/DAY(B2)</f>
        <v>13600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247751.0959999999</v>
      </c>
      <c r="H32" s="99">
        <f>G32+'2'!H32</f>
        <v>708059.30199999863</v>
      </c>
      <c r="I32" s="144"/>
      <c r="J32" s="175">
        <f>H32/DAY(B2)</f>
        <v>236019.76733333289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'2'!F35</f>
        <v>34639.31</v>
      </c>
      <c r="F35" s="145">
        <v>36076.93</v>
      </c>
      <c r="G35" s="112">
        <f t="shared" ref="G35:G46" si="3">F35-E35</f>
        <v>1437.6200000000026</v>
      </c>
      <c r="H35" s="99">
        <f>G35+'2'!H35</f>
        <v>4071.9500000000007</v>
      </c>
      <c r="I35" s="95"/>
      <c r="J35" s="175">
        <f>H35/DAY(B2)</f>
        <v>1357.3166666666668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'2'!F36</f>
        <v>44981</v>
      </c>
      <c r="F36" s="145">
        <v>45916.7</v>
      </c>
      <c r="G36" s="112">
        <f t="shared" si="3"/>
        <v>935.69999999999709</v>
      </c>
      <c r="H36" s="99">
        <f>G36+'2'!H36</f>
        <v>2457.9599999999991</v>
      </c>
      <c r="I36" s="95"/>
      <c r="J36" s="175">
        <f>H36/DAY(B2)</f>
        <v>819.31999999999971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'2'!F37</f>
        <v>38526.300000000003</v>
      </c>
      <c r="F37" s="145">
        <v>40078.410000000003</v>
      </c>
      <c r="G37" s="112">
        <f t="shared" si="3"/>
        <v>1552.1100000000006</v>
      </c>
      <c r="H37" s="99">
        <f>G37+'2'!H37</f>
        <v>4653.320000000007</v>
      </c>
      <c r="I37" s="95"/>
      <c r="J37" s="175">
        <f>H37/DAY(B2)</f>
        <v>1551.1066666666691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'2'!F38</f>
        <v>41755.49</v>
      </c>
      <c r="F38" s="108">
        <v>43423.64</v>
      </c>
      <c r="G38" s="112">
        <f t="shared" si="3"/>
        <v>1668.1500000000015</v>
      </c>
      <c r="H38" s="99">
        <f>G38+'2'!H38</f>
        <v>5047.2099999999991</v>
      </c>
      <c r="I38" s="95"/>
      <c r="J38" s="175">
        <f>H38/DAY(B2)</f>
        <v>1682.403333333333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'2'!F39</f>
        <v>64411.1</v>
      </c>
      <c r="F39" s="145">
        <v>67052.929999999993</v>
      </c>
      <c r="G39" s="112">
        <f t="shared" si="3"/>
        <v>2641.8299999999945</v>
      </c>
      <c r="H39" s="99">
        <f>G39+'2'!H39</f>
        <v>7879.6399999999921</v>
      </c>
      <c r="I39" s="95"/>
      <c r="J39" s="175">
        <f>H39/DAY(B2)</f>
        <v>2626.5466666666639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'2'!F40</f>
        <v>61</v>
      </c>
      <c r="F40" s="145">
        <v>62.7</v>
      </c>
      <c r="G40" s="112">
        <f t="shared" si="3"/>
        <v>1.7000000000000028</v>
      </c>
      <c r="H40" s="99">
        <f>G40+'2'!H40</f>
        <v>690.43999999999801</v>
      </c>
      <c r="I40" s="95"/>
      <c r="J40" s="175">
        <f>H40/DAY(B2)</f>
        <v>230.14666666666599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'2'!F41</f>
        <v>62.73</v>
      </c>
      <c r="F41" s="145">
        <v>62.73</v>
      </c>
      <c r="G41" s="112">
        <f t="shared" si="3"/>
        <v>0</v>
      </c>
      <c r="H41" s="99">
        <f>G41+'2'!H41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'2'!F42</f>
        <v>106463.85</v>
      </c>
      <c r="F42" s="145">
        <v>106500.98</v>
      </c>
      <c r="G42" s="112">
        <f t="shared" si="3"/>
        <v>37.129999999990105</v>
      </c>
      <c r="H42" s="99">
        <f>G42+'2'!H42</f>
        <v>6371.2399999999907</v>
      </c>
      <c r="I42" s="95"/>
      <c r="J42" s="175">
        <f>H42/DAY(B2)</f>
        <v>2123.7466666666637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'2'!F43</f>
        <v>118750.69</v>
      </c>
      <c r="F43" s="145">
        <v>120980.36</v>
      </c>
      <c r="G43" s="112">
        <f t="shared" si="3"/>
        <v>2229.6699999999983</v>
      </c>
      <c r="H43" s="99">
        <f>G43+'2'!H43</f>
        <v>6128.7599999999948</v>
      </c>
      <c r="I43" s="95"/>
      <c r="J43" s="175">
        <f>H43/DAY(B2)</f>
        <v>2042.9199999999983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10503.909999999985</v>
      </c>
      <c r="H47" s="99">
        <f>G47+'2'!H47</f>
        <v>37300.519999999982</v>
      </c>
      <c r="I47" s="95"/>
      <c r="J47" s="175">
        <f>H47/DAY(B2)</f>
        <v>12433.506666666661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'2'!F49</f>
        <v>26982</v>
      </c>
      <c r="F49" s="145">
        <v>28047.55</v>
      </c>
      <c r="G49" s="112">
        <f t="shared" ref="G49:G58" si="4">F49-E49</f>
        <v>1065.5499999999993</v>
      </c>
      <c r="H49" s="99">
        <f>G49+'2'!H49</f>
        <v>3051.3600000000006</v>
      </c>
      <c r="I49" s="95"/>
      <c r="J49" s="175">
        <f>H49/DAY(B2)</f>
        <v>1017.1200000000002</v>
      </c>
      <c r="K49" s="79"/>
      <c r="L49" s="66"/>
      <c r="N49" s="87">
        <f>G35+G49</f>
        <v>2503.1700000000019</v>
      </c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'2'!F50</f>
        <v>58313.08</v>
      </c>
      <c r="F50" s="145">
        <v>59383.14</v>
      </c>
      <c r="G50" s="112">
        <f t="shared" si="4"/>
        <v>1070.0599999999977</v>
      </c>
      <c r="H50" s="99">
        <f>G50+'2'!H50</f>
        <v>2996.510000000002</v>
      </c>
      <c r="I50" s="95"/>
      <c r="J50" s="175">
        <f>H50/DAY(B2)</f>
        <v>998.83666666666738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'2'!F51</f>
        <v>0</v>
      </c>
      <c r="F51" s="145">
        <v>0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'2'!F52</f>
        <v>0</v>
      </c>
      <c r="F52" s="145">
        <v>0</v>
      </c>
      <c r="G52" s="112">
        <f t="shared" si="4"/>
        <v>0</v>
      </c>
      <c r="H52" s="99">
        <f>G52+'2'!H52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'2'!F54</f>
        <v>5303.73</v>
      </c>
      <c r="F54" s="145">
        <v>5842.67</v>
      </c>
      <c r="G54" s="112">
        <f t="shared" si="4"/>
        <v>538.94000000000051</v>
      </c>
      <c r="H54" s="99">
        <f>G54+'2'!H54</f>
        <v>695.25</v>
      </c>
      <c r="I54" s="95"/>
      <c r="J54" s="175">
        <f>H54/DAY(B2)</f>
        <v>231.75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'2'!F55</f>
        <v>75489.399999999994</v>
      </c>
      <c r="F55" s="145">
        <v>78823.75</v>
      </c>
      <c r="G55" s="112">
        <f t="shared" si="4"/>
        <v>3334.3500000000058</v>
      </c>
      <c r="H55" s="99">
        <f>G55+'2'!H55</f>
        <v>4457.6399999999994</v>
      </c>
      <c r="I55" s="95"/>
      <c r="J55" s="175">
        <f>H55/DAY(B2)</f>
        <v>1485.8799999999999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'2'!F56</f>
        <v>8610.5400000000009</v>
      </c>
      <c r="F56" s="145">
        <v>8723.6299999999992</v>
      </c>
      <c r="G56" s="112">
        <f t="shared" si="4"/>
        <v>113.08999999999833</v>
      </c>
      <c r="H56" s="99">
        <f>G56+'2'!H56</f>
        <v>113.08999999999833</v>
      </c>
      <c r="I56" s="95"/>
      <c r="J56" s="175">
        <f>H56/DAY(B2)</f>
        <v>37.696666666666111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'2'!F58</f>
        <v>5181.79</v>
      </c>
      <c r="F58" s="145">
        <v>5384.23</v>
      </c>
      <c r="G58" s="112">
        <f t="shared" si="4"/>
        <v>202.4399999999996</v>
      </c>
      <c r="H58" s="99">
        <f>G58+'2'!H58</f>
        <v>588.01999999999953</v>
      </c>
      <c r="I58" s="95"/>
      <c r="J58" s="175">
        <f>H58/DAY(B2)</f>
        <v>196.00666666666652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6324.4300000000012</v>
      </c>
      <c r="H59" s="99">
        <f>G59+'2'!H59</f>
        <v>11901.869999999999</v>
      </c>
      <c r="I59" s="95">
        <f>G7-G60</f>
        <v>2254.6600000000144</v>
      </c>
      <c r="J59" s="175">
        <f>H59/DAY(B2)</f>
        <v>3967.2899999999995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16828.339999999986</v>
      </c>
      <c r="H60" s="99">
        <f>G60+'2'!H60</f>
        <v>49202.389999999985</v>
      </c>
      <c r="I60" s="95">
        <f>G13-G60</f>
        <v>1721.9200000000237</v>
      </c>
      <c r="J60" s="175">
        <f>H60/DAY(B2)</f>
        <v>16400.796666666662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'2'!F62</f>
        <v>269684</v>
      </c>
      <c r="F62" s="164">
        <v>269758</v>
      </c>
      <c r="G62" s="112">
        <f t="shared" ref="G62:G63" si="5">F62-E62</f>
        <v>74</v>
      </c>
      <c r="H62" s="99">
        <f>G62+'2'!H62</f>
        <v>242</v>
      </c>
      <c r="I62" s="118"/>
      <c r="J62" s="175">
        <f>H62/DAY(B2)</f>
        <v>80.666666666666671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'2'!F63</f>
        <v>216088</v>
      </c>
      <c r="F63" s="122">
        <v>216220</v>
      </c>
      <c r="G63" s="112">
        <f t="shared" si="5"/>
        <v>132</v>
      </c>
      <c r="H63" s="99">
        <f>G63+'2'!H63</f>
        <v>423</v>
      </c>
      <c r="I63" s="118"/>
      <c r="J63" s="175">
        <f>H63/DAY(B2)</f>
        <v>141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'2'!F64</f>
        <v>0</v>
      </c>
      <c r="F64" s="122"/>
      <c r="G64" s="112">
        <f>G62+G63</f>
        <v>206</v>
      </c>
      <c r="H64" s="99">
        <f>G64+'2'!H64</f>
        <v>665</v>
      </c>
      <c r="I64" s="118"/>
      <c r="J64" s="175">
        <f>H64/DAY(B2)</f>
        <v>221.66666666666666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'2'!F65</f>
        <v>435065</v>
      </c>
      <c r="F65" s="122">
        <v>435159</v>
      </c>
      <c r="G65" s="112">
        <f t="shared" ref="G65:G70" si="6">F65-E65</f>
        <v>94</v>
      </c>
      <c r="H65" s="99">
        <f>G65+'2'!H65</f>
        <v>236</v>
      </c>
      <c r="I65" s="118"/>
      <c r="J65" s="175">
        <f>H65/DAY(B2)</f>
        <v>78.666666666666671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'2'!F66</f>
        <v>107780</v>
      </c>
      <c r="F66" s="122">
        <v>107802</v>
      </c>
      <c r="G66" s="112">
        <f t="shared" si="6"/>
        <v>22</v>
      </c>
      <c r="H66" s="99">
        <f>G66+'2'!H66</f>
        <v>59</v>
      </c>
      <c r="I66" s="118"/>
      <c r="J66" s="175">
        <f>H66/DAY(B2)</f>
        <v>19.666666666666668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'2'!F67</f>
        <v>104682</v>
      </c>
      <c r="F67" s="122">
        <v>104702</v>
      </c>
      <c r="G67" s="112">
        <f t="shared" si="6"/>
        <v>20</v>
      </c>
      <c r="H67" s="99">
        <f>G67+'2'!H67</f>
        <v>54</v>
      </c>
      <c r="I67" s="118"/>
      <c r="J67" s="175">
        <f>H67/DAY(B2)</f>
        <v>18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'2'!F68</f>
        <v>157766</v>
      </c>
      <c r="F68" s="122">
        <v>157794</v>
      </c>
      <c r="G68" s="112">
        <f t="shared" si="6"/>
        <v>28</v>
      </c>
      <c r="H68" s="99">
        <f>G68+'2'!H68</f>
        <v>97</v>
      </c>
      <c r="I68" s="118"/>
      <c r="J68" s="175">
        <f>H68/DAY(B2)</f>
        <v>32.333333333333336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'2'!F69</f>
        <v>10569</v>
      </c>
      <c r="F69" s="122">
        <v>10578</v>
      </c>
      <c r="G69" s="112">
        <f t="shared" si="6"/>
        <v>9</v>
      </c>
      <c r="H69" s="99">
        <f>G69+'2'!H69</f>
        <v>37</v>
      </c>
      <c r="I69" s="118"/>
      <c r="J69" s="175">
        <f>H69/DAY(B2)</f>
        <v>12.333333333333334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'2'!F70</f>
        <v>8138</v>
      </c>
      <c r="F70" s="122">
        <v>8147</v>
      </c>
      <c r="G70" s="112">
        <f t="shared" si="6"/>
        <v>9</v>
      </c>
      <c r="H70" s="99">
        <f>G70+'2'!H70</f>
        <v>27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182</v>
      </c>
      <c r="H71" s="99">
        <f>G71+'2'!H71</f>
        <v>510</v>
      </c>
      <c r="I71" s="154"/>
      <c r="J71" s="175">
        <f>H71/DAY(B2)</f>
        <v>170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'2'!F74</f>
        <v>901931.71600000001</v>
      </c>
      <c r="F74" s="117">
        <v>902242.26</v>
      </c>
      <c r="G74" s="112">
        <f t="shared" ref="G74:G78" si="7">F74-E74</f>
        <v>310.54399999999441</v>
      </c>
      <c r="H74" s="99">
        <f>G74+'2'!H74</f>
        <v>936.11100000003353</v>
      </c>
      <c r="I74" s="154"/>
      <c r="J74" s="175">
        <f>H74/DAY(B2)</f>
        <v>312.03700000001118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'2'!F76</f>
        <v>170181.77</v>
      </c>
      <c r="F76" s="123">
        <v>170304.09</v>
      </c>
      <c r="G76" s="112">
        <f t="shared" si="7"/>
        <v>122.32000000000698</v>
      </c>
      <c r="H76" s="99">
        <f>G76+'2'!H76</f>
        <v>329.08999999999651</v>
      </c>
      <c r="I76" s="154"/>
      <c r="J76" s="175">
        <f>H76/DAY(B2)</f>
        <v>109.69666666666551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'2'!F77</f>
        <v>41381.1</v>
      </c>
      <c r="F77" s="123">
        <v>41427.5</v>
      </c>
      <c r="G77" s="112">
        <f t="shared" si="7"/>
        <v>46.400000000001455</v>
      </c>
      <c r="H77" s="99">
        <f>G77+'2'!H77</f>
        <v>125.30000000000291</v>
      </c>
      <c r="I77" s="154"/>
      <c r="J77" s="175">
        <f>H77/DAY(B2)</f>
        <v>41.766666666667639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'2'!F78</f>
        <v>9517.7000000000007</v>
      </c>
      <c r="F78" s="123">
        <v>9519.2999999999993</v>
      </c>
      <c r="G78" s="112">
        <f t="shared" si="7"/>
        <v>1.5999999999985448</v>
      </c>
      <c r="H78" s="99">
        <f>G78+'2'!H78</f>
        <v>3.2999999999992724</v>
      </c>
      <c r="I78" s="118"/>
      <c r="J78" s="175">
        <f>H78/DAY(B2)</f>
        <v>1.0999999999997574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'2'!F79</f>
        <v>0</v>
      </c>
      <c r="F79" s="117"/>
      <c r="G79" s="112">
        <f>G15-SUM(G74:G78)</f>
        <v>531.48399999999674</v>
      </c>
      <c r="H79" s="99">
        <f>G79+'2'!H79</f>
        <v>1520.2499999999454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1012.3479999999981</v>
      </c>
      <c r="H80" s="99">
        <f>G80+'2'!H80</f>
        <v>1995.4930000000168</v>
      </c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'2'!F84</f>
        <v>41675</v>
      </c>
      <c r="F84" s="164">
        <v>41675</v>
      </c>
      <c r="G84" s="112">
        <f t="shared" si="8"/>
        <v>0</v>
      </c>
      <c r="H84" s="99">
        <f>G84+'2'!H84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'2'!F85</f>
        <v>2302</v>
      </c>
      <c r="F85" s="164">
        <v>2302</v>
      </c>
      <c r="G85" s="112">
        <f t="shared" si="8"/>
        <v>0</v>
      </c>
      <c r="H85" s="99">
        <f>G85+'2'!H85</f>
        <v>40</v>
      </c>
      <c r="I85" s="118">
        <f>G82+G83+G84+G85</f>
        <v>0</v>
      </c>
      <c r="J85" s="175">
        <f>H85/DAY(B2)</f>
        <v>13.333333333333334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'2'!F86</f>
        <v>43450</v>
      </c>
      <c r="F86" s="164">
        <v>43474</v>
      </c>
      <c r="G86" s="112">
        <f t="shared" si="8"/>
        <v>24</v>
      </c>
      <c r="H86" s="99">
        <f>G86+'2'!H86</f>
        <v>32</v>
      </c>
      <c r="I86" s="118"/>
      <c r="J86" s="175">
        <f>H86/DAY(B2)</f>
        <v>10.666666666666666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'2'!F87</f>
        <v>34598.550000000003</v>
      </c>
      <c r="F87" s="164">
        <v>34598.550000000003</v>
      </c>
      <c r="G87" s="112">
        <f t="shared" si="8"/>
        <v>0</v>
      </c>
      <c r="H87" s="99">
        <f>G87+'2'!H87</f>
        <v>5.0000000002910383E-2</v>
      </c>
      <c r="I87" s="118"/>
      <c r="J87" s="175">
        <f>H87/DAY(B2)</f>
        <v>1.6666666667636793E-2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'2'!F88</f>
        <v>24063.43</v>
      </c>
      <c r="F88" s="164">
        <v>24063.43</v>
      </c>
      <c r="G88" s="112">
        <f t="shared" si="8"/>
        <v>0</v>
      </c>
      <c r="H88" s="99">
        <f>G88+'2'!H88</f>
        <v>0</v>
      </c>
      <c r="I88" s="118">
        <f>G86+G87+G88</f>
        <v>24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'2'!F89</f>
        <v>25910</v>
      </c>
      <c r="F89" s="164">
        <v>25919.8</v>
      </c>
      <c r="G89" s="112">
        <f t="shared" si="8"/>
        <v>9.7999999999992724</v>
      </c>
      <c r="H89" s="99">
        <f>G89+'2'!H89</f>
        <v>28.680000000000291</v>
      </c>
      <c r="I89" s="118"/>
      <c r="J89" s="175">
        <f>H89/DAY(B2)</f>
        <v>9.5600000000000964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'2'!F90</f>
        <v>71165.37</v>
      </c>
      <c r="F90" s="164">
        <v>71167.69</v>
      </c>
      <c r="G90" s="112">
        <f t="shared" si="8"/>
        <v>2.3200000000069849</v>
      </c>
      <c r="H90" s="99">
        <f>G90+'2'!H90</f>
        <v>4.3699999999953434</v>
      </c>
      <c r="I90" s="118">
        <f>G89+G90</f>
        <v>12.120000000006257</v>
      </c>
      <c r="J90" s="175">
        <f>H90/DAY(B2)</f>
        <v>1.4566666666651145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'2'!F91</f>
        <v>3274.32</v>
      </c>
      <c r="F91" s="486">
        <v>3285.32</v>
      </c>
      <c r="G91" s="112">
        <f t="shared" si="8"/>
        <v>11</v>
      </c>
      <c r="H91" s="99">
        <f>G91+'2'!H91</f>
        <v>34.230000000000018</v>
      </c>
      <c r="I91" s="165"/>
      <c r="J91" s="175">
        <f>H91/DAY(B2)</f>
        <v>11.410000000000005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'2'!F92</f>
        <v>5741.07</v>
      </c>
      <c r="F92" s="122">
        <v>5741.07</v>
      </c>
      <c r="G92" s="112">
        <f t="shared" si="8"/>
        <v>0</v>
      </c>
      <c r="H92" s="99">
        <f>G92+'2'!H92</f>
        <v>0</v>
      </c>
      <c r="I92" s="165"/>
      <c r="J92" s="175">
        <f>H92/DAY(B2)</f>
        <v>0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4732.84</v>
      </c>
      <c r="H94" s="99">
        <f>G94+'2'!H94</f>
        <v>13252.069999999996</v>
      </c>
      <c r="I94" s="118"/>
      <c r="J94" s="175">
        <f>H94/DAY(B2)</f>
        <v>4417.3566666666657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0.24801341508148614</v>
      </c>
      <c r="H95" s="99">
        <f>G95+'2'!H95</f>
        <v>0.73030484883434721</v>
      </c>
      <c r="I95" s="167"/>
      <c r="J95" s="175">
        <f>H95/DAY(B2)</f>
        <v>0.24343494961144907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3484.5699999999943</v>
      </c>
      <c r="H96" s="99">
        <f>G96+'2'!H96</f>
        <v>10941.969999999988</v>
      </c>
      <c r="I96" s="118"/>
      <c r="J96" s="175">
        <f>H96/DAY(B2)</f>
        <v>3647.3233333333296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0.18260074411780089</v>
      </c>
      <c r="H97" s="99">
        <f>G97+'2'!H97</f>
        <v>0.60581201556125597</v>
      </c>
      <c r="I97" s="167"/>
      <c r="J97" s="175">
        <f>H97/DAY(B2)</f>
        <v>0.20193733852041865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2641.8299999999945</v>
      </c>
      <c r="H98" s="99">
        <f>G98+'2'!H98</f>
        <v>7879.6399999999921</v>
      </c>
      <c r="I98" s="168"/>
      <c r="J98" s="175">
        <f>H98/DAY(B2)</f>
        <v>2626.5466666666639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0.13843892469737434</v>
      </c>
      <c r="H99" s="99">
        <f>G99+'2'!H99</f>
        <v>0.43520590755697586</v>
      </c>
      <c r="I99" s="168"/>
      <c r="J99" s="175">
        <f>H99/DAY(B2)</f>
        <v>0.1450686358523253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1668.1500000000015</v>
      </c>
      <c r="H100" s="99">
        <f>G100+'2'!H100</f>
        <v>5047.2099999999991</v>
      </c>
      <c r="I100" s="118"/>
      <c r="J100" s="175">
        <f>H100/DAY(B2)</f>
        <v>1682.403333333333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8.741550070743602E-2</v>
      </c>
      <c r="H101" s="99">
        <f>G101+'2'!H101</f>
        <v>0.27870912824646332</v>
      </c>
      <c r="I101" s="168"/>
      <c r="J101" s="175">
        <f>H101/DAY(B2)</f>
        <v>9.2903042748821107E-2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2005.7599999999948</v>
      </c>
      <c r="H102" s="99">
        <f>G102+'2'!H102</f>
        <v>5454.4700000000012</v>
      </c>
      <c r="I102" s="168"/>
      <c r="J102" s="175">
        <f>H102/DAY(B2)</f>
        <v>1818.156666666667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0.10510716344390268</v>
      </c>
      <c r="H103" s="99">
        <f>G103+'2'!H103</f>
        <v>0.30033374635285365</v>
      </c>
      <c r="I103" s="118"/>
      <c r="J103" s="175">
        <f>H103/DAY(B2)</f>
        <v>0.10011124878428455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1552.1100000000006</v>
      </c>
      <c r="H104" s="99">
        <f>G104+'2'!H104</f>
        <v>4653.320000000007</v>
      </c>
      <c r="I104" s="118"/>
      <c r="J104" s="175">
        <f>H104/DAY(B2)</f>
        <v>1551.1066666666691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8.1334695802546805E-2</v>
      </c>
      <c r="H105" s="99">
        <f>G105+'2'!H105</f>
        <v>0.25706761454801386</v>
      </c>
      <c r="I105" s="187"/>
      <c r="J105" s="188">
        <f>H105/DAY(B2)</f>
        <v>8.5689204849337952E-2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'2'!F112</f>
        <v>58208.63</v>
      </c>
      <c r="F112" s="237">
        <v>58284.57</v>
      </c>
      <c r="G112" s="112">
        <f t="shared" ref="G112:G123" si="9">F112-E112</f>
        <v>75.940000000002328</v>
      </c>
      <c r="H112" s="99">
        <f>G112+'2'!H112</f>
        <v>230.56999999999971</v>
      </c>
      <c r="I112" s="165"/>
      <c r="J112" s="328">
        <f>H112/DAY(B2)</f>
        <v>76.85666666666657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'2'!F113</f>
        <v>47363.9</v>
      </c>
      <c r="F113" s="237">
        <v>47816.51</v>
      </c>
      <c r="G113" s="112">
        <f t="shared" si="9"/>
        <v>452.61000000000058</v>
      </c>
      <c r="H113" s="99">
        <f>G113+'2'!H113</f>
        <v>1415.6200000000026</v>
      </c>
      <c r="I113" s="165"/>
      <c r="J113" s="328">
        <f>H113/DAY(B2)</f>
        <v>471.87333333333419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'2'!F114</f>
        <v>33745.300000000003</v>
      </c>
      <c r="F114" s="237">
        <v>34008.199999999997</v>
      </c>
      <c r="G114" s="112">
        <f t="shared" si="9"/>
        <v>262.89999999999418</v>
      </c>
      <c r="H114" s="99">
        <f>G114+'2'!H114</f>
        <v>848.19999999999709</v>
      </c>
      <c r="I114" s="165"/>
      <c r="J114" s="328">
        <f>H114/DAY(B2)</f>
        <v>282.73333333333238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'2'!F115</f>
        <v>9114.76</v>
      </c>
      <c r="F115" s="237">
        <v>9128.2999999999993</v>
      </c>
      <c r="G115" s="112">
        <f t="shared" si="9"/>
        <v>13.539999999999054</v>
      </c>
      <c r="H115" s="99">
        <f>G115+'2'!H115</f>
        <v>33.649999999999636</v>
      </c>
      <c r="I115" s="165"/>
      <c r="J115" s="328">
        <f>H115/DAY(B2)</f>
        <v>11.216666666666546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'2'!F116</f>
        <v>0</v>
      </c>
      <c r="F116" s="237">
        <v>0</v>
      </c>
      <c r="G116" s="112">
        <f t="shared" si="9"/>
        <v>0</v>
      </c>
      <c r="H116" s="99">
        <f>G116+'2'!H116</f>
        <v>0</v>
      </c>
      <c r="I116" s="165"/>
      <c r="J116" s="328">
        <f>H116/DAY(B2)</f>
        <v>0</v>
      </c>
      <c r="Q116" s="863"/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'2'!F117</f>
        <v>3395.23</v>
      </c>
      <c r="F117" s="237">
        <v>3415.74</v>
      </c>
      <c r="G117" s="112">
        <f t="shared" si="9"/>
        <v>20.509999999999764</v>
      </c>
      <c r="H117" s="99">
        <f>G117+'2'!H117</f>
        <v>77.789999999999964</v>
      </c>
      <c r="I117" s="165"/>
      <c r="J117" s="328">
        <f>H117/DAY(B2)</f>
        <v>25.929999999999989</v>
      </c>
      <c r="Q117" s="863"/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'2'!F118</f>
        <v>253080.85</v>
      </c>
      <c r="F118" s="237">
        <v>253412.19</v>
      </c>
      <c r="G118" s="112">
        <f t="shared" si="9"/>
        <v>331.33999999999651</v>
      </c>
      <c r="H118" s="99">
        <f>G118+'2'!H118</f>
        <v>959.88000000000466</v>
      </c>
      <c r="I118" s="165"/>
      <c r="J118" s="328">
        <f>H118/DAY(B2)</f>
        <v>319.96000000000157</v>
      </c>
      <c r="Q118" s="863"/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'2'!F119</f>
        <v>259012.89</v>
      </c>
      <c r="F119" s="237">
        <v>259431.61</v>
      </c>
      <c r="G119" s="112">
        <f t="shared" si="9"/>
        <v>418.71999999997206</v>
      </c>
      <c r="H119" s="99">
        <f>G119+'2'!H119</f>
        <v>1283.0599999999977</v>
      </c>
      <c r="I119" s="165"/>
      <c r="J119" s="328">
        <f>H119/DAY(B2)</f>
        <v>427.68666666666587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'2'!F120</f>
        <v>43790.96</v>
      </c>
      <c r="F120" s="237">
        <v>44224.92</v>
      </c>
      <c r="G120" s="112">
        <f t="shared" si="9"/>
        <v>433.95999999999913</v>
      </c>
      <c r="H120" s="99">
        <f>G120+'2'!H120</f>
        <v>1265.3099999999977</v>
      </c>
      <c r="I120" s="165"/>
      <c r="J120" s="328">
        <f>H120/DAY(B2)</f>
        <v>421.76999999999924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'2'!F121</f>
        <v>399468.55</v>
      </c>
      <c r="F121" s="237">
        <v>400202.75</v>
      </c>
      <c r="G121" s="112">
        <f t="shared" si="9"/>
        <v>734.20000000001164</v>
      </c>
      <c r="H121" s="99">
        <f>G121+'2'!H121</f>
        <v>2168.320000000007</v>
      </c>
      <c r="I121" s="165"/>
      <c r="J121" s="328">
        <f>H121/DAY(B2)</f>
        <v>722.7733333333357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'2'!F122</f>
        <v>126606.82</v>
      </c>
      <c r="F122" s="237">
        <v>126857.4</v>
      </c>
      <c r="G122" s="112">
        <f t="shared" si="9"/>
        <v>250.57999999998719</v>
      </c>
      <c r="H122" s="99">
        <f>G122+'2'!H122</f>
        <v>671.22000000000116</v>
      </c>
      <c r="I122" s="165"/>
      <c r="J122" s="328">
        <f>H122/DAY(B2)</f>
        <v>223.74000000000038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'2'!F123</f>
        <v>154565.59</v>
      </c>
      <c r="F123" s="237">
        <v>154821.26999999999</v>
      </c>
      <c r="G123" s="112">
        <f t="shared" si="9"/>
        <v>255.67999999999302</v>
      </c>
      <c r="H123" s="99">
        <f>G123+'2'!H123</f>
        <v>774.31999999997788</v>
      </c>
      <c r="I123" s="165"/>
      <c r="J123" s="328">
        <f>H123/DAY(B2)</f>
        <v>258.10666666665929</v>
      </c>
    </row>
    <row r="124" spans="1:18" ht="29.25" customHeight="1" x14ac:dyDescent="0.5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29.25" x14ac:dyDescent="0.5">
      <c r="A125" s="893" t="s">
        <v>196</v>
      </c>
      <c r="B125" s="894"/>
      <c r="C125" s="895"/>
      <c r="D125" s="307"/>
      <c r="E125" s="308"/>
      <c r="F125" s="308"/>
      <c r="G125" s="309">
        <f>SUM(G112:G124)</f>
        <v>3249.9799999999555</v>
      </c>
      <c r="H125" s="156"/>
      <c r="I125" s="327">
        <f>G125-(G39+G53)</f>
        <v>608.14999999996098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'2'!F128</f>
        <v>48382.55</v>
      </c>
      <c r="F128" s="165">
        <v>48683.7</v>
      </c>
      <c r="G128" s="112">
        <f t="shared" ref="G128:G134" si="10">F128-E128</f>
        <v>301.14999999999418</v>
      </c>
      <c r="H128" s="99">
        <f>G128+'2'!H128</f>
        <v>937.69999999999709</v>
      </c>
      <c r="I128" s="165"/>
      <c r="J128" s="328">
        <f>H128/DAY(B2)</f>
        <v>312.5666666666657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'2'!F129</f>
        <v>27328.1</v>
      </c>
      <c r="F129" s="165">
        <v>27520.54</v>
      </c>
      <c r="G129" s="112">
        <f t="shared" si="10"/>
        <v>192.44000000000233</v>
      </c>
      <c r="H129" s="99">
        <f>G129+'2'!H129</f>
        <v>609.67000000000189</v>
      </c>
      <c r="I129" s="165"/>
      <c r="J129" s="328">
        <f>H129/DAY(B2)</f>
        <v>203.22333333333395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'2'!F130</f>
        <v>36747.9</v>
      </c>
      <c r="F130" s="165">
        <v>37362.01</v>
      </c>
      <c r="G130" s="112">
        <f t="shared" si="10"/>
        <v>614.11000000000058</v>
      </c>
      <c r="H130" s="99">
        <f>G130+'2'!H130</f>
        <v>1668.010000000002</v>
      </c>
      <c r="I130" s="165"/>
      <c r="J130" s="328">
        <f>H130/DAY(B2)</f>
        <v>556.00333333333401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'2'!F131</f>
        <v>15427.4</v>
      </c>
      <c r="F131" s="165">
        <v>15508.01</v>
      </c>
      <c r="G131" s="112">
        <f t="shared" si="10"/>
        <v>80.610000000000582</v>
      </c>
      <c r="H131" s="99">
        <f>G131+'2'!H131</f>
        <v>200.32999999999993</v>
      </c>
      <c r="I131" s="165"/>
      <c r="J131" s="328">
        <f>H131/DAY(B2)</f>
        <v>66.776666666666642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'2'!F132</f>
        <v>52212.32</v>
      </c>
      <c r="F132" s="165">
        <v>52436</v>
      </c>
      <c r="G132" s="112">
        <f t="shared" si="10"/>
        <v>223.68000000000029</v>
      </c>
      <c r="H132" s="99">
        <f>G132+'2'!H132</f>
        <v>587.69999999999709</v>
      </c>
      <c r="I132" s="165"/>
      <c r="J132" s="328">
        <f>H132/DAY(B2)</f>
        <v>195.89999999999904</v>
      </c>
    </row>
    <row r="133" spans="1:15" ht="27.75" x14ac:dyDescent="0.5">
      <c r="A133" s="863" t="s">
        <v>342</v>
      </c>
      <c r="B133" s="864"/>
      <c r="C133" s="865"/>
      <c r="D133" s="151" t="s">
        <v>183</v>
      </c>
      <c r="E133" s="95">
        <f>'2'!F133</f>
        <v>106404.31</v>
      </c>
      <c r="F133" s="165">
        <v>106969.46</v>
      </c>
      <c r="G133" s="112">
        <f t="shared" si="10"/>
        <v>565.15000000000873</v>
      </c>
      <c r="H133" s="99">
        <f>G133+'2'!H133</f>
        <v>1625.7600000000093</v>
      </c>
      <c r="I133" s="165"/>
      <c r="J133" s="328">
        <f>H133/DAY(B2)</f>
        <v>541.92000000000314</v>
      </c>
    </row>
    <row r="134" spans="1:15" ht="27.75" x14ac:dyDescent="0.5">
      <c r="A134" s="925" t="s">
        <v>340</v>
      </c>
      <c r="B134" s="926"/>
      <c r="C134" s="850"/>
      <c r="D134" s="151" t="s">
        <v>183</v>
      </c>
      <c r="E134" s="95">
        <f>'2'!F134</f>
        <v>8906.8799999999992</v>
      </c>
      <c r="F134" s="165">
        <v>9066.3799999999992</v>
      </c>
      <c r="G134" s="112">
        <f t="shared" si="10"/>
        <v>159.5</v>
      </c>
      <c r="H134" s="99">
        <f>G134+'2'!H134</f>
        <v>465.14999999999964</v>
      </c>
      <c r="I134" s="165"/>
      <c r="J134" s="328">
        <f>H134/DAY(B2)</f>
        <v>155.04999999999987</v>
      </c>
    </row>
    <row r="135" spans="1:15" ht="29.25" x14ac:dyDescent="0.5">
      <c r="A135" s="893" t="s">
        <v>196</v>
      </c>
      <c r="B135" s="894"/>
      <c r="C135" s="895"/>
      <c r="D135" s="151"/>
      <c r="E135" s="95"/>
      <c r="F135" s="165"/>
      <c r="G135" s="112">
        <f>SUM(G128:G134)</f>
        <v>2136.6400000000067</v>
      </c>
      <c r="H135" s="99">
        <f>G135+'2'!H135</f>
        <v>6094.320000000007</v>
      </c>
      <c r="I135" s="327">
        <f>G135-(G35+G49)</f>
        <v>-366.5299999999952</v>
      </c>
      <c r="J135" s="328">
        <f>H135/DAY(B2)</f>
        <v>2031.4400000000023</v>
      </c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'2'!F138</f>
        <v>866293</v>
      </c>
      <c r="F138" s="147">
        <v>866371</v>
      </c>
      <c r="G138" s="112">
        <f t="shared" ref="G138:G152" si="11">F138-E138</f>
        <v>78</v>
      </c>
      <c r="H138" s="99">
        <f>G138+'2'!H138</f>
        <v>198</v>
      </c>
      <c r="I138" s="118"/>
      <c r="J138" s="328">
        <f>H138/DAY(B2)</f>
        <v>66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'2'!F139</f>
        <v>886576</v>
      </c>
      <c r="F139" s="148">
        <v>886577</v>
      </c>
      <c r="G139" s="112">
        <f t="shared" si="11"/>
        <v>1</v>
      </c>
      <c r="H139" s="99">
        <f>G139+'2'!H139</f>
        <v>4</v>
      </c>
      <c r="I139" s="118"/>
      <c r="J139" s="328">
        <f>H139/DAY(B2)</f>
        <v>1.3333333333333333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'2'!F140</f>
        <v>88932.6</v>
      </c>
      <c r="F140" s="149">
        <v>88933.8</v>
      </c>
      <c r="G140" s="112">
        <f t="shared" si="11"/>
        <v>1.1999999999970896</v>
      </c>
      <c r="H140" s="99">
        <f>G140+'2'!H140</f>
        <v>11.80000000000291</v>
      </c>
      <c r="I140" s="118"/>
      <c r="J140" s="328">
        <f>H140/DAY(B2)</f>
        <v>3.9333333333343035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'2'!F141</f>
        <v>55027.8</v>
      </c>
      <c r="F141" s="149">
        <v>55187.1</v>
      </c>
      <c r="G141" s="112">
        <f t="shared" si="11"/>
        <v>159.29999999999563</v>
      </c>
      <c r="H141" s="99">
        <f>G141+'2'!H141</f>
        <v>501.5199999999968</v>
      </c>
      <c r="I141" s="118"/>
      <c r="J141" s="328">
        <f>H141/DAY(B2)</f>
        <v>167.17333333333227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'2'!F142</f>
        <v>21429.24</v>
      </c>
      <c r="F142" s="148">
        <v>21492.35</v>
      </c>
      <c r="G142" s="112">
        <f t="shared" si="11"/>
        <v>63.109999999996944</v>
      </c>
      <c r="H142" s="99">
        <f>G142+'2'!H142</f>
        <v>208.25</v>
      </c>
      <c r="I142" s="140"/>
      <c r="J142" s="328">
        <f>H142/DAY(B2)</f>
        <v>69.416666666666671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'2'!F143</f>
        <v>3889.08</v>
      </c>
      <c r="F143" s="149">
        <v>3915.53</v>
      </c>
      <c r="G143" s="112">
        <f t="shared" si="11"/>
        <v>26.450000000000273</v>
      </c>
      <c r="H143" s="99">
        <f>G143+'2'!H143</f>
        <v>80.140000000000327</v>
      </c>
      <c r="I143" s="140"/>
      <c r="J143" s="328">
        <f>H143/DAY(B2)</f>
        <v>26.713333333333441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'2'!F144</f>
        <v>876893</v>
      </c>
      <c r="F144" s="149">
        <v>877103</v>
      </c>
      <c r="G144" s="112">
        <f t="shared" si="11"/>
        <v>210</v>
      </c>
      <c r="H144" s="99">
        <f>G144+'2'!H144</f>
        <v>616</v>
      </c>
      <c r="I144" s="140"/>
      <c r="J144" s="328">
        <f>H144/DAY(B2)</f>
        <v>205.33333333333334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'2'!F145</f>
        <v>4985.33</v>
      </c>
      <c r="F145" s="149">
        <v>5000</v>
      </c>
      <c r="G145" s="112">
        <f t="shared" si="11"/>
        <v>14.670000000000073</v>
      </c>
      <c r="H145" s="99">
        <f>G145+'2'!H145</f>
        <v>41.159999999999854</v>
      </c>
      <c r="I145" s="140"/>
      <c r="J145" s="328">
        <f>H145/DAY(B2)</f>
        <v>13.719999999999951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'2'!F146</f>
        <v>738119</v>
      </c>
      <c r="F146" s="147">
        <v>738536</v>
      </c>
      <c r="G146" s="112">
        <f t="shared" si="11"/>
        <v>417</v>
      </c>
      <c r="H146" s="99">
        <f>G146+'2'!H146</f>
        <v>1203</v>
      </c>
      <c r="I146" s="140"/>
      <c r="J146" s="328">
        <f>H146/DAY(B2)</f>
        <v>401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'2'!F147</f>
        <v>627378.12</v>
      </c>
      <c r="F147" s="148">
        <v>627756</v>
      </c>
      <c r="G147" s="112">
        <f t="shared" si="11"/>
        <v>377.88000000000466</v>
      </c>
      <c r="H147" s="99">
        <f>G147+'2'!H147</f>
        <v>1143.4799999999814</v>
      </c>
      <c r="I147" s="140"/>
      <c r="J147" s="328">
        <f>H147/DAY(B2)</f>
        <v>381.15999999999377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'2'!F148</f>
        <v>689904.24</v>
      </c>
      <c r="F148" s="150">
        <v>690148.88</v>
      </c>
      <c r="G148" s="112">
        <f t="shared" si="11"/>
        <v>244.64000000001397</v>
      </c>
      <c r="H148" s="99">
        <f>G148+'2'!H148</f>
        <v>705.92000000004191</v>
      </c>
      <c r="I148" s="124"/>
      <c r="J148" s="328">
        <f>H148/DAY(B2)</f>
        <v>235.30666666668063</v>
      </c>
    </row>
    <row r="149" spans="1:10" ht="27.75" x14ac:dyDescent="0.5">
      <c r="A149" s="921" t="s">
        <v>336</v>
      </c>
      <c r="B149" s="922"/>
      <c r="C149" s="923"/>
      <c r="D149" s="227" t="s">
        <v>130</v>
      </c>
      <c r="E149" s="95">
        <f>'2'!F149</f>
        <v>25534.7</v>
      </c>
      <c r="F149" s="146">
        <v>25950.48</v>
      </c>
      <c r="G149" s="112">
        <f t="shared" si="11"/>
        <v>415.77999999999884</v>
      </c>
      <c r="H149" s="99">
        <f>G149+'2'!H149</f>
        <v>1272.2799999999988</v>
      </c>
      <c r="I149" s="119"/>
      <c r="J149" s="328">
        <f>H149/DAY(B2)</f>
        <v>424.09333333333296</v>
      </c>
    </row>
    <row r="150" spans="1:10" ht="27.75" x14ac:dyDescent="0.5">
      <c r="A150" s="921" t="s">
        <v>337</v>
      </c>
      <c r="B150" s="922"/>
      <c r="C150" s="923"/>
      <c r="D150" s="117" t="s">
        <v>130</v>
      </c>
      <c r="E150" s="95">
        <f>'2'!F150</f>
        <v>11279.22</v>
      </c>
      <c r="F150" s="233">
        <v>11501.1</v>
      </c>
      <c r="G150" s="112">
        <f t="shared" si="11"/>
        <v>221.88000000000102</v>
      </c>
      <c r="H150" s="99">
        <f>G150+'2'!H150</f>
        <v>650.27000000000044</v>
      </c>
      <c r="I150" s="119"/>
      <c r="J150" s="328">
        <f>H150/DAY(B2)</f>
        <v>216.7566666666668</v>
      </c>
    </row>
    <row r="151" spans="1:10" ht="29.25" customHeight="1" x14ac:dyDescent="0.5">
      <c r="A151" s="921" t="s">
        <v>338</v>
      </c>
      <c r="B151" s="922"/>
      <c r="C151" s="923"/>
      <c r="D151" s="117" t="s">
        <v>130</v>
      </c>
      <c r="E151" s="95">
        <f>'2'!F151</f>
        <v>86023</v>
      </c>
      <c r="F151" s="233">
        <v>86216</v>
      </c>
      <c r="G151" s="112">
        <f t="shared" si="11"/>
        <v>193</v>
      </c>
      <c r="H151" s="99">
        <f>G151+'2'!H151</f>
        <v>736</v>
      </c>
      <c r="I151" s="119"/>
      <c r="J151" s="328">
        <f>H151/DAY(B2)</f>
        <v>245.33333333333334</v>
      </c>
    </row>
    <row r="152" spans="1:10" ht="29.25" customHeight="1" x14ac:dyDescent="0.5">
      <c r="A152" s="921" t="s">
        <v>339</v>
      </c>
      <c r="B152" s="922"/>
      <c r="C152" s="923"/>
      <c r="D152" s="117" t="s">
        <v>130</v>
      </c>
      <c r="E152" s="95">
        <f>'2'!F152</f>
        <v>1706.35</v>
      </c>
      <c r="F152" s="233">
        <v>1777.9</v>
      </c>
      <c r="G152" s="112">
        <f t="shared" si="11"/>
        <v>71.550000000000182</v>
      </c>
      <c r="H152" s="99">
        <f>G152+'2'!H152</f>
        <v>117.90000000000009</v>
      </c>
      <c r="I152" s="119"/>
      <c r="J152" s="328">
        <f>H152/DAY(B2)</f>
        <v>39.300000000000033</v>
      </c>
    </row>
    <row r="153" spans="1:10" ht="29.25" customHeight="1" x14ac:dyDescent="0.5">
      <c r="A153" s="893" t="s">
        <v>196</v>
      </c>
      <c r="B153" s="894"/>
      <c r="C153" s="895"/>
      <c r="D153" s="367"/>
      <c r="E153" s="368"/>
      <c r="F153" s="369"/>
      <c r="G153" s="370">
        <f>SUM(G138:G152)</f>
        <v>2495.4600000000087</v>
      </c>
      <c r="H153" s="371"/>
      <c r="I153" s="119">
        <f>G153-(G38+G52)</f>
        <v>827.31000000000722</v>
      </c>
      <c r="J153" s="372"/>
    </row>
    <row r="154" spans="1:10" ht="29.25" customHeight="1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29.25" customHeight="1" x14ac:dyDescent="0.55000000000000004">
      <c r="A155" s="843" t="s">
        <v>345</v>
      </c>
      <c r="B155" s="843"/>
      <c r="C155" s="843"/>
      <c r="D155" s="117" t="s">
        <v>130</v>
      </c>
      <c r="E155" s="95">
        <f>'2'!F155</f>
        <v>33621.9</v>
      </c>
      <c r="F155" s="471">
        <v>34307.279999999999</v>
      </c>
      <c r="G155" s="112">
        <f t="shared" ref="G155:G158" si="12">F155-E155</f>
        <v>685.37999999999738</v>
      </c>
      <c r="H155" s="99">
        <f>G155+'2'!H155</f>
        <v>1362.2799999999988</v>
      </c>
      <c r="I155" s="364"/>
      <c r="J155" s="328">
        <f>H155/DAY(B2)</f>
        <v>454.09333333333296</v>
      </c>
    </row>
    <row r="156" spans="1:10" ht="29.25" customHeight="1" x14ac:dyDescent="0.5">
      <c r="A156" s="924" t="s">
        <v>346</v>
      </c>
      <c r="B156" s="924"/>
      <c r="C156" s="924"/>
      <c r="D156" s="117" t="s">
        <v>130</v>
      </c>
      <c r="E156" s="95">
        <f>'2'!F156</f>
        <v>2839.76</v>
      </c>
      <c r="F156" s="471">
        <v>2888.8</v>
      </c>
      <c r="G156" s="112">
        <f t="shared" si="12"/>
        <v>49.039999999999964</v>
      </c>
      <c r="H156" s="99">
        <f>G156+'2'!H156</f>
        <v>100.80000000000018</v>
      </c>
      <c r="I156" s="165"/>
      <c r="J156" s="328">
        <f>H156/DAY(B2)</f>
        <v>33.600000000000058</v>
      </c>
    </row>
    <row r="157" spans="1:10" ht="29.25" customHeight="1" x14ac:dyDescent="0.5">
      <c r="A157" s="844" t="s">
        <v>363</v>
      </c>
      <c r="B157" s="845"/>
      <c r="C157" s="846"/>
      <c r="D157" s="117" t="s">
        <v>130</v>
      </c>
      <c r="E157" s="95">
        <f>'2'!F157</f>
        <v>4207</v>
      </c>
      <c r="F157" s="471">
        <v>4282.29</v>
      </c>
      <c r="G157" s="112">
        <f t="shared" si="12"/>
        <v>75.289999999999964</v>
      </c>
      <c r="H157" s="99"/>
      <c r="I157" s="165"/>
      <c r="J157" s="328"/>
    </row>
    <row r="158" spans="1:10" ht="29.25" customHeight="1" x14ac:dyDescent="0.5">
      <c r="A158" s="844" t="s">
        <v>364</v>
      </c>
      <c r="B158" s="845"/>
      <c r="C158" s="846"/>
      <c r="D158" s="117" t="s">
        <v>130</v>
      </c>
      <c r="E158" s="95">
        <f>'2'!F158</f>
        <v>60</v>
      </c>
      <c r="F158" s="471">
        <v>60.9</v>
      </c>
      <c r="G158" s="112">
        <f t="shared" si="12"/>
        <v>0.89999999999999858</v>
      </c>
      <c r="H158" s="99"/>
      <c r="I158" s="165"/>
      <c r="J158" s="328"/>
    </row>
    <row r="159" spans="1:10" ht="29.25" customHeight="1" x14ac:dyDescent="0.5">
      <c r="A159" s="921"/>
      <c r="B159" s="922"/>
      <c r="C159" s="923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'2'!F161</f>
        <v>472154.68</v>
      </c>
      <c r="F161" s="235">
        <v>472208.24</v>
      </c>
      <c r="G161" s="238">
        <f t="shared" ref="G161:G165" si="13">F161-E161</f>
        <v>53.559999999997672</v>
      </c>
      <c r="H161" s="99">
        <f>G161+'2'!H161</f>
        <v>154.67999999999302</v>
      </c>
      <c r="I161" s="236"/>
      <c r="J161" s="239">
        <f>H161/DAY(B2)</f>
        <v>51.559999999997672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'2'!F162</f>
        <v>88596.5</v>
      </c>
      <c r="F162" s="235">
        <v>88636.3</v>
      </c>
      <c r="G162" s="238">
        <f t="shared" si="13"/>
        <v>39.80000000000291</v>
      </c>
      <c r="H162" s="99">
        <f>G162+'2'!H162</f>
        <v>119.90000000000873</v>
      </c>
      <c r="I162" s="236"/>
      <c r="J162" s="239">
        <f>H162/DAY(B2)</f>
        <v>39.966666666669575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'2'!F163</f>
        <v>79285.3</v>
      </c>
      <c r="F163" s="235">
        <v>79318.8</v>
      </c>
      <c r="G163" s="238">
        <f t="shared" si="13"/>
        <v>33.5</v>
      </c>
      <c r="H163" s="99">
        <f>G163+'2'!H163</f>
        <v>98.69999999999709</v>
      </c>
      <c r="I163" s="236"/>
      <c r="J163" s="239">
        <f>H163/DAY(B2)</f>
        <v>32.899999999999032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'2'!F164</f>
        <v>4323.3</v>
      </c>
      <c r="F164" s="235">
        <v>4323.5</v>
      </c>
      <c r="G164" s="238">
        <f t="shared" si="13"/>
        <v>0.1999999999998181</v>
      </c>
      <c r="H164" s="99">
        <f>G164+'2'!H164</f>
        <v>3.5</v>
      </c>
      <c r="I164" s="236"/>
      <c r="J164" s="239">
        <f>H164/DAY(B2)</f>
        <v>1.1666666666666667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'2'!F165</f>
        <v>29875.27</v>
      </c>
      <c r="F165" s="235">
        <v>29884.87</v>
      </c>
      <c r="G165" s="238">
        <f t="shared" si="13"/>
        <v>9.5999999999985448</v>
      </c>
      <c r="H165" s="99">
        <f>G165+'2'!H165</f>
        <v>27.619999999998981</v>
      </c>
      <c r="I165" s="236"/>
      <c r="J165" s="239">
        <f>H165/DAY(B2)</f>
        <v>9.2066666666663277</v>
      </c>
    </row>
    <row r="166" spans="1:10" ht="29.25" x14ac:dyDescent="0.5">
      <c r="A166" s="852"/>
      <c r="B166" s="852"/>
      <c r="C166" s="246"/>
      <c r="D166" s="244" t="s">
        <v>180</v>
      </c>
      <c r="E166" s="95">
        <f>'2'!F166</f>
        <v>0</v>
      </c>
      <c r="F166" s="165"/>
      <c r="G166" s="165"/>
      <c r="H166" s="99">
        <f>G166+'2'!H166</f>
        <v>0</v>
      </c>
      <c r="I166" s="165"/>
      <c r="J166" s="327"/>
    </row>
    <row r="167" spans="1:10" ht="29.25" x14ac:dyDescent="0.5">
      <c r="A167" s="852"/>
      <c r="B167" s="852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9.25" x14ac:dyDescent="0.5">
      <c r="A168" s="852"/>
      <c r="B168" s="852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'2'!F173</f>
        <v>8126</v>
      </c>
      <c r="F173" s="551">
        <v>8126</v>
      </c>
      <c r="G173" s="155">
        <f>F173-E173</f>
        <v>0</v>
      </c>
      <c r="H173" s="99">
        <f>G173+'2'!H173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'2'!F174</f>
        <v>38637</v>
      </c>
      <c r="F174" s="157">
        <v>38649</v>
      </c>
      <c r="G174" s="155">
        <f t="shared" ref="G174:G175" si="14">F174-E174</f>
        <v>12</v>
      </c>
      <c r="H174" s="99">
        <f>G174+'2'!H174</f>
        <v>34</v>
      </c>
      <c r="I174" s="155"/>
      <c r="J174" s="178">
        <f>H174/DAY(B2)</f>
        <v>11.333333333333334</v>
      </c>
    </row>
    <row r="175" spans="1:10" ht="21.75" customHeight="1" x14ac:dyDescent="0.5">
      <c r="A175" s="856" t="s">
        <v>76</v>
      </c>
      <c r="B175" s="896"/>
      <c r="C175" s="857"/>
      <c r="D175" s="228" t="s">
        <v>142</v>
      </c>
      <c r="E175" s="95">
        <f>'2'!F175</f>
        <v>21832</v>
      </c>
      <c r="F175" s="155">
        <v>21841</v>
      </c>
      <c r="G175" s="155">
        <f t="shared" si="14"/>
        <v>9</v>
      </c>
      <c r="H175" s="99">
        <f>G175+'2'!H175</f>
        <v>28</v>
      </c>
      <c r="I175" s="155"/>
      <c r="J175" s="178">
        <f>H175/DAY(B2)</f>
        <v>9.3333333333333339</v>
      </c>
    </row>
    <row r="176" spans="1:10" ht="21.75" customHeight="1" x14ac:dyDescent="0.5">
      <c r="A176" s="893" t="s">
        <v>196</v>
      </c>
      <c r="B176" s="894"/>
      <c r="C176" s="895"/>
      <c r="D176" s="228"/>
      <c r="E176" s="95"/>
      <c r="F176" s="155"/>
      <c r="G176" s="155">
        <f>SUM(G173:G175)</f>
        <v>21</v>
      </c>
      <c r="H176" s="99">
        <f>G176+'2'!H176</f>
        <v>62</v>
      </c>
      <c r="I176" s="155"/>
      <c r="J176" s="178">
        <f>H176/DAY(B2)</f>
        <v>20.666666666666668</v>
      </c>
    </row>
    <row r="177" spans="1:10" ht="21.75" customHeight="1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 x14ac:dyDescent="0.5">
      <c r="A178" s="856" t="s">
        <v>210</v>
      </c>
      <c r="B178" s="857"/>
      <c r="C178" s="333"/>
      <c r="D178" s="228" t="s">
        <v>142</v>
      </c>
      <c r="E178" s="95">
        <f>'2'!F178</f>
        <v>81448</v>
      </c>
      <c r="F178" s="155">
        <v>81457</v>
      </c>
      <c r="G178" s="155">
        <f>F178-E178</f>
        <v>9</v>
      </c>
      <c r="H178" s="99">
        <f>G178+'2'!H178</f>
        <v>142</v>
      </c>
      <c r="I178" s="155"/>
      <c r="J178" s="178">
        <f>H178/DAY(B2)</f>
        <v>47.333333333333336</v>
      </c>
    </row>
    <row r="179" spans="1:10" ht="24" customHeight="1" x14ac:dyDescent="0.5">
      <c r="A179" s="856" t="s">
        <v>211</v>
      </c>
      <c r="B179" s="857"/>
      <c r="C179" s="333"/>
      <c r="D179" s="228" t="s">
        <v>142</v>
      </c>
      <c r="E179" s="95">
        <f>'2'!F179</f>
        <v>34869</v>
      </c>
      <c r="F179" s="155">
        <v>34903</v>
      </c>
      <c r="G179" s="155">
        <f t="shared" ref="G179:G180" si="15">F179-E179</f>
        <v>34</v>
      </c>
      <c r="H179" s="99">
        <f>G179+'2'!H179</f>
        <v>100</v>
      </c>
      <c r="I179" s="155"/>
      <c r="J179" s="178">
        <f>H179/DAY(B2)</f>
        <v>33.333333333333336</v>
      </c>
    </row>
    <row r="180" spans="1:10" ht="22.5" customHeight="1" x14ac:dyDescent="0.5">
      <c r="A180" s="856" t="s">
        <v>212</v>
      </c>
      <c r="B180" s="857"/>
      <c r="C180" s="333"/>
      <c r="D180" s="228" t="s">
        <v>142</v>
      </c>
      <c r="E180" s="95">
        <f>'2'!F180</f>
        <v>5710</v>
      </c>
      <c r="F180" s="155">
        <v>5721</v>
      </c>
      <c r="G180" s="155">
        <f t="shared" si="15"/>
        <v>11</v>
      </c>
      <c r="H180" s="99">
        <f>G180+'2'!H180</f>
        <v>19</v>
      </c>
      <c r="I180" s="155"/>
      <c r="J180" s="178">
        <f>H180/DAY(B2)</f>
        <v>6.333333333333333</v>
      </c>
    </row>
    <row r="181" spans="1:10" ht="29.25" x14ac:dyDescent="0.5">
      <c r="A181" s="893" t="s">
        <v>196</v>
      </c>
      <c r="B181" s="894"/>
      <c r="C181" s="895"/>
      <c r="D181" s="228"/>
      <c r="E181" s="95"/>
      <c r="F181" s="155"/>
      <c r="G181" s="155">
        <f>SUM(G178:G180)</f>
        <v>54</v>
      </c>
      <c r="H181" s="99">
        <f>G181+'2'!H181</f>
        <v>261</v>
      </c>
      <c r="I181" s="155"/>
      <c r="J181" s="178">
        <f>H181/DAY(B2)</f>
        <v>87</v>
      </c>
    </row>
    <row r="182" spans="1:10" ht="27" customHeight="1" x14ac:dyDescent="0.5">
      <c r="A182" s="856" t="s">
        <v>213</v>
      </c>
      <c r="B182" s="857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 x14ac:dyDescent="0.5">
      <c r="A183" s="856" t="s">
        <v>214</v>
      </c>
      <c r="B183" s="857"/>
      <c r="C183" s="334"/>
      <c r="D183" s="228" t="s">
        <v>142</v>
      </c>
      <c r="E183" s="95">
        <f>'2'!F183</f>
        <v>15378</v>
      </c>
      <c r="F183" s="157">
        <v>15389</v>
      </c>
      <c r="G183" s="157">
        <f>F183-E183</f>
        <v>11</v>
      </c>
      <c r="H183" s="99">
        <f>G183+'2'!H183</f>
        <v>44</v>
      </c>
      <c r="I183" s="155"/>
      <c r="J183" s="178">
        <f>H183/DAY(B2)</f>
        <v>14.666666666666666</v>
      </c>
    </row>
    <row r="184" spans="1:10" ht="25.5" customHeight="1" x14ac:dyDescent="0.5">
      <c r="A184" s="856" t="s">
        <v>215</v>
      </c>
      <c r="B184" s="857"/>
      <c r="C184" s="334"/>
      <c r="D184" s="228" t="s">
        <v>142</v>
      </c>
      <c r="E184" s="95">
        <f>'2'!F184</f>
        <v>10532</v>
      </c>
      <c r="F184" s="157">
        <v>10539</v>
      </c>
      <c r="G184" s="157">
        <f t="shared" ref="G184:G185" si="16">F184-E184</f>
        <v>7</v>
      </c>
      <c r="H184" s="99">
        <f>G184+'2'!H184</f>
        <v>21</v>
      </c>
      <c r="I184" s="155"/>
      <c r="J184" s="178">
        <f>H184/DAY(B2)</f>
        <v>7</v>
      </c>
    </row>
    <row r="185" spans="1:10" ht="27.75" x14ac:dyDescent="0.5">
      <c r="A185" s="856" t="s">
        <v>216</v>
      </c>
      <c r="B185" s="857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9.25" x14ac:dyDescent="0.5">
      <c r="A186" s="893" t="s">
        <v>196</v>
      </c>
      <c r="B186" s="894"/>
      <c r="C186" s="895"/>
      <c r="D186" s="229"/>
      <c r="E186" s="95"/>
      <c r="F186" s="157"/>
      <c r="G186" s="157">
        <f>SUM(G183:G185)</f>
        <v>18</v>
      </c>
      <c r="H186" s="99">
        <f>G186+'2'!H186</f>
        <v>65</v>
      </c>
      <c r="I186" s="157"/>
      <c r="J186" s="178">
        <f>H186/DAY(B2)</f>
        <v>21.666666666666668</v>
      </c>
    </row>
    <row r="187" spans="1:10" ht="27.75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127</v>
      </c>
      <c r="H187" s="99">
        <f>G187+'2'!H187</f>
        <v>383</v>
      </c>
      <c r="I187" s="158"/>
      <c r="J187" s="179">
        <f>H187/DAY(B2)</f>
        <v>127.66666666666667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154</v>
      </c>
      <c r="H188" s="99">
        <f>G188+'2'!H188</f>
        <v>413</v>
      </c>
      <c r="I188" s="158"/>
      <c r="J188" s="179">
        <f>H188/DAY(B2)</f>
        <v>137.66666666666666</v>
      </c>
    </row>
    <row r="189" spans="1:10" ht="27.75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54</v>
      </c>
      <c r="H189" s="99">
        <f>G189+'2'!H189</f>
        <v>261</v>
      </c>
      <c r="I189" s="158"/>
      <c r="J189" s="179">
        <f>H189/DAY(B2)</f>
        <v>87</v>
      </c>
    </row>
    <row r="190" spans="1:10" ht="27.75" x14ac:dyDescent="0.5">
      <c r="A190" s="849"/>
      <c r="B190" s="850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customHeight="1" x14ac:dyDescent="0.5"/>
    <row r="197" ht="29.25" customHeight="1" x14ac:dyDescent="0.5"/>
    <row r="198" ht="29.25" customHeight="1" x14ac:dyDescent="0.5"/>
    <row r="199" ht="29.25" customHeight="1" x14ac:dyDescent="0.5"/>
    <row r="200" ht="29.25" customHeight="1" x14ac:dyDescent="0.5"/>
    <row r="201" ht="29.25" customHeight="1" x14ac:dyDescent="0.5"/>
    <row r="202" ht="29.2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topLeftCell="A121" zoomScale="55" zoomScaleNormal="48" zoomScaleSheetLayoutView="55" workbookViewId="0">
      <selection activeCell="F165" sqref="F16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356</v>
      </c>
      <c r="B2" s="262">
        <v>44596</v>
      </c>
      <c r="C2" s="348" t="s">
        <v>67</v>
      </c>
      <c r="D2" s="218">
        <v>0.89610000000000001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1" t="s">
        <v>119</v>
      </c>
      <c r="F3" s="912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'3'!F7</f>
        <v>705577</v>
      </c>
      <c r="F7" s="95">
        <v>724047.59</v>
      </c>
      <c r="G7" s="112">
        <f>F7-E7</f>
        <v>18470.589999999967</v>
      </c>
      <c r="H7" s="99">
        <f>G7+'3'!H7</f>
        <v>72867.359999999986</v>
      </c>
      <c r="I7" s="113">
        <f>'1'!I7</f>
        <v>12000</v>
      </c>
      <c r="J7" s="175">
        <f>H7/DAY(B2)</f>
        <v>18216.839999999997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'3'!F8</f>
        <v>763564</v>
      </c>
      <c r="F8" s="114">
        <v>782176.71</v>
      </c>
      <c r="G8" s="115">
        <f>F8-E8</f>
        <v>18612.709999999963</v>
      </c>
      <c r="H8" s="99">
        <f>G8+'3'!H8</f>
        <v>73628.559999999939</v>
      </c>
      <c r="I8" s="116"/>
      <c r="J8" s="175">
        <f>H8/DAY(B2)</f>
        <v>18407.139999999985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'3'!F9</f>
        <v>322590.71000000002</v>
      </c>
      <c r="F9" s="117">
        <v>334674.45</v>
      </c>
      <c r="G9" s="112">
        <f>F9-E9</f>
        <v>12083.739999999991</v>
      </c>
      <c r="H9" s="99">
        <f>G9+'3'!H9</f>
        <v>52420.600000000035</v>
      </c>
      <c r="I9" s="124">
        <f>I7-J7</f>
        <v>-6216.8399999999965</v>
      </c>
      <c r="J9" s="175">
        <f>H9/DAY(B2)</f>
        <v>13105.150000000009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'3'!F10</f>
        <v>117782.93</v>
      </c>
      <c r="F10" s="117">
        <v>123643.08</v>
      </c>
      <c r="G10" s="112">
        <f t="shared" ref="G10:G12" si="0">F10-E10</f>
        <v>5860.1500000000087</v>
      </c>
      <c r="H10" s="99">
        <f>G10+'3'!H10</f>
        <v>18384.11</v>
      </c>
      <c r="I10" s="282"/>
      <c r="J10" s="175">
        <f>H10/DAY(B2)</f>
        <v>4596.0275000000001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'3'!F11</f>
        <v>37170</v>
      </c>
      <c r="F11" s="95">
        <v>37170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17943.89</v>
      </c>
      <c r="H13" s="99">
        <f>G13+'3'!H13</f>
        <v>54050.28</v>
      </c>
      <c r="I13" s="120">
        <f>G7-G13</f>
        <v>526.69999999996799</v>
      </c>
      <c r="J13" s="175">
        <f>H13/DAY(B2)</f>
        <v>13512.57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'3'!F15</f>
        <v>1909550.818</v>
      </c>
      <c r="F15" s="123">
        <v>1910548.77</v>
      </c>
      <c r="G15" s="112">
        <f>(F15-E15)</f>
        <v>997.95200000004843</v>
      </c>
      <c r="H15" s="99">
        <f>G15+'3'!H15</f>
        <v>3912.0030000000261</v>
      </c>
      <c r="I15" s="113">
        <f>'1'!I15</f>
        <v>800</v>
      </c>
      <c r="J15" s="175">
        <f>H15/DAY(B2)</f>
        <v>978.00075000000652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-178.00075000000652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'3'!F18</f>
        <v>18</v>
      </c>
      <c r="F18" s="122">
        <v>21</v>
      </c>
      <c r="G18" s="119">
        <f>F18*10</f>
        <v>210</v>
      </c>
      <c r="H18" s="99">
        <f>G18+'3'!H18</f>
        <v>720</v>
      </c>
      <c r="I18" s="113">
        <f>'1'!I18</f>
        <v>65</v>
      </c>
      <c r="J18" s="175">
        <f>H18/DAY(B2)</f>
        <v>180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'3'!F19</f>
        <v>154032</v>
      </c>
      <c r="F19" s="122">
        <v>154083</v>
      </c>
      <c r="G19" s="112">
        <f t="shared" ref="G19" si="1">F19-E19</f>
        <v>51</v>
      </c>
      <c r="H19" s="99">
        <f>G19+'3'!H19</f>
        <v>192</v>
      </c>
      <c r="I19" s="335"/>
      <c r="J19" s="175">
        <f>H19/DAY(B2)</f>
        <v>48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261</v>
      </c>
      <c r="H20" s="99">
        <f>G20+'3'!H20</f>
        <v>912</v>
      </c>
      <c r="I20" s="336">
        <f>I18-J20</f>
        <v>-163</v>
      </c>
      <c r="J20" s="175">
        <f>H20/DAY(B2)</f>
        <v>228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18612.709999999963</v>
      </c>
      <c r="F27" s="136">
        <v>9</v>
      </c>
      <c r="G27" s="137">
        <f>E27*F27</f>
        <v>167514.38999999966</v>
      </c>
      <c r="H27" s="99">
        <f>G27+'3'!H27</f>
        <v>662657.03999999946</v>
      </c>
      <c r="I27" s="138"/>
      <c r="J27" s="175">
        <f>H27/DAY(B2)</f>
        <v>165664.25999999986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997.95200000004843</v>
      </c>
      <c r="F28" s="136">
        <v>52</v>
      </c>
      <c r="G28" s="137">
        <f>E28*F28</f>
        <v>51893.504000002518</v>
      </c>
      <c r="H28" s="99">
        <f>G28+'3'!H28</f>
        <v>203424.15600000136</v>
      </c>
      <c r="I28" s="140"/>
      <c r="J28" s="175">
        <f>H28/DAY(B2)</f>
        <v>50856.039000000339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G30+'3'!H30</f>
        <v>28032</v>
      </c>
      <c r="I30" s="140"/>
      <c r="J30" s="175">
        <f>H30/DAY(B2)</f>
        <v>7008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G31+'3'!H31</f>
        <v>57600</v>
      </c>
      <c r="I31" s="140"/>
      <c r="J31" s="175">
        <f>H31/DAY(B2)</f>
        <v>14400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243653.89400000218</v>
      </c>
      <c r="H32" s="99">
        <f>G32+'3'!H32</f>
        <v>951713.19600000081</v>
      </c>
      <c r="I32" s="144"/>
      <c r="J32" s="175">
        <f>H32/DAY(B2)</f>
        <v>237928.2990000002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'3'!F35</f>
        <v>36076.93</v>
      </c>
      <c r="F35" s="145">
        <v>37405.870000000003</v>
      </c>
      <c r="G35" s="112">
        <f t="shared" ref="G35:G46" si="3">F35-E35</f>
        <v>1328.9400000000023</v>
      </c>
      <c r="H35" s="99">
        <f>G35+'3'!H35</f>
        <v>5400.8900000000031</v>
      </c>
      <c r="I35" s="95"/>
      <c r="J35" s="175">
        <f>H35/DAY(B2)</f>
        <v>1350.2225000000008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'3'!F36</f>
        <v>45916.7</v>
      </c>
      <c r="F36" s="145">
        <v>46778.57</v>
      </c>
      <c r="G36" s="112">
        <f t="shared" si="3"/>
        <v>861.87000000000262</v>
      </c>
      <c r="H36" s="99">
        <f>G36+'3'!H36</f>
        <v>3319.8300000000017</v>
      </c>
      <c r="I36" s="95"/>
      <c r="J36" s="175">
        <f>H36/DAY(B2)</f>
        <v>829.95750000000044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'3'!F37</f>
        <v>40078.410000000003</v>
      </c>
      <c r="F37" s="145">
        <v>41692.51</v>
      </c>
      <c r="G37" s="112">
        <f t="shared" si="3"/>
        <v>1614.0999999999985</v>
      </c>
      <c r="H37" s="99">
        <f>G37+'3'!H37</f>
        <v>6267.4200000000055</v>
      </c>
      <c r="I37" s="95"/>
      <c r="J37" s="175">
        <f>H37/DAY(B2)</f>
        <v>1566.8550000000014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'3'!F38</f>
        <v>43423.64</v>
      </c>
      <c r="F38" s="108">
        <v>45282.11</v>
      </c>
      <c r="G38" s="112">
        <f t="shared" si="3"/>
        <v>1858.4700000000012</v>
      </c>
      <c r="H38" s="99">
        <f>G38+'3'!H38</f>
        <v>6905.68</v>
      </c>
      <c r="I38" s="95"/>
      <c r="J38" s="175">
        <f>H38/DAY(B2)</f>
        <v>1726.42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'3'!F39</f>
        <v>67052.929999999993</v>
      </c>
      <c r="F39" s="145">
        <v>69719.64</v>
      </c>
      <c r="G39" s="112">
        <f t="shared" si="3"/>
        <v>2666.7100000000064</v>
      </c>
      <c r="H39" s="99">
        <f>G39+'3'!H39</f>
        <v>10546.349999999999</v>
      </c>
      <c r="I39" s="95"/>
      <c r="J39" s="175">
        <f>H39/DAY(B2)</f>
        <v>2636.5874999999996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v>22807.43</v>
      </c>
      <c r="F40" s="145">
        <v>23414.29</v>
      </c>
      <c r="G40" s="112">
        <f t="shared" si="3"/>
        <v>606.86000000000058</v>
      </c>
      <c r="H40" s="99">
        <f>G40+'3'!H40</f>
        <v>1297.2999999999986</v>
      </c>
      <c r="I40" s="95"/>
      <c r="J40" s="175">
        <f>H40/DAY(B2)</f>
        <v>324.32499999999965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'3'!F41</f>
        <v>62.73</v>
      </c>
      <c r="F41" s="145">
        <v>62.73</v>
      </c>
      <c r="G41" s="112">
        <f t="shared" si="3"/>
        <v>0</v>
      </c>
      <c r="H41" s="99">
        <f>G41+'3'!H41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'3'!F42</f>
        <v>106500.98</v>
      </c>
      <c r="F42" s="145">
        <v>106500.89</v>
      </c>
      <c r="G42" s="112">
        <f t="shared" si="3"/>
        <v>-8.999999999650754E-2</v>
      </c>
      <c r="H42" s="99">
        <f>G42+'3'!H42</f>
        <v>6371.1499999999942</v>
      </c>
      <c r="I42" s="95"/>
      <c r="J42" s="175">
        <f>H42/DAY(B2)</f>
        <v>1592.7874999999985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'3'!F43</f>
        <v>120980.36</v>
      </c>
      <c r="F43" s="145">
        <v>123375.54</v>
      </c>
      <c r="G43" s="112">
        <f t="shared" si="3"/>
        <v>2395.179999999993</v>
      </c>
      <c r="H43" s="99">
        <f>G43+'3'!H43</f>
        <v>8523.9399999999878</v>
      </c>
      <c r="I43" s="95"/>
      <c r="J43" s="175">
        <f>H43/DAY(B2)</f>
        <v>2130.9849999999969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11332.040000000008</v>
      </c>
      <c r="H47" s="99">
        <f>G47+'3'!H47</f>
        <v>48632.55999999999</v>
      </c>
      <c r="I47" s="95"/>
      <c r="J47" s="175">
        <f>H47/DAY(B2)</f>
        <v>12158.139999999998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'3'!F49</f>
        <v>28047.55</v>
      </c>
      <c r="F49" s="549">
        <v>29401.48</v>
      </c>
      <c r="G49" s="112">
        <f t="shared" ref="G49:G58" si="4">F49-E49</f>
        <v>1353.9300000000003</v>
      </c>
      <c r="H49" s="99">
        <f>G49+'3'!H49</f>
        <v>4405.2900000000009</v>
      </c>
      <c r="I49" s="95"/>
      <c r="J49" s="175">
        <f>H49/DAY(B2)</f>
        <v>1101.3225000000002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'3'!F50</f>
        <v>59383.14</v>
      </c>
      <c r="F50" s="145">
        <v>60532.89</v>
      </c>
      <c r="G50" s="112">
        <f t="shared" si="4"/>
        <v>1149.75</v>
      </c>
      <c r="H50" s="99">
        <f>G50+'3'!H50</f>
        <v>4146.260000000002</v>
      </c>
      <c r="I50" s="95"/>
      <c r="J50" s="175">
        <f>H50/DAY(B2)</f>
        <v>1036.5650000000005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'3'!F51</f>
        <v>0</v>
      </c>
      <c r="F51" s="145">
        <v>0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'3'!F52</f>
        <v>0</v>
      </c>
      <c r="F52" s="145">
        <v>0</v>
      </c>
      <c r="G52" s="112">
        <f t="shared" si="4"/>
        <v>0</v>
      </c>
      <c r="H52" s="99">
        <f>G52+'3'!H52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'3'!F54</f>
        <v>5842.67</v>
      </c>
      <c r="F54" s="145">
        <v>6389.99</v>
      </c>
      <c r="G54" s="112">
        <f t="shared" si="4"/>
        <v>547.31999999999971</v>
      </c>
      <c r="H54" s="99">
        <f>G54+'3'!H54</f>
        <v>1242.5699999999997</v>
      </c>
      <c r="I54" s="95"/>
      <c r="J54" s="175">
        <f>H54/DAY(B2)</f>
        <v>310.64249999999993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'3'!F55</f>
        <v>78823.75</v>
      </c>
      <c r="F55" s="145">
        <v>81640.67</v>
      </c>
      <c r="G55" s="112">
        <f t="shared" si="4"/>
        <v>2816.9199999999983</v>
      </c>
      <c r="H55" s="99">
        <f>G55+'3'!H55</f>
        <v>7274.5599999999977</v>
      </c>
      <c r="I55" s="95"/>
      <c r="J55" s="175">
        <f>H55/DAY(B2)</f>
        <v>1818.6399999999994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'3'!F56</f>
        <v>8723.6299999999992</v>
      </c>
      <c r="F56" s="145">
        <v>8723.6299999999992</v>
      </c>
      <c r="G56" s="112">
        <f t="shared" si="4"/>
        <v>0</v>
      </c>
      <c r="H56" s="99">
        <f>G56+'3'!H56</f>
        <v>113.08999999999833</v>
      </c>
      <c r="I56" s="95"/>
      <c r="J56" s="175">
        <f>H56/DAY(B2)</f>
        <v>28.272499999999582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'3'!F58</f>
        <v>5384.23</v>
      </c>
      <c r="F58" s="145">
        <v>5585.41</v>
      </c>
      <c r="G58" s="112">
        <f t="shared" si="4"/>
        <v>201.18000000000029</v>
      </c>
      <c r="H58" s="99">
        <f>G58+'3'!H58</f>
        <v>789.19999999999982</v>
      </c>
      <c r="I58" s="95"/>
      <c r="J58" s="175">
        <f>H58/DAY(B2)</f>
        <v>197.29999999999995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6069.0999999999985</v>
      </c>
      <c r="H59" s="99">
        <f>G59+'3'!H59</f>
        <v>17970.969999999998</v>
      </c>
      <c r="I59" s="95">
        <f>G7-G60</f>
        <v>1069.4499999999607</v>
      </c>
      <c r="J59" s="175">
        <f>H59/DAY(B2)</f>
        <v>4492.7424999999994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17401.140000000007</v>
      </c>
      <c r="H60" s="99">
        <f>G60+'3'!H60</f>
        <v>66603.53</v>
      </c>
      <c r="I60" s="95">
        <f>G13-G60</f>
        <v>542.74999999999272</v>
      </c>
      <c r="J60" s="175">
        <f>H60/DAY(B2)</f>
        <v>16650.8825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'3'!F62</f>
        <v>269758</v>
      </c>
      <c r="F62" s="122">
        <v>269867</v>
      </c>
      <c r="G62" s="112">
        <f t="shared" ref="G62:G63" si="5">F62-E62</f>
        <v>109</v>
      </c>
      <c r="H62" s="99">
        <f>G62+'3'!H62</f>
        <v>351</v>
      </c>
      <c r="I62" s="118"/>
      <c r="J62" s="175">
        <f>H62/DAY(B2)</f>
        <v>87.75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'3'!F63</f>
        <v>216220</v>
      </c>
      <c r="F63" s="122">
        <v>216356</v>
      </c>
      <c r="G63" s="112">
        <f t="shared" si="5"/>
        <v>136</v>
      </c>
      <c r="H63" s="99">
        <f>G63+'3'!H63</f>
        <v>559</v>
      </c>
      <c r="I63" s="118"/>
      <c r="J63" s="175">
        <f>H63/DAY(B2)</f>
        <v>139.75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122"/>
      <c r="F64" s="122"/>
      <c r="G64" s="112">
        <f>G62+G63</f>
        <v>245</v>
      </c>
      <c r="H64" s="99">
        <f>G64+'3'!H64</f>
        <v>910</v>
      </c>
      <c r="I64" s="118"/>
      <c r="J64" s="175">
        <f>H64/DAY(B2)</f>
        <v>227.5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'3'!F65</f>
        <v>435159</v>
      </c>
      <c r="F65" s="122">
        <v>435246</v>
      </c>
      <c r="G65" s="112">
        <f t="shared" ref="G65:G70" si="6">F65-E65</f>
        <v>87</v>
      </c>
      <c r="H65" s="99">
        <f>G65+'3'!H65</f>
        <v>323</v>
      </c>
      <c r="I65" s="118"/>
      <c r="J65" s="175">
        <f>H65/DAY(B2)</f>
        <v>80.75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'3'!F66</f>
        <v>107802</v>
      </c>
      <c r="F66" s="122">
        <v>107832</v>
      </c>
      <c r="G66" s="112">
        <f t="shared" si="6"/>
        <v>30</v>
      </c>
      <c r="H66" s="99">
        <f>G66+'3'!H66</f>
        <v>89</v>
      </c>
      <c r="I66" s="118"/>
      <c r="J66" s="175">
        <f>H66/DAY(B2)</f>
        <v>22.25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'3'!F67</f>
        <v>104702</v>
      </c>
      <c r="F67" s="122">
        <v>104727</v>
      </c>
      <c r="G67" s="112">
        <f t="shared" si="6"/>
        <v>25</v>
      </c>
      <c r="H67" s="99">
        <f>G67+'3'!H67</f>
        <v>79</v>
      </c>
      <c r="I67" s="118"/>
      <c r="J67" s="175">
        <f>H67/DAY(B2)</f>
        <v>19.75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'3'!F68</f>
        <v>157794</v>
      </c>
      <c r="F68" s="122">
        <v>157822</v>
      </c>
      <c r="G68" s="112">
        <f t="shared" si="6"/>
        <v>28</v>
      </c>
      <c r="H68" s="99">
        <f>G68+'3'!H68</f>
        <v>125</v>
      </c>
      <c r="I68" s="118"/>
      <c r="J68" s="175">
        <f>H68/DAY(B2)</f>
        <v>31.25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'3'!F69</f>
        <v>10578</v>
      </c>
      <c r="F69" s="164">
        <v>10585</v>
      </c>
      <c r="G69" s="112">
        <f t="shared" si="6"/>
        <v>7</v>
      </c>
      <c r="H69" s="99">
        <f>G69+'3'!H69</f>
        <v>44</v>
      </c>
      <c r="I69" s="118"/>
      <c r="J69" s="175">
        <f>H69/DAY(B2)</f>
        <v>11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'3'!F70</f>
        <v>8147</v>
      </c>
      <c r="F70" s="122">
        <v>8156</v>
      </c>
      <c r="G70" s="112">
        <f t="shared" si="6"/>
        <v>9</v>
      </c>
      <c r="H70" s="99">
        <f>G70+'3'!H70</f>
        <v>36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186</v>
      </c>
      <c r="H71" s="99">
        <f>G71+'3'!H71</f>
        <v>696</v>
      </c>
      <c r="I71" s="154"/>
      <c r="J71" s="175">
        <f>H71/DAY(B2)</f>
        <v>174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'3'!F74</f>
        <v>902242.26</v>
      </c>
      <c r="F74" s="117">
        <v>902539.3</v>
      </c>
      <c r="G74" s="112">
        <f t="shared" ref="G74:G78" si="7">F74-E74</f>
        <v>297.04000000003725</v>
      </c>
      <c r="H74" s="99">
        <f>G74+'3'!H74</f>
        <v>1233.1510000000708</v>
      </c>
      <c r="I74" s="154"/>
      <c r="J74" s="175">
        <f>H74/DAY(B2)</f>
        <v>308.2877500000177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'3'!F76</f>
        <v>170304.09</v>
      </c>
      <c r="F76" s="123">
        <v>170454.1</v>
      </c>
      <c r="G76" s="112">
        <f t="shared" si="7"/>
        <v>150.01000000000931</v>
      </c>
      <c r="H76" s="99">
        <f>G76+'3'!H76</f>
        <v>479.10000000000582</v>
      </c>
      <c r="I76" s="154"/>
      <c r="J76" s="175">
        <f>H76/DAY(B2)</f>
        <v>119.77500000000146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'3'!F77</f>
        <v>41427.5</v>
      </c>
      <c r="F77" s="123">
        <v>41475.4</v>
      </c>
      <c r="G77" s="112">
        <f t="shared" si="7"/>
        <v>47.900000000001455</v>
      </c>
      <c r="H77" s="99">
        <f>G77+'3'!H77</f>
        <v>173.20000000000437</v>
      </c>
      <c r="I77" s="154"/>
      <c r="J77" s="175">
        <f>H77/DAY(B2)</f>
        <v>43.300000000001091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'3'!F78</f>
        <v>9519.2999999999993</v>
      </c>
      <c r="F78" s="123">
        <v>9521.6</v>
      </c>
      <c r="G78" s="112">
        <f t="shared" si="7"/>
        <v>2.3000000000010914</v>
      </c>
      <c r="H78" s="99">
        <f>G78+'3'!H78</f>
        <v>5.6000000000003638</v>
      </c>
      <c r="I78" s="118"/>
      <c r="J78" s="175">
        <f>H78/DAY(B2)</f>
        <v>1.4000000000000909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'3'!F79</f>
        <v>0</v>
      </c>
      <c r="F79" s="117"/>
      <c r="G79" s="112">
        <f>G15-SUM(G74:G78)</f>
        <v>500.70199999999932</v>
      </c>
      <c r="H79" s="99">
        <f>G79+'3'!H79</f>
        <v>2020.9519999999447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997.95200000004843</v>
      </c>
      <c r="H80" s="99">
        <f>G80+'3'!H80</f>
        <v>2993.4450000000652</v>
      </c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'3'!F84</f>
        <v>41675</v>
      </c>
      <c r="F84" s="164">
        <v>41675.26</v>
      </c>
      <c r="G84" s="236">
        <f t="shared" si="8"/>
        <v>0.26000000000203727</v>
      </c>
      <c r="H84" s="99">
        <f>G84+'3'!H84</f>
        <v>0.26000000000203727</v>
      </c>
      <c r="I84" s="118"/>
      <c r="J84" s="175">
        <f>H84/DAY(B2)</f>
        <v>6.5000000000509317E-2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v>2300.42</v>
      </c>
      <c r="F85" s="164">
        <v>2300.42</v>
      </c>
      <c r="G85" s="236">
        <f t="shared" si="8"/>
        <v>0</v>
      </c>
      <c r="H85" s="99">
        <f>G85+'3'!H85</f>
        <v>40</v>
      </c>
      <c r="I85" s="118">
        <f>G82+G83+G84+G85</f>
        <v>0.26000000000203727</v>
      </c>
      <c r="J85" s="175">
        <f>H85/DAY(B2)</f>
        <v>10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'3'!F86</f>
        <v>43474</v>
      </c>
      <c r="F86" s="164">
        <v>43498.25</v>
      </c>
      <c r="G86" s="112">
        <f t="shared" si="8"/>
        <v>24.25</v>
      </c>
      <c r="H86" s="99">
        <f>G86+'3'!H86</f>
        <v>56.25</v>
      </c>
      <c r="I86" s="118"/>
      <c r="J86" s="175">
        <f>H86/DAY(B2)</f>
        <v>14.0625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'3'!F87</f>
        <v>34598.550000000003</v>
      </c>
      <c r="F87" s="164">
        <v>34599.480000000003</v>
      </c>
      <c r="G87" s="112">
        <f t="shared" si="8"/>
        <v>0.93000000000029104</v>
      </c>
      <c r="H87" s="99">
        <f>G87+'3'!H87</f>
        <v>0.98000000000320142</v>
      </c>
      <c r="I87" s="118"/>
      <c r="J87" s="175">
        <f>H87/DAY(B2)</f>
        <v>0.24500000000080036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'3'!F88</f>
        <v>24063.43</v>
      </c>
      <c r="F88" s="164">
        <v>24063.43</v>
      </c>
      <c r="G88" s="112">
        <f t="shared" si="8"/>
        <v>0</v>
      </c>
      <c r="H88" s="99">
        <f>G88+'3'!H88</f>
        <v>0</v>
      </c>
      <c r="I88" s="118">
        <f>G86+G87+G88</f>
        <v>25.180000000000291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'3'!F89</f>
        <v>25919.8</v>
      </c>
      <c r="F89" s="164">
        <v>25929.54</v>
      </c>
      <c r="G89" s="112">
        <f t="shared" si="8"/>
        <v>9.7400000000016007</v>
      </c>
      <c r="H89" s="99">
        <f>G89+'3'!H89</f>
        <v>38.420000000001892</v>
      </c>
      <c r="I89" s="118"/>
      <c r="J89" s="175">
        <f>H89/DAY(B2)</f>
        <v>9.6050000000004729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'3'!F90</f>
        <v>71167.69</v>
      </c>
      <c r="F90" s="164">
        <v>71167.94</v>
      </c>
      <c r="G90" s="112">
        <f t="shared" si="8"/>
        <v>0.25</v>
      </c>
      <c r="H90" s="99">
        <f>G90+'3'!H90</f>
        <v>4.6199999999953434</v>
      </c>
      <c r="I90" s="118">
        <f>G89+G90</f>
        <v>9.9900000000016007</v>
      </c>
      <c r="J90" s="175">
        <f>H90/DAY(B2)</f>
        <v>1.1549999999988358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'3'!F91</f>
        <v>3285.32</v>
      </c>
      <c r="F91" s="122">
        <v>3296.79</v>
      </c>
      <c r="G91" s="112">
        <f t="shared" si="8"/>
        <v>11.4699999999998</v>
      </c>
      <c r="H91" s="99">
        <f>G91+'3'!H91</f>
        <v>45.699999999999818</v>
      </c>
      <c r="I91" s="165"/>
      <c r="J91" s="175">
        <f>H91/DAY(B2)</f>
        <v>11.424999999999955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'3'!F92</f>
        <v>5741.07</v>
      </c>
      <c r="F92" s="122">
        <v>5741.07</v>
      </c>
      <c r="G92" s="112">
        <f t="shared" si="8"/>
        <v>0</v>
      </c>
      <c r="H92" s="99">
        <f>G92+'3'!H92</f>
        <v>0</v>
      </c>
      <c r="I92" s="165"/>
      <c r="J92" s="175">
        <f>H92/DAY(B2)</f>
        <v>0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5078.0499999999956</v>
      </c>
      <c r="H94" s="99">
        <f>G94+'3'!H94</f>
        <v>18330.119999999992</v>
      </c>
      <c r="I94" s="118"/>
      <c r="J94" s="175">
        <f>H94/DAY(B2)</f>
        <v>4582.5299999999979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0.27492624761851164</v>
      </c>
      <c r="H95" s="99">
        <f>G95+'3'!H95</f>
        <v>1.0052310964528588</v>
      </c>
      <c r="I95" s="167"/>
      <c r="J95" s="175">
        <f>H95/DAY(B2)</f>
        <v>0.2513077741132147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2816.8300000000017</v>
      </c>
      <c r="H96" s="99">
        <f>G96+'3'!H96</f>
        <v>13758.79999999999</v>
      </c>
      <c r="I96" s="118"/>
      <c r="J96" s="175">
        <f>H96/DAY(B2)</f>
        <v>3439.6999999999975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0.15250352046144747</v>
      </c>
      <c r="H97" s="99">
        <f>G97+'3'!H97</f>
        <v>0.75831553602270341</v>
      </c>
      <c r="I97" s="167"/>
      <c r="J97" s="175">
        <f>H97/DAY(B2)</f>
        <v>0.18957888400567585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2666.7100000000064</v>
      </c>
      <c r="H98" s="99">
        <f>G98+'3'!H98</f>
        <v>10546.349999999999</v>
      </c>
      <c r="I98" s="168"/>
      <c r="J98" s="175">
        <f>H98/DAY(B2)</f>
        <v>2636.5874999999996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0.14437600531439501</v>
      </c>
      <c r="H99" s="99">
        <f>G99+'3'!H99</f>
        <v>0.57958191287137084</v>
      </c>
      <c r="I99" s="168"/>
      <c r="J99" s="175">
        <f>H99/DAY(B2)</f>
        <v>0.14489547821784271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1858.4700000000012</v>
      </c>
      <c r="H100" s="99">
        <f>G100+'3'!H100</f>
        <v>6905.68</v>
      </c>
      <c r="I100" s="118"/>
      <c r="J100" s="175">
        <f>H100/DAY(B2)</f>
        <v>1726.42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0.10061779293460602</v>
      </c>
      <c r="H101" s="99">
        <f>G101+'3'!H101</f>
        <v>0.37932692118106937</v>
      </c>
      <c r="I101" s="168"/>
      <c r="J101" s="175">
        <f>H101/DAY(B2)</f>
        <v>9.4831730295267341E-2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2011.6200000000026</v>
      </c>
      <c r="H102" s="99">
        <f>G102+'3'!H102</f>
        <v>7466.0900000000038</v>
      </c>
      <c r="I102" s="168"/>
      <c r="J102" s="175">
        <f>H102/DAY(B2)</f>
        <v>1866.5225000000009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0.108909352651973</v>
      </c>
      <c r="H103" s="99">
        <f>G103+'3'!H103</f>
        <v>0.40924309900482664</v>
      </c>
      <c r="I103" s="118"/>
      <c r="J103" s="175">
        <f>H103/DAY(B2)</f>
        <v>0.10231077475120666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1614.0999999999985</v>
      </c>
      <c r="H104" s="99">
        <f>G104+'3'!H104</f>
        <v>6267.4200000000055</v>
      </c>
      <c r="I104" s="118"/>
      <c r="J104" s="175">
        <f>H104/DAY(B2)</f>
        <v>1566.8550000000014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8.7387571268703459E-2</v>
      </c>
      <c r="H105" s="99">
        <f>G105+'3'!H105</f>
        <v>0.3444551858167173</v>
      </c>
      <c r="I105" s="187"/>
      <c r="J105" s="188">
        <f>H105/DAY(B2)</f>
        <v>8.6113796454179325E-2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'3'!F112</f>
        <v>58284.57</v>
      </c>
      <c r="F112" s="237">
        <v>58364.27</v>
      </c>
      <c r="G112" s="112">
        <f t="shared" ref="G112:G123" si="9">F112-E112</f>
        <v>79.69999999999709</v>
      </c>
      <c r="H112" s="99">
        <f>G112+'3'!H112</f>
        <v>310.2699999999968</v>
      </c>
      <c r="I112" s="165"/>
      <c r="J112" s="328">
        <f>H112/DAY(B2)</f>
        <v>77.5674999999992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'3'!F113</f>
        <v>47816.51</v>
      </c>
      <c r="F113" s="237">
        <v>48292.28</v>
      </c>
      <c r="G113" s="112">
        <f t="shared" si="9"/>
        <v>475.7699999999968</v>
      </c>
      <c r="H113" s="99">
        <f>G113+'3'!H113</f>
        <v>1891.3899999999994</v>
      </c>
      <c r="I113" s="165"/>
      <c r="J113" s="328">
        <f>H113/DAY(B2)</f>
        <v>472.84749999999985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'3'!F114</f>
        <v>34008.199999999997</v>
      </c>
      <c r="F114" s="237">
        <v>34275.480000000003</v>
      </c>
      <c r="G114" s="112">
        <f t="shared" si="9"/>
        <v>267.28000000000611</v>
      </c>
      <c r="H114" s="99">
        <f>G114+'3'!H114</f>
        <v>1115.4800000000032</v>
      </c>
      <c r="I114" s="165"/>
      <c r="J114" s="328">
        <f>H114/DAY(B2)</f>
        <v>278.8700000000008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'3'!F115</f>
        <v>9128.2999999999993</v>
      </c>
      <c r="F115" s="237">
        <v>9136.58</v>
      </c>
      <c r="G115" s="112">
        <f t="shared" si="9"/>
        <v>8.2800000000006548</v>
      </c>
      <c r="H115" s="99">
        <f>G115+'3'!H115</f>
        <v>41.930000000000291</v>
      </c>
      <c r="I115" s="165"/>
      <c r="J115" s="328">
        <f>H115/DAY(B2)</f>
        <v>10.482500000000073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'3'!F116</f>
        <v>0</v>
      </c>
      <c r="F116" s="237">
        <v>8.07</v>
      </c>
      <c r="G116" s="112">
        <f t="shared" si="9"/>
        <v>8.07</v>
      </c>
      <c r="H116" s="99">
        <f>G116+'3'!H116</f>
        <v>8.07</v>
      </c>
      <c r="I116" s="165"/>
      <c r="J116" s="328">
        <f>H116/DAY(B2)</f>
        <v>2.0175000000000001</v>
      </c>
      <c r="Q116" s="863" t="s">
        <v>311</v>
      </c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'3'!F117</f>
        <v>3415.74</v>
      </c>
      <c r="F117" s="237">
        <v>3493.03</v>
      </c>
      <c r="G117" s="112">
        <f t="shared" si="9"/>
        <v>77.290000000000418</v>
      </c>
      <c r="H117" s="99">
        <f>G117+'3'!H117</f>
        <v>155.08000000000038</v>
      </c>
      <c r="I117" s="165"/>
      <c r="J117" s="328">
        <f>H117/DAY(B2)</f>
        <v>38.770000000000095</v>
      </c>
      <c r="Q117" s="863" t="s">
        <v>312</v>
      </c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'3'!F118</f>
        <v>253412.19</v>
      </c>
      <c r="F118" s="237">
        <v>253754.53</v>
      </c>
      <c r="G118" s="112">
        <f t="shared" si="9"/>
        <v>342.33999999999651</v>
      </c>
      <c r="H118" s="99">
        <f>G118+'3'!H118</f>
        <v>1302.2200000000012</v>
      </c>
      <c r="I118" s="165"/>
      <c r="J118" s="328">
        <f>H118/DAY(B2)</f>
        <v>325.55500000000029</v>
      </c>
      <c r="Q118" s="863" t="s">
        <v>311</v>
      </c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'3'!F119</f>
        <v>259431.61</v>
      </c>
      <c r="F119" s="237">
        <v>259841.67</v>
      </c>
      <c r="G119" s="112">
        <f t="shared" si="9"/>
        <v>410.06000000002678</v>
      </c>
      <c r="H119" s="99">
        <f>G119+'3'!H119</f>
        <v>1693.1200000000244</v>
      </c>
      <c r="I119" s="165"/>
      <c r="J119" s="328">
        <f>H119/DAY(B2)</f>
        <v>423.28000000000611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'3'!F120</f>
        <v>44224.92</v>
      </c>
      <c r="F120" s="237">
        <v>44652.31</v>
      </c>
      <c r="G120" s="112">
        <f t="shared" si="9"/>
        <v>427.38999999999942</v>
      </c>
      <c r="H120" s="99">
        <f>G120+'3'!H120</f>
        <v>1692.6999999999971</v>
      </c>
      <c r="I120" s="165"/>
      <c r="J120" s="328">
        <f>H120/DAY(B2)</f>
        <v>423.17499999999927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'3'!F121</f>
        <v>400202.75</v>
      </c>
      <c r="F121" s="237">
        <v>400923.31</v>
      </c>
      <c r="G121" s="112">
        <f t="shared" si="9"/>
        <v>720.55999999999767</v>
      </c>
      <c r="H121" s="99">
        <f>G121+'3'!H121</f>
        <v>2888.8800000000047</v>
      </c>
      <c r="I121" s="165"/>
      <c r="J121" s="328">
        <f>H121/DAY(B2)</f>
        <v>722.22000000000116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'3'!F122</f>
        <v>126857.4</v>
      </c>
      <c r="F122" s="237">
        <v>127109.16</v>
      </c>
      <c r="G122" s="112">
        <f t="shared" si="9"/>
        <v>251.76000000000931</v>
      </c>
      <c r="H122" s="99">
        <f>G122+'3'!H122</f>
        <v>922.98000000001048</v>
      </c>
      <c r="I122" s="165"/>
      <c r="J122" s="328">
        <f>H122/DAY(B2)</f>
        <v>230.74500000000262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'3'!F123</f>
        <v>154821.26999999999</v>
      </c>
      <c r="F123" s="237">
        <v>155081.57999999999</v>
      </c>
      <c r="G123" s="112">
        <f t="shared" si="9"/>
        <v>260.30999999999767</v>
      </c>
      <c r="H123" s="99">
        <f>G123+'3'!H123</f>
        <v>1034.6299999999756</v>
      </c>
      <c r="I123" s="165"/>
      <c r="J123" s="328">
        <f>H123/DAY(B2)</f>
        <v>258.65749999999389</v>
      </c>
    </row>
    <row r="124" spans="1:18" ht="29.25" customHeight="1" x14ac:dyDescent="0.5">
      <c r="A124" s="867"/>
      <c r="B124" s="868"/>
      <c r="C124" s="869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9.25" x14ac:dyDescent="0.5">
      <c r="A125" s="586" t="s">
        <v>196</v>
      </c>
      <c r="B125" s="587"/>
      <c r="C125" s="588"/>
      <c r="D125" s="307"/>
      <c r="E125" s="308"/>
      <c r="F125" s="308"/>
      <c r="G125" s="309">
        <f>SUM(G112:G124)</f>
        <v>3328.8100000000286</v>
      </c>
      <c r="H125" s="156"/>
      <c r="I125" s="327">
        <f>G125-(G39+G53)</f>
        <v>662.10000000002219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'3'!F128</f>
        <v>48683.7</v>
      </c>
      <c r="F128" s="165">
        <v>48986.97</v>
      </c>
      <c r="G128" s="112">
        <f t="shared" ref="G128:G134" si="10">F128-E128</f>
        <v>303.27000000000407</v>
      </c>
      <c r="H128" s="99">
        <f>G128+'3'!H128</f>
        <v>1240.9700000000012</v>
      </c>
      <c r="I128" s="165"/>
      <c r="J128" s="328">
        <f>H128/DAY(B2)</f>
        <v>310.24250000000029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'3'!F129</f>
        <v>27520.54</v>
      </c>
      <c r="F129" s="165">
        <v>27721.45</v>
      </c>
      <c r="G129" s="112">
        <f t="shared" si="10"/>
        <v>200.90999999999985</v>
      </c>
      <c r="H129" s="99">
        <f>G129+'3'!H129</f>
        <v>810.58000000000175</v>
      </c>
      <c r="I129" s="165"/>
      <c r="J129" s="328">
        <f>H129/DAY(B2)</f>
        <v>202.64500000000044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'3'!F130</f>
        <v>37362.01</v>
      </c>
      <c r="F130" s="165">
        <v>37892.42</v>
      </c>
      <c r="G130" s="112">
        <f t="shared" si="10"/>
        <v>530.40999999999622</v>
      </c>
      <c r="H130" s="99">
        <f>G130+'3'!H130</f>
        <v>2198.4199999999983</v>
      </c>
      <c r="I130" s="165"/>
      <c r="J130" s="328">
        <f>H130/DAY(B2)</f>
        <v>549.60499999999956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'3'!F131</f>
        <v>15508.01</v>
      </c>
      <c r="F131" s="165">
        <v>15574.9</v>
      </c>
      <c r="G131" s="112">
        <f t="shared" si="10"/>
        <v>66.889999999999418</v>
      </c>
      <c r="H131" s="99">
        <f>G131+'3'!H131</f>
        <v>267.21999999999935</v>
      </c>
      <c r="I131" s="165"/>
      <c r="J131" s="328">
        <f>H131/DAY(B2)</f>
        <v>66.804999999999836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'3'!F132</f>
        <v>52436</v>
      </c>
      <c r="F132" s="165">
        <v>52796.45</v>
      </c>
      <c r="G132" s="112">
        <f t="shared" si="10"/>
        <v>360.44999999999709</v>
      </c>
      <c r="H132" s="99">
        <f>G132+'3'!H132</f>
        <v>948.14999999999418</v>
      </c>
      <c r="I132" s="165"/>
      <c r="J132" s="328">
        <f>H132/DAY(B2)</f>
        <v>237.03749999999854</v>
      </c>
    </row>
    <row r="133" spans="1:15" ht="27.75" x14ac:dyDescent="0.5">
      <c r="A133" s="863" t="s">
        <v>323</v>
      </c>
      <c r="B133" s="864"/>
      <c r="C133" s="865"/>
      <c r="D133" s="151" t="s">
        <v>183</v>
      </c>
      <c r="E133" s="95">
        <f>'3'!F133</f>
        <v>106969.46</v>
      </c>
      <c r="F133" s="165">
        <v>107660.29</v>
      </c>
      <c r="G133" s="112">
        <f t="shared" si="10"/>
        <v>690.82999999998719</v>
      </c>
      <c r="H133" s="99">
        <f>G133+'3'!H133</f>
        <v>2316.5899999999965</v>
      </c>
      <c r="I133" s="165"/>
      <c r="J133" s="328">
        <f>H133/DAY(B2)</f>
        <v>579.14749999999913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'3'!F134</f>
        <v>9066.3799999999992</v>
      </c>
      <c r="F134" s="165">
        <v>9228.06</v>
      </c>
      <c r="G134" s="112">
        <f t="shared" si="10"/>
        <v>161.68000000000029</v>
      </c>
      <c r="H134" s="99">
        <f>G134+'3'!H134</f>
        <v>626.82999999999993</v>
      </c>
      <c r="I134" s="165"/>
      <c r="J134" s="328">
        <f>H134/DAY(B2)</f>
        <v>156.70749999999998</v>
      </c>
    </row>
    <row r="135" spans="1:15" ht="29.25" x14ac:dyDescent="0.5">
      <c r="A135" s="893" t="s">
        <v>196</v>
      </c>
      <c r="B135" s="894"/>
      <c r="C135" s="895"/>
      <c r="D135" s="151"/>
      <c r="E135" s="95"/>
      <c r="F135" s="165"/>
      <c r="G135" s="112">
        <f>SUM(G128:G134)</f>
        <v>2314.4399999999841</v>
      </c>
      <c r="H135" s="99">
        <f>G135+'3'!H135</f>
        <v>8408.7599999999911</v>
      </c>
      <c r="I135" s="327">
        <f>G135-(G35+G49)</f>
        <v>-368.43000000001848</v>
      </c>
      <c r="J135" s="328">
        <f>H135/DAY(B2)</f>
        <v>2102.1899999999978</v>
      </c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'3'!F138</f>
        <v>866371</v>
      </c>
      <c r="F138" s="147">
        <v>866473</v>
      </c>
      <c r="G138" s="112">
        <f t="shared" ref="G138:G152" si="11">F138-E138</f>
        <v>102</v>
      </c>
      <c r="H138" s="99">
        <f>G138+'3'!H138</f>
        <v>300</v>
      </c>
      <c r="I138" s="118"/>
      <c r="J138" s="328">
        <f>H138/DAY(B2)</f>
        <v>75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'3'!F139</f>
        <v>886577</v>
      </c>
      <c r="F139" s="148">
        <v>886580</v>
      </c>
      <c r="G139" s="112">
        <f t="shared" si="11"/>
        <v>3</v>
      </c>
      <c r="H139" s="99">
        <f>G139+'3'!H139</f>
        <v>7</v>
      </c>
      <c r="I139" s="118"/>
      <c r="J139" s="328">
        <f>H139/DAY(B2)</f>
        <v>1.75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'3'!F140</f>
        <v>88933.8</v>
      </c>
      <c r="F140" s="149">
        <v>88935</v>
      </c>
      <c r="G140" s="112">
        <f t="shared" si="11"/>
        <v>1.1999999999970896</v>
      </c>
      <c r="H140" s="99">
        <f>G140+'3'!H140</f>
        <v>13</v>
      </c>
      <c r="I140" s="118"/>
      <c r="J140" s="328">
        <f>H140/DAY(B2)</f>
        <v>3.25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'3'!F141</f>
        <v>55187.1</v>
      </c>
      <c r="F141" s="149">
        <v>55375.06</v>
      </c>
      <c r="G141" s="112">
        <f t="shared" si="11"/>
        <v>187.95999999999913</v>
      </c>
      <c r="H141" s="99">
        <f>G141+'3'!H141</f>
        <v>689.47999999999593</v>
      </c>
      <c r="I141" s="118"/>
      <c r="J141" s="328">
        <f>H141/DAY(B2)</f>
        <v>172.36999999999898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'3'!F142</f>
        <v>21492.35</v>
      </c>
      <c r="F142" s="148">
        <v>21557.87</v>
      </c>
      <c r="G142" s="112">
        <f t="shared" si="11"/>
        <v>65.520000000000437</v>
      </c>
      <c r="H142" s="99">
        <f>G142+'3'!H142</f>
        <v>273.77000000000044</v>
      </c>
      <c r="I142" s="140"/>
      <c r="J142" s="328">
        <f>H142/DAY(B2)</f>
        <v>68.442500000000109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'3'!F143</f>
        <v>3915.53</v>
      </c>
      <c r="F143" s="149">
        <v>3943.49</v>
      </c>
      <c r="G143" s="112">
        <f t="shared" si="11"/>
        <v>27.959999999999582</v>
      </c>
      <c r="H143" s="99">
        <f>G143+'3'!H143</f>
        <v>108.09999999999991</v>
      </c>
      <c r="I143" s="140"/>
      <c r="J143" s="328">
        <f>H143/DAY(B2)</f>
        <v>27.024999999999977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'3'!F144</f>
        <v>877103</v>
      </c>
      <c r="F144" s="149">
        <v>877315</v>
      </c>
      <c r="G144" s="112">
        <f t="shared" si="11"/>
        <v>212</v>
      </c>
      <c r="H144" s="99">
        <f>G144+'3'!H144</f>
        <v>828</v>
      </c>
      <c r="I144" s="140"/>
      <c r="J144" s="328">
        <f>H144/DAY(B2)</f>
        <v>207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'3'!F145</f>
        <v>5000</v>
      </c>
      <c r="F145" s="149">
        <v>5014.8100000000004</v>
      </c>
      <c r="G145" s="112">
        <f t="shared" si="11"/>
        <v>14.8100000000004</v>
      </c>
      <c r="H145" s="99">
        <f>G145+'3'!H145</f>
        <v>55.970000000000255</v>
      </c>
      <c r="I145" s="140"/>
      <c r="J145" s="328">
        <f>H145/DAY(B2)</f>
        <v>13.992500000000064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'3'!F146</f>
        <v>738536</v>
      </c>
      <c r="F146" s="148">
        <v>738917</v>
      </c>
      <c r="G146" s="112">
        <f t="shared" si="11"/>
        <v>381</v>
      </c>
      <c r="H146" s="99">
        <f>G146+'3'!H146</f>
        <v>1584</v>
      </c>
      <c r="I146" s="140"/>
      <c r="J146" s="328">
        <f>H146/DAY(B2)</f>
        <v>396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'3'!F147</f>
        <v>627756</v>
      </c>
      <c r="F147" s="148">
        <v>628152.43999999994</v>
      </c>
      <c r="G147" s="112">
        <f t="shared" si="11"/>
        <v>396.43999999994412</v>
      </c>
      <c r="H147" s="99">
        <f>G147+'3'!H147</f>
        <v>1539.9199999999255</v>
      </c>
      <c r="I147" s="140"/>
      <c r="J147" s="328">
        <f>H147/DAY(B2)</f>
        <v>384.97999999998137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'3'!F148</f>
        <v>690148.88</v>
      </c>
      <c r="F148" s="150">
        <v>690458.32</v>
      </c>
      <c r="G148" s="112">
        <f t="shared" si="11"/>
        <v>309.43999999994412</v>
      </c>
      <c r="H148" s="99">
        <f>G148+'3'!H148</f>
        <v>1015.359999999986</v>
      </c>
      <c r="I148" s="124"/>
      <c r="J148" s="328">
        <f>H148/DAY(B2)</f>
        <v>253.83999999999651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'3'!F149</f>
        <v>25950.48</v>
      </c>
      <c r="F149" s="146">
        <v>26424.38</v>
      </c>
      <c r="G149" s="112">
        <f t="shared" si="11"/>
        <v>473.90000000000146</v>
      </c>
      <c r="H149" s="99">
        <f>G149+'3'!H149</f>
        <v>1746.1800000000003</v>
      </c>
      <c r="I149" s="119"/>
      <c r="J149" s="328">
        <f>H149/DAY(B2)</f>
        <v>436.54500000000007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'3'!F150</f>
        <v>11501.1</v>
      </c>
      <c r="F150" s="233">
        <v>11732.86</v>
      </c>
      <c r="G150" s="112">
        <f t="shared" si="11"/>
        <v>231.76000000000022</v>
      </c>
      <c r="H150" s="99">
        <f>G150+'3'!H150</f>
        <v>882.03000000000065</v>
      </c>
      <c r="I150" s="119"/>
      <c r="J150" s="328">
        <f>H150/DAY(B2)</f>
        <v>220.50750000000016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'3'!F151</f>
        <v>86216</v>
      </c>
      <c r="F151" s="233">
        <v>86473</v>
      </c>
      <c r="G151" s="112">
        <f t="shared" si="11"/>
        <v>257</v>
      </c>
      <c r="H151" s="99">
        <f>G151+'3'!H151</f>
        <v>993</v>
      </c>
      <c r="I151" s="119"/>
      <c r="J151" s="328">
        <f>H151/DAY(B2)</f>
        <v>248.25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'3'!F152</f>
        <v>1777.9</v>
      </c>
      <c r="F152" s="233">
        <v>1838.73</v>
      </c>
      <c r="G152" s="112">
        <f t="shared" si="11"/>
        <v>60.829999999999927</v>
      </c>
      <c r="H152" s="99">
        <f>G152+'3'!H152</f>
        <v>178.73000000000002</v>
      </c>
      <c r="I152" s="119"/>
      <c r="J152" s="328">
        <f>H152/DAY(B2)</f>
        <v>44.682500000000005</v>
      </c>
    </row>
    <row r="153" spans="1:10" ht="29.25" x14ac:dyDescent="0.5">
      <c r="A153" s="893" t="s">
        <v>196</v>
      </c>
      <c r="B153" s="894"/>
      <c r="C153" s="895"/>
      <c r="D153" s="358"/>
      <c r="E153" s="360"/>
      <c r="F153" s="361"/>
      <c r="G153" s="362">
        <f>SUM(G138:G152)</f>
        <v>2724.8199999998865</v>
      </c>
      <c r="H153" s="363"/>
      <c r="I153" s="119">
        <f>G153-(G38+G52)</f>
        <v>866.34999999988531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'3'!F155</f>
        <v>34307.279999999999</v>
      </c>
      <c r="F155" s="374">
        <v>35016.379999999997</v>
      </c>
      <c r="G155" s="112">
        <f t="shared" ref="G155:G158" si="12">F155-E155</f>
        <v>709.09999999999854</v>
      </c>
      <c r="H155" s="99">
        <f>G155+'3'!H155</f>
        <v>2071.3799999999974</v>
      </c>
      <c r="I155" s="364"/>
      <c r="J155" s="328">
        <f>H155/DAY(B2)</f>
        <v>517.84499999999935</v>
      </c>
    </row>
    <row r="156" spans="1:10" ht="27.75" x14ac:dyDescent="0.5">
      <c r="A156" s="843" t="s">
        <v>346</v>
      </c>
      <c r="B156" s="843"/>
      <c r="C156" s="843"/>
      <c r="D156" s="117" t="s">
        <v>130</v>
      </c>
      <c r="E156" s="95">
        <f>'3'!F156</f>
        <v>2888.8</v>
      </c>
      <c r="F156" s="155">
        <v>2940.61</v>
      </c>
      <c r="G156" s="112">
        <f t="shared" si="12"/>
        <v>51.809999999999945</v>
      </c>
      <c r="H156" s="99">
        <f>G156+'3'!H156</f>
        <v>152.61000000000013</v>
      </c>
      <c r="I156" s="165"/>
      <c r="J156" s="328">
        <f>H156/DAY(B2)</f>
        <v>38.152500000000032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>
        <f>'3'!F157</f>
        <v>4282.29</v>
      </c>
      <c r="F157" s="155">
        <v>4365.28</v>
      </c>
      <c r="G157" s="112">
        <f t="shared" si="12"/>
        <v>82.989999999999782</v>
      </c>
      <c r="H157" s="99">
        <f>G157+'3'!H157</f>
        <v>82.989999999999782</v>
      </c>
      <c r="I157" s="165"/>
      <c r="J157" s="328">
        <f>H157/DAY(B2)</f>
        <v>20.747499999999945</v>
      </c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>
        <f>'3'!F158</f>
        <v>60.9</v>
      </c>
      <c r="F158" s="155">
        <v>61.82</v>
      </c>
      <c r="G158" s="112">
        <f t="shared" si="12"/>
        <v>0.92000000000000171</v>
      </c>
      <c r="H158" s="99">
        <f>G158+'3'!H158</f>
        <v>0.92000000000000171</v>
      </c>
      <c r="I158" s="165"/>
      <c r="J158" s="328">
        <f>H158/DAY(B2)</f>
        <v>0.23000000000000043</v>
      </c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'3'!F161</f>
        <v>472208.24</v>
      </c>
      <c r="F161" s="235">
        <v>472265.48</v>
      </c>
      <c r="G161" s="238">
        <f t="shared" ref="G161:G168" si="13">F161-E161</f>
        <v>57.239999999990687</v>
      </c>
      <c r="H161" s="99">
        <f>G161+'3'!H161</f>
        <v>211.9199999999837</v>
      </c>
      <c r="I161" s="236"/>
      <c r="J161" s="239">
        <f>H161/DAY(B2)</f>
        <v>52.979999999995925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'3'!F162</f>
        <v>88636.3</v>
      </c>
      <c r="F162" s="235">
        <v>88670.3</v>
      </c>
      <c r="G162" s="238">
        <f t="shared" si="13"/>
        <v>34</v>
      </c>
      <c r="H162" s="99">
        <f>G162+'3'!H162</f>
        <v>153.90000000000873</v>
      </c>
      <c r="I162" s="236"/>
      <c r="J162" s="239">
        <f>H162/DAY(B2)</f>
        <v>38.475000000002183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'3'!F163</f>
        <v>79318.8</v>
      </c>
      <c r="F163" s="235">
        <v>79351.7</v>
      </c>
      <c r="G163" s="238">
        <f t="shared" si="13"/>
        <v>32.899999999994179</v>
      </c>
      <c r="H163" s="99">
        <f>G163+'3'!H163</f>
        <v>131.59999999999127</v>
      </c>
      <c r="I163" s="236"/>
      <c r="J163" s="239">
        <f>H163/DAY(B2)</f>
        <v>32.899999999997817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'3'!F164</f>
        <v>4323.5</v>
      </c>
      <c r="F164" s="235">
        <v>4323.7</v>
      </c>
      <c r="G164" s="238">
        <f t="shared" si="13"/>
        <v>0.1999999999998181</v>
      </c>
      <c r="H164" s="99">
        <f>G164+'3'!H164</f>
        <v>3.6999999999998181</v>
      </c>
      <c r="I164" s="236"/>
      <c r="J164" s="239">
        <f>H164/DAY(B2)</f>
        <v>0.92499999999995453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'3'!F165</f>
        <v>29884.87</v>
      </c>
      <c r="F165" s="235">
        <v>29893.83</v>
      </c>
      <c r="G165" s="238">
        <f t="shared" si="13"/>
        <v>8.9600000000027649</v>
      </c>
      <c r="H165" s="99">
        <f>G165+'3'!H165</f>
        <v>36.580000000001746</v>
      </c>
      <c r="I165" s="236"/>
      <c r="J165" s="239">
        <f>H165/DAY(B2)</f>
        <v>9.1450000000004366</v>
      </c>
    </row>
    <row r="166" spans="1:10" ht="29.25" x14ac:dyDescent="0.5">
      <c r="A166" s="852"/>
      <c r="B166" s="852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9.25" x14ac:dyDescent="0.5">
      <c r="A167" s="852"/>
      <c r="B167" s="852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9.25" x14ac:dyDescent="0.5">
      <c r="A168" s="852"/>
      <c r="B168" s="852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'3'!F173</f>
        <v>8126</v>
      </c>
      <c r="F173" s="155">
        <v>8126</v>
      </c>
      <c r="G173" s="155">
        <f>F173-E173</f>
        <v>0</v>
      </c>
      <c r="H173" s="99">
        <f>G173+'3'!H173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'3'!F174</f>
        <v>38649</v>
      </c>
      <c r="F174" s="157">
        <v>38661</v>
      </c>
      <c r="G174" s="155">
        <f t="shared" ref="G174:G175" si="14">F174-E174</f>
        <v>12</v>
      </c>
      <c r="H174" s="99">
        <f>G174+'3'!H174</f>
        <v>46</v>
      </c>
      <c r="I174" s="155"/>
      <c r="J174" s="178">
        <f>H174/DAY(B2)</f>
        <v>11.5</v>
      </c>
    </row>
    <row r="175" spans="1:10" ht="25.5" customHeight="1" x14ac:dyDescent="0.5">
      <c r="A175" s="856" t="s">
        <v>76</v>
      </c>
      <c r="B175" s="896"/>
      <c r="C175" s="857"/>
      <c r="D175" s="228" t="s">
        <v>142</v>
      </c>
      <c r="E175" s="95">
        <f>'3'!F175</f>
        <v>21841</v>
      </c>
      <c r="F175" s="155">
        <v>21851</v>
      </c>
      <c r="G175" s="155">
        <f t="shared" si="14"/>
        <v>10</v>
      </c>
      <c r="H175" s="99">
        <f>G175+'3'!H175</f>
        <v>38</v>
      </c>
      <c r="I175" s="155"/>
      <c r="J175" s="178">
        <f>H175/DAY(B2)</f>
        <v>9.5</v>
      </c>
    </row>
    <row r="176" spans="1:10" ht="24.75" customHeight="1" x14ac:dyDescent="0.5">
      <c r="A176" s="893" t="s">
        <v>196</v>
      </c>
      <c r="B176" s="894"/>
      <c r="C176" s="895"/>
      <c r="D176" s="228"/>
      <c r="E176" s="95"/>
      <c r="F176" s="155"/>
      <c r="G176" s="155">
        <f>SUM(G173:G175)</f>
        <v>22</v>
      </c>
      <c r="H176" s="99">
        <f>G176+'3'!H176</f>
        <v>84</v>
      </c>
      <c r="I176" s="155"/>
      <c r="J176" s="178">
        <f>H176/DAY(B2)</f>
        <v>21</v>
      </c>
    </row>
    <row r="177" spans="1:10" ht="28.5" customHeight="1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 x14ac:dyDescent="0.5">
      <c r="A178" s="856" t="s">
        <v>210</v>
      </c>
      <c r="B178" s="857"/>
      <c r="C178" s="333"/>
      <c r="D178" s="228" t="s">
        <v>142</v>
      </c>
      <c r="E178" s="95">
        <f>'3'!F178</f>
        <v>81457</v>
      </c>
      <c r="F178" s="157">
        <v>81544</v>
      </c>
      <c r="G178" s="155">
        <f>F178-E178</f>
        <v>87</v>
      </c>
      <c r="H178" s="99">
        <f>G178+'3'!H178</f>
        <v>229</v>
      </c>
      <c r="I178" s="155"/>
      <c r="J178" s="178">
        <f>H178/DAY(B2)</f>
        <v>57.25</v>
      </c>
    </row>
    <row r="179" spans="1:10" ht="24" customHeight="1" x14ac:dyDescent="0.5">
      <c r="A179" s="856" t="s">
        <v>211</v>
      </c>
      <c r="B179" s="857"/>
      <c r="C179" s="333"/>
      <c r="D179" s="228" t="s">
        <v>142</v>
      </c>
      <c r="E179" s="95">
        <f>'3'!F179</f>
        <v>34903</v>
      </c>
      <c r="F179" s="155">
        <v>34926</v>
      </c>
      <c r="G179" s="155">
        <f t="shared" ref="G179:G180" si="15">F179-E179</f>
        <v>23</v>
      </c>
      <c r="H179" s="99">
        <f>G179+'3'!H179</f>
        <v>123</v>
      </c>
      <c r="I179" s="155"/>
      <c r="J179" s="178">
        <f>H179/DAY(B2)</f>
        <v>30.75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'3'!F180</f>
        <v>5721</v>
      </c>
      <c r="F180" s="155">
        <v>5731</v>
      </c>
      <c r="G180" s="155">
        <f t="shared" si="15"/>
        <v>10</v>
      </c>
      <c r="H180" s="99">
        <f>G180+'3'!H180</f>
        <v>29</v>
      </c>
      <c r="I180" s="155"/>
      <c r="J180" s="178">
        <f>H180/DAY(B2)</f>
        <v>7.25</v>
      </c>
    </row>
    <row r="181" spans="1:10" ht="21.95" customHeight="1" x14ac:dyDescent="0.5">
      <c r="A181" s="893" t="s">
        <v>196</v>
      </c>
      <c r="B181" s="894"/>
      <c r="C181" s="895"/>
      <c r="D181" s="228"/>
      <c r="E181" s="95"/>
      <c r="F181" s="155"/>
      <c r="G181" s="155">
        <f>SUM(G178:G180)</f>
        <v>120</v>
      </c>
      <c r="H181" s="99">
        <f>G181+'3'!H181</f>
        <v>381</v>
      </c>
      <c r="I181" s="155"/>
      <c r="J181" s="178">
        <f>H181/DAY(B2)</f>
        <v>95.25</v>
      </c>
    </row>
    <row r="182" spans="1:10" ht="21.95" customHeight="1" x14ac:dyDescent="0.5">
      <c r="A182" s="856" t="s">
        <v>213</v>
      </c>
      <c r="B182" s="857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'3'!F183</f>
        <v>15389</v>
      </c>
      <c r="F183" s="157">
        <v>15398</v>
      </c>
      <c r="G183" s="157">
        <f>F183-E183</f>
        <v>9</v>
      </c>
      <c r="H183" s="99">
        <f>G183+'3'!H183</f>
        <v>53</v>
      </c>
      <c r="I183" s="155"/>
      <c r="J183" s="178">
        <f>H183/DAY(B2)</f>
        <v>13.25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'3'!F184</f>
        <v>10539</v>
      </c>
      <c r="F184" s="157">
        <v>10545</v>
      </c>
      <c r="G184" s="157">
        <f t="shared" ref="G184:G185" si="16">F184-E184</f>
        <v>6</v>
      </c>
      <c r="H184" s="99">
        <f>G184+'3'!H184</f>
        <v>27</v>
      </c>
      <c r="I184" s="155"/>
      <c r="J184" s="178">
        <f>H184/DAY(B2)</f>
        <v>6.75</v>
      </c>
    </row>
    <row r="185" spans="1:10" ht="27.75" x14ac:dyDescent="0.5">
      <c r="A185" s="856" t="s">
        <v>216</v>
      </c>
      <c r="B185" s="857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9.25" x14ac:dyDescent="0.5">
      <c r="A186" s="893" t="s">
        <v>196</v>
      </c>
      <c r="B186" s="894"/>
      <c r="C186" s="895"/>
      <c r="D186" s="229"/>
      <c r="E186" s="95"/>
      <c r="F186" s="157"/>
      <c r="G186" s="157">
        <f>SUM(G183:G185)</f>
        <v>15</v>
      </c>
      <c r="H186" s="99">
        <f>G186+'3'!H186</f>
        <v>80</v>
      </c>
      <c r="I186" s="157"/>
      <c r="J186" s="178">
        <f>H186/DAY(B2)</f>
        <v>20</v>
      </c>
    </row>
    <row r="187" spans="1:10" ht="25.5" customHeight="1" x14ac:dyDescent="0.5">
      <c r="A187" s="849" t="s">
        <v>217</v>
      </c>
      <c r="B187" s="850"/>
      <c r="C187" s="333"/>
      <c r="D187" s="230" t="s">
        <v>142</v>
      </c>
      <c r="E187" s="95"/>
      <c r="F187" s="99"/>
      <c r="G187" s="460">
        <f>G62+G19</f>
        <v>160</v>
      </c>
      <c r="H187" s="99">
        <f>G187+'3'!H187</f>
        <v>543</v>
      </c>
      <c r="I187" s="158"/>
      <c r="J187" s="179">
        <f>H187/DAY(B2)</f>
        <v>135.75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158</v>
      </c>
      <c r="H188" s="99">
        <f>G188+'3'!H188</f>
        <v>571</v>
      </c>
      <c r="I188" s="158"/>
      <c r="J188" s="179">
        <f>H188/DAY(B2)</f>
        <v>142.75</v>
      </c>
    </row>
    <row r="189" spans="1:10" ht="27.75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120</v>
      </c>
      <c r="H189" s="99">
        <f>G189+'3'!H189</f>
        <v>381</v>
      </c>
      <c r="I189" s="158"/>
      <c r="J189" s="179">
        <f>H189/DAY(B2)</f>
        <v>95.25</v>
      </c>
    </row>
    <row r="190" spans="1:10" ht="27.75" x14ac:dyDescent="0.5">
      <c r="A190" s="849"/>
      <c r="B190" s="850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18.75" customHeight="1" x14ac:dyDescent="0.5"/>
    <row r="196" ht="18.75" customHeight="1" x14ac:dyDescent="0.5"/>
    <row r="197" ht="18.75" customHeight="1" x14ac:dyDescent="0.5"/>
    <row r="198" ht="18.75" customHeight="1" x14ac:dyDescent="0.5"/>
    <row r="199" ht="18.75" customHeight="1" x14ac:dyDescent="0.5"/>
    <row r="200" ht="18.75" customHeight="1" x14ac:dyDescent="0.5"/>
    <row r="201" ht="18.75" customHeight="1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topLeftCell="A136" zoomScale="53" zoomScaleNormal="48" zoomScaleSheetLayoutView="53" workbookViewId="0">
      <selection activeCell="F146" sqref="F14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356</v>
      </c>
      <c r="B2" s="262">
        <v>44597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29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'4'!F7</f>
        <v>724047.59</v>
      </c>
      <c r="F7" s="95">
        <v>744647.67</v>
      </c>
      <c r="G7" s="112">
        <f>F7-E7</f>
        <v>20600.080000000075</v>
      </c>
      <c r="H7" s="99">
        <f>G7+'4'!H7</f>
        <v>93467.440000000061</v>
      </c>
      <c r="I7" s="113">
        <f>'1'!I7</f>
        <v>12000</v>
      </c>
      <c r="J7" s="175">
        <f>H7/DAY(B2)</f>
        <v>18693.488000000012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'4'!F8</f>
        <v>782176.71</v>
      </c>
      <c r="F8" s="114">
        <v>803007.67</v>
      </c>
      <c r="G8" s="115">
        <f>F8-E8</f>
        <v>20830.960000000079</v>
      </c>
      <c r="H8" s="99">
        <f>G8+'4'!H8</f>
        <v>94459.520000000019</v>
      </c>
      <c r="I8" s="116"/>
      <c r="J8" s="175">
        <f>H8/DAY(B2)</f>
        <v>18891.904000000002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'4'!F9</f>
        <v>334674.45</v>
      </c>
      <c r="F9" s="117">
        <v>347557.39</v>
      </c>
      <c r="G9" s="112">
        <f>F9-E9</f>
        <v>12882.940000000002</v>
      </c>
      <c r="H9" s="99">
        <f>G9+'4'!H9</f>
        <v>65303.540000000037</v>
      </c>
      <c r="I9" s="124">
        <f>I7-J7</f>
        <v>-6693.4880000000121</v>
      </c>
      <c r="J9" s="175">
        <f>H9/DAY(B2)</f>
        <v>13060.708000000008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'4'!F10</f>
        <v>123643.08</v>
      </c>
      <c r="F10" s="117">
        <v>130814.89</v>
      </c>
      <c r="G10" s="112">
        <f t="shared" ref="G10:G12" si="0">F10-E10</f>
        <v>7171.8099999999977</v>
      </c>
      <c r="H10" s="99">
        <f>G10+'4'!H10</f>
        <v>25555.919999999998</v>
      </c>
      <c r="I10" s="282"/>
      <c r="J10" s="175">
        <f>H10/DAY(B2)</f>
        <v>5111.1839999999993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'4'!F11</f>
        <v>37170</v>
      </c>
      <c r="F11" s="95">
        <v>37170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20054.75</v>
      </c>
      <c r="H13" s="99">
        <f>G13+'4'!H13</f>
        <v>74105.03</v>
      </c>
      <c r="I13" s="120">
        <f>G7-G13</f>
        <v>545.33000000007451</v>
      </c>
      <c r="J13" s="175">
        <f>H13/DAY(B2)</f>
        <v>14821.005999999999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'4'!F15</f>
        <v>1910548.77</v>
      </c>
      <c r="F15" s="123">
        <v>1911596.64</v>
      </c>
      <c r="G15" s="112">
        <f>(F15-E15)</f>
        <v>1047.8699999998789</v>
      </c>
      <c r="H15" s="99">
        <f>G15+'4'!H15</f>
        <v>4959.872999999905</v>
      </c>
      <c r="I15" s="113">
        <f>'1'!I15</f>
        <v>800</v>
      </c>
      <c r="J15" s="175">
        <f>H15/DAY(B2)</f>
        <v>991.97459999998102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-191.97459999998102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'4'!F18</f>
        <v>21</v>
      </c>
      <c r="F18" s="122">
        <v>24</v>
      </c>
      <c r="G18" s="119">
        <f>F18*10</f>
        <v>240</v>
      </c>
      <c r="H18" s="99">
        <f>G18+'4'!H18</f>
        <v>960</v>
      </c>
      <c r="I18" s="113">
        <f>'1'!I18</f>
        <v>65</v>
      </c>
      <c r="J18" s="175">
        <f>H18/DAY(B2)</f>
        <v>192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'4'!F19</f>
        <v>154083</v>
      </c>
      <c r="F19" s="122">
        <v>154137</v>
      </c>
      <c r="G19" s="112">
        <f t="shared" ref="G19" si="1">F19-E19</f>
        <v>54</v>
      </c>
      <c r="H19" s="99">
        <f>G19+'4'!H19</f>
        <v>246</v>
      </c>
      <c r="I19" s="335"/>
      <c r="J19" s="175">
        <f>H19/DAY(B2)</f>
        <v>49.2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294</v>
      </c>
      <c r="H20" s="99">
        <f>G20+'4'!H20</f>
        <v>1206</v>
      </c>
      <c r="I20" s="336">
        <f>I18-J20</f>
        <v>-176.2</v>
      </c>
      <c r="J20" s="175">
        <f>H20/DAY(B2)</f>
        <v>241.2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20830.960000000079</v>
      </c>
      <c r="F27" s="136">
        <v>9</v>
      </c>
      <c r="G27" s="137">
        <f>E27*F27</f>
        <v>187478.64000000071</v>
      </c>
      <c r="H27" s="99">
        <f>G27+'4'!H27</f>
        <v>850135.68000000017</v>
      </c>
      <c r="I27" s="138"/>
      <c r="J27" s="175">
        <f>H27/DAY(B2)</f>
        <v>170027.13600000003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1047.8699999998789</v>
      </c>
      <c r="F28" s="136">
        <v>52</v>
      </c>
      <c r="G28" s="137">
        <f>E28*F28</f>
        <v>54489.239999993704</v>
      </c>
      <c r="H28" s="99">
        <f>G28+'4'!H28</f>
        <v>257913.39599999506</v>
      </c>
      <c r="I28" s="140"/>
      <c r="J28" s="175">
        <f>H28/DAY(B2)</f>
        <v>51582.679199999009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G30+'4'!H30</f>
        <v>35916</v>
      </c>
      <c r="I30" s="140"/>
      <c r="J30" s="175">
        <f>H30/DAY(B2)</f>
        <v>7183.2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G31+'4'!H31</f>
        <v>76800</v>
      </c>
      <c r="I31" s="140"/>
      <c r="J31" s="175">
        <f>H31/DAY(B2)</f>
        <v>15360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269051.87999999442</v>
      </c>
      <c r="H32" s="99">
        <f>G32+'4'!H32</f>
        <v>1220765.0759999952</v>
      </c>
      <c r="I32" s="144"/>
      <c r="J32" s="175">
        <f>H32/DAY(B2)</f>
        <v>244153.01519999903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'4'!F35</f>
        <v>37405.870000000003</v>
      </c>
      <c r="F35" s="145">
        <v>38854.68</v>
      </c>
      <c r="G35" s="112">
        <f t="shared" ref="G35:G46" si="3">F35-E35</f>
        <v>1448.8099999999977</v>
      </c>
      <c r="H35" s="99">
        <f>G35+'4'!H35</f>
        <v>6849.7000000000007</v>
      </c>
      <c r="I35" s="95"/>
      <c r="J35" s="175">
        <f>H35/DAY(B2)</f>
        <v>1369.94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'4'!F36</f>
        <v>46778.57</v>
      </c>
      <c r="F36" s="145">
        <v>48131.83</v>
      </c>
      <c r="G36" s="112">
        <f t="shared" si="3"/>
        <v>1353.260000000002</v>
      </c>
      <c r="H36" s="99">
        <f>G36+'4'!H36</f>
        <v>4673.0900000000038</v>
      </c>
      <c r="I36" s="95"/>
      <c r="J36" s="175">
        <f>H36/DAY(B2)</f>
        <v>934.61800000000073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'4'!F37</f>
        <v>41692.51</v>
      </c>
      <c r="F37" s="145">
        <v>43376.43</v>
      </c>
      <c r="G37" s="112">
        <f t="shared" si="3"/>
        <v>1683.9199999999983</v>
      </c>
      <c r="H37" s="99">
        <f>G37+'4'!H37</f>
        <v>7951.3400000000038</v>
      </c>
      <c r="I37" s="95"/>
      <c r="J37" s="175">
        <f>H37/DAY(B2)</f>
        <v>1590.2680000000007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'4'!F38</f>
        <v>45282.11</v>
      </c>
      <c r="F38" s="108">
        <v>47221.55</v>
      </c>
      <c r="G38" s="112">
        <f t="shared" si="3"/>
        <v>1939.4400000000023</v>
      </c>
      <c r="H38" s="99">
        <f>G38+'4'!H38</f>
        <v>8845.1200000000026</v>
      </c>
      <c r="I38" s="95"/>
      <c r="J38" s="175">
        <f>H38/DAY(B2)</f>
        <v>1769.0240000000006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'4'!F39</f>
        <v>69719.64</v>
      </c>
      <c r="F39" s="145">
        <v>72477.66</v>
      </c>
      <c r="G39" s="112">
        <f t="shared" si="3"/>
        <v>2758.0200000000041</v>
      </c>
      <c r="H39" s="99">
        <f>G39+'4'!H39</f>
        <v>13304.370000000003</v>
      </c>
      <c r="I39" s="95"/>
      <c r="J39" s="175">
        <f>H39/DAY(B2)</f>
        <v>2660.8740000000007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'4'!F40</f>
        <v>23414.29</v>
      </c>
      <c r="F40" s="145">
        <v>23520.06</v>
      </c>
      <c r="G40" s="112">
        <f t="shared" si="3"/>
        <v>105.77000000000044</v>
      </c>
      <c r="H40" s="99">
        <f>G40+'4'!H40</f>
        <v>1403.069999999999</v>
      </c>
      <c r="I40" s="95"/>
      <c r="J40" s="175">
        <f>H40/DAY(B2)</f>
        <v>280.61399999999981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'4'!F41</f>
        <v>62.73</v>
      </c>
      <c r="F41" s="145">
        <v>62.73</v>
      </c>
      <c r="G41" s="112">
        <f t="shared" si="3"/>
        <v>0</v>
      </c>
      <c r="H41" s="99">
        <f>G41+'4'!H41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'4'!F42</f>
        <v>106500.89</v>
      </c>
      <c r="F42" s="145">
        <v>106500.89</v>
      </c>
      <c r="G42" s="112">
        <f t="shared" si="3"/>
        <v>0</v>
      </c>
      <c r="H42" s="99">
        <f>G42+'4'!H42</f>
        <v>6371.1499999999942</v>
      </c>
      <c r="I42" s="95"/>
      <c r="J42" s="175">
        <f>H42/DAY(B2)</f>
        <v>1274.2299999999989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'4'!F43</f>
        <v>123375.54</v>
      </c>
      <c r="F43" s="145">
        <v>125613.3</v>
      </c>
      <c r="G43" s="112">
        <f t="shared" si="3"/>
        <v>2237.7600000000093</v>
      </c>
      <c r="H43" s="99">
        <f>G43+'4'!H43</f>
        <v>10761.699999999997</v>
      </c>
      <c r="I43" s="95"/>
      <c r="J43" s="175">
        <f>H43/DAY(B2)</f>
        <v>2152.3399999999992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11526.980000000014</v>
      </c>
      <c r="H47" s="99">
        <f>G47+'4'!H47</f>
        <v>60159.540000000008</v>
      </c>
      <c r="I47" s="95"/>
      <c r="J47" s="175">
        <f>H47/DAY(B2)</f>
        <v>12031.908000000001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'4'!F49</f>
        <v>29401.48</v>
      </c>
      <c r="F49" s="145">
        <v>30841.67</v>
      </c>
      <c r="G49" s="112">
        <f t="shared" ref="G49:G58" si="4">F49-E49</f>
        <v>1440.1899999999987</v>
      </c>
      <c r="H49" s="99">
        <f>G49+'4'!H49</f>
        <v>5845.48</v>
      </c>
      <c r="I49" s="95"/>
      <c r="J49" s="175">
        <f>H49/DAY(B2)</f>
        <v>1169.096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'4'!F50</f>
        <v>60532.89</v>
      </c>
      <c r="F50" s="145">
        <v>62059.64</v>
      </c>
      <c r="G50" s="112">
        <f t="shared" si="4"/>
        <v>1526.75</v>
      </c>
      <c r="H50" s="99">
        <f>G50+'4'!H50</f>
        <v>5673.010000000002</v>
      </c>
      <c r="I50" s="95"/>
      <c r="J50" s="175">
        <f>H50/DAY(B2)</f>
        <v>1134.6020000000003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'4'!F51</f>
        <v>0</v>
      </c>
      <c r="F51" s="145">
        <v>0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'4'!F52</f>
        <v>0</v>
      </c>
      <c r="F52" s="145">
        <v>0</v>
      </c>
      <c r="G52" s="112">
        <f t="shared" si="4"/>
        <v>0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'4'!F54</f>
        <v>6389.99</v>
      </c>
      <c r="F54" s="145">
        <v>6923.67</v>
      </c>
      <c r="G54" s="112">
        <f t="shared" si="4"/>
        <v>533.68000000000029</v>
      </c>
      <c r="H54" s="99">
        <f>G54+'4'!H54</f>
        <v>1776.25</v>
      </c>
      <c r="I54" s="95"/>
      <c r="J54" s="175">
        <f>H54/DAY(B2)</f>
        <v>355.25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'4'!F55</f>
        <v>81640.67</v>
      </c>
      <c r="F55" s="145">
        <v>84837.06</v>
      </c>
      <c r="G55" s="112">
        <f t="shared" si="4"/>
        <v>3196.3899999999994</v>
      </c>
      <c r="H55" s="99">
        <f>G55+'4'!H55</f>
        <v>10470.949999999997</v>
      </c>
      <c r="I55" s="95"/>
      <c r="J55" s="175">
        <f>H55/DAY(B2)</f>
        <v>2094.1899999999996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'4'!F56</f>
        <v>8723.6299999999992</v>
      </c>
      <c r="F56" s="145">
        <v>8723.6299999999992</v>
      </c>
      <c r="G56" s="112">
        <f t="shared" si="4"/>
        <v>0</v>
      </c>
      <c r="H56" s="99">
        <f>G56+'4'!H56</f>
        <v>113.08999999999833</v>
      </c>
      <c r="I56" s="95"/>
      <c r="J56" s="175">
        <f>H56/DAY(B2)</f>
        <v>22.617999999999665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'4'!F58</f>
        <v>5585.41</v>
      </c>
      <c r="F58" s="145">
        <v>5829.33</v>
      </c>
      <c r="G58" s="112">
        <f t="shared" si="4"/>
        <v>243.92000000000007</v>
      </c>
      <c r="H58" s="99">
        <f>G58+'4'!H58</f>
        <v>1033.1199999999999</v>
      </c>
      <c r="I58" s="95"/>
      <c r="J58" s="175">
        <f>H58/DAY(B2)</f>
        <v>206.62399999999997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6940.9299999999985</v>
      </c>
      <c r="H59" s="99">
        <f>G59+'4'!H59</f>
        <v>24911.899999999994</v>
      </c>
      <c r="I59" s="95">
        <f>G7-G60</f>
        <v>2132.1700000000637</v>
      </c>
      <c r="J59" s="175">
        <f>H59/DAY(B2)</f>
        <v>4982.3799999999992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18467.910000000011</v>
      </c>
      <c r="H60" s="99">
        <f>G60+'4'!H60</f>
        <v>85071.44</v>
      </c>
      <c r="I60" s="95">
        <f>G13-G60</f>
        <v>1586.8399999999892</v>
      </c>
      <c r="J60" s="175">
        <f>H60/DAY(B2)</f>
        <v>17014.288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'4'!F62</f>
        <v>269867</v>
      </c>
      <c r="F62" s="122">
        <v>270003</v>
      </c>
      <c r="G62" s="112">
        <f t="shared" ref="G62:G63" si="5">F62-E62</f>
        <v>136</v>
      </c>
      <c r="H62" s="99">
        <f>G62+'4'!H62</f>
        <v>487</v>
      </c>
      <c r="I62" s="118"/>
      <c r="J62" s="175">
        <f>H62/DAY(B2)</f>
        <v>97.4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'4'!F63</f>
        <v>216356</v>
      </c>
      <c r="F63" s="122">
        <v>216484</v>
      </c>
      <c r="G63" s="112">
        <f t="shared" si="5"/>
        <v>128</v>
      </c>
      <c r="H63" s="99">
        <f>G63+'4'!H63</f>
        <v>687</v>
      </c>
      <c r="I63" s="118"/>
      <c r="J63" s="175">
        <f>H63/DAY(B2)</f>
        <v>137.4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'4'!F64</f>
        <v>0</v>
      </c>
      <c r="F64" s="122"/>
      <c r="G64" s="112">
        <f>G62+G63</f>
        <v>264</v>
      </c>
      <c r="H64" s="99">
        <f>G64+'4'!H64</f>
        <v>1174</v>
      </c>
      <c r="I64" s="118"/>
      <c r="J64" s="175">
        <f>H64/DAY(B2)</f>
        <v>234.8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'4'!F65</f>
        <v>435246</v>
      </c>
      <c r="F65" s="122">
        <v>435346</v>
      </c>
      <c r="G65" s="112">
        <f t="shared" ref="G65:G70" si="6">F65-E65</f>
        <v>100</v>
      </c>
      <c r="H65" s="99">
        <f>G65+'4'!H65</f>
        <v>423</v>
      </c>
      <c r="I65" s="118"/>
      <c r="J65" s="175">
        <f>H65/DAY(B2)</f>
        <v>84.6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'4'!F66</f>
        <v>107832</v>
      </c>
      <c r="F66" s="122">
        <v>107880</v>
      </c>
      <c r="G66" s="112">
        <f t="shared" si="6"/>
        <v>48</v>
      </c>
      <c r="H66" s="99">
        <f>G66+'4'!H66</f>
        <v>137</v>
      </c>
      <c r="I66" s="118"/>
      <c r="J66" s="175">
        <f>H66/DAY(B2)</f>
        <v>27.4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'4'!F67</f>
        <v>104727</v>
      </c>
      <c r="F67" s="122">
        <v>104753</v>
      </c>
      <c r="G67" s="112">
        <f t="shared" si="6"/>
        <v>26</v>
      </c>
      <c r="H67" s="99">
        <f>G67+'4'!H67</f>
        <v>105</v>
      </c>
      <c r="I67" s="118"/>
      <c r="J67" s="175">
        <f>H67/DAY(B2)</f>
        <v>21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'4'!F68</f>
        <v>157822</v>
      </c>
      <c r="F68" s="122">
        <v>157855</v>
      </c>
      <c r="G68" s="112">
        <f t="shared" si="6"/>
        <v>33</v>
      </c>
      <c r="H68" s="99">
        <f>G68+'4'!H68</f>
        <v>158</v>
      </c>
      <c r="I68" s="118"/>
      <c r="J68" s="175">
        <f>H68/DAY(B2)</f>
        <v>31.6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'4'!F69</f>
        <v>10585</v>
      </c>
      <c r="F69" s="122">
        <v>10593</v>
      </c>
      <c r="G69" s="112">
        <f t="shared" si="6"/>
        <v>8</v>
      </c>
      <c r="H69" s="99">
        <f>G69+'4'!H69</f>
        <v>52</v>
      </c>
      <c r="I69" s="118"/>
      <c r="J69" s="175">
        <f>H69/DAY(B2)</f>
        <v>10.4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'4'!F70</f>
        <v>8156</v>
      </c>
      <c r="F70" s="122">
        <v>8165</v>
      </c>
      <c r="G70" s="112">
        <f t="shared" si="6"/>
        <v>9</v>
      </c>
      <c r="H70" s="99">
        <f>G70+'4'!H70</f>
        <v>45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224</v>
      </c>
      <c r="H71" s="99">
        <f>G71+'4'!H71</f>
        <v>920</v>
      </c>
      <c r="I71" s="154"/>
      <c r="J71" s="175">
        <f>H71/DAY(B2)</f>
        <v>184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'4'!F74</f>
        <v>902539.3</v>
      </c>
      <c r="F74" s="123">
        <v>902824.04</v>
      </c>
      <c r="G74" s="112">
        <f t="shared" ref="G74:G78" si="7">F74-E74</f>
        <v>284.73999999999069</v>
      </c>
      <c r="H74" s="99">
        <f>G74+'4'!H74</f>
        <v>1517.8910000000615</v>
      </c>
      <c r="I74" s="154"/>
      <c r="J74" s="175">
        <f>H74/DAY(B2)</f>
        <v>303.57820000001232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'4'!F76</f>
        <v>170454.1</v>
      </c>
      <c r="F76" s="123">
        <v>170588.1</v>
      </c>
      <c r="G76" s="112">
        <f t="shared" si="7"/>
        <v>134</v>
      </c>
      <c r="H76" s="99">
        <f>G76+'4'!H76</f>
        <v>613.10000000000582</v>
      </c>
      <c r="I76" s="154"/>
      <c r="J76" s="175">
        <f>H76/DAY(B2)</f>
        <v>122.62000000000117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'4'!F77</f>
        <v>41475.4</v>
      </c>
      <c r="F77" s="123">
        <v>41535.199999999997</v>
      </c>
      <c r="G77" s="112">
        <f t="shared" si="7"/>
        <v>59.799999999995634</v>
      </c>
      <c r="H77" s="99">
        <f>G77+'4'!H77</f>
        <v>233</v>
      </c>
      <c r="I77" s="154"/>
      <c r="J77" s="175">
        <f>H77/DAY(B2)</f>
        <v>46.6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'4'!F78</f>
        <v>9521.6</v>
      </c>
      <c r="F78" s="123">
        <v>9523.7999999999993</v>
      </c>
      <c r="G78" s="112">
        <f t="shared" si="7"/>
        <v>2.1999999999989086</v>
      </c>
      <c r="H78" s="99">
        <f>G78+'4'!H78</f>
        <v>7.7999999999992724</v>
      </c>
      <c r="I78" s="118"/>
      <c r="J78" s="175">
        <f>H78/DAY(B2)</f>
        <v>1.5599999999998544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117"/>
      <c r="F79" s="117"/>
      <c r="G79" s="112">
        <f>G15-SUM(G74:G78)</f>
        <v>567.1299999998937</v>
      </c>
      <c r="H79" s="99">
        <f>G79+'4'!H79</f>
        <v>2588.0819999998384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1047.8699999998789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'4'!F84</f>
        <v>41675.26</v>
      </c>
      <c r="F84" s="164">
        <v>41675</v>
      </c>
      <c r="G84" s="112">
        <f t="shared" si="8"/>
        <v>-0.26000000000203727</v>
      </c>
      <c r="H84" s="99">
        <f>G84+'4'!H84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v>2300.42</v>
      </c>
      <c r="F85" s="164">
        <v>2300.42</v>
      </c>
      <c r="G85" s="112">
        <f t="shared" si="8"/>
        <v>0</v>
      </c>
      <c r="H85" s="99">
        <f>G85+'4'!H85</f>
        <v>40</v>
      </c>
      <c r="I85" s="118">
        <f>G82+G83+G84+G85</f>
        <v>-0.26000000000203727</v>
      </c>
      <c r="J85" s="175">
        <f>H85/DAY(B2)</f>
        <v>8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'4'!F86</f>
        <v>43498.25</v>
      </c>
      <c r="F86" s="164">
        <v>43522.57</v>
      </c>
      <c r="G86" s="112">
        <f t="shared" si="8"/>
        <v>24.319999999999709</v>
      </c>
      <c r="H86" s="99">
        <f>G86+'4'!H86</f>
        <v>80.569999999999709</v>
      </c>
      <c r="I86" s="118"/>
      <c r="J86" s="175">
        <f>H86/DAY(B2)</f>
        <v>16.11399999999994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'4'!F87</f>
        <v>34599.480000000003</v>
      </c>
      <c r="F87" s="164">
        <v>34599.480000000003</v>
      </c>
      <c r="G87" s="112">
        <f t="shared" si="8"/>
        <v>0</v>
      </c>
      <c r="H87" s="99">
        <f>G87+'4'!H87</f>
        <v>0.98000000000320142</v>
      </c>
      <c r="I87" s="118"/>
      <c r="J87" s="175">
        <f>H87/DAY(B2)</f>
        <v>0.19600000000064027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'4'!F88</f>
        <v>24063.43</v>
      </c>
      <c r="F88" s="164">
        <v>24063.43</v>
      </c>
      <c r="G88" s="112">
        <f t="shared" si="8"/>
        <v>0</v>
      </c>
      <c r="H88" s="99">
        <f>G88+'4'!H88</f>
        <v>0</v>
      </c>
      <c r="I88" s="118">
        <f>G86+G87+G88</f>
        <v>24.319999999999709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'4'!F89</f>
        <v>25929.54</v>
      </c>
      <c r="F89" s="164">
        <v>25939.4</v>
      </c>
      <c r="G89" s="112">
        <f t="shared" si="8"/>
        <v>9.8600000000005821</v>
      </c>
      <c r="H89" s="99">
        <f>G89+'4'!H89</f>
        <v>48.280000000002474</v>
      </c>
      <c r="I89" s="118"/>
      <c r="J89" s="175">
        <f>H89/DAY(B2)</f>
        <v>9.6560000000004944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'4'!F90</f>
        <v>71167.94</v>
      </c>
      <c r="F90" s="164">
        <v>71171.600000000006</v>
      </c>
      <c r="G90" s="112">
        <f t="shared" si="8"/>
        <v>3.6600000000034925</v>
      </c>
      <c r="H90" s="99">
        <f>G90+'4'!H90</f>
        <v>8.2799999999988358</v>
      </c>
      <c r="I90" s="118">
        <f>G89+G90</f>
        <v>13.520000000004075</v>
      </c>
      <c r="J90" s="175">
        <f>H90/DAY(B2)</f>
        <v>1.6559999999997672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'4'!F91</f>
        <v>3296.79</v>
      </c>
      <c r="F91" s="122">
        <v>3307.41</v>
      </c>
      <c r="G91" s="112">
        <f t="shared" si="8"/>
        <v>10.619999999999891</v>
      </c>
      <c r="H91" s="99">
        <f>G91+'4'!H91</f>
        <v>56.319999999999709</v>
      </c>
      <c r="I91" s="165"/>
      <c r="J91" s="175">
        <f>H91/DAY(B2)</f>
        <v>11.263999999999943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'4'!F92</f>
        <v>5741.07</v>
      </c>
      <c r="F92" s="122">
        <v>5741.07</v>
      </c>
      <c r="G92" s="112">
        <f t="shared" si="8"/>
        <v>0</v>
      </c>
      <c r="H92" s="99">
        <f>G92+'4'!H92</f>
        <v>0</v>
      </c>
      <c r="I92" s="165"/>
      <c r="J92" s="175">
        <f>H92/DAY(B2)</f>
        <v>0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5126.7600000000057</v>
      </c>
      <c r="H94" s="99">
        <f>G94+'4'!H94</f>
        <v>23456.879999999997</v>
      </c>
      <c r="I94" s="118"/>
      <c r="J94" s="175">
        <f>H94/DAY(B2)</f>
        <v>4691.3759999999993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0.24887087817134629</v>
      </c>
      <c r="H95" s="99">
        <f>G95+'4'!H95</f>
        <v>1.254101974624205</v>
      </c>
      <c r="I95" s="167"/>
      <c r="J95" s="175">
        <f>H95/DAY(B2)</f>
        <v>0.25082039492484098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3196.3899999999994</v>
      </c>
      <c r="H96" s="99">
        <f>G96+'4'!H96</f>
        <v>16955.189999999988</v>
      </c>
      <c r="I96" s="118"/>
      <c r="J96" s="175">
        <f>H96/DAY(B2)</f>
        <v>3391.0379999999977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0.15516396052830803</v>
      </c>
      <c r="H97" s="99">
        <f>G97+'4'!H97</f>
        <v>0.91347949655101146</v>
      </c>
      <c r="I97" s="167"/>
      <c r="J97" s="175">
        <f>H97/DAY(B2)</f>
        <v>0.1826958993102023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2758.0200000000041</v>
      </c>
      <c r="H98" s="99">
        <f>G98+'4'!H98</f>
        <v>13304.370000000003</v>
      </c>
      <c r="I98" s="168"/>
      <c r="J98" s="175">
        <f>H98/DAY(B2)</f>
        <v>2660.8740000000007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0.13388394608176249</v>
      </c>
      <c r="H99" s="99">
        <f>G99+'4'!H99</f>
        <v>0.7134658589531333</v>
      </c>
      <c r="I99" s="168"/>
      <c r="J99" s="175">
        <f>H99/DAY(B2)</f>
        <v>0.14269317179062666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1939.4400000000023</v>
      </c>
      <c r="H100" s="99">
        <f>G100+'4'!H100</f>
        <v>8845.1200000000026</v>
      </c>
      <c r="I100" s="118"/>
      <c r="J100" s="175">
        <f>H100/DAY(B2)</f>
        <v>1769.0240000000006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9.4147207195311639E-2</v>
      </c>
      <c r="H101" s="99">
        <f>G101+'4'!H101</f>
        <v>0.47347412837638103</v>
      </c>
      <c r="I101" s="168"/>
      <c r="J101" s="175">
        <f>H101/DAY(B2)</f>
        <v>9.4694825675276206E-2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2880.010000000002</v>
      </c>
      <c r="H102" s="99">
        <f>G102+'4'!H102</f>
        <v>10346.100000000006</v>
      </c>
      <c r="I102" s="168"/>
      <c r="J102" s="175">
        <f>H102/DAY(B2)</f>
        <v>2069.2200000000012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0.13980576774459089</v>
      </c>
      <c r="H103" s="99">
        <f>G103+'4'!H103</f>
        <v>0.54904886674941755</v>
      </c>
      <c r="I103" s="118"/>
      <c r="J103" s="175">
        <f>H103/DAY(B2)</f>
        <v>0.10980977334988351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1683.9199999999983</v>
      </c>
      <c r="H104" s="99">
        <f>G104+'4'!H104</f>
        <v>7951.3400000000038</v>
      </c>
      <c r="I104" s="118"/>
      <c r="J104" s="175">
        <f>H104/DAY(B2)</f>
        <v>1590.2680000000007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8.1743371870400122E-2</v>
      </c>
      <c r="H105" s="99">
        <f>G105+'4'!H105</f>
        <v>0.42619855768711745</v>
      </c>
      <c r="I105" s="187"/>
      <c r="J105" s="188">
        <f>H105/DAY(B2)</f>
        <v>8.523971153742349E-2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'4'!F112</f>
        <v>58364.27</v>
      </c>
      <c r="F112" s="237">
        <v>58439.43</v>
      </c>
      <c r="G112" s="112">
        <f t="shared" ref="G112:G123" si="9">F112-E112</f>
        <v>75.160000000003492</v>
      </c>
      <c r="H112" s="99">
        <f>G112+'4'!H112</f>
        <v>385.43000000000029</v>
      </c>
      <c r="I112" s="165"/>
      <c r="J112" s="328">
        <f>H112/DAY(B2)</f>
        <v>77.086000000000055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'4'!F113</f>
        <v>48292.28</v>
      </c>
      <c r="F113" s="237">
        <v>48780.38</v>
      </c>
      <c r="G113" s="112">
        <f t="shared" si="9"/>
        <v>488.09999999999854</v>
      </c>
      <c r="H113" s="99">
        <f>G113+'4'!H113</f>
        <v>2379.489999999998</v>
      </c>
      <c r="I113" s="165"/>
      <c r="J113" s="328">
        <f>H113/DAY(B2)</f>
        <v>475.89799999999957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'4'!F114</f>
        <v>34275.480000000003</v>
      </c>
      <c r="F114" s="237">
        <v>34677.629999999997</v>
      </c>
      <c r="G114" s="112">
        <f t="shared" si="9"/>
        <v>402.14999999999418</v>
      </c>
      <c r="H114" s="99">
        <f>G114+'4'!H114</f>
        <v>1517.6299999999974</v>
      </c>
      <c r="I114" s="165"/>
      <c r="J114" s="328">
        <f>H114/DAY(B2)</f>
        <v>303.5259999999995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'4'!F115</f>
        <v>9136.58</v>
      </c>
      <c r="F115" s="237">
        <v>9148.2199999999993</v>
      </c>
      <c r="G115" s="112">
        <f t="shared" si="9"/>
        <v>11.639999999999418</v>
      </c>
      <c r="H115" s="99">
        <f>G115+'4'!H115</f>
        <v>53.569999999999709</v>
      </c>
      <c r="I115" s="165"/>
      <c r="J115" s="328">
        <f>H115/DAY(B2)</f>
        <v>10.713999999999942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'4'!F116</f>
        <v>8.07</v>
      </c>
      <c r="F116" s="237">
        <v>35.35</v>
      </c>
      <c r="G116" s="112">
        <f t="shared" si="9"/>
        <v>27.28</v>
      </c>
      <c r="H116" s="99">
        <f>G116+'4'!H116</f>
        <v>35.35</v>
      </c>
      <c r="I116" s="165"/>
      <c r="J116" s="328">
        <f>H116/DAY(B2)</f>
        <v>7.07</v>
      </c>
      <c r="Q116" s="936"/>
      <c r="R116" s="936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'4'!F117</f>
        <v>3493.03</v>
      </c>
      <c r="F117" s="237">
        <v>3602.21</v>
      </c>
      <c r="G117" s="112">
        <f t="shared" si="9"/>
        <v>109.17999999999984</v>
      </c>
      <c r="H117" s="99">
        <f>G117+'4'!H117</f>
        <v>264.26000000000022</v>
      </c>
      <c r="I117" s="165"/>
      <c r="J117" s="328">
        <f>H117/DAY(B2)</f>
        <v>52.852000000000046</v>
      </c>
      <c r="Q117" s="936"/>
      <c r="R117" s="936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'4'!F118</f>
        <v>253754.53</v>
      </c>
      <c r="F118" s="237">
        <v>254096.07</v>
      </c>
      <c r="G118" s="112">
        <f t="shared" si="9"/>
        <v>341.54000000000815</v>
      </c>
      <c r="H118" s="99">
        <f>G118+'4'!H118</f>
        <v>1643.7600000000093</v>
      </c>
      <c r="I118" s="165"/>
      <c r="J118" s="328">
        <f>H118/DAY(B2)</f>
        <v>328.75200000000189</v>
      </c>
      <c r="Q118" s="936"/>
      <c r="R118" s="936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'4'!F119</f>
        <v>259841.67</v>
      </c>
      <c r="F119" s="237">
        <v>260228.75</v>
      </c>
      <c r="G119" s="112">
        <f t="shared" si="9"/>
        <v>387.07999999998719</v>
      </c>
      <c r="H119" s="99">
        <f>G119+'4'!H119</f>
        <v>2080.2000000000116</v>
      </c>
      <c r="I119" s="165"/>
      <c r="J119" s="328">
        <f>H119/DAY(B2)</f>
        <v>416.04000000000235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'4'!F120</f>
        <v>44652.31</v>
      </c>
      <c r="F120" s="597">
        <v>45062.18</v>
      </c>
      <c r="G120" s="112">
        <f t="shared" si="9"/>
        <v>409.87000000000262</v>
      </c>
      <c r="H120" s="99">
        <f>G120+'4'!H120</f>
        <v>2102.5699999999997</v>
      </c>
      <c r="I120" s="165"/>
      <c r="J120" s="328">
        <f>H120/DAY(B2)</f>
        <v>420.51399999999995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'4'!F121</f>
        <v>400923.31</v>
      </c>
      <c r="F121" s="237">
        <v>401644.07</v>
      </c>
      <c r="G121" s="112">
        <f t="shared" si="9"/>
        <v>720.76000000000931</v>
      </c>
      <c r="H121" s="99">
        <f>G121+'4'!H121</f>
        <v>3609.640000000014</v>
      </c>
      <c r="I121" s="165"/>
      <c r="J121" s="328">
        <f>H121/DAY(B2)</f>
        <v>721.92800000000284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'4'!F122</f>
        <v>127109.16</v>
      </c>
      <c r="F122" s="237">
        <v>127368.49</v>
      </c>
      <c r="G122" s="112">
        <f t="shared" si="9"/>
        <v>259.33000000000175</v>
      </c>
      <c r="H122" s="99">
        <f>G122+'4'!H122</f>
        <v>1182.3100000000122</v>
      </c>
      <c r="I122" s="165"/>
      <c r="J122" s="328">
        <f>H122/DAY(B2)</f>
        <v>236.46200000000243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'4'!F123</f>
        <v>155081.57999999999</v>
      </c>
      <c r="F123" s="237">
        <v>155329.91</v>
      </c>
      <c r="G123" s="112">
        <f t="shared" si="9"/>
        <v>248.3300000000163</v>
      </c>
      <c r="H123" s="99">
        <f>G123+'4'!H123</f>
        <v>1282.9599999999919</v>
      </c>
      <c r="I123" s="165"/>
      <c r="J123" s="328">
        <f>H123/DAY(B2)</f>
        <v>256.59199999999839</v>
      </c>
    </row>
    <row r="124" spans="1:18" ht="29.25" customHeight="1" x14ac:dyDescent="0.5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31" t="s">
        <v>196</v>
      </c>
      <c r="B125" s="931"/>
      <c r="C125" s="245"/>
      <c r="D125" s="307"/>
      <c r="E125" s="308"/>
      <c r="F125" s="308"/>
      <c r="G125" s="309">
        <f>SUM(G112:G124)</f>
        <v>3480.420000000021</v>
      </c>
      <c r="H125" s="156"/>
      <c r="I125" s="327">
        <f>G125-(G39+G53)</f>
        <v>722.40000000001692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469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'4'!F128</f>
        <v>48986.97</v>
      </c>
      <c r="F128" s="470">
        <v>49284.85</v>
      </c>
      <c r="G128" s="112">
        <f t="shared" ref="G128:G134" si="10">F128-E128</f>
        <v>297.87999999999738</v>
      </c>
      <c r="H128" s="99">
        <f>G128+'4'!H128</f>
        <v>1538.8499999999985</v>
      </c>
      <c r="I128" s="165"/>
      <c r="J128" s="328">
        <f>H128/DAY(B2)</f>
        <v>307.7699999999997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'4'!F129</f>
        <v>27721.45</v>
      </c>
      <c r="F129" s="470">
        <v>27911.360000000001</v>
      </c>
      <c r="G129" s="112">
        <f t="shared" si="10"/>
        <v>189.90999999999985</v>
      </c>
      <c r="H129" s="99">
        <f>G129+'4'!H129</f>
        <v>1000.4900000000016</v>
      </c>
      <c r="I129" s="165"/>
      <c r="J129" s="328">
        <f>H129/DAY(B2)</f>
        <v>200.09800000000033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'4'!F130</f>
        <v>37892.42</v>
      </c>
      <c r="F130" s="470">
        <v>38457.519999999997</v>
      </c>
      <c r="G130" s="112">
        <f t="shared" si="10"/>
        <v>565.09999999999854</v>
      </c>
      <c r="H130" s="99">
        <f>G130+'4'!H130</f>
        <v>2763.5199999999968</v>
      </c>
      <c r="I130" s="165"/>
      <c r="J130" s="328">
        <f>H130/DAY(B2)</f>
        <v>552.70399999999938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'4'!F131</f>
        <v>15574.9</v>
      </c>
      <c r="F131" s="470">
        <v>15640.69</v>
      </c>
      <c r="G131" s="112">
        <f t="shared" si="10"/>
        <v>65.790000000000873</v>
      </c>
      <c r="H131" s="99">
        <f>G131+'4'!H131</f>
        <v>333.01000000000022</v>
      </c>
      <c r="I131" s="165"/>
      <c r="J131" s="328">
        <f>H131/DAY(B2)</f>
        <v>66.602000000000046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'4'!F132</f>
        <v>52796.45</v>
      </c>
      <c r="F132" s="470">
        <v>53236.79</v>
      </c>
      <c r="G132" s="112">
        <f t="shared" si="10"/>
        <v>440.34000000000378</v>
      </c>
      <c r="H132" s="99">
        <f>G132+'4'!H132</f>
        <v>1388.489999999998</v>
      </c>
      <c r="I132" s="165"/>
      <c r="J132" s="328">
        <f>H132/DAY(B2)</f>
        <v>277.69799999999958</v>
      </c>
    </row>
    <row r="133" spans="1:15" ht="27.75" x14ac:dyDescent="0.5">
      <c r="A133" s="863" t="s">
        <v>323</v>
      </c>
      <c r="B133" s="864"/>
      <c r="C133" s="865"/>
      <c r="D133" s="151" t="s">
        <v>183</v>
      </c>
      <c r="E133" s="95">
        <f>'4'!F133</f>
        <v>107660.29</v>
      </c>
      <c r="F133" s="470">
        <v>108353.26</v>
      </c>
      <c r="G133" s="112">
        <f t="shared" si="10"/>
        <v>692.97000000000116</v>
      </c>
      <c r="H133" s="99">
        <f>G133+'4'!H133</f>
        <v>3009.5599999999977</v>
      </c>
      <c r="I133" s="165"/>
      <c r="J133" s="328">
        <f>H133/DAY(B2)</f>
        <v>601.91199999999958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'4'!F134</f>
        <v>9228.06</v>
      </c>
      <c r="F134" s="470">
        <v>9426.16</v>
      </c>
      <c r="G134" s="112">
        <f t="shared" si="10"/>
        <v>198.10000000000036</v>
      </c>
      <c r="H134" s="99">
        <f>G134+'4'!H134</f>
        <v>824.93000000000029</v>
      </c>
      <c r="I134" s="165"/>
      <c r="J134" s="328">
        <f>H134/DAY(B2)</f>
        <v>164.98600000000005</v>
      </c>
    </row>
    <row r="135" spans="1:15" ht="27.75" x14ac:dyDescent="0.5">
      <c r="A135" s="931" t="s">
        <v>196</v>
      </c>
      <c r="B135" s="931"/>
      <c r="C135" s="331"/>
      <c r="D135" s="151"/>
      <c r="E135" s="95"/>
      <c r="F135" s="165"/>
      <c r="G135" s="112">
        <f>SUM(G128:G134)</f>
        <v>2450.090000000002</v>
      </c>
      <c r="H135" s="99">
        <f>G135+'4'!H135</f>
        <v>10858.849999999993</v>
      </c>
      <c r="I135" s="327">
        <f>G135-(G35+G49)</f>
        <v>-438.9099999999944</v>
      </c>
      <c r="J135" s="328">
        <f>H135/DAY(B2)</f>
        <v>2171.7699999999986</v>
      </c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'4'!F138</f>
        <v>866473</v>
      </c>
      <c r="F138" s="147">
        <v>866570</v>
      </c>
      <c r="G138" s="112">
        <f t="shared" ref="G138:G152" si="11">F138-E138</f>
        <v>97</v>
      </c>
      <c r="H138" s="99">
        <f>G138+'4'!H138</f>
        <v>397</v>
      </c>
      <c r="I138" s="118"/>
      <c r="J138" s="328">
        <f>H138/DAY(B2)</f>
        <v>79.400000000000006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'4'!F139</f>
        <v>886580</v>
      </c>
      <c r="F139" s="148">
        <v>886591</v>
      </c>
      <c r="G139" s="112">
        <f t="shared" si="11"/>
        <v>11</v>
      </c>
      <c r="H139" s="99">
        <f>G139+'4'!H139</f>
        <v>18</v>
      </c>
      <c r="I139" s="118"/>
      <c r="J139" s="328">
        <f>H139/DAY(B2)</f>
        <v>3.6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'4'!F140</f>
        <v>88935</v>
      </c>
      <c r="F140" s="149">
        <v>88936.2</v>
      </c>
      <c r="G140" s="112">
        <f t="shared" si="11"/>
        <v>1.1999999999970896</v>
      </c>
      <c r="H140" s="99">
        <f>G140+'4'!H140</f>
        <v>14.19999999999709</v>
      </c>
      <c r="I140" s="118"/>
      <c r="J140" s="328">
        <f>H140/DAY(B2)</f>
        <v>2.8399999999994181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'4'!F141</f>
        <v>55375.06</v>
      </c>
      <c r="F141" s="149">
        <v>55561.56</v>
      </c>
      <c r="G141" s="112">
        <f t="shared" si="11"/>
        <v>186.5</v>
      </c>
      <c r="H141" s="99">
        <f>G141+'4'!H141</f>
        <v>875.97999999999593</v>
      </c>
      <c r="I141" s="118"/>
      <c r="J141" s="328">
        <f>H141/DAY(B2)</f>
        <v>175.19599999999917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'4'!F142</f>
        <v>21557.87</v>
      </c>
      <c r="F142" s="148">
        <v>21626.13</v>
      </c>
      <c r="G142" s="112">
        <f t="shared" si="11"/>
        <v>68.260000000002037</v>
      </c>
      <c r="H142" s="99">
        <f>G142+'4'!H142</f>
        <v>342.03000000000247</v>
      </c>
      <c r="I142" s="140"/>
      <c r="J142" s="328">
        <f>H142/DAY(B2)</f>
        <v>68.406000000000489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'4'!F143</f>
        <v>3943.49</v>
      </c>
      <c r="F143" s="149">
        <v>3971.3</v>
      </c>
      <c r="G143" s="112">
        <f t="shared" si="11"/>
        <v>27.8100000000004</v>
      </c>
      <c r="H143" s="99">
        <f>G143+'4'!H143</f>
        <v>135.91000000000031</v>
      </c>
      <c r="I143" s="140"/>
      <c r="J143" s="328">
        <f>H143/DAY(B2)</f>
        <v>27.182000000000063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'4'!F144</f>
        <v>877315</v>
      </c>
      <c r="F144" s="149">
        <v>877528</v>
      </c>
      <c r="G144" s="112">
        <f t="shared" si="11"/>
        <v>213</v>
      </c>
      <c r="H144" s="99">
        <f>G144+'4'!H144</f>
        <v>1041</v>
      </c>
      <c r="I144" s="140"/>
      <c r="J144" s="328">
        <f>H144/DAY(B2)</f>
        <v>208.2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'4'!F145</f>
        <v>5014.8100000000004</v>
      </c>
      <c r="F145" s="149">
        <v>5023.07</v>
      </c>
      <c r="G145" s="112">
        <f t="shared" si="11"/>
        <v>8.2599999999993088</v>
      </c>
      <c r="H145" s="99">
        <f>G145+'4'!H145</f>
        <v>64.229999999999563</v>
      </c>
      <c r="I145" s="140"/>
      <c r="J145" s="328">
        <f>H145/DAY(B2)</f>
        <v>12.845999999999913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'4'!F146</f>
        <v>738917</v>
      </c>
      <c r="F146" s="148">
        <v>739367</v>
      </c>
      <c r="G146" s="112">
        <f t="shared" si="11"/>
        <v>450</v>
      </c>
      <c r="H146" s="99">
        <f>G146+'4'!H146</f>
        <v>2034</v>
      </c>
      <c r="I146" s="140"/>
      <c r="J146" s="328">
        <f>H146/DAY(B2)</f>
        <v>406.8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'4'!F147</f>
        <v>628152.43999999994</v>
      </c>
      <c r="F147" s="148">
        <v>628567</v>
      </c>
      <c r="G147" s="112">
        <f t="shared" si="11"/>
        <v>414.56000000005588</v>
      </c>
      <c r="H147" s="99">
        <f>G147+'4'!H147</f>
        <v>1954.4799999999814</v>
      </c>
      <c r="I147" s="140"/>
      <c r="J147" s="328">
        <f>H147/DAY(B2)</f>
        <v>390.89599999999626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'4'!F148</f>
        <v>690458.32</v>
      </c>
      <c r="F148" s="150">
        <v>690843.76</v>
      </c>
      <c r="G148" s="112">
        <f t="shared" si="11"/>
        <v>385.44000000006054</v>
      </c>
      <c r="H148" s="99">
        <f>G148+'4'!H148</f>
        <v>1400.8000000000466</v>
      </c>
      <c r="I148" s="124"/>
      <c r="J148" s="328">
        <f>H148/DAY(B2)</f>
        <v>280.16000000000929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'4'!F149</f>
        <v>26424.38</v>
      </c>
      <c r="F149" s="146">
        <v>26992.48</v>
      </c>
      <c r="G149" s="112">
        <f t="shared" si="11"/>
        <v>568.09999999999854</v>
      </c>
      <c r="H149" s="99">
        <f>G149+'4'!H149</f>
        <v>2314.2799999999988</v>
      </c>
      <c r="I149" s="119"/>
      <c r="J149" s="328">
        <f>H149/DAY(B2)</f>
        <v>462.85599999999977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'4'!F150</f>
        <v>11732.86</v>
      </c>
      <c r="F150" s="233">
        <v>11954.23</v>
      </c>
      <c r="G150" s="112">
        <f t="shared" si="11"/>
        <v>221.36999999999898</v>
      </c>
      <c r="H150" s="99">
        <f>G150+'4'!H150</f>
        <v>1103.3999999999996</v>
      </c>
      <c r="I150" s="119"/>
      <c r="J150" s="328">
        <f>H150/DAY(B2)</f>
        <v>220.67999999999992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'4'!F151</f>
        <v>86473</v>
      </c>
      <c r="F151" s="233">
        <v>86728</v>
      </c>
      <c r="G151" s="112">
        <f t="shared" si="11"/>
        <v>255</v>
      </c>
      <c r="H151" s="99">
        <f>G151+'4'!H151</f>
        <v>1248</v>
      </c>
      <c r="I151" s="119"/>
      <c r="J151" s="328">
        <f>H151/DAY(B2)</f>
        <v>249.6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'4'!F152</f>
        <v>1838.73</v>
      </c>
      <c r="F152" s="233">
        <v>1877.92</v>
      </c>
      <c r="G152" s="112">
        <f t="shared" si="11"/>
        <v>39.190000000000055</v>
      </c>
      <c r="H152" s="99">
        <f>G152+'4'!H152</f>
        <v>217.92000000000007</v>
      </c>
      <c r="I152" s="119"/>
      <c r="J152" s="328">
        <f>H152/DAY(B2)</f>
        <v>43.584000000000017</v>
      </c>
    </row>
    <row r="153" spans="1:10" ht="27.75" x14ac:dyDescent="0.5">
      <c r="A153" s="931" t="s">
        <v>196</v>
      </c>
      <c r="B153" s="931"/>
      <c r="C153" s="365"/>
      <c r="D153" s="358"/>
      <c r="E153" s="360"/>
      <c r="F153" s="361"/>
      <c r="G153" s="362">
        <f>SUM(G138:G152)</f>
        <v>2946.6900000001128</v>
      </c>
      <c r="H153" s="363"/>
      <c r="I153" s="119">
        <f>G153-(G38+G52)</f>
        <v>1007.2500000001105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'4'!F155</f>
        <v>35016.379999999997</v>
      </c>
      <c r="F155" s="374">
        <v>35756.65</v>
      </c>
      <c r="G155" s="112">
        <f t="shared" ref="G155:G158" si="12">F155-E155</f>
        <v>740.27000000000407</v>
      </c>
      <c r="H155" s="99">
        <f>G155+'4'!H155</f>
        <v>2811.6500000000015</v>
      </c>
      <c r="I155" s="364"/>
      <c r="J155" s="328">
        <f>H155/DAY(B2)</f>
        <v>562.33000000000027</v>
      </c>
    </row>
    <row r="156" spans="1:10" ht="27.75" x14ac:dyDescent="0.5">
      <c r="A156" s="843" t="s">
        <v>346</v>
      </c>
      <c r="B156" s="843"/>
      <c r="C156" s="843"/>
      <c r="D156" s="117" t="s">
        <v>130</v>
      </c>
      <c r="E156" s="95">
        <f>'4'!F156</f>
        <v>2940.61</v>
      </c>
      <c r="F156" s="155">
        <v>2992.7</v>
      </c>
      <c r="G156" s="112">
        <f t="shared" si="12"/>
        <v>52.089999999999691</v>
      </c>
      <c r="H156" s="99">
        <f>G156+'4'!H156</f>
        <v>204.69999999999982</v>
      </c>
      <c r="I156" s="165"/>
      <c r="J156" s="328">
        <f>H156/DAY(B2)</f>
        <v>40.939999999999962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>
        <f>'4'!F157</f>
        <v>4365.28</v>
      </c>
      <c r="F157" s="155">
        <v>4471.08</v>
      </c>
      <c r="G157" s="112">
        <f t="shared" si="12"/>
        <v>105.80000000000018</v>
      </c>
      <c r="H157" s="99">
        <f>G157+'4'!H157</f>
        <v>188.78999999999996</v>
      </c>
      <c r="I157" s="165"/>
      <c r="J157" s="328">
        <f>H157/DAY(B2)</f>
        <v>37.757999999999996</v>
      </c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>
        <f>'4'!F158</f>
        <v>61.82</v>
      </c>
      <c r="F158" s="155">
        <v>62.17</v>
      </c>
      <c r="G158" s="112">
        <f t="shared" si="12"/>
        <v>0.35000000000000142</v>
      </c>
      <c r="H158" s="99">
        <f>G158+'4'!H158</f>
        <v>1.2700000000000031</v>
      </c>
      <c r="I158" s="165"/>
      <c r="J158" s="328">
        <f>H158/DAY(B2)</f>
        <v>0.25400000000000061</v>
      </c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'4'!F161</f>
        <v>472265.48</v>
      </c>
      <c r="F161" s="235">
        <v>472322</v>
      </c>
      <c r="G161" s="238">
        <f t="shared" ref="G161:G165" si="13">F161-E161</f>
        <v>56.520000000018626</v>
      </c>
      <c r="H161" s="99">
        <f>G161+'4'!H161</f>
        <v>268.44000000000233</v>
      </c>
      <c r="I161" s="236"/>
      <c r="J161" s="239">
        <f>H161/DAY(B2)</f>
        <v>53.688000000000464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'4'!F162</f>
        <v>88670.3</v>
      </c>
      <c r="F162" s="235">
        <v>88704.2</v>
      </c>
      <c r="G162" s="238">
        <f t="shared" si="13"/>
        <v>33.899999999994179</v>
      </c>
      <c r="H162" s="99">
        <f>G162+'4'!H162</f>
        <v>187.80000000000291</v>
      </c>
      <c r="I162" s="236"/>
      <c r="J162" s="239">
        <f>H162/DAY(B2)</f>
        <v>37.560000000000585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'4'!F163</f>
        <v>79351.7</v>
      </c>
      <c r="F163" s="235">
        <v>79385.2</v>
      </c>
      <c r="G163" s="238">
        <f t="shared" si="13"/>
        <v>33.5</v>
      </c>
      <c r="H163" s="99">
        <f>G163+'4'!H163</f>
        <v>165.09999999999127</v>
      </c>
      <c r="I163" s="236"/>
      <c r="J163" s="239">
        <f>H163/DAY(B2)</f>
        <v>33.019999999998255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'4'!F164</f>
        <v>4323.7</v>
      </c>
      <c r="F164" s="235">
        <v>4323.7</v>
      </c>
      <c r="G164" s="238">
        <f t="shared" si="13"/>
        <v>0</v>
      </c>
      <c r="H164" s="99">
        <f>G164+'4'!H164</f>
        <v>3.6999999999998181</v>
      </c>
      <c r="I164" s="236"/>
      <c r="J164" s="239">
        <f>H164/DAY(B2)</f>
        <v>0.73999999999996358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'4'!F165</f>
        <v>29893.83</v>
      </c>
      <c r="F165" s="235">
        <v>29900.66</v>
      </c>
      <c r="G165" s="238">
        <f t="shared" si="13"/>
        <v>6.8299999999981083</v>
      </c>
      <c r="H165" s="99">
        <f>G165+'4'!H165</f>
        <v>43.409999999999854</v>
      </c>
      <c r="I165" s="236"/>
      <c r="J165" s="239">
        <f>H165/DAY(B2)</f>
        <v>8.6819999999999702</v>
      </c>
    </row>
    <row r="166" spans="1:10" ht="29.25" x14ac:dyDescent="0.5">
      <c r="A166" s="852"/>
      <c r="B166" s="852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9.25" x14ac:dyDescent="0.5">
      <c r="A167" s="852"/>
      <c r="B167" s="852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9.25" x14ac:dyDescent="0.5">
      <c r="A168" s="852"/>
      <c r="B168" s="852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932"/>
      <c r="B172" s="932"/>
      <c r="C172" s="472"/>
      <c r="D172" s="155"/>
      <c r="E172" s="155"/>
      <c r="F172" s="155"/>
      <c r="G172" s="155"/>
      <c r="H172" s="156"/>
      <c r="I172" s="155"/>
      <c r="J172" s="156"/>
    </row>
    <row r="173" spans="1:10" ht="27.75" x14ac:dyDescent="0.5">
      <c r="A173" s="930" t="s">
        <v>209</v>
      </c>
      <c r="B173" s="930"/>
      <c r="C173" s="333"/>
      <c r="D173" s="155" t="s">
        <v>142</v>
      </c>
      <c r="E173" s="95">
        <f>'4'!F173</f>
        <v>8126</v>
      </c>
      <c r="F173" s="155">
        <v>8126</v>
      </c>
      <c r="G173" s="155">
        <f>F173-E173</f>
        <v>0</v>
      </c>
      <c r="H173" s="99">
        <f>G173+'4'!H173</f>
        <v>0</v>
      </c>
      <c r="I173" s="155"/>
      <c r="J173" s="156">
        <f>H173/DAY(B2)</f>
        <v>0</v>
      </c>
    </row>
    <row r="174" spans="1:10" ht="27.75" x14ac:dyDescent="0.5">
      <c r="A174" s="930" t="s">
        <v>75</v>
      </c>
      <c r="B174" s="930"/>
      <c r="C174" s="333"/>
      <c r="D174" s="155" t="s">
        <v>142</v>
      </c>
      <c r="E174" s="95">
        <f>'4'!F174</f>
        <v>38661</v>
      </c>
      <c r="F174" s="157">
        <v>38676</v>
      </c>
      <c r="G174" s="155">
        <f t="shared" ref="G174:G175" si="14">F174-E174</f>
        <v>15</v>
      </c>
      <c r="H174" s="99">
        <f>G174+'4'!H174</f>
        <v>61</v>
      </c>
      <c r="I174" s="155"/>
      <c r="J174" s="156">
        <f>H174/DAY(B2)</f>
        <v>12.2</v>
      </c>
    </row>
    <row r="175" spans="1:10" ht="27.75" x14ac:dyDescent="0.5">
      <c r="A175" s="930" t="s">
        <v>76</v>
      </c>
      <c r="B175" s="930"/>
      <c r="C175" s="930"/>
      <c r="D175" s="155" t="s">
        <v>142</v>
      </c>
      <c r="E175" s="95">
        <f>'4'!F175</f>
        <v>21851</v>
      </c>
      <c r="F175" s="157">
        <v>21862</v>
      </c>
      <c r="G175" s="155">
        <f t="shared" si="14"/>
        <v>11</v>
      </c>
      <c r="H175" s="99">
        <f>G175+'4'!H175</f>
        <v>49</v>
      </c>
      <c r="I175" s="155"/>
      <c r="J175" s="156">
        <f>H175/DAY(B2)</f>
        <v>9.8000000000000007</v>
      </c>
    </row>
    <row r="176" spans="1:10" ht="27.75" x14ac:dyDescent="0.5">
      <c r="A176" s="931" t="s">
        <v>196</v>
      </c>
      <c r="B176" s="931"/>
      <c r="C176" s="333"/>
      <c r="D176" s="155"/>
      <c r="E176" s="95">
        <f>'4'!F176</f>
        <v>0</v>
      </c>
      <c r="F176" s="155"/>
      <c r="G176" s="155">
        <f>SUM(G173:G175)</f>
        <v>26</v>
      </c>
      <c r="H176" s="99">
        <f>G176+'4'!H176</f>
        <v>110</v>
      </c>
      <c r="I176" s="155"/>
      <c r="J176" s="156">
        <f>H176/DAY(B2)</f>
        <v>22</v>
      </c>
    </row>
    <row r="177" spans="1:10" ht="27.75" x14ac:dyDescent="0.5">
      <c r="A177" s="930" t="s">
        <v>77</v>
      </c>
      <c r="B177" s="930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7.75" x14ac:dyDescent="0.5">
      <c r="A178" s="930" t="s">
        <v>210</v>
      </c>
      <c r="B178" s="930"/>
      <c r="C178" s="333"/>
      <c r="D178" s="155" t="s">
        <v>142</v>
      </c>
      <c r="E178" s="95">
        <f>'4'!F178</f>
        <v>81544</v>
      </c>
      <c r="F178" s="155">
        <v>81608</v>
      </c>
      <c r="G178" s="155">
        <f>F178-E178</f>
        <v>64</v>
      </c>
      <c r="H178" s="99">
        <f>G178+'4'!H178</f>
        <v>293</v>
      </c>
      <c r="I178" s="155"/>
      <c r="J178" s="156">
        <f>H178/DAY(B2)</f>
        <v>58.6</v>
      </c>
    </row>
    <row r="179" spans="1:10" ht="27.75" x14ac:dyDescent="0.5">
      <c r="A179" s="930" t="s">
        <v>211</v>
      </c>
      <c r="B179" s="930"/>
      <c r="C179" s="333"/>
      <c r="D179" s="155" t="s">
        <v>142</v>
      </c>
      <c r="E179" s="95">
        <f>'4'!F179</f>
        <v>34926</v>
      </c>
      <c r="F179" s="155">
        <v>34958</v>
      </c>
      <c r="G179" s="155">
        <f t="shared" ref="G179:G180" si="15">F179-E179</f>
        <v>32</v>
      </c>
      <c r="H179" s="99">
        <f>G179+'4'!H179</f>
        <v>155</v>
      </c>
      <c r="I179" s="155"/>
      <c r="J179" s="156">
        <f>H179/DAY(B2)</f>
        <v>31</v>
      </c>
    </row>
    <row r="180" spans="1:10" ht="27.75" x14ac:dyDescent="0.5">
      <c r="A180" s="930" t="s">
        <v>212</v>
      </c>
      <c r="B180" s="930"/>
      <c r="C180" s="333"/>
      <c r="D180" s="155" t="s">
        <v>142</v>
      </c>
      <c r="E180" s="95">
        <f>'4'!F180</f>
        <v>5731</v>
      </c>
      <c r="F180" s="155">
        <v>5748</v>
      </c>
      <c r="G180" s="155">
        <f t="shared" si="15"/>
        <v>17</v>
      </c>
      <c r="H180" s="99">
        <f>G180+'4'!H180</f>
        <v>46</v>
      </c>
      <c r="I180" s="155"/>
      <c r="J180" s="156">
        <f>H180/DAY(B2)</f>
        <v>9.1999999999999993</v>
      </c>
    </row>
    <row r="181" spans="1:10" ht="27.75" x14ac:dyDescent="0.5">
      <c r="A181" s="935" t="s">
        <v>108</v>
      </c>
      <c r="B181" s="935"/>
      <c r="C181" s="333"/>
      <c r="D181" s="155"/>
      <c r="E181" s="95">
        <f>'4'!F181</f>
        <v>0</v>
      </c>
      <c r="F181" s="155"/>
      <c r="G181" s="155">
        <f>SUM(G178:G180)</f>
        <v>113</v>
      </c>
      <c r="H181" s="99">
        <f>G181+'4'!H181</f>
        <v>494</v>
      </c>
      <c r="I181" s="155"/>
      <c r="J181" s="156">
        <f>H181/DAY(B2)</f>
        <v>98.8</v>
      </c>
    </row>
    <row r="182" spans="1:10" ht="27.75" x14ac:dyDescent="0.5">
      <c r="A182" s="930" t="s">
        <v>213</v>
      </c>
      <c r="B182" s="930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7.75" x14ac:dyDescent="0.5">
      <c r="A183" s="930" t="s">
        <v>214</v>
      </c>
      <c r="B183" s="930"/>
      <c r="C183" s="334"/>
      <c r="D183" s="155" t="s">
        <v>142</v>
      </c>
      <c r="E183" s="95">
        <f>'4'!F183</f>
        <v>15398</v>
      </c>
      <c r="F183" s="157">
        <v>15407</v>
      </c>
      <c r="G183" s="157">
        <f>F183-E183</f>
        <v>9</v>
      </c>
      <c r="H183" s="99">
        <f>G183+'4'!H183</f>
        <v>62</v>
      </c>
      <c r="I183" s="155"/>
      <c r="J183" s="156">
        <f>H183/DAY(B2)</f>
        <v>12.4</v>
      </c>
    </row>
    <row r="184" spans="1:10" ht="27.75" x14ac:dyDescent="0.5">
      <c r="A184" s="930" t="s">
        <v>215</v>
      </c>
      <c r="B184" s="930"/>
      <c r="C184" s="334"/>
      <c r="D184" s="155" t="s">
        <v>142</v>
      </c>
      <c r="E184" s="95">
        <f>'4'!F184</f>
        <v>10545</v>
      </c>
      <c r="F184" s="157">
        <v>10553</v>
      </c>
      <c r="G184" s="157">
        <f t="shared" ref="G184:G185" si="16">F184-E184</f>
        <v>8</v>
      </c>
      <c r="H184" s="99">
        <f>G184+'4'!H184</f>
        <v>35</v>
      </c>
      <c r="I184" s="155"/>
      <c r="J184" s="156">
        <f>H184/DAY(B2)</f>
        <v>7</v>
      </c>
    </row>
    <row r="185" spans="1:10" ht="29.25" customHeight="1" x14ac:dyDescent="0.5">
      <c r="A185" s="930" t="s">
        <v>216</v>
      </c>
      <c r="B185" s="930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7.75" x14ac:dyDescent="0.5">
      <c r="A186" s="931" t="s">
        <v>196</v>
      </c>
      <c r="B186" s="931"/>
      <c r="C186" s="334"/>
      <c r="D186" s="461"/>
      <c r="E186" s="95"/>
      <c r="F186" s="157"/>
      <c r="G186" s="157">
        <f>SUM(G183:G185)</f>
        <v>17</v>
      </c>
      <c r="H186" s="99">
        <f>G186+'4'!H186</f>
        <v>97</v>
      </c>
      <c r="I186" s="157"/>
      <c r="J186" s="156">
        <f>H186/DAY(B2)</f>
        <v>19.399999999999999</v>
      </c>
    </row>
    <row r="187" spans="1:10" ht="27.75" x14ac:dyDescent="0.5">
      <c r="A187" s="934" t="s">
        <v>217</v>
      </c>
      <c r="B187" s="934"/>
      <c r="C187" s="333"/>
      <c r="D187" s="157" t="s">
        <v>142</v>
      </c>
      <c r="E187" s="95"/>
      <c r="F187" s="159"/>
      <c r="G187" s="460">
        <f>G62+G19</f>
        <v>190</v>
      </c>
      <c r="H187" s="99">
        <f>G187+'4'!H187</f>
        <v>733</v>
      </c>
      <c r="I187" s="158"/>
      <c r="J187" s="159">
        <f>H187/DAY(B2)</f>
        <v>146.6</v>
      </c>
    </row>
    <row r="188" spans="1:10" ht="27.75" x14ac:dyDescent="0.5">
      <c r="A188" s="934" t="s">
        <v>218</v>
      </c>
      <c r="B188" s="934"/>
      <c r="C188" s="333"/>
      <c r="D188" s="157" t="s">
        <v>142</v>
      </c>
      <c r="E188" s="95"/>
      <c r="F188" s="159"/>
      <c r="G188" s="460">
        <f>G65+G66+G67+G69+G70</f>
        <v>191</v>
      </c>
      <c r="H188" s="99">
        <f>G188+'4'!H188</f>
        <v>762</v>
      </c>
      <c r="I188" s="158"/>
      <c r="J188" s="159">
        <f>H188/DAY(B2)</f>
        <v>152.4</v>
      </c>
    </row>
    <row r="189" spans="1:10" ht="27.75" x14ac:dyDescent="0.5">
      <c r="A189" s="934" t="s">
        <v>219</v>
      </c>
      <c r="B189" s="934"/>
      <c r="C189" s="333"/>
      <c r="D189" s="157" t="s">
        <v>142</v>
      </c>
      <c r="E189" s="95"/>
      <c r="F189" s="157"/>
      <c r="G189" s="457">
        <f>G181</f>
        <v>113</v>
      </c>
      <c r="H189" s="99">
        <f>G189+'4'!H189</f>
        <v>494</v>
      </c>
      <c r="I189" s="158"/>
      <c r="J189" s="159">
        <f>H189/DAY(B2)</f>
        <v>98.8</v>
      </c>
    </row>
    <row r="190" spans="1:10" ht="27.75" x14ac:dyDescent="0.5">
      <c r="A190" s="933"/>
      <c r="B190" s="933"/>
      <c r="C190" s="473"/>
      <c r="D190" s="474"/>
      <c r="E190" s="475"/>
      <c r="F190" s="474"/>
      <c r="G190" s="474"/>
      <c r="H190" s="476"/>
      <c r="I190" s="474"/>
      <c r="J190" s="477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topLeftCell="A109" zoomScale="55" zoomScaleSheetLayoutView="55" workbookViewId="0">
      <selection activeCell="D2" sqref="D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356</v>
      </c>
      <c r="B2" s="262">
        <v>44598</v>
      </c>
      <c r="C2" s="348" t="s">
        <v>67</v>
      </c>
      <c r="D2" s="218">
        <v>0.57999999999999996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'5'!F7</f>
        <v>744647.67</v>
      </c>
      <c r="F7" s="95">
        <v>765034.55</v>
      </c>
      <c r="G7" s="112">
        <f>F7-E7</f>
        <v>20386.880000000005</v>
      </c>
      <c r="H7" s="99">
        <f>G7+'5'!H7</f>
        <v>113854.32000000007</v>
      </c>
      <c r="I7" s="113">
        <f>'1'!I7</f>
        <v>12000</v>
      </c>
      <c r="J7" s="175">
        <f>H7/DAY(B2)</f>
        <v>18975.720000000012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'5'!F8</f>
        <v>803007.67</v>
      </c>
      <c r="F8" s="114">
        <v>823619.67</v>
      </c>
      <c r="G8" s="115">
        <f>F8-E8</f>
        <v>20612</v>
      </c>
      <c r="H8" s="99">
        <f>G8+'5'!H8</f>
        <v>115071.52000000002</v>
      </c>
      <c r="I8" s="116"/>
      <c r="J8" s="175">
        <f>H8/DAY(B2)</f>
        <v>19178.58666666667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'5'!F9</f>
        <v>347557.39</v>
      </c>
      <c r="F9" s="117">
        <v>359986.51</v>
      </c>
      <c r="G9" s="112">
        <f>F9-E9</f>
        <v>12429.119999999995</v>
      </c>
      <c r="H9" s="99">
        <f>G9+'5'!H9</f>
        <v>77732.660000000033</v>
      </c>
      <c r="I9" s="124">
        <f>I7-J7</f>
        <v>-6975.7200000000121</v>
      </c>
      <c r="J9" s="175">
        <f>H9/DAY(B2)</f>
        <v>12955.443333333338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'5'!F10</f>
        <v>130814.89</v>
      </c>
      <c r="F10" s="117">
        <v>138225.72</v>
      </c>
      <c r="G10" s="112">
        <f t="shared" ref="G10:G12" si="0">F10-E10</f>
        <v>7410.8300000000017</v>
      </c>
      <c r="H10" s="99">
        <f>G10+'5'!H10</f>
        <v>32966.75</v>
      </c>
      <c r="I10" s="282"/>
      <c r="J10" s="175">
        <f>H10/DAY(B2)</f>
        <v>5494.458333333333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'5'!F11</f>
        <v>37170</v>
      </c>
      <c r="F11" s="95">
        <v>37170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19839.949999999997</v>
      </c>
      <c r="H13" s="99">
        <f>G13+'5'!H13</f>
        <v>93944.98</v>
      </c>
      <c r="I13" s="120">
        <f>G7-G13</f>
        <v>546.93000000000757</v>
      </c>
      <c r="J13" s="175">
        <f>H13/DAY(B2)</f>
        <v>15657.496666666666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'5'!F15</f>
        <v>1911596.64</v>
      </c>
      <c r="F15" s="123">
        <v>1912646.14</v>
      </c>
      <c r="G15" s="112">
        <f>(F15-E15)</f>
        <v>1049.5</v>
      </c>
      <c r="H15" s="99">
        <f>G15+'5'!H15</f>
        <v>6009.372999999905</v>
      </c>
      <c r="I15" s="113">
        <f>'1'!I15</f>
        <v>800</v>
      </c>
      <c r="J15" s="175">
        <f>H15/DAY(B2)</f>
        <v>1001.5621666666508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-201.5621666666508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'5'!F18</f>
        <v>24</v>
      </c>
      <c r="F18" s="122">
        <v>22</v>
      </c>
      <c r="G18" s="119">
        <f>F18*10</f>
        <v>220</v>
      </c>
      <c r="H18" s="99">
        <f>G18+'5'!H18</f>
        <v>1180</v>
      </c>
      <c r="I18" s="113">
        <f>'1'!I18</f>
        <v>65</v>
      </c>
      <c r="J18" s="175">
        <f>H18/DAY(B2)</f>
        <v>196.66666666666666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'5'!F19</f>
        <v>154137</v>
      </c>
      <c r="F19" s="122">
        <v>154192</v>
      </c>
      <c r="G19" s="112">
        <f t="shared" ref="G19" si="1">F19-E19</f>
        <v>55</v>
      </c>
      <c r="H19" s="99">
        <f>G19+'5'!H19</f>
        <v>301</v>
      </c>
      <c r="I19" s="335"/>
      <c r="J19" s="175">
        <f>H19/DAY(B2)</f>
        <v>50.166666666666664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275</v>
      </c>
      <c r="H20" s="99">
        <f>G20+'5'!H20</f>
        <v>1481</v>
      </c>
      <c r="I20" s="336">
        <f>I18-J20</f>
        <v>-181.83333333333334</v>
      </c>
      <c r="J20" s="175">
        <f>H20/DAY(B2)</f>
        <v>246.83333333333334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'5'!F23</f>
        <v>1500</v>
      </c>
      <c r="F23" s="122">
        <v>1500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20612</v>
      </c>
      <c r="F27" s="136">
        <v>9</v>
      </c>
      <c r="G27" s="137">
        <f>E27*F27</f>
        <v>185508</v>
      </c>
      <c r="H27" s="99">
        <f>G27+'5'!H27</f>
        <v>1035643.6800000002</v>
      </c>
      <c r="I27" s="138"/>
      <c r="J27" s="175">
        <f>H27/DAY(B2)</f>
        <v>172607.28000000003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1049.5</v>
      </c>
      <c r="F28" s="136">
        <v>52</v>
      </c>
      <c r="G28" s="137">
        <f>E28*F28</f>
        <v>54574</v>
      </c>
      <c r="H28" s="99">
        <f>G28+'5'!H28</f>
        <v>312487.39599999506</v>
      </c>
      <c r="I28" s="140"/>
      <c r="J28" s="175">
        <f>H28/DAY(B2)</f>
        <v>52081.232666665841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G30+'5'!H30</f>
        <v>43946</v>
      </c>
      <c r="I30" s="140"/>
      <c r="J30" s="175">
        <f>H30/DAY(B2)</f>
        <v>7324.333333333333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G31+'5'!H31</f>
        <v>94400</v>
      </c>
      <c r="I31" s="140"/>
      <c r="J31" s="175">
        <f>H31/DAY(B2)</f>
        <v>15733.333333333334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265712</v>
      </c>
      <c r="H32" s="99">
        <f>G32+'5'!H32</f>
        <v>1486477.0759999952</v>
      </c>
      <c r="I32" s="144"/>
      <c r="J32" s="175">
        <f>H32/DAY(B2)</f>
        <v>247746.17933333255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'5'!F35</f>
        <v>38854.68</v>
      </c>
      <c r="F35" s="145">
        <v>40508.78</v>
      </c>
      <c r="G35" s="112">
        <f t="shared" ref="G35:G46" si="3">F35-E35</f>
        <v>1654.0999999999985</v>
      </c>
      <c r="H35" s="99">
        <f>G35+'5'!H35</f>
        <v>8503.7999999999993</v>
      </c>
      <c r="I35" s="95"/>
      <c r="J35" s="175">
        <f>H35/DAY(B2)</f>
        <v>1417.3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'5'!F36</f>
        <v>48131.83</v>
      </c>
      <c r="F36" s="145">
        <v>49033.99</v>
      </c>
      <c r="G36" s="112">
        <f t="shared" si="3"/>
        <v>902.15999999999622</v>
      </c>
      <c r="H36" s="99">
        <f>G36+'5'!H36</f>
        <v>5575.25</v>
      </c>
      <c r="I36" s="95"/>
      <c r="J36" s="175">
        <f>H36/DAY(B2)</f>
        <v>929.20833333333337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'5'!F37</f>
        <v>43376.43</v>
      </c>
      <c r="F37" s="145">
        <v>45022.09</v>
      </c>
      <c r="G37" s="112">
        <f t="shared" si="3"/>
        <v>1645.6599999999962</v>
      </c>
      <c r="H37" s="99">
        <f>G37+'5'!H37</f>
        <v>9597</v>
      </c>
      <c r="I37" s="95"/>
      <c r="J37" s="175">
        <f>H37/DAY(B2)</f>
        <v>1599.5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'5'!F38</f>
        <v>47221.55</v>
      </c>
      <c r="F38" s="108">
        <v>49136.58</v>
      </c>
      <c r="G38" s="112">
        <f t="shared" si="3"/>
        <v>1915.0299999999988</v>
      </c>
      <c r="H38" s="99">
        <f>G38+'5'!H38</f>
        <v>10760.150000000001</v>
      </c>
      <c r="I38" s="95"/>
      <c r="J38" s="175">
        <f>H38/DAY(B2)</f>
        <v>1793.3583333333336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'5'!F39</f>
        <v>72477.66</v>
      </c>
      <c r="F39" s="145">
        <v>75254.22</v>
      </c>
      <c r="G39" s="112">
        <f t="shared" si="3"/>
        <v>2776.5599999999977</v>
      </c>
      <c r="H39" s="99">
        <f>G39+'5'!H39</f>
        <v>16080.93</v>
      </c>
      <c r="I39" s="95"/>
      <c r="J39" s="175">
        <f>H39/DAY(B2)</f>
        <v>2680.1550000000002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'5'!F40</f>
        <v>23520.06</v>
      </c>
      <c r="F40" s="145">
        <v>23922.09</v>
      </c>
      <c r="G40" s="112">
        <f t="shared" si="3"/>
        <v>402.02999999999884</v>
      </c>
      <c r="H40" s="99">
        <f>G40+'5'!H40</f>
        <v>1805.0999999999979</v>
      </c>
      <c r="I40" s="95"/>
      <c r="J40" s="175">
        <f>H40/DAY(B2)</f>
        <v>300.84999999999962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'5'!F41</f>
        <v>62.73</v>
      </c>
      <c r="F41" s="145">
        <v>62.73</v>
      </c>
      <c r="G41" s="112">
        <f t="shared" si="3"/>
        <v>0</v>
      </c>
      <c r="H41" s="99">
        <f>G41+'5'!H41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'5'!F42</f>
        <v>106500.89</v>
      </c>
      <c r="F42" s="145">
        <v>106500.89</v>
      </c>
      <c r="G42" s="112">
        <f t="shared" si="3"/>
        <v>0</v>
      </c>
      <c r="H42" s="99">
        <f>G42+'5'!H42</f>
        <v>6371.1499999999942</v>
      </c>
      <c r="I42" s="95"/>
      <c r="J42" s="175">
        <f>H42/DAY(B2)</f>
        <v>1061.8583333333324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'5'!F43</f>
        <v>125613.3</v>
      </c>
      <c r="F43" s="145">
        <v>127758.65</v>
      </c>
      <c r="G43" s="112">
        <f t="shared" si="3"/>
        <v>2145.3499999999913</v>
      </c>
      <c r="H43" s="99">
        <f>G43+'5'!H43</f>
        <v>12907.049999999988</v>
      </c>
      <c r="I43" s="95"/>
      <c r="J43" s="175">
        <f>H43/DAY(B2)</f>
        <v>2151.1749999999979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11440.889999999978</v>
      </c>
      <c r="H47" s="99">
        <f>G47+'5'!H47</f>
        <v>71600.429999999993</v>
      </c>
      <c r="I47" s="95"/>
      <c r="J47" s="175">
        <f>H47/DAY(B2)</f>
        <v>11933.404999999999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'5'!F49</f>
        <v>30841.67</v>
      </c>
      <c r="F49" s="145">
        <v>32206.86</v>
      </c>
      <c r="G49" s="112">
        <f t="shared" ref="G49:G58" si="4">F49-E49</f>
        <v>1365.1900000000023</v>
      </c>
      <c r="H49" s="99">
        <f>G49+'5'!H49</f>
        <v>7210.6700000000019</v>
      </c>
      <c r="I49" s="95"/>
      <c r="J49" s="175">
        <f>H49/DAY(B2)</f>
        <v>1201.7783333333336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'5'!F50</f>
        <v>62059.64</v>
      </c>
      <c r="F50" s="145">
        <v>63332.24</v>
      </c>
      <c r="G50" s="112">
        <f t="shared" si="4"/>
        <v>1272.5999999999985</v>
      </c>
      <c r="H50" s="99">
        <f>G50+'5'!H50</f>
        <v>6945.6100000000006</v>
      </c>
      <c r="I50" s="95"/>
      <c r="J50" s="175">
        <f>H50/DAY(B2)</f>
        <v>1157.6016666666667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'5'!F51</f>
        <v>0</v>
      </c>
      <c r="F51" s="145">
        <v>0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'5'!F52</f>
        <v>0</v>
      </c>
      <c r="F52" s="145">
        <v>0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'5'!F54</f>
        <v>6923.67</v>
      </c>
      <c r="F54" s="145">
        <v>7454.88</v>
      </c>
      <c r="G54" s="112">
        <f t="shared" si="4"/>
        <v>531.21</v>
      </c>
      <c r="H54" s="99">
        <f>G54+'5'!H54</f>
        <v>2307.46</v>
      </c>
      <c r="I54" s="95"/>
      <c r="J54" s="175">
        <f>H54/DAY(B2)</f>
        <v>384.57666666666665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'5'!F55</f>
        <v>84837.06</v>
      </c>
      <c r="F55" s="145">
        <v>88263.98</v>
      </c>
      <c r="G55" s="112">
        <f t="shared" si="4"/>
        <v>3426.9199999999983</v>
      </c>
      <c r="H55" s="99">
        <f>G55+'5'!H55</f>
        <v>13897.869999999995</v>
      </c>
      <c r="I55" s="95"/>
      <c r="J55" s="175">
        <f>H55/DAY(B2)</f>
        <v>2316.311666666666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'5'!F56</f>
        <v>8723.6299999999992</v>
      </c>
      <c r="F56" s="145">
        <v>8723.6299999999992</v>
      </c>
      <c r="G56" s="112">
        <f t="shared" si="4"/>
        <v>0</v>
      </c>
      <c r="H56" s="99">
        <f>G56+'5'!H56</f>
        <v>113.08999999999833</v>
      </c>
      <c r="I56" s="95"/>
      <c r="J56" s="175">
        <f>H56/DAY(B2)</f>
        <v>18.848333333333056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'5'!F58</f>
        <v>5829.33</v>
      </c>
      <c r="F58" s="145">
        <v>6056.61</v>
      </c>
      <c r="G58" s="112">
        <f t="shared" si="4"/>
        <v>227.27999999999975</v>
      </c>
      <c r="H58" s="99">
        <f>G58+'5'!H58</f>
        <v>1260.3999999999996</v>
      </c>
      <c r="I58" s="95"/>
      <c r="J58" s="175">
        <f>H58/DAY(B2)</f>
        <v>210.06666666666661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6823.1999999999989</v>
      </c>
      <c r="H59" s="99">
        <f>G59+'5'!H59</f>
        <v>31735.099999999991</v>
      </c>
      <c r="I59" s="95">
        <f>G7-G60</f>
        <v>2122.79000000003</v>
      </c>
      <c r="J59" s="175">
        <f>H59/DAY(B2)</f>
        <v>5289.1833333333316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18264.089999999975</v>
      </c>
      <c r="H60" s="99">
        <f>G60+'5'!H60</f>
        <v>103335.52999999997</v>
      </c>
      <c r="I60" s="95">
        <f>G13-G60</f>
        <v>1575.8600000000224</v>
      </c>
      <c r="J60" s="175">
        <f>H60/DAY(B2)</f>
        <v>17222.58833333333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'5'!F62</f>
        <v>270003</v>
      </c>
      <c r="F62" s="122">
        <v>270146</v>
      </c>
      <c r="G62" s="112">
        <f t="shared" ref="G62:G63" si="5">F62-E62</f>
        <v>143</v>
      </c>
      <c r="H62" s="99">
        <f>G62+'5'!H62</f>
        <v>630</v>
      </c>
      <c r="I62" s="118"/>
      <c r="J62" s="175">
        <f>H62/DAY(B2)</f>
        <v>105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'5'!F63</f>
        <v>216484</v>
      </c>
      <c r="F63" s="122">
        <v>216616</v>
      </c>
      <c r="G63" s="112">
        <f t="shared" si="5"/>
        <v>132</v>
      </c>
      <c r="H63" s="99">
        <f>G63+'5'!H63</f>
        <v>819</v>
      </c>
      <c r="I63" s="118"/>
      <c r="J63" s="175">
        <f>H63/DAY(B2)</f>
        <v>136.5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'5'!F64</f>
        <v>0</v>
      </c>
      <c r="F64" s="122"/>
      <c r="G64" s="112">
        <f>G62+G63</f>
        <v>275</v>
      </c>
      <c r="H64" s="99">
        <f>G64+'5'!H64</f>
        <v>1449</v>
      </c>
      <c r="I64" s="118"/>
      <c r="J64" s="175">
        <f>H64/DAY(B2)</f>
        <v>241.5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'5'!F65</f>
        <v>435346</v>
      </c>
      <c r="F65" s="122">
        <v>435456</v>
      </c>
      <c r="G65" s="112">
        <f t="shared" ref="G65:G70" si="6">F65-E65</f>
        <v>110</v>
      </c>
      <c r="H65" s="99">
        <f>G65+'5'!H65</f>
        <v>533</v>
      </c>
      <c r="I65" s="118"/>
      <c r="J65" s="175">
        <f>H65/DAY(B2)</f>
        <v>88.833333333333329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'5'!F66</f>
        <v>107880</v>
      </c>
      <c r="F66" s="122">
        <v>107906</v>
      </c>
      <c r="G66" s="112">
        <f t="shared" si="6"/>
        <v>26</v>
      </c>
      <c r="H66" s="99">
        <f>G66+'5'!H66</f>
        <v>163</v>
      </c>
      <c r="I66" s="118"/>
      <c r="J66" s="175">
        <f>H66/DAY(B2)</f>
        <v>27.166666666666668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'5'!F67</f>
        <v>104753</v>
      </c>
      <c r="F67" s="122">
        <v>104784</v>
      </c>
      <c r="G67" s="112">
        <f t="shared" si="6"/>
        <v>31</v>
      </c>
      <c r="H67" s="99">
        <f>G67+'5'!H67</f>
        <v>136</v>
      </c>
      <c r="I67" s="118"/>
      <c r="J67" s="175">
        <f>H67/DAY(B2)</f>
        <v>22.666666666666668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'5'!F68</f>
        <v>157855</v>
      </c>
      <c r="F68" s="122">
        <v>157911</v>
      </c>
      <c r="G68" s="112">
        <f t="shared" si="6"/>
        <v>56</v>
      </c>
      <c r="H68" s="99">
        <f>G68+'5'!H68</f>
        <v>214</v>
      </c>
      <c r="I68" s="118"/>
      <c r="J68" s="175">
        <f>H68/DAY(B2)</f>
        <v>35.666666666666664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'5'!F69</f>
        <v>10593</v>
      </c>
      <c r="F69" s="122">
        <v>10604</v>
      </c>
      <c r="G69" s="112">
        <f t="shared" si="6"/>
        <v>11</v>
      </c>
      <c r="H69" s="99">
        <f>G69+'5'!H69</f>
        <v>63</v>
      </c>
      <c r="I69" s="118"/>
      <c r="J69" s="175">
        <f>H69/DAY(B2)</f>
        <v>10.5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'5'!F70</f>
        <v>8165</v>
      </c>
      <c r="F70" s="122">
        <v>8174</v>
      </c>
      <c r="G70" s="112">
        <f t="shared" si="6"/>
        <v>9</v>
      </c>
      <c r="H70" s="99">
        <f>G70+'5'!H70</f>
        <v>54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243</v>
      </c>
      <c r="H71" s="99">
        <f>G71+'5'!H71</f>
        <v>1163</v>
      </c>
      <c r="I71" s="154"/>
      <c r="J71" s="175">
        <f>H71/DAY(B2)</f>
        <v>193.83333333333334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'5'!F74</f>
        <v>902824.04</v>
      </c>
      <c r="F74" s="123">
        <v>903127.82</v>
      </c>
      <c r="G74" s="112">
        <f t="shared" ref="G74:G78" si="7">F74-E74</f>
        <v>303.77999999991152</v>
      </c>
      <c r="H74" s="99">
        <f>G74+'5'!H74</f>
        <v>1821.670999999973</v>
      </c>
      <c r="I74" s="154"/>
      <c r="J74" s="175">
        <f>H74/DAY(B2)</f>
        <v>303.61183333332883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'5'!F76</f>
        <v>170588.1</v>
      </c>
      <c r="F76" s="123">
        <v>170697.91</v>
      </c>
      <c r="G76" s="112">
        <f t="shared" si="7"/>
        <v>109.80999999999767</v>
      </c>
      <c r="H76" s="99">
        <f>G76+'5'!H76</f>
        <v>722.91000000000349</v>
      </c>
      <c r="I76" s="154"/>
      <c r="J76" s="175">
        <f>H76/DAY(B2)</f>
        <v>120.48500000000058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'5'!F77</f>
        <v>41535.199999999997</v>
      </c>
      <c r="F77" s="123">
        <v>41580.699999999997</v>
      </c>
      <c r="G77" s="112">
        <f t="shared" si="7"/>
        <v>45.5</v>
      </c>
      <c r="H77" s="99">
        <f>G77+'5'!H77</f>
        <v>278.5</v>
      </c>
      <c r="I77" s="154"/>
      <c r="J77" s="175">
        <f>H77/DAY(B2)</f>
        <v>46.416666666666664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'5'!F78</f>
        <v>9523.7999999999993</v>
      </c>
      <c r="F78" s="123">
        <v>9525.1</v>
      </c>
      <c r="G78" s="112">
        <f t="shared" si="7"/>
        <v>1.3000000000010914</v>
      </c>
      <c r="H78" s="99">
        <f>G78+'5'!H78</f>
        <v>9.1000000000003638</v>
      </c>
      <c r="I78" s="118"/>
      <c r="J78" s="175">
        <f>H78/DAY(B2)</f>
        <v>1.5166666666667272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117"/>
      <c r="F79" s="117"/>
      <c r="G79" s="112">
        <f>G15-SUM(G74:G78)</f>
        <v>589.11000000008971</v>
      </c>
      <c r="H79" s="99">
        <f>G79+'5'!H79</f>
        <v>3177.1919999999282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1049.5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'5'!F84</f>
        <v>41675</v>
      </c>
      <c r="F84" s="164">
        <v>41675</v>
      </c>
      <c r="G84" s="112">
        <f t="shared" si="8"/>
        <v>0</v>
      </c>
      <c r="H84" s="99">
        <f>G84+'5'!H84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'5'!F85</f>
        <v>2300.42</v>
      </c>
      <c r="F85" s="164">
        <v>2300.42</v>
      </c>
      <c r="G85" s="112">
        <f t="shared" si="8"/>
        <v>0</v>
      </c>
      <c r="H85" s="99">
        <f>G85+'5'!H85</f>
        <v>40</v>
      </c>
      <c r="I85" s="118">
        <f>G82+G83+G84+G85</f>
        <v>0</v>
      </c>
      <c r="J85" s="175">
        <f>H85/DAY(B2)</f>
        <v>6.666666666666667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'5'!F86</f>
        <v>43522.57</v>
      </c>
      <c r="F86" s="164">
        <v>43547</v>
      </c>
      <c r="G86" s="112">
        <f t="shared" si="8"/>
        <v>24.430000000000291</v>
      </c>
      <c r="H86" s="99">
        <f>G86+'5'!H86</f>
        <v>105</v>
      </c>
      <c r="I86" s="118"/>
      <c r="J86" s="175">
        <f>H86/DAY(B2)</f>
        <v>17.5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'5'!F87</f>
        <v>34599.480000000003</v>
      </c>
      <c r="F87" s="164">
        <v>34599.480000000003</v>
      </c>
      <c r="G87" s="112">
        <f t="shared" si="8"/>
        <v>0</v>
      </c>
      <c r="H87" s="99">
        <f>G87+'5'!H87</f>
        <v>0.98000000000320142</v>
      </c>
      <c r="I87" s="118"/>
      <c r="J87" s="175">
        <f>H87/DAY(B2)</f>
        <v>0.1633333333338669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'5'!F88</f>
        <v>24063.43</v>
      </c>
      <c r="F88" s="164">
        <v>24063.43</v>
      </c>
      <c r="G88" s="112">
        <f t="shared" si="8"/>
        <v>0</v>
      </c>
      <c r="H88" s="99">
        <f>G88+'5'!H88</f>
        <v>0</v>
      </c>
      <c r="I88" s="118">
        <f>G86+G87+G88</f>
        <v>24.430000000000291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'5'!F89</f>
        <v>25939.4</v>
      </c>
      <c r="F89" s="164">
        <v>25949.58</v>
      </c>
      <c r="G89" s="112">
        <f t="shared" si="8"/>
        <v>10.180000000000291</v>
      </c>
      <c r="H89" s="99">
        <f>G89+'5'!H89</f>
        <v>58.460000000002765</v>
      </c>
      <c r="I89" s="118"/>
      <c r="J89" s="175">
        <f>H89/DAY(B2)</f>
        <v>9.7433333333337941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'5'!F90</f>
        <v>71171.600000000006</v>
      </c>
      <c r="F90" s="164">
        <v>71175.759999999995</v>
      </c>
      <c r="G90" s="112">
        <f t="shared" si="8"/>
        <v>4.1599999999889405</v>
      </c>
      <c r="H90" s="99">
        <f>G90+'5'!H90</f>
        <v>12.439999999987776</v>
      </c>
      <c r="I90" s="118">
        <f>G89+G90</f>
        <v>14.339999999989232</v>
      </c>
      <c r="J90" s="175">
        <f>H90/DAY(B2)</f>
        <v>2.0733333333312962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'5'!F91</f>
        <v>3307.41</v>
      </c>
      <c r="F91" s="122">
        <v>3318.58</v>
      </c>
      <c r="G91" s="112">
        <f t="shared" si="8"/>
        <v>11.170000000000073</v>
      </c>
      <c r="H91" s="99">
        <f>G91+'5'!H91</f>
        <v>67.489999999999782</v>
      </c>
      <c r="I91" s="165"/>
      <c r="J91" s="175">
        <f>H91/DAY(B2)</f>
        <v>11.248333333333298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'5'!F92</f>
        <v>5741.07</v>
      </c>
      <c r="F92" s="122">
        <v>5741.07</v>
      </c>
      <c r="G92" s="112">
        <f t="shared" si="8"/>
        <v>0</v>
      </c>
      <c r="H92" s="99">
        <f>G92+'5'!H92</f>
        <v>0</v>
      </c>
      <c r="I92" s="165"/>
      <c r="J92" s="175">
        <f>H92/DAY(B2)</f>
        <v>0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5164.6399999999921</v>
      </c>
      <c r="H94" s="99">
        <f>G94+'5'!H94</f>
        <v>28621.51999999999</v>
      </c>
      <c r="I94" s="118"/>
      <c r="J94" s="175">
        <f>H94/DAY(B2)</f>
        <v>4770.2533333333313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0.25333155441146421</v>
      </c>
      <c r="H95" s="99">
        <f>G95+'5'!H95</f>
        <v>1.5074335290356693</v>
      </c>
      <c r="I95" s="167"/>
      <c r="J95" s="175">
        <f>H95/DAY(B2)</f>
        <v>0.2512389215059449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3426.9199999999983</v>
      </c>
      <c r="H96" s="99">
        <f>G96+'5'!H96</f>
        <v>20382.109999999986</v>
      </c>
      <c r="I96" s="118"/>
      <c r="J96" s="175">
        <f>H96/DAY(B2)</f>
        <v>3397.0183333333312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0.16809438226938098</v>
      </c>
      <c r="H97" s="99">
        <f>G97+'5'!H97</f>
        <v>1.0815738788203924</v>
      </c>
      <c r="I97" s="167"/>
      <c r="J97" s="175">
        <f>H97/DAY(B2)</f>
        <v>0.18026231313673205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2776.5599999999977</v>
      </c>
      <c r="H98" s="99">
        <f>G98+'5'!H98</f>
        <v>16080.93</v>
      </c>
      <c r="I98" s="168"/>
      <c r="J98" s="175">
        <f>H98/DAY(B2)</f>
        <v>2680.1550000000002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0.13619347344959096</v>
      </c>
      <c r="H99" s="99">
        <f>G99+'5'!H99</f>
        <v>0.84965933240272429</v>
      </c>
      <c r="I99" s="168"/>
      <c r="J99" s="175">
        <f>H99/DAY(B2)</f>
        <v>0.14160988873378738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1915.0299999999988</v>
      </c>
      <c r="H100" s="99">
        <f>G100+'5'!H100</f>
        <v>10760.150000000001</v>
      </c>
      <c r="I100" s="118"/>
      <c r="J100" s="175">
        <f>H100/DAY(B2)</f>
        <v>1793.3583333333336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9.3934432340799498E-2</v>
      </c>
      <c r="H101" s="99">
        <f>G101+'5'!H101</f>
        <v>0.56740856071718049</v>
      </c>
      <c r="I101" s="168"/>
      <c r="J101" s="175">
        <f>H101/DAY(B2)</f>
        <v>9.4568093452863419E-2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2174.7599999999948</v>
      </c>
      <c r="H102" s="99">
        <f>G102+'5'!H102</f>
        <v>12520.86</v>
      </c>
      <c r="I102" s="168"/>
      <c r="J102" s="175">
        <f>H102/DAY(B2)</f>
        <v>2086.81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0.10667448869076554</v>
      </c>
      <c r="H103" s="99">
        <f>G103+'5'!H103</f>
        <v>0.65572335544018312</v>
      </c>
      <c r="I103" s="118"/>
      <c r="J103" s="175">
        <f>H103/DAY(B2)</f>
        <v>0.10928722590669719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1645.6599999999962</v>
      </c>
      <c r="H104" s="99">
        <f>G104+'5'!H104</f>
        <v>9597</v>
      </c>
      <c r="I104" s="118"/>
      <c r="J104" s="175">
        <f>H104/DAY(B2)</f>
        <v>1599.5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8.0721522861761874E-2</v>
      </c>
      <c r="H105" s="99">
        <f>G105+'5'!H105</f>
        <v>0.50692008054887938</v>
      </c>
      <c r="I105" s="187"/>
      <c r="J105" s="188">
        <f>H105/DAY(B2)</f>
        <v>8.4486680091479902E-2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'5'!F112</f>
        <v>58439.43</v>
      </c>
      <c r="F112" s="237">
        <v>58512.91</v>
      </c>
      <c r="G112" s="112">
        <f t="shared" ref="G112:G123" si="9">F112-E112</f>
        <v>73.480000000003201</v>
      </c>
      <c r="H112" s="99">
        <f>G112+'5'!H112</f>
        <v>458.91000000000349</v>
      </c>
      <c r="I112" s="165"/>
      <c r="J112" s="328">
        <f>H112/DAY(B2)</f>
        <v>76.485000000000582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'5'!F113</f>
        <v>48780.38</v>
      </c>
      <c r="F113" s="237">
        <v>49229.25</v>
      </c>
      <c r="G113" s="112">
        <f t="shared" si="9"/>
        <v>448.87000000000262</v>
      </c>
      <c r="H113" s="99">
        <f>G113+'5'!H113</f>
        <v>2828.3600000000006</v>
      </c>
      <c r="I113" s="165"/>
      <c r="J113" s="328">
        <f>H113/DAY(B2)</f>
        <v>471.39333333333343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'5'!F114</f>
        <v>34677.629999999997</v>
      </c>
      <c r="F114" s="237">
        <v>34949.370000000003</v>
      </c>
      <c r="G114" s="112">
        <f t="shared" si="9"/>
        <v>271.74000000000524</v>
      </c>
      <c r="H114" s="99">
        <f>G114+'5'!H114</f>
        <v>1789.3700000000026</v>
      </c>
      <c r="I114" s="165"/>
      <c r="J114" s="328">
        <f>H114/DAY(B2)</f>
        <v>298.22833333333375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'5'!F115</f>
        <v>9148.2199999999993</v>
      </c>
      <c r="F115" s="237">
        <v>9159.51</v>
      </c>
      <c r="G115" s="112">
        <f t="shared" si="9"/>
        <v>11.290000000000873</v>
      </c>
      <c r="H115" s="99">
        <f>G115+'5'!H115</f>
        <v>64.860000000000582</v>
      </c>
      <c r="I115" s="165"/>
      <c r="J115" s="328">
        <f>H115/DAY(B2)</f>
        <v>10.810000000000096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'5'!F116</f>
        <v>35.35</v>
      </c>
      <c r="F116" s="237">
        <v>271.7</v>
      </c>
      <c r="G116" s="112">
        <f t="shared" si="9"/>
        <v>236.35</v>
      </c>
      <c r="H116" s="99">
        <f>G116+'5'!H116</f>
        <v>271.7</v>
      </c>
      <c r="I116" s="165"/>
      <c r="J116" s="328">
        <f>H116/DAY(B2)</f>
        <v>45.283333333333331</v>
      </c>
      <c r="Q116" s="863"/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'5'!F117</f>
        <v>3602.21</v>
      </c>
      <c r="F117" s="237">
        <v>3720.53</v>
      </c>
      <c r="G117" s="112">
        <f t="shared" si="9"/>
        <v>118.32000000000016</v>
      </c>
      <c r="H117" s="99">
        <f>G117+'5'!H117</f>
        <v>382.58000000000038</v>
      </c>
      <c r="I117" s="165"/>
      <c r="J117" s="328">
        <f>H117/DAY(B2)</f>
        <v>63.763333333333399</v>
      </c>
      <c r="Q117" s="863"/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'5'!F118</f>
        <v>254096.07</v>
      </c>
      <c r="F118" s="237">
        <v>254422.41</v>
      </c>
      <c r="G118" s="112">
        <f t="shared" si="9"/>
        <v>326.33999999999651</v>
      </c>
      <c r="H118" s="99">
        <f>G118+'5'!H118</f>
        <v>1970.1000000000058</v>
      </c>
      <c r="I118" s="165"/>
      <c r="J118" s="328">
        <f>H118/DAY(B2)</f>
        <v>328.35000000000099</v>
      </c>
      <c r="Q118" s="863"/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'5'!F119</f>
        <v>260228.75</v>
      </c>
      <c r="F119" s="237">
        <v>260615.69</v>
      </c>
      <c r="G119" s="112">
        <f t="shared" si="9"/>
        <v>386.94000000000233</v>
      </c>
      <c r="H119" s="99">
        <f>G119+'5'!H119</f>
        <v>2467.140000000014</v>
      </c>
      <c r="I119" s="165"/>
      <c r="J119" s="328">
        <f>H119/DAY(B2)</f>
        <v>411.19000000000233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'5'!F120</f>
        <v>45062.18</v>
      </c>
      <c r="F120" s="237">
        <v>45456.18</v>
      </c>
      <c r="G120" s="112">
        <f t="shared" si="9"/>
        <v>394</v>
      </c>
      <c r="H120" s="99">
        <f>G120+'5'!H120</f>
        <v>2496.5699999999997</v>
      </c>
      <c r="I120" s="165"/>
      <c r="J120" s="328">
        <f>H120/DAY(B2)</f>
        <v>416.09499999999997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'5'!F121</f>
        <v>401644.07</v>
      </c>
      <c r="F121" s="237">
        <v>402376.51</v>
      </c>
      <c r="G121" s="112">
        <f t="shared" si="9"/>
        <v>732.44000000000233</v>
      </c>
      <c r="H121" s="99">
        <f>G121+'5'!H121</f>
        <v>4342.0800000000163</v>
      </c>
      <c r="I121" s="165"/>
      <c r="J121" s="328">
        <f>H121/DAY(B2)</f>
        <v>723.68000000000268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'5'!F122</f>
        <v>127368.49</v>
      </c>
      <c r="F122" s="237">
        <v>127590.82</v>
      </c>
      <c r="G122" s="112">
        <f t="shared" si="9"/>
        <v>222.33000000000175</v>
      </c>
      <c r="H122" s="99">
        <f>G122+'5'!H122</f>
        <v>1404.640000000014</v>
      </c>
      <c r="I122" s="165"/>
      <c r="J122" s="328">
        <f>H122/DAY(B2)</f>
        <v>234.10666666666899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'5'!F123</f>
        <v>155329.91</v>
      </c>
      <c r="F123" s="237">
        <v>155580.37</v>
      </c>
      <c r="G123" s="112">
        <f t="shared" si="9"/>
        <v>250.45999999999185</v>
      </c>
      <c r="H123" s="99">
        <f>G123+'5'!H123</f>
        <v>1533.4199999999837</v>
      </c>
      <c r="I123" s="165"/>
      <c r="J123" s="328">
        <f>H123/DAY(B2)</f>
        <v>255.56999999999729</v>
      </c>
    </row>
    <row r="124" spans="1:18" ht="29.25" customHeight="1" x14ac:dyDescent="0.5">
      <c r="A124" s="867"/>
      <c r="B124" s="868"/>
      <c r="C124" s="869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3472.5600000000068</v>
      </c>
      <c r="H125" s="156"/>
      <c r="I125" s="327">
        <f>G125-(G39+G53)</f>
        <v>696.00000000000909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'5'!F128</f>
        <v>49284.85</v>
      </c>
      <c r="F128" s="165">
        <v>49562.01</v>
      </c>
      <c r="G128" s="112">
        <f t="shared" ref="G128:G134" si="10">F128-E128</f>
        <v>277.16000000000349</v>
      </c>
      <c r="H128" s="99">
        <f>G128+'5'!H128</f>
        <v>1816.010000000002</v>
      </c>
      <c r="I128" s="165"/>
      <c r="J128" s="328">
        <f>H128/DAY(B2)</f>
        <v>302.66833333333369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'5'!F129</f>
        <v>27911.360000000001</v>
      </c>
      <c r="F129" s="165">
        <v>28096.99</v>
      </c>
      <c r="G129" s="112">
        <f t="shared" si="10"/>
        <v>185.63000000000102</v>
      </c>
      <c r="H129" s="99">
        <f>G129+'5'!H129</f>
        <v>1186.1200000000026</v>
      </c>
      <c r="I129" s="165"/>
      <c r="J129" s="328">
        <f>H129/DAY(B2)</f>
        <v>197.68666666666709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'5'!F130</f>
        <v>38457.519999999997</v>
      </c>
      <c r="F130" s="165">
        <v>39082.31</v>
      </c>
      <c r="G130" s="112">
        <f t="shared" si="10"/>
        <v>624.79000000000087</v>
      </c>
      <c r="H130" s="99">
        <f>G130+'5'!H130</f>
        <v>3388.3099999999977</v>
      </c>
      <c r="I130" s="165"/>
      <c r="J130" s="328">
        <f>H130/DAY(B2)</f>
        <v>564.71833333333291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'5'!F131</f>
        <v>15640.69</v>
      </c>
      <c r="F131" s="165">
        <v>15721.73</v>
      </c>
      <c r="G131" s="112">
        <f t="shared" si="10"/>
        <v>81.039999999999054</v>
      </c>
      <c r="H131" s="99">
        <f>G131+'5'!H131</f>
        <v>414.04999999999927</v>
      </c>
      <c r="I131" s="165"/>
      <c r="J131" s="328">
        <f>H131/DAY(B2)</f>
        <v>69.008333333333212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'5'!F132</f>
        <v>53236.79</v>
      </c>
      <c r="F132" s="165">
        <v>53675.95</v>
      </c>
      <c r="G132" s="112">
        <f t="shared" si="10"/>
        <v>439.15999999999622</v>
      </c>
      <c r="H132" s="99">
        <f>G132+'5'!H132</f>
        <v>1827.6499999999942</v>
      </c>
      <c r="I132" s="165"/>
      <c r="J132" s="328">
        <f>H132/DAY(B2)</f>
        <v>304.60833333333238</v>
      </c>
    </row>
    <row r="133" spans="1:15" ht="27.75" x14ac:dyDescent="0.5">
      <c r="A133" s="863" t="s">
        <v>323</v>
      </c>
      <c r="B133" s="864"/>
      <c r="C133" s="865"/>
      <c r="D133" s="151" t="s">
        <v>183</v>
      </c>
      <c r="E133" s="95">
        <f>'5'!F133</f>
        <v>108353.26</v>
      </c>
      <c r="F133" s="165">
        <v>108975.65</v>
      </c>
      <c r="G133" s="112">
        <f t="shared" si="10"/>
        <v>622.38999999999942</v>
      </c>
      <c r="H133" s="99">
        <f>G133+'5'!H133</f>
        <v>3631.9499999999971</v>
      </c>
      <c r="I133" s="165"/>
      <c r="J133" s="328">
        <f>H133/DAY(B2)</f>
        <v>605.32499999999948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'5'!F134</f>
        <v>9426.16</v>
      </c>
      <c r="F134" s="165">
        <v>9673.0499999999993</v>
      </c>
      <c r="G134" s="112">
        <f t="shared" si="10"/>
        <v>246.88999999999942</v>
      </c>
      <c r="H134" s="99">
        <f>G134+'5'!H134</f>
        <v>1071.8199999999997</v>
      </c>
      <c r="I134" s="165"/>
      <c r="J134" s="328">
        <f>H134/DAY(B2)</f>
        <v>178.63666666666663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12"/>
      <c r="G135" s="112">
        <f>SUM(G128:G134)</f>
        <v>2477.0599999999995</v>
      </c>
      <c r="H135" s="99">
        <f>G135+'5'!H135</f>
        <v>13335.909999999993</v>
      </c>
      <c r="I135" s="327">
        <f>G135-(G35+G49)</f>
        <v>-542.23000000000138</v>
      </c>
      <c r="J135" s="328">
        <f>H135/DAY(B2)</f>
        <v>2222.6516666666653</v>
      </c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'5'!F138</f>
        <v>866570</v>
      </c>
      <c r="F138" s="147">
        <v>866659</v>
      </c>
      <c r="G138" s="112">
        <f t="shared" ref="G138:G152" si="11">F138-E138</f>
        <v>89</v>
      </c>
      <c r="H138" s="99">
        <f>G138+'5'!H138</f>
        <v>486</v>
      </c>
      <c r="I138" s="118"/>
      <c r="J138" s="328">
        <f>H138/DAY(B2)</f>
        <v>81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'5'!F139</f>
        <v>886591</v>
      </c>
      <c r="F139" s="148">
        <v>886596</v>
      </c>
      <c r="G139" s="112">
        <f t="shared" si="11"/>
        <v>5</v>
      </c>
      <c r="H139" s="99">
        <f>G139+'5'!H139</f>
        <v>23</v>
      </c>
      <c r="I139" s="118"/>
      <c r="J139" s="328">
        <f>H139/DAY(B2)</f>
        <v>3.8333333333333335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'5'!F140</f>
        <v>88936.2</v>
      </c>
      <c r="F140" s="149">
        <v>88937</v>
      </c>
      <c r="G140" s="112">
        <f t="shared" si="11"/>
        <v>0.80000000000291038</v>
      </c>
      <c r="H140" s="99">
        <f>G140+'5'!H140</f>
        <v>15</v>
      </c>
      <c r="I140" s="118"/>
      <c r="J140" s="328">
        <f>H140/DAY(B2)</f>
        <v>2.5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'5'!F141</f>
        <v>55561.56</v>
      </c>
      <c r="F141" s="149">
        <v>55727.57</v>
      </c>
      <c r="G141" s="112">
        <f t="shared" si="11"/>
        <v>166.01000000000204</v>
      </c>
      <c r="H141" s="99">
        <f>G141+'5'!H141</f>
        <v>1041.989999999998</v>
      </c>
      <c r="I141" s="118"/>
      <c r="J141" s="328">
        <f>H141/DAY(B2)</f>
        <v>173.66499999999965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'5'!F142</f>
        <v>21626.13</v>
      </c>
      <c r="F142" s="148">
        <v>21693</v>
      </c>
      <c r="G142" s="112">
        <f t="shared" si="11"/>
        <v>66.869999999998981</v>
      </c>
      <c r="H142" s="99">
        <f>G142+'5'!H142</f>
        <v>408.90000000000146</v>
      </c>
      <c r="I142" s="140"/>
      <c r="J142" s="328">
        <f>H142/DAY(B2)</f>
        <v>68.150000000000247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'5'!F143</f>
        <v>3971.3</v>
      </c>
      <c r="F143" s="149">
        <v>4000.64</v>
      </c>
      <c r="G143" s="112">
        <f t="shared" si="11"/>
        <v>29.339999999999691</v>
      </c>
      <c r="H143" s="99">
        <f>G143+'5'!H143</f>
        <v>165.25</v>
      </c>
      <c r="I143" s="140"/>
      <c r="J143" s="328">
        <f>H143/DAY(B2)</f>
        <v>27.541666666666668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'5'!F144</f>
        <v>877528</v>
      </c>
      <c r="F144" s="149">
        <v>877740</v>
      </c>
      <c r="G144" s="112">
        <f t="shared" si="11"/>
        <v>212</v>
      </c>
      <c r="H144" s="99">
        <f>G144+'5'!H144</f>
        <v>1253</v>
      </c>
      <c r="I144" s="140"/>
      <c r="J144" s="328">
        <f>H144/DAY(B2)</f>
        <v>208.83333333333334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'5'!F145</f>
        <v>5023.07</v>
      </c>
      <c r="F145" s="149">
        <v>5030.25</v>
      </c>
      <c r="G145" s="112">
        <f t="shared" si="11"/>
        <v>7.180000000000291</v>
      </c>
      <c r="H145" s="99">
        <f>G145+'5'!H145</f>
        <v>71.409999999999854</v>
      </c>
      <c r="I145" s="140"/>
      <c r="J145" s="328">
        <f>H145/DAY(B2)</f>
        <v>11.901666666666642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'5'!F146</f>
        <v>739367</v>
      </c>
      <c r="F146" s="148">
        <v>739823</v>
      </c>
      <c r="G146" s="112">
        <f t="shared" si="11"/>
        <v>456</v>
      </c>
      <c r="H146" s="99">
        <f>G146+'5'!H146</f>
        <v>2490</v>
      </c>
      <c r="I146" s="140"/>
      <c r="J146" s="328">
        <f>H146/DAY(B2)</f>
        <v>415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'5'!F147</f>
        <v>628567</v>
      </c>
      <c r="F147" s="148">
        <v>628961.16</v>
      </c>
      <c r="G147" s="112">
        <f t="shared" si="11"/>
        <v>394.1600000000326</v>
      </c>
      <c r="H147" s="99">
        <f>G147+'5'!H147</f>
        <v>2348.640000000014</v>
      </c>
      <c r="I147" s="140"/>
      <c r="J147" s="328">
        <f>H147/DAY(B2)</f>
        <v>391.44000000000233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'5'!F148</f>
        <v>690843.76</v>
      </c>
      <c r="F148" s="150">
        <v>691199.28</v>
      </c>
      <c r="G148" s="112">
        <f t="shared" si="11"/>
        <v>355.52000000001863</v>
      </c>
      <c r="H148" s="99">
        <f>G148+'5'!H148</f>
        <v>1756.3200000000652</v>
      </c>
      <c r="I148" s="124"/>
      <c r="J148" s="328">
        <f>H148/DAY(B2)</f>
        <v>292.72000000001088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'5'!F149</f>
        <v>26992.48</v>
      </c>
      <c r="F149" s="146">
        <v>27603.7</v>
      </c>
      <c r="G149" s="112">
        <f t="shared" si="11"/>
        <v>611.22000000000116</v>
      </c>
      <c r="H149" s="99">
        <f>G149+'5'!H149</f>
        <v>2925.5</v>
      </c>
      <c r="I149" s="119"/>
      <c r="J149" s="328">
        <f>H149/DAY(B2)</f>
        <v>487.58333333333331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'5'!F150</f>
        <v>11954.23</v>
      </c>
      <c r="F150" s="233">
        <v>12187.24</v>
      </c>
      <c r="G150" s="112">
        <f t="shared" si="11"/>
        <v>233.01000000000022</v>
      </c>
      <c r="H150" s="99">
        <f>G150+'5'!H150</f>
        <v>1336.4099999999999</v>
      </c>
      <c r="I150" s="119"/>
      <c r="J150" s="328">
        <f>H150/DAY(B2)</f>
        <v>222.73499999999999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'5'!F151</f>
        <v>86728</v>
      </c>
      <c r="F151" s="233">
        <v>86969</v>
      </c>
      <c r="G151" s="112">
        <f t="shared" si="11"/>
        <v>241</v>
      </c>
      <c r="H151" s="99">
        <f>G151+'5'!H151</f>
        <v>1489</v>
      </c>
      <c r="I151" s="119"/>
      <c r="J151" s="328">
        <f>H151/DAY(B2)</f>
        <v>248.16666666666666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'5'!F152</f>
        <v>1877.92</v>
      </c>
      <c r="F152" s="233">
        <v>1937.24</v>
      </c>
      <c r="G152" s="112">
        <f t="shared" si="11"/>
        <v>59.319999999999936</v>
      </c>
      <c r="H152" s="99">
        <f>G152+'5'!H152</f>
        <v>277.24</v>
      </c>
      <c r="I152" s="119"/>
      <c r="J152" s="328">
        <f>H152/DAY(B2)</f>
        <v>46.206666666666671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2926.4300000000567</v>
      </c>
      <c r="H153" s="363"/>
      <c r="I153" s="119">
        <f>G153-(G38+G52)</f>
        <v>1011.4000000000578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'5'!F155</f>
        <v>35756.65</v>
      </c>
      <c r="F155" s="374">
        <v>36477.51</v>
      </c>
      <c r="G155" s="112">
        <f t="shared" ref="G155:G156" si="12">F155-E155</f>
        <v>720.86000000000058</v>
      </c>
      <c r="H155" s="99">
        <f>G155+'5'!H155</f>
        <v>3532.510000000002</v>
      </c>
      <c r="I155" s="364"/>
      <c r="J155" s="328">
        <f>H155/DAY(B2)</f>
        <v>588.75166666666701</v>
      </c>
    </row>
    <row r="156" spans="1:10" ht="27.75" x14ac:dyDescent="0.5">
      <c r="A156" s="843" t="s">
        <v>346</v>
      </c>
      <c r="B156" s="843"/>
      <c r="C156" s="843"/>
      <c r="D156" s="117" t="s">
        <v>130</v>
      </c>
      <c r="E156" s="95">
        <f>'5'!F156</f>
        <v>2992.7</v>
      </c>
      <c r="F156" s="155">
        <v>3047.12</v>
      </c>
      <c r="G156" s="112">
        <f t="shared" si="12"/>
        <v>54.420000000000073</v>
      </c>
      <c r="H156" s="99">
        <f>G156+'5'!H156</f>
        <v>259.11999999999989</v>
      </c>
      <c r="I156" s="165"/>
      <c r="J156" s="328">
        <f>H156/DAY(B2)</f>
        <v>43.186666666666646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'5'!F161</f>
        <v>472322</v>
      </c>
      <c r="F161" s="235">
        <v>472353.84</v>
      </c>
      <c r="G161" s="238">
        <f t="shared" ref="G161:G165" si="13">F161-E161</f>
        <v>31.840000000025611</v>
      </c>
      <c r="H161" s="99">
        <f>G161+'5'!H161</f>
        <v>300.28000000002794</v>
      </c>
      <c r="I161" s="236"/>
      <c r="J161" s="239">
        <f>H161/DAY(B2)</f>
        <v>50.046666666671321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'5'!F162</f>
        <v>88704.2</v>
      </c>
      <c r="F162" s="235">
        <v>88722.3</v>
      </c>
      <c r="G162" s="238">
        <f t="shared" si="13"/>
        <v>18.100000000005821</v>
      </c>
      <c r="H162" s="99">
        <f>G162+'5'!H162</f>
        <v>205.90000000000873</v>
      </c>
      <c r="I162" s="236"/>
      <c r="J162" s="239">
        <f>H162/DAY(B2)</f>
        <v>34.316666666668119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'5'!F163</f>
        <v>79385.2</v>
      </c>
      <c r="F163" s="235">
        <v>79418.8</v>
      </c>
      <c r="G163" s="238">
        <f t="shared" si="13"/>
        <v>33.600000000005821</v>
      </c>
      <c r="H163" s="99">
        <f>G163+'5'!H163</f>
        <v>198.69999999999709</v>
      </c>
      <c r="I163" s="236"/>
      <c r="J163" s="239">
        <f>H163/DAY(B2)</f>
        <v>33.116666666666184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'5'!F164</f>
        <v>4323.7</v>
      </c>
      <c r="F164" s="235">
        <v>4324.7</v>
      </c>
      <c r="G164" s="238">
        <f t="shared" si="13"/>
        <v>1</v>
      </c>
      <c r="H164" s="99">
        <f>G164+'5'!H164</f>
        <v>4.6999999999998181</v>
      </c>
      <c r="I164" s="236"/>
      <c r="J164" s="239">
        <f>H164/DAY(B2)</f>
        <v>0.78333333333330302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'5'!F165</f>
        <v>29900.66</v>
      </c>
      <c r="F165" s="235">
        <v>29906.28</v>
      </c>
      <c r="G165" s="238">
        <f t="shared" si="13"/>
        <v>5.6199999999989814</v>
      </c>
      <c r="H165" s="99">
        <f>G165+'5'!H165</f>
        <v>49.029999999998836</v>
      </c>
      <c r="I165" s="236"/>
      <c r="J165" s="239">
        <f>H165/DAY(B2)</f>
        <v>8.1716666666664732</v>
      </c>
    </row>
    <row r="166" spans="1:10" ht="29.25" x14ac:dyDescent="0.5">
      <c r="A166" s="852"/>
      <c r="B166" s="852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'5'!F173</f>
        <v>8126</v>
      </c>
      <c r="F173" s="155">
        <v>8126</v>
      </c>
      <c r="G173" s="155">
        <f>F173-E173</f>
        <v>0</v>
      </c>
      <c r="H173" s="99">
        <f>G173+'5'!H173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'5'!F174</f>
        <v>38676</v>
      </c>
      <c r="F174" s="157">
        <v>38692</v>
      </c>
      <c r="G174" s="155">
        <f t="shared" ref="G174:G175" si="14">F174-E174</f>
        <v>16</v>
      </c>
      <c r="H174" s="99">
        <f>G174+'5'!H174</f>
        <v>77</v>
      </c>
      <c r="I174" s="155"/>
      <c r="J174" s="178">
        <f>H174/DAY(B2)</f>
        <v>12.833333333333334</v>
      </c>
    </row>
    <row r="175" spans="1:10" ht="27.75" x14ac:dyDescent="0.5">
      <c r="A175" s="856" t="s">
        <v>76</v>
      </c>
      <c r="B175" s="896"/>
      <c r="C175" s="857"/>
      <c r="D175" s="228" t="s">
        <v>142</v>
      </c>
      <c r="E175" s="95">
        <f>'5'!F175</f>
        <v>21862</v>
      </c>
      <c r="F175" s="155">
        <v>21873</v>
      </c>
      <c r="G175" s="155">
        <f t="shared" si="14"/>
        <v>11</v>
      </c>
      <c r="H175" s="99">
        <f>G175+'5'!H175</f>
        <v>60</v>
      </c>
      <c r="I175" s="155"/>
      <c r="J175" s="178">
        <f>H175/DAY(B2)</f>
        <v>10</v>
      </c>
    </row>
    <row r="176" spans="1:10" ht="27.75" x14ac:dyDescent="0.5">
      <c r="A176" s="589" t="s">
        <v>196</v>
      </c>
      <c r="B176" s="590"/>
      <c r="C176" s="333"/>
      <c r="D176" s="228"/>
      <c r="E176" s="95">
        <f>'5'!F176</f>
        <v>0</v>
      </c>
      <c r="F176" s="155"/>
      <c r="G176" s="155">
        <f>SUM(G173:G175)</f>
        <v>27</v>
      </c>
      <c r="H176" s="99">
        <f>G176+'5'!H176</f>
        <v>137</v>
      </c>
      <c r="I176" s="155"/>
      <c r="J176" s="178">
        <f>H176/DAY(B2)</f>
        <v>22.833333333333332</v>
      </c>
    </row>
    <row r="177" spans="1:10" ht="27.75" x14ac:dyDescent="0.5">
      <c r="A177" s="856" t="s">
        <v>77</v>
      </c>
      <c r="B177" s="857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'5'!F178</f>
        <v>81608</v>
      </c>
      <c r="F178" s="155">
        <v>81649</v>
      </c>
      <c r="G178" s="155">
        <f>F178-E178</f>
        <v>41</v>
      </c>
      <c r="H178" s="99">
        <f>G178+'5'!H178</f>
        <v>334</v>
      </c>
      <c r="I178" s="155"/>
      <c r="J178" s="178">
        <f>H178/DAY(B2)</f>
        <v>55.666666666666664</v>
      </c>
    </row>
    <row r="179" spans="1:10" ht="27.75" x14ac:dyDescent="0.5">
      <c r="A179" s="856" t="s">
        <v>211</v>
      </c>
      <c r="B179" s="857"/>
      <c r="C179" s="333"/>
      <c r="D179" s="228" t="s">
        <v>142</v>
      </c>
      <c r="E179" s="95">
        <f>'5'!F179</f>
        <v>34958</v>
      </c>
      <c r="F179" s="155">
        <v>35028</v>
      </c>
      <c r="G179" s="155">
        <f t="shared" ref="G179:G180" si="15">F179-E179</f>
        <v>70</v>
      </c>
      <c r="H179" s="99">
        <f>G179+'5'!H179</f>
        <v>225</v>
      </c>
      <c r="I179" s="155"/>
      <c r="J179" s="178">
        <f>H179/DAY(B2)</f>
        <v>37.5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'5'!F180</f>
        <v>5748</v>
      </c>
      <c r="F180" s="155">
        <v>5748</v>
      </c>
      <c r="G180" s="155">
        <f t="shared" si="15"/>
        <v>0</v>
      </c>
      <c r="H180" s="99">
        <f>G180+'5'!H180</f>
        <v>46</v>
      </c>
      <c r="I180" s="155"/>
      <c r="J180" s="178">
        <f>H180/DAY(B2)</f>
        <v>7.666666666666667</v>
      </c>
    </row>
    <row r="181" spans="1:10" ht="27.75" x14ac:dyDescent="0.5">
      <c r="A181" s="858" t="s">
        <v>108</v>
      </c>
      <c r="B181" s="859"/>
      <c r="C181" s="333"/>
      <c r="D181" s="228"/>
      <c r="E181" s="95">
        <f>'5'!F181</f>
        <v>0</v>
      </c>
      <c r="F181" s="155"/>
      <c r="G181" s="155">
        <f>SUM(G178:G180)</f>
        <v>111</v>
      </c>
      <c r="H181" s="99">
        <f>G181+'5'!H181</f>
        <v>605</v>
      </c>
      <c r="I181" s="155"/>
      <c r="J181" s="178">
        <f>H181/DAY(B2)</f>
        <v>100.83333333333333</v>
      </c>
    </row>
    <row r="182" spans="1:10" ht="27.75" x14ac:dyDescent="0.5">
      <c r="A182" s="856" t="s">
        <v>213</v>
      </c>
      <c r="B182" s="857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'5'!F183</f>
        <v>15407</v>
      </c>
      <c r="F183" s="157">
        <v>15421</v>
      </c>
      <c r="G183" s="157">
        <f>F183-E183</f>
        <v>14</v>
      </c>
      <c r="H183" s="99">
        <f>G183+'5'!H183</f>
        <v>76</v>
      </c>
      <c r="I183" s="155"/>
      <c r="J183" s="178">
        <f>H183/DAY(B2)</f>
        <v>12.666666666666666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'5'!F184</f>
        <v>10553</v>
      </c>
      <c r="F184" s="157">
        <v>10561</v>
      </c>
      <c r="G184" s="157">
        <f t="shared" ref="G184:G185" si="16">F184-E184</f>
        <v>8</v>
      </c>
      <c r="H184" s="99">
        <f>G184+'5'!H184</f>
        <v>43</v>
      </c>
      <c r="I184" s="155"/>
      <c r="J184" s="178">
        <f>H184/DAY(B2)</f>
        <v>7.166666666666667</v>
      </c>
    </row>
    <row r="185" spans="1:10" ht="27.75" x14ac:dyDescent="0.5">
      <c r="A185" s="856" t="s">
        <v>216</v>
      </c>
      <c r="B185" s="857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7.75" x14ac:dyDescent="0.5">
      <c r="A186" s="847" t="s">
        <v>196</v>
      </c>
      <c r="B186" s="848"/>
      <c r="C186" s="334"/>
      <c r="D186" s="229"/>
      <c r="E186" s="95"/>
      <c r="F186" s="157"/>
      <c r="G186" s="157">
        <f>SUM(G183:G185)</f>
        <v>22</v>
      </c>
      <c r="H186" s="99">
        <f>G186+'5'!H186</f>
        <v>119</v>
      </c>
      <c r="I186" s="157"/>
      <c r="J186" s="178">
        <f>H186/DAY(B2)</f>
        <v>19.833333333333332</v>
      </c>
    </row>
    <row r="187" spans="1:10" ht="27.75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198</v>
      </c>
      <c r="H187" s="99">
        <f>G187+'5'!H187</f>
        <v>931</v>
      </c>
      <c r="I187" s="158"/>
      <c r="J187" s="179">
        <f>H187/DAY(B2)</f>
        <v>155.16666666666666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187</v>
      </c>
      <c r="H188" s="99">
        <f>G188+'5'!H188</f>
        <v>949</v>
      </c>
      <c r="I188" s="158"/>
      <c r="J188" s="179">
        <f>H188/DAY(B2)</f>
        <v>158.16666666666666</v>
      </c>
    </row>
    <row r="189" spans="1:10" ht="27.75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111</v>
      </c>
      <c r="H189" s="99">
        <f>G189+'5'!H189</f>
        <v>605</v>
      </c>
      <c r="I189" s="158"/>
      <c r="J189" s="179">
        <f>H189/DAY(B2)</f>
        <v>100.83333333333333</v>
      </c>
    </row>
    <row r="190" spans="1:10" ht="27.75" x14ac:dyDescent="0.5">
      <c r="A190" s="770"/>
      <c r="B190" s="771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</mergeCells>
  <pageMargins left="0.22" right="0.17" top="0.14000000000000001" bottom="0.2" header="0.2" footer="0.2"/>
  <pageSetup paperSize="5" scale="1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topLeftCell="A115" zoomScale="60" zoomScaleNormal="77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356</v>
      </c>
      <c r="B2" s="262">
        <v>44599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'6'!F7</f>
        <v>765034.55</v>
      </c>
      <c r="F7" s="95">
        <v>786589.27</v>
      </c>
      <c r="G7" s="112">
        <f>F7-E7</f>
        <v>21554.719999999972</v>
      </c>
      <c r="H7" s="99">
        <f>G7+'6'!H7</f>
        <v>135409.04000000004</v>
      </c>
      <c r="I7" s="113">
        <f>'1'!I7</f>
        <v>12000</v>
      </c>
      <c r="J7" s="175">
        <f>H7/DAY(B2)</f>
        <v>19344.148571428577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'6'!F8</f>
        <v>823619.67</v>
      </c>
      <c r="F8" s="114">
        <v>845323.91</v>
      </c>
      <c r="G8" s="115">
        <f>F8-E8</f>
        <v>21704.239999999991</v>
      </c>
      <c r="H8" s="99">
        <f>G8+'6'!H8</f>
        <v>136775.76</v>
      </c>
      <c r="I8" s="116"/>
      <c r="J8" s="175">
        <f>H8/DAY(B2)</f>
        <v>19539.394285714287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'6'!F9</f>
        <v>359986.51</v>
      </c>
      <c r="F9" s="117">
        <v>375444.15</v>
      </c>
      <c r="G9" s="112">
        <f>F9-E9</f>
        <v>15457.640000000014</v>
      </c>
      <c r="H9" s="99">
        <f>G9+'6'!H9</f>
        <v>93190.300000000047</v>
      </c>
      <c r="I9" s="124">
        <f>I7-J7</f>
        <v>-7344.1485714285773</v>
      </c>
      <c r="J9" s="175">
        <f>H9/DAY(B2)</f>
        <v>13312.900000000007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'6'!F10</f>
        <v>138225.72</v>
      </c>
      <c r="F10" s="117">
        <v>143734.95000000001</v>
      </c>
      <c r="G10" s="112">
        <f t="shared" ref="G10:G12" si="0">F10-E10</f>
        <v>5509.2300000000105</v>
      </c>
      <c r="H10" s="99">
        <f>G10+'6'!H10</f>
        <v>38475.98000000001</v>
      </c>
      <c r="I10" s="282"/>
      <c r="J10" s="175">
        <f>H10/DAY(B2)</f>
        <v>5496.5685714285728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'6'!F11</f>
        <v>37170</v>
      </c>
      <c r="F11" s="95">
        <v>37170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20966.870000000024</v>
      </c>
      <c r="H13" s="99">
        <f>G13+'6'!H13</f>
        <v>114911.85000000002</v>
      </c>
      <c r="I13" s="120">
        <f>G7-G13</f>
        <v>587.84999999994761</v>
      </c>
      <c r="J13" s="175">
        <f>H13/DAY(B2)</f>
        <v>16415.978571428575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'6'!F15</f>
        <v>1912646.14</v>
      </c>
      <c r="F15" s="123">
        <v>1913676.82</v>
      </c>
      <c r="G15" s="112">
        <f>(F15-E15)</f>
        <v>1030.6800000001676</v>
      </c>
      <c r="H15" s="99">
        <f>G15+'6'!H15</f>
        <v>7040.0530000000726</v>
      </c>
      <c r="I15" s="113">
        <f>'1'!I15</f>
        <v>800</v>
      </c>
      <c r="J15" s="175">
        <f>H15/DAY(B2)</f>
        <v>1005.7218571428675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-205.72185714286752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'6'!F18</f>
        <v>22</v>
      </c>
      <c r="F18" s="122">
        <v>19</v>
      </c>
      <c r="G18" s="119">
        <f>F18*10</f>
        <v>190</v>
      </c>
      <c r="H18" s="99">
        <f>G18+'6'!H18</f>
        <v>1370</v>
      </c>
      <c r="I18" s="113">
        <f>'1'!I18</f>
        <v>65</v>
      </c>
      <c r="J18" s="175">
        <f>H18/DAY(B2)</f>
        <v>195.71428571428572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'6'!F19</f>
        <v>154192</v>
      </c>
      <c r="F19" s="122">
        <v>154244</v>
      </c>
      <c r="G19" s="112">
        <f t="shared" ref="G19" si="1">F19-E19</f>
        <v>52</v>
      </c>
      <c r="H19" s="99">
        <f>G19+'6'!H19</f>
        <v>353</v>
      </c>
      <c r="I19" s="335"/>
      <c r="J19" s="175">
        <f>H19/DAY(B2)</f>
        <v>50.428571428571431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242</v>
      </c>
      <c r="H20" s="99">
        <f>G20+'6'!H20</f>
        <v>1723</v>
      </c>
      <c r="I20" s="336">
        <f>I18-J20</f>
        <v>-181.14285714285714</v>
      </c>
      <c r="J20" s="175">
        <f>H20/DAY(B2)</f>
        <v>246.14285714285714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'6'!F23</f>
        <v>1500</v>
      </c>
      <c r="F23" s="122">
        <v>1500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21704.239999999991</v>
      </c>
      <c r="F27" s="136">
        <v>9</v>
      </c>
      <c r="G27" s="137">
        <f>E27*F27</f>
        <v>195338.15999999992</v>
      </c>
      <c r="H27" s="99">
        <f>G27+'6'!H27</f>
        <v>1230981.8400000001</v>
      </c>
      <c r="I27" s="138"/>
      <c r="J27" s="175">
        <f>H27/DAY(B2)</f>
        <v>175854.54857142858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1030.6800000001676</v>
      </c>
      <c r="F28" s="136">
        <v>52</v>
      </c>
      <c r="G28" s="137">
        <f>E28*F28</f>
        <v>53595.360000008717</v>
      </c>
      <c r="H28" s="99">
        <f>G28+'6'!H28</f>
        <v>366082.75600000378</v>
      </c>
      <c r="I28" s="140"/>
      <c r="J28" s="175">
        <f>H28/DAY(B2)</f>
        <v>52297.536571429111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G30+'6'!H30</f>
        <v>51538</v>
      </c>
      <c r="I30" s="140"/>
      <c r="J30" s="175">
        <f>H30/DAY(B2)</f>
        <v>7362.5714285714284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G31+'6'!H31</f>
        <v>109600</v>
      </c>
      <c r="I31" s="140"/>
      <c r="J31" s="175">
        <f>H31/DAY(B2)</f>
        <v>15657.142857142857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271725.52000000863</v>
      </c>
      <c r="H32" s="99">
        <f>G32+'6'!H32</f>
        <v>1758202.5960000039</v>
      </c>
      <c r="I32" s="144"/>
      <c r="J32" s="175">
        <f>H32/DAY(B2)</f>
        <v>251171.79942857198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'6'!F35</f>
        <v>40508.78</v>
      </c>
      <c r="F35" s="145">
        <v>42175.199999999997</v>
      </c>
      <c r="G35" s="112">
        <f t="shared" ref="G35:G46" si="3">F35-E35</f>
        <v>1666.4199999999983</v>
      </c>
      <c r="H35" s="99">
        <f>G35+'6'!H35</f>
        <v>10170.219999999998</v>
      </c>
      <c r="I35" s="95"/>
      <c r="J35" s="175">
        <f>H35/DAY(B2)</f>
        <v>1452.8885714285711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'6'!F36</f>
        <v>49033.99</v>
      </c>
      <c r="F36" s="145">
        <v>49874.559999999998</v>
      </c>
      <c r="G36" s="112">
        <f t="shared" si="3"/>
        <v>840.56999999999971</v>
      </c>
      <c r="H36" s="99">
        <f>G36+'6'!H36</f>
        <v>6415.82</v>
      </c>
      <c r="I36" s="95"/>
      <c r="J36" s="175">
        <f>H36/DAY(B2)</f>
        <v>916.54571428571421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'6'!F37</f>
        <v>45022.09</v>
      </c>
      <c r="F37" s="145">
        <v>46680.93</v>
      </c>
      <c r="G37" s="112">
        <f t="shared" si="3"/>
        <v>1658.8400000000038</v>
      </c>
      <c r="H37" s="99">
        <f>G37+'6'!H37</f>
        <v>11255.840000000004</v>
      </c>
      <c r="I37" s="95"/>
      <c r="J37" s="175">
        <f>H37/DAY(B2)</f>
        <v>1607.9771428571435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'6'!F38</f>
        <v>49136.58</v>
      </c>
      <c r="F38" s="108">
        <v>51154.32</v>
      </c>
      <c r="G38" s="112">
        <f t="shared" si="3"/>
        <v>2017.739999999998</v>
      </c>
      <c r="H38" s="99">
        <f>G38+'6'!H38</f>
        <v>12777.89</v>
      </c>
      <c r="I38" s="95"/>
      <c r="J38" s="175">
        <f>H38/DAY(B2)</f>
        <v>1825.4128571428571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'6'!F39</f>
        <v>75254.22</v>
      </c>
      <c r="F39" s="145">
        <v>78320.710000000006</v>
      </c>
      <c r="G39" s="112">
        <f t="shared" si="3"/>
        <v>3066.4900000000052</v>
      </c>
      <c r="H39" s="99">
        <f>G39+'6'!H39</f>
        <v>19147.420000000006</v>
      </c>
      <c r="I39" s="95"/>
      <c r="J39" s="175">
        <f>H39/DAY(B2)</f>
        <v>2735.3457142857151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'6'!F40</f>
        <v>23922.09</v>
      </c>
      <c r="F40" s="145">
        <v>24204.77</v>
      </c>
      <c r="G40" s="112">
        <f t="shared" si="3"/>
        <v>282.68000000000029</v>
      </c>
      <c r="H40" s="99">
        <f>G40+'6'!H40</f>
        <v>2087.7799999999979</v>
      </c>
      <c r="I40" s="95"/>
      <c r="J40" s="175">
        <f>H40/DAY(B2)</f>
        <v>298.2542857142854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'6'!F41</f>
        <v>62.73</v>
      </c>
      <c r="F41" s="145">
        <v>62.73</v>
      </c>
      <c r="G41" s="112">
        <f t="shared" si="3"/>
        <v>0</v>
      </c>
      <c r="H41" s="99">
        <f>G41+'6'!H41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'6'!F42</f>
        <v>106500.89</v>
      </c>
      <c r="F42" s="145">
        <v>109069.15</v>
      </c>
      <c r="G42" s="112">
        <f t="shared" si="3"/>
        <v>2568.2599999999948</v>
      </c>
      <c r="H42" s="99">
        <f>G42+'6'!H42</f>
        <v>8939.4099999999889</v>
      </c>
      <c r="I42" s="95"/>
      <c r="J42" s="175">
        <f>H42/DAY(B2)</f>
        <v>1277.0585714285698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'6'!F43</f>
        <v>127758.65</v>
      </c>
      <c r="F43" s="145">
        <v>129967.33</v>
      </c>
      <c r="G43" s="112">
        <f t="shared" si="3"/>
        <v>2208.6800000000076</v>
      </c>
      <c r="H43" s="99">
        <f>G43+'6'!H43</f>
        <v>15115.729999999996</v>
      </c>
      <c r="I43" s="95"/>
      <c r="J43" s="175">
        <f>H43/DAY(B2)</f>
        <v>2159.3899999999994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14309.680000000008</v>
      </c>
      <c r="H47" s="99">
        <f>G47+'6'!H47</f>
        <v>85910.11</v>
      </c>
      <c r="I47" s="95"/>
      <c r="J47" s="175">
        <f>H47/DAY(B2)</f>
        <v>12272.872857142856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'6'!F49</f>
        <v>32206.86</v>
      </c>
      <c r="F49" s="145">
        <v>33640.78</v>
      </c>
      <c r="G49" s="112">
        <f t="shared" ref="G49:G58" si="4">F49-E49</f>
        <v>1433.9199999999983</v>
      </c>
      <c r="H49" s="99">
        <f>G49+'6'!H49</f>
        <v>8644.59</v>
      </c>
      <c r="I49" s="95"/>
      <c r="J49" s="175">
        <f>H49/DAY(B2)</f>
        <v>1234.9414285714286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'6'!F50</f>
        <v>63332.24</v>
      </c>
      <c r="F50" s="145">
        <v>64747.86</v>
      </c>
      <c r="G50" s="112">
        <f t="shared" si="4"/>
        <v>1415.6200000000026</v>
      </c>
      <c r="H50" s="99">
        <f>G50+'6'!H50</f>
        <v>8361.2300000000032</v>
      </c>
      <c r="I50" s="95"/>
      <c r="J50" s="175">
        <f>H50/DAY(B2)</f>
        <v>1194.461428571429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'6'!F51</f>
        <v>0</v>
      </c>
      <c r="F51" s="145">
        <v>0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'6'!F52</f>
        <v>0</v>
      </c>
      <c r="F52" s="145">
        <v>0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'6'!F54</f>
        <v>7454.88</v>
      </c>
      <c r="F54" s="145">
        <v>7989.84</v>
      </c>
      <c r="G54" s="112">
        <f t="shared" si="4"/>
        <v>534.96</v>
      </c>
      <c r="H54" s="99">
        <f>G54+'6'!H54</f>
        <v>2842.42</v>
      </c>
      <c r="I54" s="95"/>
      <c r="J54" s="175">
        <f>H54/DAY(B2)</f>
        <v>406.06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'6'!F55</f>
        <v>88263.98</v>
      </c>
      <c r="F55" s="145">
        <v>90154.47</v>
      </c>
      <c r="G55" s="112">
        <f t="shared" si="4"/>
        <v>1890.4900000000052</v>
      </c>
      <c r="H55" s="99">
        <f>G55+'6'!H55</f>
        <v>15788.36</v>
      </c>
      <c r="I55" s="95"/>
      <c r="J55" s="175">
        <f>H55/DAY(B2)</f>
        <v>2255.48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'6'!F56</f>
        <v>8723.6299999999992</v>
      </c>
      <c r="F56" s="145">
        <v>8723.6299999999992</v>
      </c>
      <c r="G56" s="112">
        <f t="shared" si="4"/>
        <v>0</v>
      </c>
      <c r="H56" s="99">
        <f>G56+'6'!H56</f>
        <v>113.08999999999833</v>
      </c>
      <c r="I56" s="95"/>
      <c r="J56" s="175">
        <f>H56/DAY(B2)</f>
        <v>16.155714285714048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'6'!F58</f>
        <v>6056.61</v>
      </c>
      <c r="F58" s="145">
        <v>6251.99</v>
      </c>
      <c r="G58" s="112">
        <f t="shared" si="4"/>
        <v>195.38000000000011</v>
      </c>
      <c r="H58" s="99">
        <f>G58+'6'!H58</f>
        <v>1455.7799999999997</v>
      </c>
      <c r="I58" s="95"/>
      <c r="J58" s="175">
        <f>H58/DAY(B2)</f>
        <v>207.96857142857138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5470.3700000000063</v>
      </c>
      <c r="H59" s="99">
        <f>G59+'6'!H59</f>
        <v>37205.47</v>
      </c>
      <c r="I59" s="95">
        <f>G7-G60</f>
        <v>1774.6699999999582</v>
      </c>
      <c r="J59" s="175">
        <f>H59/DAY(B2)</f>
        <v>5315.0671428571432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19780.050000000014</v>
      </c>
      <c r="H60" s="99">
        <f>G60+'6'!H60</f>
        <v>123115.57999999999</v>
      </c>
      <c r="I60" s="95">
        <f>G13-G60</f>
        <v>1186.8200000000106</v>
      </c>
      <c r="J60" s="175">
        <f>H60/DAY(B2)</f>
        <v>17587.939999999999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'6'!F62</f>
        <v>270146</v>
      </c>
      <c r="F62" s="122">
        <v>270288</v>
      </c>
      <c r="G62" s="112">
        <f t="shared" ref="G62:G63" si="5">F62-E62</f>
        <v>142</v>
      </c>
      <c r="H62" s="99">
        <f>G62+'6'!H62</f>
        <v>772</v>
      </c>
      <c r="I62" s="118"/>
      <c r="J62" s="175">
        <f>H62/DAY(B2)</f>
        <v>110.28571428571429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'6'!F63</f>
        <v>216616</v>
      </c>
      <c r="F63" s="122">
        <v>216740</v>
      </c>
      <c r="G63" s="112">
        <f t="shared" si="5"/>
        <v>124</v>
      </c>
      <c r="H63" s="99">
        <f>G63+'6'!H63</f>
        <v>943</v>
      </c>
      <c r="I63" s="118"/>
      <c r="J63" s="175">
        <f>H63/DAY(B2)</f>
        <v>134.71428571428572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'6'!F64</f>
        <v>0</v>
      </c>
      <c r="F64" s="122"/>
      <c r="G64" s="112">
        <f>G62+G63</f>
        <v>266</v>
      </c>
      <c r="H64" s="99">
        <f>G64+'6'!H64</f>
        <v>1715</v>
      </c>
      <c r="I64" s="118"/>
      <c r="J64" s="175">
        <f>H64/DAY(B2)</f>
        <v>245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'6'!F65</f>
        <v>435456</v>
      </c>
      <c r="F65" s="122">
        <v>435552</v>
      </c>
      <c r="G65" s="112">
        <f t="shared" ref="G65:G70" si="6">F65-E65</f>
        <v>96</v>
      </c>
      <c r="H65" s="99">
        <f>G65+'6'!H65</f>
        <v>629</v>
      </c>
      <c r="I65" s="118"/>
      <c r="J65" s="175">
        <f>H65/DAY(B2)</f>
        <v>89.857142857142861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'6'!F66</f>
        <v>107906</v>
      </c>
      <c r="F66" s="122">
        <v>107927</v>
      </c>
      <c r="G66" s="112">
        <f t="shared" si="6"/>
        <v>21</v>
      </c>
      <c r="H66" s="99">
        <f>G66+'6'!H66</f>
        <v>184</v>
      </c>
      <c r="I66" s="118"/>
      <c r="J66" s="175">
        <f>H66/DAY(B2)</f>
        <v>26.285714285714285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'6'!F67</f>
        <v>104784</v>
      </c>
      <c r="F67" s="150">
        <v>104814</v>
      </c>
      <c r="G67" s="112">
        <f t="shared" si="6"/>
        <v>30</v>
      </c>
      <c r="H67" s="99">
        <f>G67+'6'!H67</f>
        <v>166</v>
      </c>
      <c r="I67" s="118"/>
      <c r="J67" s="175">
        <f>H67/DAY(B2)</f>
        <v>23.714285714285715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'6'!F68</f>
        <v>157911</v>
      </c>
      <c r="F68" s="122">
        <v>157954</v>
      </c>
      <c r="G68" s="112">
        <f t="shared" si="6"/>
        <v>43</v>
      </c>
      <c r="H68" s="99">
        <f>G68+'6'!H68</f>
        <v>257</v>
      </c>
      <c r="I68" s="118"/>
      <c r="J68" s="175">
        <f>H68/DAY(B2)</f>
        <v>36.714285714285715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'6'!F69</f>
        <v>10604</v>
      </c>
      <c r="F69" s="122">
        <v>10619</v>
      </c>
      <c r="G69" s="112">
        <f t="shared" si="6"/>
        <v>15</v>
      </c>
      <c r="H69" s="99">
        <f>G69+'6'!H69</f>
        <v>78</v>
      </c>
      <c r="I69" s="118"/>
      <c r="J69" s="175">
        <f>H69/DAY(B2)</f>
        <v>11.142857142857142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'6'!F70</f>
        <v>8174</v>
      </c>
      <c r="F70" s="150">
        <v>8197</v>
      </c>
      <c r="G70" s="112">
        <f t="shared" si="6"/>
        <v>23</v>
      </c>
      <c r="H70" s="99">
        <f>G70+'6'!H70</f>
        <v>77</v>
      </c>
      <c r="I70" s="118"/>
      <c r="J70" s="175">
        <f>H70/DAY(B2)</f>
        <v>11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228</v>
      </c>
      <c r="H71" s="99">
        <f>G71+'6'!H71</f>
        <v>1391</v>
      </c>
      <c r="I71" s="154"/>
      <c r="J71" s="175">
        <f>H71/DAY(B2)</f>
        <v>198.71428571428572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'6'!F74</f>
        <v>903127.82</v>
      </c>
      <c r="F74" s="123">
        <v>903429.48</v>
      </c>
      <c r="G74" s="112">
        <f t="shared" ref="G74:G78" si="7">F74-E74</f>
        <v>301.6600000000326</v>
      </c>
      <c r="H74" s="99">
        <f>G74+'6'!H74</f>
        <v>2123.3310000000056</v>
      </c>
      <c r="I74" s="154"/>
      <c r="J74" s="175">
        <f>H74/DAY(B2)</f>
        <v>303.33300000000082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'6'!F76</f>
        <v>170697.91</v>
      </c>
      <c r="F76" s="123">
        <v>170796.4</v>
      </c>
      <c r="G76" s="112">
        <f t="shared" si="7"/>
        <v>98.489999999990687</v>
      </c>
      <c r="H76" s="99">
        <f>G76+'6'!H76</f>
        <v>821.39999999999418</v>
      </c>
      <c r="I76" s="154"/>
      <c r="J76" s="175">
        <f>H76/DAY(B2)</f>
        <v>117.34285714285632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'6'!F77</f>
        <v>41580.699999999997</v>
      </c>
      <c r="F77" s="123">
        <v>41636.6</v>
      </c>
      <c r="G77" s="112">
        <f t="shared" si="7"/>
        <v>55.900000000001455</v>
      </c>
      <c r="H77" s="99">
        <f>G77+'6'!H77</f>
        <v>334.40000000000146</v>
      </c>
      <c r="I77" s="154"/>
      <c r="J77" s="175">
        <f>H77/DAY(B2)</f>
        <v>47.771428571428778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'6'!F78</f>
        <v>9525.1</v>
      </c>
      <c r="F78" s="123">
        <v>9526</v>
      </c>
      <c r="G78" s="112">
        <f t="shared" si="7"/>
        <v>0.8999999999996362</v>
      </c>
      <c r="H78" s="99">
        <f>G78+'6'!H78</f>
        <v>10</v>
      </c>
      <c r="I78" s="118"/>
      <c r="J78" s="175">
        <f>H78/DAY(B2)</f>
        <v>1.4285714285714286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'6'!F79</f>
        <v>0</v>
      </c>
      <c r="F79" s="123"/>
      <c r="G79" s="112">
        <f>G15-SUM(G74:G78)</f>
        <v>573.73000000014326</v>
      </c>
      <c r="H79" s="99">
        <f>G79+'6'!H79</f>
        <v>3750.9220000000714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1030.6800000001676</v>
      </c>
      <c r="H80" s="99">
        <f>G80+'6'!H80</f>
        <v>1030.6800000001676</v>
      </c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'6'!F84</f>
        <v>41675</v>
      </c>
      <c r="F84" s="164">
        <v>41675</v>
      </c>
      <c r="G84" s="112">
        <f t="shared" si="8"/>
        <v>0</v>
      </c>
      <c r="H84" s="99">
        <f>G84+'6'!H84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'6'!F85</f>
        <v>2300.42</v>
      </c>
      <c r="F85" s="164">
        <v>2312.4899999999998</v>
      </c>
      <c r="G85" s="112">
        <f t="shared" si="8"/>
        <v>12.069999999999709</v>
      </c>
      <c r="H85" s="99">
        <f>G85+'6'!H85</f>
        <v>52.069999999999709</v>
      </c>
      <c r="I85" s="118">
        <f>G82+G83+G84+G85</f>
        <v>12.069999999999709</v>
      </c>
      <c r="J85" s="175">
        <f>H85/DAY(B2)</f>
        <v>7.4385714285713869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'6'!F86</f>
        <v>43547</v>
      </c>
      <c r="F86" s="164">
        <v>43560.3</v>
      </c>
      <c r="G86" s="112">
        <f t="shared" si="8"/>
        <v>13.30000000000291</v>
      </c>
      <c r="H86" s="99">
        <f>G86+'6'!H86</f>
        <v>118.30000000000291</v>
      </c>
      <c r="I86" s="118"/>
      <c r="J86" s="175">
        <f>H86/DAY(B2)</f>
        <v>16.900000000000414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'6'!F87</f>
        <v>34599.480000000003</v>
      </c>
      <c r="F87" s="164">
        <v>34599.480000000003</v>
      </c>
      <c r="G87" s="112">
        <f t="shared" si="8"/>
        <v>0</v>
      </c>
      <c r="H87" s="99">
        <f>G87+'6'!H87</f>
        <v>0.98000000000320142</v>
      </c>
      <c r="I87" s="118"/>
      <c r="J87" s="175">
        <f>H87/DAY(B2)</f>
        <v>0.14000000000045734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'6'!F88</f>
        <v>24063.43</v>
      </c>
      <c r="F88" s="164">
        <v>24063.43</v>
      </c>
      <c r="G88" s="112">
        <f t="shared" si="8"/>
        <v>0</v>
      </c>
      <c r="H88" s="99">
        <f>G88+'6'!H88</f>
        <v>0</v>
      </c>
      <c r="I88" s="118">
        <f>G86+G87+G88</f>
        <v>13.30000000000291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'6'!F89</f>
        <v>25949.58</v>
      </c>
      <c r="F89" s="164">
        <v>25959.37</v>
      </c>
      <c r="G89" s="112">
        <f t="shared" si="8"/>
        <v>9.7899999999972351</v>
      </c>
      <c r="H89" s="99">
        <f>G89+'6'!H89</f>
        <v>68.25</v>
      </c>
      <c r="I89" s="118"/>
      <c r="J89" s="175">
        <f>H89/DAY(B2)</f>
        <v>9.75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'6'!F90</f>
        <v>71175.759999999995</v>
      </c>
      <c r="F90" s="164">
        <v>71179.92</v>
      </c>
      <c r="G90" s="112">
        <f t="shared" si="8"/>
        <v>4.1600000000034925</v>
      </c>
      <c r="H90" s="99">
        <f>G90+'6'!H90</f>
        <v>16.599999999991269</v>
      </c>
      <c r="I90" s="118">
        <f>G89+G90</f>
        <v>13.950000000000728</v>
      </c>
      <c r="J90" s="175">
        <f>H90/DAY(B2)</f>
        <v>2.371428571427324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'6'!F91</f>
        <v>3318.58</v>
      </c>
      <c r="F91" s="122">
        <v>3329.68</v>
      </c>
      <c r="G91" s="112">
        <f t="shared" si="8"/>
        <v>11.099999999999909</v>
      </c>
      <c r="H91" s="99">
        <f>G91+'6'!H91</f>
        <v>78.589999999999691</v>
      </c>
      <c r="I91" s="165"/>
      <c r="J91" s="175">
        <f>H91/DAY(B2)</f>
        <v>11.227142857142812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'6'!F92</f>
        <v>5741.07</v>
      </c>
      <c r="F92" s="122">
        <v>5741.07</v>
      </c>
      <c r="G92" s="112">
        <f t="shared" si="8"/>
        <v>0</v>
      </c>
      <c r="H92" s="99">
        <f>G92+'6'!H92</f>
        <v>0</v>
      </c>
      <c r="I92" s="165"/>
      <c r="J92" s="175">
        <f>H92/DAY(B2)</f>
        <v>0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5309.0200000000041</v>
      </c>
      <c r="H94" s="99">
        <f>G94+'6'!H94</f>
        <v>33930.539999999994</v>
      </c>
      <c r="I94" s="118"/>
      <c r="J94" s="175">
        <f>H94/DAY(B2)</f>
        <v>4847.2199999999993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0.24630428973329327</v>
      </c>
      <c r="H95" s="99">
        <f>G95+'6'!H95</f>
        <v>1.7537378187689625</v>
      </c>
      <c r="I95" s="167"/>
      <c r="J95" s="175">
        <f>H95/DAY(B2)</f>
        <v>0.25053397410985179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4458.75</v>
      </c>
      <c r="H96" s="99">
        <f>G96+'6'!H96</f>
        <v>24840.859999999986</v>
      </c>
      <c r="I96" s="118"/>
      <c r="J96" s="175">
        <f>H96/DAY(B2)</f>
        <v>3548.6942857142835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0.20685724518806117</v>
      </c>
      <c r="H97" s="99">
        <f>G97+'6'!H97</f>
        <v>1.2884311240084536</v>
      </c>
      <c r="I97" s="167"/>
      <c r="J97" s="175">
        <f>H97/DAY(B2)</f>
        <v>0.18406158914406481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3066.4900000000052</v>
      </c>
      <c r="H98" s="99">
        <f>G98+'6'!H98</f>
        <v>19147.420000000006</v>
      </c>
      <c r="I98" s="168"/>
      <c r="J98" s="175">
        <f>H98/DAY(B2)</f>
        <v>2735.3457142857151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0.14226535997684076</v>
      </c>
      <c r="H99" s="99">
        <f>G99+'6'!H99</f>
        <v>0.99192469237956504</v>
      </c>
      <c r="I99" s="168"/>
      <c r="J99" s="175">
        <f>H99/DAY(B2)</f>
        <v>0.14170352748279499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2017.739999999998</v>
      </c>
      <c r="H100" s="99">
        <f>G100+'6'!H100</f>
        <v>12777.89</v>
      </c>
      <c r="I100" s="118"/>
      <c r="J100" s="175">
        <f>H100/DAY(B2)</f>
        <v>1825.4128571428571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9.361012344396033E-2</v>
      </c>
      <c r="H101" s="99">
        <f>G101+'6'!H101</f>
        <v>0.66101868416114085</v>
      </c>
      <c r="I101" s="168"/>
      <c r="J101" s="175">
        <f>H101/DAY(B2)</f>
        <v>9.4431240594448698E-2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2256.1900000000023</v>
      </c>
      <c r="H102" s="99">
        <f>G102+'6'!H102</f>
        <v>14777.050000000003</v>
      </c>
      <c r="I102" s="168"/>
      <c r="J102" s="175">
        <f>H102/DAY(B2)</f>
        <v>2111.0071428571432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0.10467266566209189</v>
      </c>
      <c r="H103" s="99">
        <f>G103+'6'!H103</f>
        <v>0.760396021102275</v>
      </c>
      <c r="I103" s="118"/>
      <c r="J103" s="175">
        <f>H103/DAY(B2)</f>
        <v>0.10862800301461072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1658.8400000000038</v>
      </c>
      <c r="H104" s="99">
        <f>G104+'6'!H104</f>
        <v>11255.840000000004</v>
      </c>
      <c r="I104" s="118"/>
      <c r="J104" s="175">
        <f>H104/DAY(B2)</f>
        <v>1607.9771428571435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7.6959478016880106E-2</v>
      </c>
      <c r="H105" s="99">
        <f>G105+'6'!H105</f>
        <v>0.58387955856575946</v>
      </c>
      <c r="I105" s="187"/>
      <c r="J105" s="188">
        <f>H105/DAY(B2)</f>
        <v>8.3411365509394209E-2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'6'!F112</f>
        <v>58512.91</v>
      </c>
      <c r="F112" s="237">
        <v>58586.720000000001</v>
      </c>
      <c r="G112" s="112">
        <f t="shared" ref="G112:G123" si="9">F112-E112</f>
        <v>73.809999999997672</v>
      </c>
      <c r="H112" s="99">
        <f>G112+'6'!H112</f>
        <v>532.72000000000116</v>
      </c>
      <c r="I112" s="165"/>
      <c r="J112" s="328">
        <f>H112/DAY(B2)</f>
        <v>76.102857142857303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'6'!F113</f>
        <v>49229.25</v>
      </c>
      <c r="F113" s="237">
        <v>49699.03</v>
      </c>
      <c r="G113" s="112">
        <f t="shared" si="9"/>
        <v>469.77999999999884</v>
      </c>
      <c r="H113" s="99">
        <f>G113+'6'!H113</f>
        <v>3298.1399999999994</v>
      </c>
      <c r="I113" s="165"/>
      <c r="J113" s="328">
        <f>H113/DAY(B2)</f>
        <v>471.16285714285704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'6'!F114</f>
        <v>34949.370000000003</v>
      </c>
      <c r="F114" s="237">
        <v>35418.1</v>
      </c>
      <c r="G114" s="112">
        <f t="shared" si="9"/>
        <v>468.72999999999593</v>
      </c>
      <c r="H114" s="99">
        <f>G114+'6'!H114</f>
        <v>2258.0999999999985</v>
      </c>
      <c r="I114" s="165"/>
      <c r="J114" s="328">
        <f>H114/DAY(B2)</f>
        <v>322.58571428571406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'6'!F115</f>
        <v>9159.51</v>
      </c>
      <c r="F115" s="237">
        <v>9168.2199999999993</v>
      </c>
      <c r="G115" s="112">
        <f t="shared" si="9"/>
        <v>8.7099999999991269</v>
      </c>
      <c r="H115" s="99">
        <f>G115+'6'!H115</f>
        <v>73.569999999999709</v>
      </c>
      <c r="I115" s="165"/>
      <c r="J115" s="328">
        <f>H115/DAY(B2)</f>
        <v>10.509999999999959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'6'!F116</f>
        <v>271.7</v>
      </c>
      <c r="F116" s="237">
        <v>642.16999999999996</v>
      </c>
      <c r="G116" s="112">
        <f t="shared" si="9"/>
        <v>370.46999999999997</v>
      </c>
      <c r="H116" s="99">
        <f>G116+'6'!H116</f>
        <v>642.16999999999996</v>
      </c>
      <c r="I116" s="165"/>
      <c r="J116" s="328">
        <f>H116/DAY(B2)</f>
        <v>91.738571428571419</v>
      </c>
      <c r="Q116" s="863" t="s">
        <v>311</v>
      </c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'6'!F117</f>
        <v>3720.53</v>
      </c>
      <c r="F117" s="237">
        <v>3869.46</v>
      </c>
      <c r="G117" s="112">
        <f t="shared" si="9"/>
        <v>148.92999999999984</v>
      </c>
      <c r="H117" s="99">
        <f>G117+'6'!H117</f>
        <v>531.51000000000022</v>
      </c>
      <c r="I117" s="165"/>
      <c r="J117" s="328">
        <f>H117/DAY(B2)</f>
        <v>75.930000000000035</v>
      </c>
      <c r="Q117" s="863" t="s">
        <v>312</v>
      </c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'6'!F118</f>
        <v>254422.41</v>
      </c>
      <c r="F118" s="237">
        <v>254777.55</v>
      </c>
      <c r="G118" s="112">
        <f t="shared" si="9"/>
        <v>355.13999999998487</v>
      </c>
      <c r="H118" s="99">
        <f>G118+'6'!H118</f>
        <v>2325.2399999999907</v>
      </c>
      <c r="I118" s="165"/>
      <c r="J118" s="328">
        <f>H118/DAY(B2)</f>
        <v>332.17714285714152</v>
      </c>
      <c r="Q118" s="863" t="s">
        <v>311</v>
      </c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'6'!F119</f>
        <v>260615.69</v>
      </c>
      <c r="F119" s="237">
        <v>261010.07</v>
      </c>
      <c r="G119" s="112">
        <f t="shared" si="9"/>
        <v>394.38000000000466</v>
      </c>
      <c r="H119" s="99">
        <f>G119+'6'!H119</f>
        <v>2861.5200000000186</v>
      </c>
      <c r="I119" s="165"/>
      <c r="J119" s="328">
        <f>H119/DAY(B2)</f>
        <v>408.78857142857407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'6'!F120</f>
        <v>45456.18</v>
      </c>
      <c r="F120" s="237">
        <v>45877.760000000002</v>
      </c>
      <c r="G120" s="112">
        <f t="shared" si="9"/>
        <v>421.58000000000175</v>
      </c>
      <c r="H120" s="99">
        <f>G120+'6'!H120</f>
        <v>2918.1500000000015</v>
      </c>
      <c r="I120" s="165"/>
      <c r="J120" s="328">
        <f>H120/DAY(B2)</f>
        <v>416.87857142857166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'6'!F121</f>
        <v>402376.51</v>
      </c>
      <c r="F121" s="237">
        <v>403126.07</v>
      </c>
      <c r="G121" s="112">
        <f t="shared" si="9"/>
        <v>749.55999999999767</v>
      </c>
      <c r="H121" s="99">
        <f>G121+'6'!H121</f>
        <v>5091.640000000014</v>
      </c>
      <c r="I121" s="165"/>
      <c r="J121" s="328">
        <f>H121/DAY(B2)</f>
        <v>727.3771428571448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'6'!F122</f>
        <v>127590.82</v>
      </c>
      <c r="F122" s="237">
        <v>127796.37</v>
      </c>
      <c r="G122" s="112">
        <f t="shared" si="9"/>
        <v>205.54999999998836</v>
      </c>
      <c r="H122" s="99">
        <f>G122+'6'!H122</f>
        <v>1610.1900000000023</v>
      </c>
      <c r="I122" s="165"/>
      <c r="J122" s="328">
        <f>H122/DAY(B2)</f>
        <v>230.02714285714319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'6'!F123</f>
        <v>155580.37</v>
      </c>
      <c r="F123" s="237">
        <v>155830.76999999999</v>
      </c>
      <c r="G123" s="112">
        <f t="shared" si="9"/>
        <v>250.39999999999418</v>
      </c>
      <c r="H123" s="99">
        <f>G123+'6'!H123</f>
        <v>1783.8199999999779</v>
      </c>
      <c r="I123" s="165"/>
      <c r="J123" s="328">
        <f>H123/DAY(B2)</f>
        <v>254.83142857142542</v>
      </c>
    </row>
    <row r="124" spans="1:18" ht="29.25" customHeight="1" x14ac:dyDescent="0.5">
      <c r="A124" s="867"/>
      <c r="B124" s="868"/>
      <c r="C124" s="869"/>
      <c r="D124" s="165"/>
      <c r="E124" s="165"/>
      <c r="F124" s="165"/>
      <c r="G124" s="327"/>
      <c r="H124" s="156"/>
      <c r="I124" s="165"/>
      <c r="J124" s="328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3917.0399999999627</v>
      </c>
      <c r="H125" s="156"/>
      <c r="I125" s="327">
        <f>G125-(G39+G53)</f>
        <v>850.54999999995744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'6'!F128</f>
        <v>49562.01</v>
      </c>
      <c r="F128" s="165">
        <v>49874.35</v>
      </c>
      <c r="G128" s="112">
        <f t="shared" ref="G128:G134" si="10">F128-E128</f>
        <v>312.33999999999651</v>
      </c>
      <c r="H128" s="99">
        <f>G128+'6'!H128</f>
        <v>2128.3499999999985</v>
      </c>
      <c r="I128" s="165"/>
      <c r="J128" s="328">
        <f>H128/DAY(B2)</f>
        <v>304.04999999999978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'6'!F129</f>
        <v>28096.99</v>
      </c>
      <c r="F129" s="165">
        <v>28324.45</v>
      </c>
      <c r="G129" s="112">
        <f t="shared" si="10"/>
        <v>227.45999999999913</v>
      </c>
      <c r="H129" s="99">
        <f>G129+'6'!H129</f>
        <v>1413.5800000000017</v>
      </c>
      <c r="I129" s="165"/>
      <c r="J129" s="328">
        <f>H129/DAY(B2)</f>
        <v>201.94000000000025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'6'!F130</f>
        <v>39082.31</v>
      </c>
      <c r="F130" s="165">
        <v>39667.769999999997</v>
      </c>
      <c r="G130" s="112">
        <f t="shared" si="10"/>
        <v>585.45999999999913</v>
      </c>
      <c r="H130" s="99">
        <f>G130+'6'!H130</f>
        <v>3973.7699999999968</v>
      </c>
      <c r="I130" s="165"/>
      <c r="J130" s="328">
        <f>H130/DAY(B2)</f>
        <v>567.68142857142811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'6'!F131</f>
        <v>15721.73</v>
      </c>
      <c r="F131" s="165">
        <v>15813.91</v>
      </c>
      <c r="G131" s="112">
        <f t="shared" si="10"/>
        <v>92.180000000000291</v>
      </c>
      <c r="H131" s="99">
        <f>G131+'6'!H131</f>
        <v>506.22999999999956</v>
      </c>
      <c r="I131" s="165"/>
      <c r="J131" s="328">
        <f>H131/DAY(B2)</f>
        <v>72.31857142857136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'6'!F132</f>
        <v>53675.95</v>
      </c>
      <c r="F132" s="165">
        <v>54117.24</v>
      </c>
      <c r="G132" s="112">
        <f t="shared" si="10"/>
        <v>441.29000000000087</v>
      </c>
      <c r="H132" s="99">
        <f>G132+'6'!H132</f>
        <v>2268.9399999999951</v>
      </c>
      <c r="I132" s="165"/>
      <c r="J132" s="328">
        <f>H132/DAY(B2)</f>
        <v>324.134285714285</v>
      </c>
    </row>
    <row r="133" spans="1:15" ht="27.75" x14ac:dyDescent="0.5">
      <c r="A133" s="863" t="s">
        <v>323</v>
      </c>
      <c r="B133" s="864"/>
      <c r="C133" s="865"/>
      <c r="D133" s="151" t="s">
        <v>183</v>
      </c>
      <c r="E133" s="95">
        <f>'6'!F133</f>
        <v>108975.65</v>
      </c>
      <c r="F133" s="165">
        <v>109652.68</v>
      </c>
      <c r="G133" s="112">
        <f t="shared" si="10"/>
        <v>677.02999999999884</v>
      </c>
      <c r="H133" s="99">
        <f>G133+'6'!H133</f>
        <v>4308.9799999999959</v>
      </c>
      <c r="I133" s="165"/>
      <c r="J133" s="328">
        <f>H133/DAY(B2)</f>
        <v>615.56857142857086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'6'!F134</f>
        <v>9673.0499999999993</v>
      </c>
      <c r="F134" s="165">
        <v>9919.08</v>
      </c>
      <c r="G134" s="112">
        <f t="shared" si="10"/>
        <v>246.03000000000065</v>
      </c>
      <c r="H134" s="99">
        <f>G134+'6'!H134</f>
        <v>1317.8500000000004</v>
      </c>
      <c r="I134" s="165"/>
      <c r="J134" s="328">
        <f>H134/DAY(B2)</f>
        <v>188.26428571428576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2581.7899999999954</v>
      </c>
      <c r="H135" s="99">
        <f>G135+'6'!H135</f>
        <v>15917.699999999988</v>
      </c>
      <c r="I135" s="327">
        <f>G135-(G35+G49)</f>
        <v>-518.55000000000109</v>
      </c>
      <c r="J135" s="328" t="e">
        <f t="shared" ref="J135" si="11">H135/DAY(B54)</f>
        <v>#DIV/0!</v>
      </c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'6'!F138</f>
        <v>866659</v>
      </c>
      <c r="F138" s="147">
        <v>866739</v>
      </c>
      <c r="G138" s="112">
        <f t="shared" ref="G138:G152" si="12">F138-E138</f>
        <v>80</v>
      </c>
      <c r="H138" s="99">
        <f>G138+'6'!H138</f>
        <v>566</v>
      </c>
      <c r="I138" s="118"/>
      <c r="J138" s="328">
        <f>H138/DAY(B2)</f>
        <v>80.857142857142861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'6'!F139</f>
        <v>886596</v>
      </c>
      <c r="F139" s="148">
        <v>886629</v>
      </c>
      <c r="G139" s="112">
        <f t="shared" si="12"/>
        <v>33</v>
      </c>
      <c r="H139" s="99">
        <f>G139+'6'!H139</f>
        <v>56</v>
      </c>
      <c r="I139" s="118"/>
      <c r="J139" s="328">
        <f>H139/DAY(B2)</f>
        <v>8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'6'!F140</f>
        <v>88937</v>
      </c>
      <c r="F140" s="149">
        <v>88938</v>
      </c>
      <c r="G140" s="112">
        <f t="shared" si="12"/>
        <v>1</v>
      </c>
      <c r="H140" s="99">
        <f>G140+'6'!H140</f>
        <v>16</v>
      </c>
      <c r="I140" s="118"/>
      <c r="J140" s="328">
        <f>H140/DAY(B2)</f>
        <v>2.2857142857142856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'6'!F141</f>
        <v>55727.57</v>
      </c>
      <c r="F141" s="149">
        <v>55907.86</v>
      </c>
      <c r="G141" s="112">
        <f t="shared" si="12"/>
        <v>180.29000000000087</v>
      </c>
      <c r="H141" s="99">
        <f>G141+'6'!H141</f>
        <v>1222.2799999999988</v>
      </c>
      <c r="I141" s="118"/>
      <c r="J141" s="328">
        <f>H141/DAY(B2)</f>
        <v>174.61142857142841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'6'!F142</f>
        <v>21693</v>
      </c>
      <c r="F142" s="148">
        <v>21767.8</v>
      </c>
      <c r="G142" s="112">
        <f t="shared" si="12"/>
        <v>74.799999999999272</v>
      </c>
      <c r="H142" s="99">
        <f>G142+'6'!H142</f>
        <v>483.70000000000073</v>
      </c>
      <c r="I142" s="140"/>
      <c r="J142" s="328">
        <f>H142/DAY(B2)</f>
        <v>69.100000000000108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'6'!F143</f>
        <v>4000.64</v>
      </c>
      <c r="F143" s="149">
        <v>4027</v>
      </c>
      <c r="G143" s="112">
        <f t="shared" si="12"/>
        <v>26.360000000000127</v>
      </c>
      <c r="H143" s="99">
        <f>G143+'6'!H143</f>
        <v>191.61000000000013</v>
      </c>
      <c r="I143" s="140"/>
      <c r="J143" s="328">
        <f>H143/DAY(B2)</f>
        <v>27.372857142857161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'6'!F144</f>
        <v>877740</v>
      </c>
      <c r="F144" s="149">
        <v>877957</v>
      </c>
      <c r="G144" s="112">
        <f t="shared" si="12"/>
        <v>217</v>
      </c>
      <c r="H144" s="99">
        <f>G144+'6'!H144</f>
        <v>1470</v>
      </c>
      <c r="I144" s="140"/>
      <c r="J144" s="328">
        <f>H144/DAY(B2)</f>
        <v>210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'6'!F145</f>
        <v>5030.25</v>
      </c>
      <c r="F145" s="149">
        <v>5042.8500000000004</v>
      </c>
      <c r="G145" s="112">
        <f t="shared" si="12"/>
        <v>12.600000000000364</v>
      </c>
      <c r="H145" s="99">
        <f>G145+'6'!H145</f>
        <v>84.010000000000218</v>
      </c>
      <c r="I145" s="140"/>
      <c r="J145" s="328">
        <f>H145/DAY(B2)</f>
        <v>12.001428571428603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'6'!F146</f>
        <v>739823</v>
      </c>
      <c r="F146" s="148">
        <v>740287</v>
      </c>
      <c r="G146" s="112">
        <f t="shared" si="12"/>
        <v>464</v>
      </c>
      <c r="H146" s="99">
        <f>G146+'6'!H146</f>
        <v>2954</v>
      </c>
      <c r="I146" s="140"/>
      <c r="J146" s="328">
        <f>H146/DAY(B2)</f>
        <v>422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'6'!F147</f>
        <v>628961.16</v>
      </c>
      <c r="F147" s="148">
        <v>629374.43999999994</v>
      </c>
      <c r="G147" s="112">
        <f t="shared" si="12"/>
        <v>413.27999999991152</v>
      </c>
      <c r="H147" s="99">
        <f>G147+'6'!H147</f>
        <v>2761.9199999999255</v>
      </c>
      <c r="I147" s="140"/>
      <c r="J147" s="328">
        <f>H147/DAY(B2)</f>
        <v>394.55999999998937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'6'!F148</f>
        <v>691199.28</v>
      </c>
      <c r="F148" s="150">
        <v>691527.76</v>
      </c>
      <c r="G148" s="112">
        <f t="shared" si="12"/>
        <v>328.47999999998137</v>
      </c>
      <c r="H148" s="99">
        <f>G148+'6'!H148</f>
        <v>2084.8000000000466</v>
      </c>
      <c r="I148" s="124"/>
      <c r="J148" s="328">
        <f>H148/DAY(B2)</f>
        <v>297.82857142857807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'6'!F149</f>
        <v>27603.7</v>
      </c>
      <c r="F149" s="146">
        <v>28230.75</v>
      </c>
      <c r="G149" s="112">
        <f t="shared" si="12"/>
        <v>627.04999999999927</v>
      </c>
      <c r="H149" s="99">
        <f>G149+'6'!H149</f>
        <v>3552.5499999999993</v>
      </c>
      <c r="I149" s="119"/>
      <c r="J149" s="328">
        <f>H149/DAY(B2)</f>
        <v>507.50714285714275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'6'!F150</f>
        <v>12187.24</v>
      </c>
      <c r="F150" s="233">
        <v>12423.9</v>
      </c>
      <c r="G150" s="112">
        <f t="shared" si="12"/>
        <v>236.65999999999985</v>
      </c>
      <c r="H150" s="99">
        <f>G150+'6'!H150</f>
        <v>1573.0699999999997</v>
      </c>
      <c r="I150" s="119"/>
      <c r="J150" s="328">
        <f>H150/DAY(B2)</f>
        <v>224.72428571428568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'6'!F151</f>
        <v>86969</v>
      </c>
      <c r="F151" s="233">
        <v>87220</v>
      </c>
      <c r="G151" s="112">
        <f t="shared" si="12"/>
        <v>251</v>
      </c>
      <c r="H151" s="99">
        <f>G151+'6'!H151</f>
        <v>1740</v>
      </c>
      <c r="I151" s="119"/>
      <c r="J151" s="328">
        <f>H151/DAY(B2)</f>
        <v>248.57142857142858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'6'!F152</f>
        <v>1937.24</v>
      </c>
      <c r="F152" s="233">
        <v>1999.73</v>
      </c>
      <c r="G152" s="112">
        <f t="shared" si="12"/>
        <v>62.490000000000009</v>
      </c>
      <c r="H152" s="99">
        <f>G152+'6'!H152</f>
        <v>339.73</v>
      </c>
      <c r="I152" s="119"/>
      <c r="J152" s="328">
        <f>H152/DAY(B2)</f>
        <v>48.532857142857146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3008.0099999998929</v>
      </c>
      <c r="H153" s="363"/>
      <c r="I153" s="119" t="s">
        <v>207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'6'!F155</f>
        <v>36477.51</v>
      </c>
      <c r="F155" s="374">
        <v>37208.25</v>
      </c>
      <c r="G155" s="112">
        <f t="shared" ref="G155:G156" si="13">F155-E155</f>
        <v>730.73999999999796</v>
      </c>
      <c r="H155" s="99">
        <f>G155+'6'!H155</f>
        <v>4263.25</v>
      </c>
      <c r="I155" s="364"/>
      <c r="J155" s="328">
        <f>H155/DAY(B2)</f>
        <v>609.03571428571433</v>
      </c>
    </row>
    <row r="156" spans="1:10" ht="27.75" x14ac:dyDescent="0.5">
      <c r="A156" s="843" t="s">
        <v>346</v>
      </c>
      <c r="B156" s="843"/>
      <c r="C156" s="843"/>
      <c r="D156" s="117" t="s">
        <v>130</v>
      </c>
      <c r="E156" s="95">
        <f>'6'!F156</f>
        <v>3047.12</v>
      </c>
      <c r="F156" s="155">
        <v>3101.97</v>
      </c>
      <c r="G156" s="112">
        <f t="shared" si="13"/>
        <v>54.849999999999909</v>
      </c>
      <c r="H156" s="99">
        <f>G156+'6'!H156</f>
        <v>313.9699999999998</v>
      </c>
      <c r="I156" s="165"/>
      <c r="J156" s="328">
        <f>H156/DAY(B2)</f>
        <v>44.852857142857111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/>
      <c r="F157" s="165"/>
      <c r="G157" s="112"/>
      <c r="H157" s="99"/>
      <c r="I157" s="165"/>
      <c r="J157" s="328"/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/>
      <c r="F158" s="165"/>
      <c r="G158" s="112"/>
      <c r="H158" s="99"/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'6'!F161</f>
        <v>472353.84</v>
      </c>
      <c r="F161" s="235">
        <v>472392.44</v>
      </c>
      <c r="G161" s="238">
        <f t="shared" ref="G161:G165" si="14">F161-E161</f>
        <v>38.599999999976717</v>
      </c>
      <c r="H161" s="99">
        <f>G161+'6'!H161</f>
        <v>338.88000000000466</v>
      </c>
      <c r="I161" s="236"/>
      <c r="J161" s="239">
        <f>H161/DAY(B2)</f>
        <v>48.411428571429234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'6'!F162</f>
        <v>88722.3</v>
      </c>
      <c r="F162" s="235">
        <v>88761.7</v>
      </c>
      <c r="G162" s="238">
        <f t="shared" si="14"/>
        <v>39.399999999994179</v>
      </c>
      <c r="H162" s="99">
        <f>G162+'6'!H162</f>
        <v>245.30000000000291</v>
      </c>
      <c r="I162" s="236"/>
      <c r="J162" s="239">
        <f>H162/DAY(B2)</f>
        <v>35.042857142857557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'6'!F163</f>
        <v>79418.8</v>
      </c>
      <c r="F163" s="235">
        <v>79454.600000000006</v>
      </c>
      <c r="G163" s="238">
        <f t="shared" si="14"/>
        <v>35.80000000000291</v>
      </c>
      <c r="H163" s="99">
        <f>G163+'6'!H163</f>
        <v>234.5</v>
      </c>
      <c r="I163" s="236"/>
      <c r="J163" s="239">
        <f>H163/DAY(B2)</f>
        <v>33.5</v>
      </c>
    </row>
    <row r="164" spans="1:10" ht="30" customHeight="1" x14ac:dyDescent="0.5">
      <c r="A164" s="242" t="s">
        <v>197</v>
      </c>
      <c r="B164" s="243"/>
      <c r="C164" s="243"/>
      <c r="D164" s="244" t="s">
        <v>180</v>
      </c>
      <c r="E164" s="95">
        <f>'6'!F164</f>
        <v>4324.7</v>
      </c>
      <c r="F164" s="235">
        <v>4326.1000000000004</v>
      </c>
      <c r="G164" s="238">
        <f t="shared" si="14"/>
        <v>1.4000000000005457</v>
      </c>
      <c r="H164" s="99">
        <f>G164+'6'!H164</f>
        <v>6.1000000000003638</v>
      </c>
      <c r="I164" s="236"/>
      <c r="J164" s="239">
        <f>H164/DAY(B2)</f>
        <v>0.8714285714286234</v>
      </c>
    </row>
    <row r="165" spans="1:10" ht="28.5" customHeight="1" x14ac:dyDescent="0.5">
      <c r="A165" s="242" t="s">
        <v>309</v>
      </c>
      <c r="B165" s="243"/>
      <c r="C165" s="243"/>
      <c r="D165" s="244" t="s">
        <v>180</v>
      </c>
      <c r="E165" s="95">
        <f>'6'!F165</f>
        <v>29906.28</v>
      </c>
      <c r="F165" s="235">
        <v>29916.62</v>
      </c>
      <c r="G165" s="238">
        <f t="shared" si="14"/>
        <v>10.340000000000146</v>
      </c>
      <c r="H165" s="99">
        <f>G165+'6'!H165</f>
        <v>59.369999999998981</v>
      </c>
      <c r="I165" s="236"/>
      <c r="J165" s="239">
        <f>H165/DAY(B2)</f>
        <v>8.4814285714284257</v>
      </c>
    </row>
    <row r="166" spans="1:10" ht="25.5" customHeight="1" x14ac:dyDescent="0.5">
      <c r="A166" s="852"/>
      <c r="B166" s="852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'6'!F173</f>
        <v>8126</v>
      </c>
      <c r="F173" s="155">
        <v>8126</v>
      </c>
      <c r="G173" s="155">
        <f>F173-E173</f>
        <v>0</v>
      </c>
      <c r="H173" s="99">
        <f>G173+'6'!H173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'6'!F174</f>
        <v>38692</v>
      </c>
      <c r="F174" s="157">
        <v>38706</v>
      </c>
      <c r="G174" s="155">
        <f t="shared" ref="G174:G175" si="15">F174-E174</f>
        <v>14</v>
      </c>
      <c r="H174" s="99">
        <f>G174+'6'!H174</f>
        <v>91</v>
      </c>
      <c r="I174" s="155"/>
      <c r="J174" s="178">
        <f>H174/DAY(B2)</f>
        <v>13</v>
      </c>
    </row>
    <row r="175" spans="1:10" ht="27.75" x14ac:dyDescent="0.5">
      <c r="A175" s="856" t="s">
        <v>76</v>
      </c>
      <c r="B175" s="896"/>
      <c r="C175" s="857"/>
      <c r="D175" s="228" t="s">
        <v>142</v>
      </c>
      <c r="E175" s="95">
        <f>'6'!F175</f>
        <v>21873</v>
      </c>
      <c r="F175" s="155">
        <v>21883</v>
      </c>
      <c r="G175" s="155">
        <f t="shared" si="15"/>
        <v>10</v>
      </c>
      <c r="H175" s="99">
        <f>G175+'6'!H175</f>
        <v>70</v>
      </c>
      <c r="I175" s="155"/>
      <c r="J175" s="178">
        <f>H175/DAY(B2)</f>
        <v>10</v>
      </c>
    </row>
    <row r="176" spans="1:10" ht="27.75" x14ac:dyDescent="0.5">
      <c r="A176" s="589" t="s">
        <v>196</v>
      </c>
      <c r="B176" s="590"/>
      <c r="C176" s="333"/>
      <c r="D176" s="228" t="s">
        <v>142</v>
      </c>
      <c r="E176" s="95"/>
      <c r="F176" s="155"/>
      <c r="G176" s="155">
        <f>SUM(G173:G175)</f>
        <v>24</v>
      </c>
      <c r="H176" s="99">
        <f>G176+'6'!H176</f>
        <v>161</v>
      </c>
      <c r="I176" s="155"/>
      <c r="J176" s="178">
        <f>H176/DAY(B2)</f>
        <v>23</v>
      </c>
    </row>
    <row r="177" spans="1:10" ht="27.75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'6'!F178</f>
        <v>81649</v>
      </c>
      <c r="F178" s="155">
        <v>81717</v>
      </c>
      <c r="G178" s="155">
        <f>F178-E178</f>
        <v>68</v>
      </c>
      <c r="H178" s="99">
        <f>G178+'6'!H178</f>
        <v>402</v>
      </c>
      <c r="I178" s="155"/>
      <c r="J178" s="178">
        <f>H178/DAY(B2)</f>
        <v>57.428571428571431</v>
      </c>
    </row>
    <row r="179" spans="1:10" ht="27.75" x14ac:dyDescent="0.5">
      <c r="A179" s="856" t="s">
        <v>211</v>
      </c>
      <c r="B179" s="857"/>
      <c r="C179" s="333"/>
      <c r="D179" s="228" t="s">
        <v>142</v>
      </c>
      <c r="E179" s="95">
        <f>'6'!F179</f>
        <v>35028</v>
      </c>
      <c r="F179" s="155">
        <v>35073</v>
      </c>
      <c r="G179" s="155">
        <f t="shared" ref="G179:G180" si="16">F179-E179</f>
        <v>45</v>
      </c>
      <c r="H179" s="99">
        <f>G179+'6'!H179</f>
        <v>270</v>
      </c>
      <c r="I179" s="155"/>
      <c r="J179" s="178">
        <f>H179/DAY(B2)</f>
        <v>38.571428571428569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'6'!F180</f>
        <v>5748</v>
      </c>
      <c r="F180" s="155">
        <v>5748</v>
      </c>
      <c r="G180" s="155">
        <f t="shared" si="16"/>
        <v>0</v>
      </c>
      <c r="H180" s="99">
        <f>G180+'6'!H180</f>
        <v>46</v>
      </c>
      <c r="I180" s="155"/>
      <c r="J180" s="178">
        <f>H180/DAY(B2)</f>
        <v>6.5714285714285712</v>
      </c>
    </row>
    <row r="181" spans="1:10" ht="27.75" x14ac:dyDescent="0.5">
      <c r="A181" s="858" t="s">
        <v>108</v>
      </c>
      <c r="B181" s="859"/>
      <c r="C181" s="333"/>
      <c r="D181" s="228" t="s">
        <v>142</v>
      </c>
      <c r="E181" s="95"/>
      <c r="F181" s="155"/>
      <c r="G181" s="155">
        <f>SUM(G178:G180)</f>
        <v>113</v>
      </c>
      <c r="H181" s="99">
        <f>G181+'6'!H181</f>
        <v>718</v>
      </c>
      <c r="I181" s="155"/>
      <c r="J181" s="178">
        <f>H181/DAY(B2)</f>
        <v>102.57142857142857</v>
      </c>
    </row>
    <row r="182" spans="1:10" ht="27.75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'6'!F183</f>
        <v>15421</v>
      </c>
      <c r="F183" s="157">
        <v>15439</v>
      </c>
      <c r="G183" s="157">
        <f>F183-E183</f>
        <v>18</v>
      </c>
      <c r="H183" s="99">
        <f>G183+'6'!H183</f>
        <v>94</v>
      </c>
      <c r="I183" s="155"/>
      <c r="J183" s="178">
        <f>H183/DAY(B2)</f>
        <v>13.428571428571429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'6'!F184</f>
        <v>10561</v>
      </c>
      <c r="F184" s="157">
        <v>10575</v>
      </c>
      <c r="G184" s="157">
        <f t="shared" ref="G184:G185" si="17">F184-E184</f>
        <v>14</v>
      </c>
      <c r="H184" s="99">
        <f>G184+'6'!H184</f>
        <v>57</v>
      </c>
      <c r="I184" s="155"/>
      <c r="J184" s="178">
        <f>H184/DAY(B2)</f>
        <v>8.1428571428571423</v>
      </c>
    </row>
    <row r="185" spans="1:10" ht="27.75" x14ac:dyDescent="0.5">
      <c r="A185" s="856" t="s">
        <v>216</v>
      </c>
      <c r="B185" s="857"/>
      <c r="C185" s="334"/>
      <c r="D185" s="228" t="s">
        <v>142</v>
      </c>
      <c r="E185" s="95">
        <f>'6'!F185</f>
        <v>0</v>
      </c>
      <c r="F185" s="157"/>
      <c r="G185" s="157">
        <f t="shared" si="17"/>
        <v>0</v>
      </c>
      <c r="H185" s="99">
        <f>G185+'6'!H185</f>
        <v>0</v>
      </c>
      <c r="I185" s="155"/>
      <c r="J185" s="178">
        <f>H185/DAY(B2)</f>
        <v>0</v>
      </c>
    </row>
    <row r="186" spans="1:10" ht="27.75" x14ac:dyDescent="0.5">
      <c r="A186" s="847" t="s">
        <v>196</v>
      </c>
      <c r="B186" s="848"/>
      <c r="C186" s="334"/>
      <c r="D186" s="228" t="s">
        <v>142</v>
      </c>
      <c r="E186" s="95"/>
      <c r="F186" s="157"/>
      <c r="G186" s="157">
        <f>SUM(G183:G185)</f>
        <v>32</v>
      </c>
      <c r="H186" s="99">
        <f>G186+'6'!H186</f>
        <v>151</v>
      </c>
      <c r="I186" s="157"/>
      <c r="J186" s="178">
        <f>H186/DAY(B2)</f>
        <v>21.571428571428573</v>
      </c>
    </row>
    <row r="187" spans="1:10" ht="27.75" x14ac:dyDescent="0.5">
      <c r="A187" s="849" t="s">
        <v>217</v>
      </c>
      <c r="B187" s="850"/>
      <c r="C187" s="333"/>
      <c r="D187" s="228" t="s">
        <v>142</v>
      </c>
      <c r="E187" s="95"/>
      <c r="F187" s="159"/>
      <c r="G187" s="460">
        <f>G62+G19</f>
        <v>194</v>
      </c>
      <c r="H187" s="99">
        <f>G187+'6'!H187</f>
        <v>1125</v>
      </c>
      <c r="I187" s="158"/>
      <c r="J187" s="179">
        <f>H187/DAY(B2)</f>
        <v>160.71428571428572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185</v>
      </c>
      <c r="H188" s="99">
        <f>G188+'6'!H188</f>
        <v>1134</v>
      </c>
      <c r="I188" s="158"/>
      <c r="J188" s="179">
        <f>H188/DAY(B2)</f>
        <v>162</v>
      </c>
    </row>
    <row r="189" spans="1:10" ht="27.75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113</v>
      </c>
      <c r="H189" s="99">
        <f>G189+'6'!H189</f>
        <v>718</v>
      </c>
      <c r="I189" s="158"/>
      <c r="J189" s="179">
        <f>H189/DAY(B2)</f>
        <v>102.57142857142857</v>
      </c>
    </row>
    <row r="190" spans="1:10" ht="27.75" x14ac:dyDescent="0.5">
      <c r="A190" s="770"/>
      <c r="B190" s="771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topLeftCell="A106" zoomScale="55" zoomScaleSheetLayoutView="55" workbookViewId="0">
      <selection activeCell="E159" sqref="E15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357</v>
      </c>
      <c r="B2" s="262">
        <v>44600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'7'!F7</f>
        <v>786589.27</v>
      </c>
      <c r="F7" s="95">
        <v>806257</v>
      </c>
      <c r="G7" s="112">
        <f>F7-E7</f>
        <v>19667.729999999981</v>
      </c>
      <c r="H7" s="99">
        <f>G7+'7'!H7</f>
        <v>155076.77000000002</v>
      </c>
      <c r="I7" s="113">
        <f>'1'!I7</f>
        <v>12000</v>
      </c>
      <c r="J7" s="175">
        <f>H7/DAY(B2)</f>
        <v>19384.596250000002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'7'!F8</f>
        <v>845323.91</v>
      </c>
      <c r="F8" s="114">
        <v>865054</v>
      </c>
      <c r="G8" s="115">
        <f>F8-E8</f>
        <v>19730.089999999967</v>
      </c>
      <c r="H8" s="99">
        <f>G8+'7'!H8</f>
        <v>156505.84999999998</v>
      </c>
      <c r="I8" s="116"/>
      <c r="J8" s="175">
        <f>H8/DAY(B2)</f>
        <v>19563.231249999997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'7'!F9</f>
        <v>375444.15</v>
      </c>
      <c r="F9" s="117">
        <v>391914</v>
      </c>
      <c r="G9" s="112">
        <f>F9-E9</f>
        <v>16469.849999999977</v>
      </c>
      <c r="H9" s="99">
        <f>G9+'7'!H9</f>
        <v>109660.15000000002</v>
      </c>
      <c r="I9" s="124">
        <f>I7-J7</f>
        <v>-7384.5962500000023</v>
      </c>
      <c r="J9" s="175">
        <f>H9/DAY(B2)</f>
        <v>13707.518750000003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'7'!F10</f>
        <v>143734.95000000001</v>
      </c>
      <c r="F10" s="117">
        <v>146363</v>
      </c>
      <c r="G10" s="112">
        <f t="shared" ref="G10:G12" si="0">F10-E10</f>
        <v>2628.0499999999884</v>
      </c>
      <c r="H10" s="99">
        <f>G10+'7'!H10</f>
        <v>41104.03</v>
      </c>
      <c r="I10" s="282"/>
      <c r="J10" s="175">
        <f>H10/DAY(B2)</f>
        <v>5138.0037499999999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'7'!F11</f>
        <v>37170</v>
      </c>
      <c r="F11" s="95">
        <v>37170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19097.899999999965</v>
      </c>
      <c r="H13" s="99">
        <f>G13+'7'!H13</f>
        <v>134009.75</v>
      </c>
      <c r="I13" s="120">
        <f>G7-G13</f>
        <v>569.8300000000163</v>
      </c>
      <c r="J13" s="175">
        <f>H13/DAY(B2)</f>
        <v>16751.21875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'7'!F15</f>
        <v>1913676.82</v>
      </c>
      <c r="F15" s="123">
        <v>1914729</v>
      </c>
      <c r="G15" s="112">
        <f>(F15-E15)</f>
        <v>1052.1799999999348</v>
      </c>
      <c r="H15" s="99">
        <f>G15+'7'!H15</f>
        <v>8092.2330000000075</v>
      </c>
      <c r="I15" s="113">
        <f>'1'!I15</f>
        <v>800</v>
      </c>
      <c r="J15" s="175">
        <f>H15/DAY(B2)</f>
        <v>1011.5291250000009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-211.52912500000093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'7'!F18</f>
        <v>19</v>
      </c>
      <c r="F18" s="122">
        <v>18</v>
      </c>
      <c r="G18" s="119">
        <f>F18*10</f>
        <v>180</v>
      </c>
      <c r="H18" s="99">
        <f>G18+'7'!H18</f>
        <v>1550</v>
      </c>
      <c r="I18" s="113">
        <f>'1'!I18</f>
        <v>65</v>
      </c>
      <c r="J18" s="175">
        <f>H18/DAY(B2)</f>
        <v>193.75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'7'!F19</f>
        <v>154244</v>
      </c>
      <c r="F19" s="122">
        <v>154296</v>
      </c>
      <c r="G19" s="112">
        <f t="shared" ref="G19" si="1">F19-E19</f>
        <v>52</v>
      </c>
      <c r="H19" s="99">
        <f>G19+'7'!H19</f>
        <v>405</v>
      </c>
      <c r="I19" s="335"/>
      <c r="J19" s="175">
        <f>H19/DAY(B2)</f>
        <v>50.625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232</v>
      </c>
      <c r="H20" s="99">
        <f>G20+'7'!H20</f>
        <v>1955</v>
      </c>
      <c r="I20" s="336">
        <f>I18-J20</f>
        <v>-179.375</v>
      </c>
      <c r="J20" s="175">
        <f>H20/DAY(B2)</f>
        <v>244.375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'7'!F23</f>
        <v>1500</v>
      </c>
      <c r="F23" s="122">
        <v>1500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19730.089999999967</v>
      </c>
      <c r="F27" s="136">
        <v>9</v>
      </c>
      <c r="G27" s="137">
        <f>E27*F27</f>
        <v>177570.80999999971</v>
      </c>
      <c r="H27" s="99">
        <f>G27+'7'!H27</f>
        <v>1408552.65</v>
      </c>
      <c r="I27" s="138"/>
      <c r="J27" s="175">
        <f>H27/DAY(B2)</f>
        <v>176069.08124999999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1052.1799999999348</v>
      </c>
      <c r="F28" s="136">
        <v>52</v>
      </c>
      <c r="G28" s="137">
        <f>E28*F28</f>
        <v>54713.35999999661</v>
      </c>
      <c r="H28" s="99">
        <f>G28+'7'!H28</f>
        <v>420796.11600000039</v>
      </c>
      <c r="I28" s="140"/>
      <c r="J28" s="175">
        <f>H28/DAY(B2)</f>
        <v>52599.514500000048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G30+'7'!H30</f>
        <v>59130</v>
      </c>
      <c r="I30" s="140"/>
      <c r="J30" s="175">
        <f>H30/DAY(B2)</f>
        <v>7391.25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G31+'7'!H31</f>
        <v>124000</v>
      </c>
      <c r="I31" s="140"/>
      <c r="J31" s="175">
        <f>H31/DAY(B2)</f>
        <v>15500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254276.16999999632</v>
      </c>
      <c r="H32" s="99">
        <f>G32+'7'!H32</f>
        <v>2012478.7660000003</v>
      </c>
      <c r="I32" s="144"/>
      <c r="J32" s="175">
        <f>H32/DAY(B2)</f>
        <v>251559.84575000004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'7'!F35</f>
        <v>42175.199999999997</v>
      </c>
      <c r="F35" s="145">
        <v>43930</v>
      </c>
      <c r="G35" s="112">
        <f t="shared" ref="G35:G46" si="3">F35-E35</f>
        <v>1754.8000000000029</v>
      </c>
      <c r="H35" s="99">
        <f>G35+'7'!H35</f>
        <v>11925.02</v>
      </c>
      <c r="I35" s="95"/>
      <c r="J35" s="175">
        <f>H35/DAY(B2)</f>
        <v>1490.6275000000001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'7'!F36</f>
        <v>49874.559999999998</v>
      </c>
      <c r="F36" s="145">
        <v>50674</v>
      </c>
      <c r="G36" s="112">
        <f t="shared" si="3"/>
        <v>799.44000000000233</v>
      </c>
      <c r="H36" s="99">
        <f>G36+'7'!H36</f>
        <v>7215.260000000002</v>
      </c>
      <c r="I36" s="95"/>
      <c r="J36" s="175">
        <f>H36/DAY(B2)</f>
        <v>901.90750000000025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'7'!F37</f>
        <v>46680.93</v>
      </c>
      <c r="F37" s="145">
        <v>48290</v>
      </c>
      <c r="G37" s="112">
        <f t="shared" si="3"/>
        <v>1609.0699999999997</v>
      </c>
      <c r="H37" s="99">
        <f>G37+'7'!H37</f>
        <v>12864.910000000003</v>
      </c>
      <c r="I37" s="95"/>
      <c r="J37" s="175">
        <f>H37/DAY(B2)</f>
        <v>1608.1137500000004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'7'!F38</f>
        <v>51154.32</v>
      </c>
      <c r="F38" s="108">
        <v>53069</v>
      </c>
      <c r="G38" s="112">
        <f t="shared" si="3"/>
        <v>1914.6800000000003</v>
      </c>
      <c r="H38" s="99">
        <f>G38+'7'!H38</f>
        <v>14692.57</v>
      </c>
      <c r="I38" s="95"/>
      <c r="J38" s="175">
        <f>H38/DAY(B2)</f>
        <v>1836.57125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'7'!F39</f>
        <v>78320.710000000006</v>
      </c>
      <c r="F39" s="145">
        <v>81244</v>
      </c>
      <c r="G39" s="112">
        <f t="shared" si="3"/>
        <v>2923.2899999999936</v>
      </c>
      <c r="H39" s="99">
        <f>G39+'7'!H39</f>
        <v>22070.71</v>
      </c>
      <c r="I39" s="95"/>
      <c r="J39" s="175">
        <f>H39/DAY(B2)</f>
        <v>2758.8387499999999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'7'!F40</f>
        <v>24204.77</v>
      </c>
      <c r="F40" s="145">
        <v>24519</v>
      </c>
      <c r="G40" s="112">
        <f t="shared" si="3"/>
        <v>314.22999999999956</v>
      </c>
      <c r="H40" s="99">
        <f>G40+'7'!H40</f>
        <v>2402.0099999999975</v>
      </c>
      <c r="I40" s="95"/>
      <c r="J40" s="175">
        <f>H40/DAY(B2)</f>
        <v>300.25124999999969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'7'!F41</f>
        <v>62.73</v>
      </c>
      <c r="F41" s="145">
        <v>63</v>
      </c>
      <c r="G41" s="112">
        <f t="shared" si="3"/>
        <v>0.27000000000000313</v>
      </c>
      <c r="H41" s="99">
        <f>G41+'7'!H41</f>
        <v>0.27000000000000313</v>
      </c>
      <c r="I41" s="95"/>
      <c r="J41" s="175">
        <f>H41/DAY(B2)</f>
        <v>3.3750000000000391E-2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'7'!F42</f>
        <v>109069.15</v>
      </c>
      <c r="F42" s="145">
        <v>113151</v>
      </c>
      <c r="G42" s="112">
        <f t="shared" si="3"/>
        <v>4081.8500000000058</v>
      </c>
      <c r="H42" s="99">
        <f>G42+'7'!H42</f>
        <v>13021.259999999995</v>
      </c>
      <c r="I42" s="95"/>
      <c r="J42" s="175">
        <f>H42/DAY(B2)</f>
        <v>1627.6574999999993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'7'!F43</f>
        <v>129967.33</v>
      </c>
      <c r="F43" s="145">
        <v>132091</v>
      </c>
      <c r="G43" s="112">
        <f t="shared" si="3"/>
        <v>2123.6699999999983</v>
      </c>
      <c r="H43" s="99">
        <f>G43+'7'!H43</f>
        <v>17239.399999999994</v>
      </c>
      <c r="I43" s="95"/>
      <c r="J43" s="175">
        <f>H43/DAY(B2)</f>
        <v>2154.9249999999993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15521.300000000003</v>
      </c>
      <c r="H47" s="99">
        <f>G47+'7'!H47</f>
        <v>101431.41</v>
      </c>
      <c r="I47" s="95"/>
      <c r="J47" s="175">
        <f>H47/DAY(B2)</f>
        <v>12678.92625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'7'!F49</f>
        <v>33640.78</v>
      </c>
      <c r="F49" s="145">
        <v>34907</v>
      </c>
      <c r="G49" s="112">
        <f t="shared" ref="G49:G58" si="4">F49-E49</f>
        <v>1266.2200000000012</v>
      </c>
      <c r="H49" s="99">
        <f>G49+'7'!H49</f>
        <v>9910.8100000000013</v>
      </c>
      <c r="I49" s="95"/>
      <c r="J49" s="175">
        <f>H49/DAY(B2)</f>
        <v>1238.8512500000002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'7'!F50</f>
        <v>64747.86</v>
      </c>
      <c r="F50" s="145">
        <v>65879</v>
      </c>
      <c r="G50" s="112">
        <f t="shared" si="4"/>
        <v>1131.1399999999994</v>
      </c>
      <c r="H50" s="99">
        <f>G50+'7'!H50</f>
        <v>9492.3700000000026</v>
      </c>
      <c r="I50" s="95"/>
      <c r="J50" s="175">
        <f>H50/DAY(B2)</f>
        <v>1186.5462500000003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'7'!F51</f>
        <v>0</v>
      </c>
      <c r="F51" s="145">
        <v>0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'7'!F52</f>
        <v>0</v>
      </c>
      <c r="F52" s="145">
        <v>0</v>
      </c>
      <c r="G52" s="112">
        <f t="shared" si="4"/>
        <v>0</v>
      </c>
      <c r="H52" s="99">
        <f>G52+'7'!H52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'7'!F54</f>
        <v>7989.84</v>
      </c>
      <c r="F54" s="145">
        <v>8527</v>
      </c>
      <c r="G54" s="112">
        <f t="shared" si="4"/>
        <v>537.15999999999985</v>
      </c>
      <c r="H54" s="99">
        <f>G54+'7'!H54</f>
        <v>3379.58</v>
      </c>
      <c r="I54" s="95"/>
      <c r="J54" s="175">
        <f>H54/DAY(B2)</f>
        <v>422.44749999999999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'7'!F55</f>
        <v>90154.47</v>
      </c>
      <c r="F55" s="145">
        <v>90154.47</v>
      </c>
      <c r="G55" s="112">
        <f t="shared" si="4"/>
        <v>0</v>
      </c>
      <c r="H55" s="99">
        <f>G55+'7'!H55</f>
        <v>15788.36</v>
      </c>
      <c r="I55" s="95"/>
      <c r="J55" s="175">
        <f>H55/DAY(B2)</f>
        <v>1973.5450000000001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'7'!F56</f>
        <v>8723.6299999999992</v>
      </c>
      <c r="F56" s="145">
        <v>8724</v>
      </c>
      <c r="G56" s="112">
        <f t="shared" si="4"/>
        <v>0.37000000000080036</v>
      </c>
      <c r="H56" s="99">
        <f>G56+'7'!H56</f>
        <v>113.45999999999913</v>
      </c>
      <c r="I56" s="95"/>
      <c r="J56" s="175">
        <f>H56/DAY(B2)</f>
        <v>14.182499999999891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'7'!F58</f>
        <v>6251.99</v>
      </c>
      <c r="F58" s="145">
        <v>6454</v>
      </c>
      <c r="G58" s="112">
        <f t="shared" si="4"/>
        <v>202.01000000000022</v>
      </c>
      <c r="H58" s="99">
        <f>G58+'7'!H58</f>
        <v>1657.79</v>
      </c>
      <c r="I58" s="95"/>
      <c r="J58" s="175">
        <f>H58/DAY(B2)</f>
        <v>207.22375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3136.9000000000015</v>
      </c>
      <c r="H59" s="99">
        <f>G59+'7'!H59</f>
        <v>40342.370000000003</v>
      </c>
      <c r="I59" s="95">
        <f>G7-G60</f>
        <v>1009.529999999977</v>
      </c>
      <c r="J59" s="175">
        <f>H59/DAY(B2)</f>
        <v>5042.7962500000003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18658.200000000004</v>
      </c>
      <c r="H60" s="99">
        <f>G60+'7'!H60</f>
        <v>141773.78</v>
      </c>
      <c r="I60" s="95">
        <f>G13-G60</f>
        <v>439.69999999996071</v>
      </c>
      <c r="J60" s="175">
        <f>H60/DAY(B2)</f>
        <v>17721.7225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'7'!F62</f>
        <v>270288</v>
      </c>
      <c r="F62" s="122">
        <v>270416</v>
      </c>
      <c r="G62" s="112">
        <f t="shared" ref="G62:G63" si="5">F62-E62</f>
        <v>128</v>
      </c>
      <c r="H62" s="99">
        <f>G62+'7'!H62</f>
        <v>900</v>
      </c>
      <c r="I62" s="118"/>
      <c r="J62" s="175">
        <f>H62/DAY(B2)</f>
        <v>112.5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'7'!F63</f>
        <v>216740</v>
      </c>
      <c r="F63" s="122">
        <v>216843</v>
      </c>
      <c r="G63" s="112">
        <f t="shared" si="5"/>
        <v>103</v>
      </c>
      <c r="H63" s="99">
        <f>G63+'7'!H63</f>
        <v>1046</v>
      </c>
      <c r="I63" s="118"/>
      <c r="J63" s="175">
        <f>H63/DAY(B2)</f>
        <v>130.75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'7'!F64</f>
        <v>0</v>
      </c>
      <c r="F64" s="122"/>
      <c r="G64" s="112">
        <f>G62+G63</f>
        <v>231</v>
      </c>
      <c r="H64" s="99">
        <f>G64+'7'!H64</f>
        <v>1946</v>
      </c>
      <c r="I64" s="118"/>
      <c r="J64" s="175">
        <f>H64/DAY(B2)</f>
        <v>243.25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'7'!F65</f>
        <v>435552</v>
      </c>
      <c r="F65" s="122">
        <v>435658</v>
      </c>
      <c r="G65" s="112">
        <f t="shared" ref="G65:G70" si="6">F65-E65</f>
        <v>106</v>
      </c>
      <c r="H65" s="99">
        <f>G65+'7'!H65</f>
        <v>735</v>
      </c>
      <c r="I65" s="118"/>
      <c r="J65" s="175">
        <f>H65/DAY(B2)</f>
        <v>91.875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'7'!F66</f>
        <v>107927</v>
      </c>
      <c r="F66" s="122">
        <v>107946</v>
      </c>
      <c r="G66" s="112">
        <f t="shared" si="6"/>
        <v>19</v>
      </c>
      <c r="H66" s="99">
        <f>G66+'7'!H66</f>
        <v>203</v>
      </c>
      <c r="I66" s="118"/>
      <c r="J66" s="175">
        <f>H66/DAY(B2)</f>
        <v>25.375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'7'!F67</f>
        <v>104814</v>
      </c>
      <c r="F67" s="122">
        <v>104830</v>
      </c>
      <c r="G67" s="112">
        <f t="shared" si="6"/>
        <v>16</v>
      </c>
      <c r="H67" s="99">
        <f>G67+'7'!H67</f>
        <v>182</v>
      </c>
      <c r="I67" s="118"/>
      <c r="J67" s="175">
        <f>H67/DAY(B2)</f>
        <v>22.75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'7'!F68</f>
        <v>157954</v>
      </c>
      <c r="F68" s="122">
        <v>157984</v>
      </c>
      <c r="G68" s="112">
        <f t="shared" si="6"/>
        <v>30</v>
      </c>
      <c r="H68" s="99">
        <f>G68+'7'!H68</f>
        <v>287</v>
      </c>
      <c r="I68" s="118"/>
      <c r="J68" s="175">
        <f>H68/DAY(B2)</f>
        <v>35.875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'7'!F69</f>
        <v>10619</v>
      </c>
      <c r="F69" s="122">
        <v>10629</v>
      </c>
      <c r="G69" s="112">
        <f t="shared" si="6"/>
        <v>10</v>
      </c>
      <c r="H69" s="99">
        <f>G69+'7'!H69</f>
        <v>88</v>
      </c>
      <c r="I69" s="118"/>
      <c r="J69" s="175">
        <f>H69/DAY(B2)</f>
        <v>11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'7'!F70</f>
        <v>8197</v>
      </c>
      <c r="F70" s="122">
        <v>8230</v>
      </c>
      <c r="G70" s="112">
        <f t="shared" si="6"/>
        <v>33</v>
      </c>
      <c r="H70" s="99">
        <f>G70+'7'!H70</f>
        <v>110</v>
      </c>
      <c r="I70" s="118"/>
      <c r="J70" s="175">
        <f>H70/DAY(B2)</f>
        <v>13.75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214</v>
      </c>
      <c r="H71" s="99">
        <f>G71+'7'!H71</f>
        <v>1605</v>
      </c>
      <c r="I71" s="154"/>
      <c r="J71" s="175">
        <f>H71/DAY(B2)</f>
        <v>200.625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'7'!F74</f>
        <v>903429.48</v>
      </c>
      <c r="F74" s="123">
        <v>903732</v>
      </c>
      <c r="G74" s="112">
        <f t="shared" ref="G74:G78" si="7">F74-E74</f>
        <v>302.52000000001863</v>
      </c>
      <c r="H74" s="99">
        <f>G74+'7'!H74</f>
        <v>2425.8510000000242</v>
      </c>
      <c r="I74" s="154"/>
      <c r="J74" s="175">
        <f>H74/DAY(B2)</f>
        <v>303.23137500000303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'7'!F76</f>
        <v>170796.4</v>
      </c>
      <c r="F76" s="123">
        <v>170907</v>
      </c>
      <c r="G76" s="112">
        <f t="shared" si="7"/>
        <v>110.60000000000582</v>
      </c>
      <c r="H76" s="99">
        <f>G76+'7'!H76</f>
        <v>932</v>
      </c>
      <c r="I76" s="154"/>
      <c r="J76" s="175">
        <f>H76/DAY(B2)</f>
        <v>116.5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'7'!F77</f>
        <v>41636.6</v>
      </c>
      <c r="F77" s="123">
        <v>41687</v>
      </c>
      <c r="G77" s="112">
        <f t="shared" si="7"/>
        <v>50.400000000001455</v>
      </c>
      <c r="H77" s="99">
        <f>G77+'7'!H77</f>
        <v>384.80000000000291</v>
      </c>
      <c r="I77" s="154"/>
      <c r="J77" s="175">
        <f>H77/DAY(B2)</f>
        <v>48.100000000000364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'7'!F78</f>
        <v>9526</v>
      </c>
      <c r="F78" s="123">
        <v>9527</v>
      </c>
      <c r="G78" s="112">
        <f t="shared" si="7"/>
        <v>1</v>
      </c>
      <c r="H78" s="99">
        <f>G78+'7'!H78</f>
        <v>11</v>
      </c>
      <c r="I78" s="118"/>
      <c r="J78" s="175">
        <f>H78/DAY(B2)</f>
        <v>1.375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'7'!F79</f>
        <v>0</v>
      </c>
      <c r="F79" s="117"/>
      <c r="G79" s="112">
        <f>G15-SUM(G74:G78)</f>
        <v>587.65999999990891</v>
      </c>
      <c r="H79" s="99">
        <f>G79+'7'!H79</f>
        <v>4338.5819999999803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1052.1799999999348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'7'!F84</f>
        <v>41675</v>
      </c>
      <c r="F84" s="164">
        <v>41675</v>
      </c>
      <c r="G84" s="112">
        <f t="shared" si="8"/>
        <v>0</v>
      </c>
      <c r="H84" s="99">
        <f>G84+'7'!H84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'7'!F85</f>
        <v>2312.4899999999998</v>
      </c>
      <c r="F85" s="164">
        <v>2336.4</v>
      </c>
      <c r="G85" s="112">
        <f t="shared" si="8"/>
        <v>23.910000000000309</v>
      </c>
      <c r="H85" s="99">
        <f>G85+'7'!H85</f>
        <v>75.980000000000018</v>
      </c>
      <c r="I85" s="118">
        <f>G82+G83+G84+G85</f>
        <v>23.910000000000309</v>
      </c>
      <c r="J85" s="175">
        <f>H85/DAY(B2)</f>
        <v>9.4975000000000023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'7'!F86</f>
        <v>43560.3</v>
      </c>
      <c r="F86" s="164">
        <v>43560</v>
      </c>
      <c r="G86" s="112">
        <f t="shared" si="8"/>
        <v>-0.30000000000291038</v>
      </c>
      <c r="H86" s="99">
        <f>G86+'7'!H86</f>
        <v>118</v>
      </c>
      <c r="I86" s="118"/>
      <c r="J86" s="175">
        <f>H86/DAY(B2)</f>
        <v>14.75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'7'!F87</f>
        <v>34599.480000000003</v>
      </c>
      <c r="F87" s="164">
        <v>34599</v>
      </c>
      <c r="G87" s="112">
        <f t="shared" si="8"/>
        <v>-0.48000000000320142</v>
      </c>
      <c r="H87" s="99">
        <f>G87+'7'!H87</f>
        <v>0.5</v>
      </c>
      <c r="I87" s="118"/>
      <c r="J87" s="175">
        <f>H87/DAY(B2)</f>
        <v>6.25E-2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'7'!F88</f>
        <v>24063.43</v>
      </c>
      <c r="F88" s="164">
        <v>24063</v>
      </c>
      <c r="G88" s="112">
        <f t="shared" si="8"/>
        <v>-0.43000000000029104</v>
      </c>
      <c r="H88" s="99">
        <f>G88+'7'!H88</f>
        <v>-0.43000000000029104</v>
      </c>
      <c r="I88" s="118">
        <f>G86+G87+G88</f>
        <v>-1.2100000000064028</v>
      </c>
      <c r="J88" s="175">
        <f>H88/DAY(B2)</f>
        <v>-5.375000000003638E-2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'7'!F89</f>
        <v>25959.37</v>
      </c>
      <c r="F89" s="164">
        <v>25970</v>
      </c>
      <c r="G89" s="112">
        <f t="shared" si="8"/>
        <v>10.630000000001019</v>
      </c>
      <c r="H89" s="99">
        <f>G89+'7'!H89</f>
        <v>78.880000000001019</v>
      </c>
      <c r="I89" s="118"/>
      <c r="J89" s="175">
        <f>H89/DAY(B2)</f>
        <v>9.8600000000001273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'7'!F90</f>
        <v>71179.92</v>
      </c>
      <c r="F90" s="164">
        <v>71183</v>
      </c>
      <c r="G90" s="112">
        <f t="shared" si="8"/>
        <v>3.0800000000017462</v>
      </c>
      <c r="H90" s="99">
        <f>G90+'7'!H90</f>
        <v>19.679999999993015</v>
      </c>
      <c r="I90" s="118">
        <f>G89+G90</f>
        <v>13.710000000002765</v>
      </c>
      <c r="J90" s="175">
        <f>H90/DAY(B2)</f>
        <v>2.4599999999991269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'7'!F91</f>
        <v>3329.68</v>
      </c>
      <c r="F91" s="122">
        <v>3340.85</v>
      </c>
      <c r="G91" s="112">
        <f t="shared" si="8"/>
        <v>11.170000000000073</v>
      </c>
      <c r="H91" s="99">
        <f>G91+'7'!H91</f>
        <v>89.759999999999764</v>
      </c>
      <c r="I91" s="165"/>
      <c r="J91" s="175">
        <f>H91/DAY(B2)</f>
        <v>11.21999999999997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'7'!F92</f>
        <v>5741.07</v>
      </c>
      <c r="F92" s="122">
        <v>5741</v>
      </c>
      <c r="G92" s="112">
        <f t="shared" si="8"/>
        <v>-6.9999999999708962E-2</v>
      </c>
      <c r="H92" s="99">
        <f>G92+'7'!H92</f>
        <v>-6.9999999999708962E-2</v>
      </c>
      <c r="I92" s="165"/>
      <c r="J92" s="175">
        <f>H92/DAY(B2)</f>
        <v>-8.7499999999636202E-3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5144.6900000000023</v>
      </c>
      <c r="H94" s="99">
        <f>G94+'7'!H94</f>
        <v>39075.229999999996</v>
      </c>
      <c r="I94" s="118"/>
      <c r="J94" s="175">
        <f>H94/DAY(B2)</f>
        <v>4884.4037499999995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0.26158026371116583</v>
      </c>
      <c r="H95" s="99">
        <f>G95+'7'!H95</f>
        <v>2.0153180824801282</v>
      </c>
      <c r="I95" s="167"/>
      <c r="J95" s="175">
        <f>H95/DAY(B2)</f>
        <v>0.25191476031001603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4082.4900000000066</v>
      </c>
      <c r="H96" s="99">
        <f>G96+'7'!H96</f>
        <v>28923.349999999991</v>
      </c>
      <c r="I96" s="118"/>
      <c r="J96" s="175">
        <f>H96/DAY(B2)</f>
        <v>3615.4187499999989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0.20757301427261868</v>
      </c>
      <c r="H97" s="99">
        <f>G97+'7'!H97</f>
        <v>1.4960041382810723</v>
      </c>
      <c r="I97" s="167"/>
      <c r="J97" s="175">
        <f>H97/DAY(B2)</f>
        <v>0.18700051728513403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2923.2899999999936</v>
      </c>
      <c r="H98" s="99">
        <f>G98+'7'!H98</f>
        <v>22070.71</v>
      </c>
      <c r="I98" s="168"/>
      <c r="J98" s="175">
        <f>H98/DAY(B2)</f>
        <v>2758.8387499999999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0.1486338281031922</v>
      </c>
      <c r="H99" s="99">
        <f>G99+'7'!H99</f>
        <v>1.1405585204827573</v>
      </c>
      <c r="I99" s="168"/>
      <c r="J99" s="175">
        <f>H99/DAY(B2)</f>
        <v>0.14256981506034466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1914.6800000000003</v>
      </c>
      <c r="H100" s="99">
        <f>G100+'7'!H100</f>
        <v>14692.57</v>
      </c>
      <c r="I100" s="118"/>
      <c r="J100" s="175">
        <f>H100/DAY(B2)</f>
        <v>1836.57125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9.735134659668411E-2</v>
      </c>
      <c r="H101" s="99">
        <f>G101+'7'!H101</f>
        <v>0.75837003075782494</v>
      </c>
      <c r="I101" s="168"/>
      <c r="J101" s="175">
        <f>H101/DAY(B2)</f>
        <v>9.4796253844728118E-2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1930.5800000000017</v>
      </c>
      <c r="H102" s="99">
        <f>G102+'7'!H102</f>
        <v>16707.630000000005</v>
      </c>
      <c r="I102" s="168"/>
      <c r="J102" s="175">
        <f>H102/DAY(B2)</f>
        <v>2088.4537500000006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9.8159777462879724E-2</v>
      </c>
      <c r="H103" s="99">
        <f>G103+'7'!H103</f>
        <v>0.85855579856515474</v>
      </c>
      <c r="I103" s="118"/>
      <c r="J103" s="175">
        <f>H103/DAY(B2)</f>
        <v>0.10731947482064434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1609.0699999999997</v>
      </c>
      <c r="H104" s="99">
        <f>G104+'7'!H104</f>
        <v>12864.910000000003</v>
      </c>
      <c r="I104" s="118"/>
      <c r="J104" s="175">
        <f>H104/DAY(B2)</f>
        <v>1608.1137500000004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8.1812695211903014E-2</v>
      </c>
      <c r="H105" s="99">
        <f>G105+'7'!H105</f>
        <v>0.6656922537776625</v>
      </c>
      <c r="I105" s="187"/>
      <c r="J105" s="188">
        <f>H105/DAY(B2)</f>
        <v>8.3211531722207813E-2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'7'!F112</f>
        <v>58586.720000000001</v>
      </c>
      <c r="F112" s="237">
        <v>58659</v>
      </c>
      <c r="G112" s="112">
        <f t="shared" ref="G112:G123" si="9">F112-E112</f>
        <v>72.279999999998836</v>
      </c>
      <c r="H112" s="99">
        <f>G112+'7'!H112</f>
        <v>605</v>
      </c>
      <c r="I112" s="165"/>
      <c r="J112" s="328">
        <f>H112/DAY(B2)</f>
        <v>75.625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'7'!F113</f>
        <v>49699.03</v>
      </c>
      <c r="F113" s="237">
        <v>50163</v>
      </c>
      <c r="G113" s="112">
        <f t="shared" si="9"/>
        <v>463.97000000000116</v>
      </c>
      <c r="H113" s="99">
        <f>G113+'7'!H113</f>
        <v>3762.1100000000006</v>
      </c>
      <c r="I113" s="165"/>
      <c r="J113" s="328">
        <f>H113/DAY(B2)</f>
        <v>470.26375000000007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'7'!F114</f>
        <v>35418.1</v>
      </c>
      <c r="F114" s="237">
        <v>35685</v>
      </c>
      <c r="G114" s="112">
        <f t="shared" si="9"/>
        <v>266.90000000000146</v>
      </c>
      <c r="H114" s="99">
        <f>G114+'7'!H114</f>
        <v>2525</v>
      </c>
      <c r="I114" s="165"/>
      <c r="J114" s="328">
        <f>H114/DAY(B2)</f>
        <v>315.625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'7'!F115</f>
        <v>9168.2199999999993</v>
      </c>
      <c r="F115" s="237">
        <v>9179</v>
      </c>
      <c r="G115" s="112">
        <f t="shared" si="9"/>
        <v>10.780000000000655</v>
      </c>
      <c r="H115" s="99">
        <f>G115+'7'!H115</f>
        <v>84.350000000000364</v>
      </c>
      <c r="I115" s="165"/>
      <c r="J115" s="328">
        <f>H115/DAY(B2)</f>
        <v>10.543750000000045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'7'!F116</f>
        <v>642.16999999999996</v>
      </c>
      <c r="F116" s="237">
        <v>933</v>
      </c>
      <c r="G116" s="112">
        <f t="shared" si="9"/>
        <v>290.83000000000004</v>
      </c>
      <c r="H116" s="99">
        <f>G116+'7'!H116</f>
        <v>933</v>
      </c>
      <c r="I116" s="165"/>
      <c r="J116" s="328">
        <f>H116/DAY(B2)</f>
        <v>116.625</v>
      </c>
      <c r="Q116" s="863" t="s">
        <v>311</v>
      </c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'7'!F117</f>
        <v>3869.46</v>
      </c>
      <c r="F117" s="237">
        <v>4047</v>
      </c>
      <c r="G117" s="112">
        <f t="shared" si="9"/>
        <v>177.53999999999996</v>
      </c>
      <c r="H117" s="99">
        <f>G117+'7'!H117</f>
        <v>709.05000000000018</v>
      </c>
      <c r="I117" s="165"/>
      <c r="J117" s="328">
        <f>H117/DAY(B2)</f>
        <v>88.631250000000023</v>
      </c>
      <c r="Q117" s="863" t="s">
        <v>312</v>
      </c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'7'!F118</f>
        <v>254777.55</v>
      </c>
      <c r="F118" s="237">
        <v>255150</v>
      </c>
      <c r="G118" s="112">
        <f t="shared" si="9"/>
        <v>372.45000000001164</v>
      </c>
      <c r="H118" s="99">
        <f>G118+'7'!H118</f>
        <v>2697.6900000000023</v>
      </c>
      <c r="I118" s="165"/>
      <c r="J118" s="328">
        <f>H118/DAY(B2)</f>
        <v>337.21125000000029</v>
      </c>
      <c r="Q118" s="863" t="s">
        <v>311</v>
      </c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'7'!F119</f>
        <v>261010.07</v>
      </c>
      <c r="F119" s="237">
        <v>261412</v>
      </c>
      <c r="G119" s="112">
        <f t="shared" si="9"/>
        <v>401.92999999999302</v>
      </c>
      <c r="H119" s="99">
        <f>G119+'7'!H119</f>
        <v>3263.4500000000116</v>
      </c>
      <c r="I119" s="165"/>
      <c r="J119" s="328">
        <f>H119/DAY(B2)</f>
        <v>407.93125000000146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'7'!F120</f>
        <v>45877.760000000002</v>
      </c>
      <c r="F120" s="237">
        <v>46302</v>
      </c>
      <c r="G120" s="112">
        <f t="shared" si="9"/>
        <v>424.23999999999796</v>
      </c>
      <c r="H120" s="99">
        <f>G120+'7'!H120</f>
        <v>3342.3899999999994</v>
      </c>
      <c r="I120" s="165"/>
      <c r="J120" s="328">
        <f>H120/DAY(B2)</f>
        <v>417.79874999999993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'7'!F121</f>
        <v>403126.07</v>
      </c>
      <c r="F121" s="237">
        <v>403832</v>
      </c>
      <c r="G121" s="112">
        <f t="shared" si="9"/>
        <v>705.92999999999302</v>
      </c>
      <c r="H121" s="99">
        <f>G121+'7'!H121</f>
        <v>5797.570000000007</v>
      </c>
      <c r="I121" s="165"/>
      <c r="J121" s="328">
        <f>H121/DAY(B2)</f>
        <v>724.69625000000087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'7'!F122</f>
        <v>127796.37</v>
      </c>
      <c r="F122" s="237">
        <v>128003</v>
      </c>
      <c r="G122" s="112">
        <f t="shared" si="9"/>
        <v>206.63000000000466</v>
      </c>
      <c r="H122" s="99">
        <f>G122+'7'!H122</f>
        <v>1816.820000000007</v>
      </c>
      <c r="I122" s="165"/>
      <c r="J122" s="328">
        <f>H122/DAY(B2)</f>
        <v>227.10250000000087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'7'!F123</f>
        <v>155830.76999999999</v>
      </c>
      <c r="F123" s="237">
        <v>156083</v>
      </c>
      <c r="G123" s="112">
        <f t="shared" si="9"/>
        <v>252.23000000001048</v>
      </c>
      <c r="H123" s="99">
        <f>G123+'7'!H123</f>
        <v>2036.0499999999884</v>
      </c>
      <c r="I123" s="165"/>
      <c r="J123" s="328">
        <f>H123/DAY(B2)</f>
        <v>254.50624999999854</v>
      </c>
    </row>
    <row r="124" spans="1:18" ht="29.25" customHeight="1" x14ac:dyDescent="0.5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3645.7100000000128</v>
      </c>
      <c r="H125" s="156"/>
      <c r="I125" s="327">
        <f>G125-(G39+G53)</f>
        <v>722.42000000001917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'7'!F128</f>
        <v>49874.35</v>
      </c>
      <c r="F128" s="165">
        <v>50155</v>
      </c>
      <c r="G128" s="112">
        <f t="shared" ref="G128:G134" si="10">F128-E128</f>
        <v>280.65000000000146</v>
      </c>
      <c r="H128" s="99">
        <f>G128+'7'!H128</f>
        <v>2409</v>
      </c>
      <c r="I128" s="165"/>
      <c r="J128" s="328">
        <f>H128/DAY(B2)</f>
        <v>301.125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'7'!F129</f>
        <v>28324.45</v>
      </c>
      <c r="F129" s="165">
        <v>28501</v>
      </c>
      <c r="G129" s="112">
        <f t="shared" si="10"/>
        <v>176.54999999999927</v>
      </c>
      <c r="H129" s="99">
        <f>G129+'7'!H129</f>
        <v>1590.130000000001</v>
      </c>
      <c r="I129" s="165"/>
      <c r="J129" s="328">
        <f>H129/DAY(B2)</f>
        <v>198.76625000000013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'7'!F130</f>
        <v>39667.769999999997</v>
      </c>
      <c r="F130" s="165">
        <v>40315</v>
      </c>
      <c r="G130" s="112">
        <f t="shared" si="10"/>
        <v>647.2300000000032</v>
      </c>
      <c r="H130" s="99">
        <f>G130+'7'!H130</f>
        <v>4621</v>
      </c>
      <c r="I130" s="165"/>
      <c r="J130" s="328">
        <f>H130/DAY(B2)</f>
        <v>577.625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'7'!F131</f>
        <v>15813.91</v>
      </c>
      <c r="F131" s="165">
        <v>15930</v>
      </c>
      <c r="G131" s="112">
        <f t="shared" si="10"/>
        <v>116.09000000000015</v>
      </c>
      <c r="H131" s="99">
        <f>G131+'7'!H131</f>
        <v>622.31999999999971</v>
      </c>
      <c r="I131" s="165"/>
      <c r="J131" s="328">
        <f>H131/DAY(B2)</f>
        <v>77.789999999999964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'7'!F132</f>
        <v>54117.24</v>
      </c>
      <c r="F132" s="165">
        <v>54553</v>
      </c>
      <c r="G132" s="112">
        <f t="shared" si="10"/>
        <v>435.76000000000204</v>
      </c>
      <c r="H132" s="99">
        <f>G132+'7'!H132</f>
        <v>2704.6999999999971</v>
      </c>
      <c r="I132" s="165"/>
      <c r="J132" s="328">
        <f>H132/DAY(B2)</f>
        <v>338.08749999999964</v>
      </c>
    </row>
    <row r="133" spans="1:15" ht="27.75" x14ac:dyDescent="0.5">
      <c r="A133" s="863" t="s">
        <v>323</v>
      </c>
      <c r="B133" s="864"/>
      <c r="C133" s="865"/>
      <c r="D133" s="151" t="s">
        <v>183</v>
      </c>
      <c r="E133" s="95">
        <f>'7'!F133</f>
        <v>109652.68</v>
      </c>
      <c r="F133" s="165">
        <v>110300</v>
      </c>
      <c r="G133" s="112">
        <f t="shared" si="10"/>
        <v>647.32000000000698</v>
      </c>
      <c r="H133" s="99">
        <f>G133+'7'!H133</f>
        <v>4956.3000000000029</v>
      </c>
      <c r="I133" s="165"/>
      <c r="J133" s="328">
        <f>H133/DAY(B2)</f>
        <v>619.53750000000036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'7'!F134</f>
        <v>9919.08</v>
      </c>
      <c r="F134" s="165">
        <v>10166.85</v>
      </c>
      <c r="G134" s="112">
        <f t="shared" si="10"/>
        <v>247.77000000000044</v>
      </c>
      <c r="H134" s="99">
        <f>G134+'7'!H134</f>
        <v>1565.6200000000008</v>
      </c>
      <c r="I134" s="165"/>
      <c r="J134" s="328">
        <f>H134/DAY(B2)</f>
        <v>195.7025000000001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2551.3700000000135</v>
      </c>
      <c r="H135" s="99">
        <f>G135+'7'!H135</f>
        <v>18469.07</v>
      </c>
      <c r="I135" s="327">
        <f>G135-(G35+G49)</f>
        <v>-469.64999999999054</v>
      </c>
      <c r="J135" s="328" t="e">
        <f t="shared" ref="J135" si="11">H135/DAY(B54)</f>
        <v>#DIV/0!</v>
      </c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'7'!F138</f>
        <v>866739</v>
      </c>
      <c r="F138" s="147">
        <v>866809</v>
      </c>
      <c r="G138" s="112">
        <f t="shared" ref="G138:G152" si="12">F138-E138</f>
        <v>70</v>
      </c>
      <c r="H138" s="99">
        <f>G138+'7'!H138</f>
        <v>636</v>
      </c>
      <c r="I138" s="118"/>
      <c r="J138" s="328">
        <f>H138/DAY(B2)</f>
        <v>79.5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'7'!F139</f>
        <v>886629</v>
      </c>
      <c r="F139" s="148">
        <v>886630</v>
      </c>
      <c r="G139" s="112">
        <f t="shared" si="12"/>
        <v>1</v>
      </c>
      <c r="H139" s="99">
        <f>G139+'7'!H139</f>
        <v>57</v>
      </c>
      <c r="I139" s="118"/>
      <c r="J139" s="328">
        <f>H139/DAY(B2)</f>
        <v>7.125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'7'!F140</f>
        <v>88938</v>
      </c>
      <c r="F140" s="149">
        <v>88940</v>
      </c>
      <c r="G140" s="112">
        <f t="shared" si="12"/>
        <v>2</v>
      </c>
      <c r="H140" s="99">
        <f>G140+'7'!H140</f>
        <v>18</v>
      </c>
      <c r="I140" s="118"/>
      <c r="J140" s="328">
        <f>H140/DAY(B2)</f>
        <v>2.25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'7'!F141</f>
        <v>55907.86</v>
      </c>
      <c r="F141" s="149">
        <v>56077</v>
      </c>
      <c r="G141" s="112">
        <f t="shared" si="12"/>
        <v>169.13999999999942</v>
      </c>
      <c r="H141" s="99">
        <f>G141+'7'!H141</f>
        <v>1391.4199999999983</v>
      </c>
      <c r="I141" s="118"/>
      <c r="J141" s="328">
        <f>H141/DAY(B2)</f>
        <v>173.92749999999978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'7'!F142</f>
        <v>21767.8</v>
      </c>
      <c r="F142" s="680">
        <v>21834</v>
      </c>
      <c r="G142" s="112">
        <f t="shared" si="12"/>
        <v>66.200000000000728</v>
      </c>
      <c r="H142" s="99">
        <f>G142+'7'!H142</f>
        <v>549.90000000000146</v>
      </c>
      <c r="I142" s="140"/>
      <c r="J142" s="328">
        <f>H142/DAY(B2)</f>
        <v>68.737500000000182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'7'!F143</f>
        <v>4027</v>
      </c>
      <c r="F143" s="149">
        <v>4058</v>
      </c>
      <c r="G143" s="112">
        <f t="shared" si="12"/>
        <v>31</v>
      </c>
      <c r="H143" s="99">
        <f>G143+'7'!H143</f>
        <v>222.61000000000013</v>
      </c>
      <c r="I143" s="140"/>
      <c r="J143" s="328">
        <f>H143/DAY(B2)</f>
        <v>27.826250000000016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'7'!F144</f>
        <v>877957</v>
      </c>
      <c r="F144" s="149">
        <v>878165</v>
      </c>
      <c r="G144" s="112">
        <f t="shared" si="12"/>
        <v>208</v>
      </c>
      <c r="H144" s="99">
        <f>G144+'7'!H144</f>
        <v>1678</v>
      </c>
      <c r="I144" s="140"/>
      <c r="J144" s="328">
        <f>H144/DAY(B2)</f>
        <v>209.75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'7'!F145</f>
        <v>5042.8500000000004</v>
      </c>
      <c r="F145" s="149">
        <v>5057</v>
      </c>
      <c r="G145" s="112">
        <f t="shared" si="12"/>
        <v>14.149999999999636</v>
      </c>
      <c r="H145" s="99">
        <f>G145+'7'!H145</f>
        <v>98.159999999999854</v>
      </c>
      <c r="I145" s="140"/>
      <c r="J145" s="328">
        <f>H145/DAY(B2)</f>
        <v>12.269999999999982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'7'!F146</f>
        <v>740287</v>
      </c>
      <c r="F146" s="148">
        <v>740692</v>
      </c>
      <c r="G146" s="112">
        <f t="shared" si="12"/>
        <v>405</v>
      </c>
      <c r="H146" s="99">
        <f>G146+'7'!H146</f>
        <v>3359</v>
      </c>
      <c r="I146" s="140"/>
      <c r="J146" s="328">
        <f>H146/DAY(B2)</f>
        <v>419.875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'7'!F147</f>
        <v>629374.43999999994</v>
      </c>
      <c r="F147" s="148">
        <v>629801</v>
      </c>
      <c r="G147" s="112">
        <f t="shared" si="12"/>
        <v>426.56000000005588</v>
      </c>
      <c r="H147" s="99">
        <f>G147+'7'!H147</f>
        <v>3188.4799999999814</v>
      </c>
      <c r="I147" s="140"/>
      <c r="J147" s="328">
        <f>H147/DAY(B2)</f>
        <v>398.55999999999767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'7'!F148</f>
        <v>691527.76</v>
      </c>
      <c r="F148" s="150">
        <v>691828</v>
      </c>
      <c r="G148" s="112">
        <f t="shared" si="12"/>
        <v>300.23999999999069</v>
      </c>
      <c r="H148" s="99">
        <f>G148+'7'!H148</f>
        <v>2385.0400000000373</v>
      </c>
      <c r="I148" s="124"/>
      <c r="J148" s="328">
        <f>H148/DAY(B2)</f>
        <v>298.13000000000466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'7'!F149</f>
        <v>28230.75</v>
      </c>
      <c r="F149" s="146">
        <v>28830</v>
      </c>
      <c r="G149" s="112">
        <f t="shared" si="12"/>
        <v>599.25</v>
      </c>
      <c r="H149" s="99">
        <f>G149+'7'!H149</f>
        <v>4151.7999999999993</v>
      </c>
      <c r="I149" s="119"/>
      <c r="J149" s="328">
        <f>H149/DAY(B2)</f>
        <v>518.97499999999991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'7'!F150</f>
        <v>12423.9</v>
      </c>
      <c r="F150" s="233">
        <v>12658</v>
      </c>
      <c r="G150" s="112">
        <f t="shared" si="12"/>
        <v>234.10000000000036</v>
      </c>
      <c r="H150" s="99">
        <f>G150+'7'!H150</f>
        <v>1807.17</v>
      </c>
      <c r="I150" s="119"/>
      <c r="J150" s="328">
        <f>H150/DAY(B2)</f>
        <v>225.89625000000001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'7'!F151</f>
        <v>87220</v>
      </c>
      <c r="F151" s="233">
        <v>87453</v>
      </c>
      <c r="G151" s="112">
        <f t="shared" si="12"/>
        <v>233</v>
      </c>
      <c r="H151" s="99">
        <f>G151+'7'!H151</f>
        <v>1973</v>
      </c>
      <c r="I151" s="119"/>
      <c r="J151" s="328">
        <f>H151/DAY(B2)</f>
        <v>246.625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'7'!F152</f>
        <v>1999.73</v>
      </c>
      <c r="F152" s="233">
        <v>2039</v>
      </c>
      <c r="G152" s="112">
        <f t="shared" si="12"/>
        <v>39.269999999999982</v>
      </c>
      <c r="H152" s="99">
        <f>G152+'7'!H152</f>
        <v>379</v>
      </c>
      <c r="I152" s="119"/>
      <c r="J152" s="328">
        <f>H152/DAY(B2)</f>
        <v>47.375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2798.9100000000467</v>
      </c>
      <c r="H153" s="363"/>
      <c r="I153" s="119">
        <f>G153-(G38+G52)</f>
        <v>884.2300000000464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'7'!F155</f>
        <v>37208.25</v>
      </c>
      <c r="F155" s="374">
        <v>37876</v>
      </c>
      <c r="G155" s="112">
        <f t="shared" ref="G155:G156" si="13">F155-E155</f>
        <v>667.75</v>
      </c>
      <c r="H155" s="99">
        <f>G155+'7'!H155</f>
        <v>4931</v>
      </c>
      <c r="I155" s="364"/>
      <c r="J155" s="328">
        <f>H155/DAY(B2)</f>
        <v>616.375</v>
      </c>
    </row>
    <row r="156" spans="1:10" ht="27.75" x14ac:dyDescent="0.5">
      <c r="A156" s="843" t="s">
        <v>346</v>
      </c>
      <c r="B156" s="843"/>
      <c r="C156" s="843"/>
      <c r="D156" s="117" t="s">
        <v>130</v>
      </c>
      <c r="E156" s="95">
        <f>'7'!F156</f>
        <v>3101.97</v>
      </c>
      <c r="F156" s="155">
        <v>3151</v>
      </c>
      <c r="G156" s="112">
        <f t="shared" si="13"/>
        <v>49.0300000000002</v>
      </c>
      <c r="H156" s="99">
        <f>G156+'7'!H156</f>
        <v>363</v>
      </c>
      <c r="I156" s="165"/>
      <c r="J156" s="328">
        <f>H156/DAY(B2)</f>
        <v>45.375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>
        <v>0</v>
      </c>
      <c r="F157" s="155">
        <v>4801</v>
      </c>
      <c r="G157" s="112"/>
      <c r="H157" s="99"/>
      <c r="I157" s="165"/>
      <c r="J157" s="328"/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>
        <v>0</v>
      </c>
      <c r="F158" s="155">
        <v>69</v>
      </c>
      <c r="G158" s="112"/>
      <c r="H158" s="99"/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'7'!F161</f>
        <v>472392.44</v>
      </c>
      <c r="F161" s="235">
        <v>472437</v>
      </c>
      <c r="G161" s="238">
        <f t="shared" ref="G161:G165" si="14">F161-E161</f>
        <v>44.559999999997672</v>
      </c>
      <c r="H161" s="99">
        <f>G161+'7'!H161</f>
        <v>383.44000000000233</v>
      </c>
      <c r="I161" s="236"/>
      <c r="J161" s="239">
        <f>H161/DAY(B2)</f>
        <v>47.930000000000291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'7'!F162</f>
        <v>88761.7</v>
      </c>
      <c r="F162" s="235">
        <v>88804</v>
      </c>
      <c r="G162" s="238">
        <f t="shared" si="14"/>
        <v>42.30000000000291</v>
      </c>
      <c r="H162" s="99">
        <f>G162+'7'!H162</f>
        <v>287.60000000000582</v>
      </c>
      <c r="I162" s="236"/>
      <c r="J162" s="239">
        <f>H162/DAY(B2)</f>
        <v>35.950000000000728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'7'!F163</f>
        <v>79454.600000000006</v>
      </c>
      <c r="F163" s="235">
        <v>79499</v>
      </c>
      <c r="G163" s="238">
        <f t="shared" si="14"/>
        <v>44.399999999994179</v>
      </c>
      <c r="H163" s="99">
        <f>G163+'7'!H163</f>
        <v>278.89999999999418</v>
      </c>
      <c r="I163" s="236"/>
      <c r="J163" s="239">
        <f>H163/DAY(B2)</f>
        <v>34.862499999999272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'7'!F164</f>
        <v>4326.1000000000004</v>
      </c>
      <c r="F164" s="235">
        <v>4328</v>
      </c>
      <c r="G164" s="238">
        <f t="shared" si="14"/>
        <v>1.8999999999996362</v>
      </c>
      <c r="H164" s="99">
        <f>G164+'7'!H164</f>
        <v>8</v>
      </c>
      <c r="I164" s="236"/>
      <c r="J164" s="239">
        <f>H164/DAY(B2)</f>
        <v>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'7'!F165</f>
        <v>29916.62</v>
      </c>
      <c r="F165" s="501">
        <v>29925</v>
      </c>
      <c r="G165" s="238">
        <f t="shared" si="14"/>
        <v>8.3800000000010186</v>
      </c>
      <c r="H165" s="99">
        <f>G165+'7'!H165</f>
        <v>67.75</v>
      </c>
      <c r="I165" s="236"/>
      <c r="J165" s="239">
        <f>H165/DAY(B2)</f>
        <v>8.46875</v>
      </c>
    </row>
    <row r="166" spans="1:10" ht="29.25" x14ac:dyDescent="0.5">
      <c r="A166" s="852"/>
      <c r="B166" s="852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'7'!F173</f>
        <v>8126</v>
      </c>
      <c r="F173" s="155">
        <v>8126</v>
      </c>
      <c r="G173" s="155">
        <f>F173-E173</f>
        <v>0</v>
      </c>
      <c r="H173" s="99">
        <f>G173+'7'!H173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'7'!F174</f>
        <v>38706</v>
      </c>
      <c r="F174" s="157">
        <v>38723</v>
      </c>
      <c r="G174" s="155">
        <f t="shared" ref="G174:G175" si="15">F174-E174</f>
        <v>17</v>
      </c>
      <c r="H174" s="99">
        <f>G174+'7'!H174</f>
        <v>108</v>
      </c>
      <c r="I174" s="155"/>
      <c r="J174" s="178">
        <f>H174/DAY(B2)</f>
        <v>13.5</v>
      </c>
    </row>
    <row r="175" spans="1:10" ht="27.75" x14ac:dyDescent="0.5">
      <c r="A175" s="856" t="s">
        <v>76</v>
      </c>
      <c r="B175" s="896"/>
      <c r="C175" s="857"/>
      <c r="D175" s="228" t="s">
        <v>142</v>
      </c>
      <c r="E175" s="95">
        <f>'7'!F175</f>
        <v>21883</v>
      </c>
      <c r="F175" s="155">
        <v>21895</v>
      </c>
      <c r="G175" s="155">
        <f t="shared" si="15"/>
        <v>12</v>
      </c>
      <c r="H175" s="99">
        <f>G175+'7'!H175</f>
        <v>82</v>
      </c>
      <c r="I175" s="155"/>
      <c r="J175" s="178">
        <f>H175/DAY(B2)</f>
        <v>10.25</v>
      </c>
    </row>
    <row r="176" spans="1:10" ht="27.75" x14ac:dyDescent="0.5">
      <c r="A176" s="847" t="s">
        <v>196</v>
      </c>
      <c r="B176" s="848"/>
      <c r="C176" s="333"/>
      <c r="D176" s="228" t="s">
        <v>142</v>
      </c>
      <c r="E176" s="95"/>
      <c r="F176" s="155"/>
      <c r="G176" s="155">
        <f>SUM(G173:G175)</f>
        <v>29</v>
      </c>
      <c r="H176" s="99">
        <f>G176+'7'!H176</f>
        <v>190</v>
      </c>
      <c r="I176" s="155"/>
      <c r="J176" s="178">
        <f>H176/DAY(B2)</f>
        <v>23.75</v>
      </c>
    </row>
    <row r="177" spans="1:10" ht="27.75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'7'!F178</f>
        <v>81717</v>
      </c>
      <c r="F178" s="155">
        <v>81763</v>
      </c>
      <c r="G178" s="155">
        <f>F178-E178</f>
        <v>46</v>
      </c>
      <c r="H178" s="99">
        <f>G178+'7'!H178</f>
        <v>448</v>
      </c>
      <c r="I178" s="155"/>
      <c r="J178" s="178">
        <f>H178/DAY(B2)</f>
        <v>56</v>
      </c>
    </row>
    <row r="179" spans="1:10" ht="27.75" x14ac:dyDescent="0.5">
      <c r="A179" s="856" t="s">
        <v>211</v>
      </c>
      <c r="B179" s="857"/>
      <c r="C179" s="333"/>
      <c r="D179" s="228" t="s">
        <v>142</v>
      </c>
      <c r="E179" s="95">
        <f>'7'!F179</f>
        <v>35073</v>
      </c>
      <c r="F179" s="155">
        <v>35098</v>
      </c>
      <c r="G179" s="155">
        <f t="shared" ref="G179:G180" si="16">F179-E179</f>
        <v>25</v>
      </c>
      <c r="H179" s="99">
        <f>G179+'7'!H179</f>
        <v>295</v>
      </c>
      <c r="I179" s="155"/>
      <c r="J179" s="178">
        <f>H179/DAY(B2)</f>
        <v>36.875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'7'!F180</f>
        <v>5748</v>
      </c>
      <c r="F180" s="155">
        <v>5765</v>
      </c>
      <c r="G180" s="155">
        <f t="shared" si="16"/>
        <v>17</v>
      </c>
      <c r="H180" s="99">
        <f>G180+'7'!H180</f>
        <v>63</v>
      </c>
      <c r="I180" s="155"/>
      <c r="J180" s="178">
        <f>H180/DAY(B2)</f>
        <v>7.875</v>
      </c>
    </row>
    <row r="181" spans="1:10" ht="27.75" x14ac:dyDescent="0.5">
      <c r="A181" s="858" t="s">
        <v>108</v>
      </c>
      <c r="B181" s="859"/>
      <c r="C181" s="333"/>
      <c r="D181" s="228" t="s">
        <v>142</v>
      </c>
      <c r="E181" s="95"/>
      <c r="F181" s="155"/>
      <c r="G181" s="155">
        <f>SUM(G178:G180)</f>
        <v>88</v>
      </c>
      <c r="H181" s="99">
        <f>G181+'7'!H181</f>
        <v>806</v>
      </c>
      <c r="I181" s="155"/>
      <c r="J181" s="178">
        <f>H181/DAY(B2)</f>
        <v>100.75</v>
      </c>
    </row>
    <row r="182" spans="1:10" ht="27.75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'7'!F183</f>
        <v>15439</v>
      </c>
      <c r="F183" s="157">
        <v>15451</v>
      </c>
      <c r="G183" s="157">
        <f>F183-E183</f>
        <v>12</v>
      </c>
      <c r="H183" s="99">
        <f>G183+'7'!H183</f>
        <v>106</v>
      </c>
      <c r="I183" s="155"/>
      <c r="J183" s="178">
        <f>H183/DAY(B2)</f>
        <v>13.25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'7'!F184</f>
        <v>10575</v>
      </c>
      <c r="F184" s="157">
        <v>10599</v>
      </c>
      <c r="G184" s="157">
        <f t="shared" ref="G184:G185" si="17">F184-E184</f>
        <v>24</v>
      </c>
      <c r="H184" s="99">
        <f>G184+'7'!H184</f>
        <v>81</v>
      </c>
      <c r="I184" s="155"/>
      <c r="J184" s="178">
        <f>H184/DAY(B2)</f>
        <v>10.125</v>
      </c>
    </row>
    <row r="185" spans="1:10" ht="27.75" x14ac:dyDescent="0.5">
      <c r="A185" s="856" t="s">
        <v>216</v>
      </c>
      <c r="B185" s="857"/>
      <c r="C185" s="334"/>
      <c r="D185" s="228" t="s">
        <v>142</v>
      </c>
      <c r="E185" s="95">
        <f>'7'!F185</f>
        <v>0</v>
      </c>
      <c r="F185" s="157"/>
      <c r="G185" s="157">
        <f t="shared" si="17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 x14ac:dyDescent="0.5">
      <c r="A186" s="847" t="s">
        <v>196</v>
      </c>
      <c r="B186" s="848"/>
      <c r="C186" s="334"/>
      <c r="D186" s="228" t="s">
        <v>142</v>
      </c>
      <c r="E186" s="95"/>
      <c r="F186" s="157"/>
      <c r="G186" s="157">
        <f>SUM(G183:G185)</f>
        <v>36</v>
      </c>
      <c r="H186" s="99">
        <f>G186+'7'!H186</f>
        <v>187</v>
      </c>
      <c r="I186" s="157"/>
      <c r="J186" s="178">
        <f>H186/DAY(B2)</f>
        <v>23.375</v>
      </c>
    </row>
    <row r="187" spans="1:10" ht="27.75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180</v>
      </c>
      <c r="H187" s="99">
        <f>G187+'7'!H187</f>
        <v>1305</v>
      </c>
      <c r="I187" s="158"/>
      <c r="J187" s="179">
        <f>H187/DAY(B2)</f>
        <v>163.125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184</v>
      </c>
      <c r="H188" s="99">
        <f>G188+'7'!H188</f>
        <v>1318</v>
      </c>
      <c r="I188" s="158"/>
      <c r="J188" s="179">
        <f>H188/DAY(B2)</f>
        <v>164.75</v>
      </c>
    </row>
    <row r="189" spans="1:10" ht="27.75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88</v>
      </c>
      <c r="H189" s="99">
        <f>G189+'7'!H189</f>
        <v>806</v>
      </c>
      <c r="I189" s="158"/>
      <c r="J189" s="179">
        <f>H189/DAY(B2)</f>
        <v>100.75</v>
      </c>
    </row>
    <row r="190" spans="1:10" ht="27.75" x14ac:dyDescent="0.5">
      <c r="A190" s="770"/>
      <c r="B190" s="771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0.25" customHeight="1" x14ac:dyDescent="0.5"/>
    <row r="195" ht="20.25" customHeight="1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115" zoomScale="55" zoomScaleNormal="80" zoomScaleSheetLayoutView="55" workbookViewId="0">
      <selection activeCell="D5" sqref="D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361</v>
      </c>
      <c r="B2" s="262">
        <v>44601</v>
      </c>
      <c r="C2" s="348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'8'!F7</f>
        <v>806257</v>
      </c>
      <c r="F7" s="95">
        <v>825639</v>
      </c>
      <c r="G7" s="112">
        <f>F7-E7</f>
        <v>19382</v>
      </c>
      <c r="H7" s="99">
        <f>G7+'8'!H7</f>
        <v>174458.77000000002</v>
      </c>
      <c r="I7" s="113">
        <f>'1'!I7</f>
        <v>12000</v>
      </c>
      <c r="J7" s="175">
        <f>H7/DAY(B2)</f>
        <v>19384.30777777778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'8'!F8</f>
        <v>865054</v>
      </c>
      <c r="F8" s="95">
        <v>884521</v>
      </c>
      <c r="G8" s="115">
        <f>F8-E8</f>
        <v>19467</v>
      </c>
      <c r="H8" s="99">
        <f>G8+'8'!H8</f>
        <v>175972.84999999998</v>
      </c>
      <c r="I8" s="116"/>
      <c r="J8" s="175">
        <f>H8/DAY(B2)</f>
        <v>19552.538888888885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'8'!F9</f>
        <v>391914</v>
      </c>
      <c r="F9" s="353">
        <v>408069</v>
      </c>
      <c r="G9" s="112">
        <f>F9-E9</f>
        <v>16155</v>
      </c>
      <c r="H9" s="99">
        <f>G9+'8'!H9</f>
        <v>125815.15000000002</v>
      </c>
      <c r="I9" s="124">
        <f>I7-J7</f>
        <v>-7384.3077777777798</v>
      </c>
      <c r="J9" s="175">
        <f>H9/DAY(B2)</f>
        <v>13979.461111111113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'8'!F10</f>
        <v>146363</v>
      </c>
      <c r="F10" s="117">
        <v>149027</v>
      </c>
      <c r="G10" s="112">
        <f t="shared" ref="G10:G12" si="0">F10-E10</f>
        <v>2664</v>
      </c>
      <c r="H10" s="99">
        <f>G10+'8'!H10</f>
        <v>43768.03</v>
      </c>
      <c r="I10" s="282"/>
      <c r="J10" s="175">
        <f>H10/DAY(B2)</f>
        <v>4863.1144444444444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'8'!F11</f>
        <v>37170</v>
      </c>
      <c r="F11" s="95">
        <v>37170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18819</v>
      </c>
      <c r="H13" s="99">
        <f>G13+'8'!H13</f>
        <v>152828.75</v>
      </c>
      <c r="I13" s="120">
        <f>G7-G13</f>
        <v>563</v>
      </c>
      <c r="J13" s="175">
        <f>H13/DAY(B2)</f>
        <v>16980.972222222223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'8'!F15</f>
        <v>1914729</v>
      </c>
      <c r="F15" s="598">
        <v>1915799</v>
      </c>
      <c r="G15" s="112">
        <f>(F15-E15)</f>
        <v>1070</v>
      </c>
      <c r="H15" s="99">
        <f>G15+'8'!H15</f>
        <v>9162.2330000000075</v>
      </c>
      <c r="I15" s="113">
        <f>'1'!I15</f>
        <v>800</v>
      </c>
      <c r="J15" s="175">
        <f>H15/DAY(B2)</f>
        <v>1018.0258888888898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-218.02588888888977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'8'!F18</f>
        <v>18</v>
      </c>
      <c r="F18" s="122">
        <v>20</v>
      </c>
      <c r="G18" s="119">
        <f>F18*10</f>
        <v>200</v>
      </c>
      <c r="H18" s="99">
        <f>G18+'8'!H18</f>
        <v>1750</v>
      </c>
      <c r="I18" s="113">
        <f>'1'!I18</f>
        <v>65</v>
      </c>
      <c r="J18" s="175">
        <f>H18/DAY(B2)</f>
        <v>194.44444444444446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'8'!F19</f>
        <v>154296</v>
      </c>
      <c r="F19" s="122">
        <v>154352</v>
      </c>
      <c r="G19" s="112">
        <f t="shared" ref="G19" si="1">F19-E19</f>
        <v>56</v>
      </c>
      <c r="H19" s="99">
        <f>G19+'8'!H19</f>
        <v>461</v>
      </c>
      <c r="I19" s="335"/>
      <c r="J19" s="175">
        <f>H19/DAY(B2)</f>
        <v>51.222222222222221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256</v>
      </c>
      <c r="H20" s="99">
        <f>G20+'8'!H20</f>
        <v>2211</v>
      </c>
      <c r="I20" s="336">
        <f>I18-J20</f>
        <v>-180.66666666666666</v>
      </c>
      <c r="J20" s="175">
        <f>H20/DAY(B2)</f>
        <v>245.66666666666666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'8'!F23</f>
        <v>1500</v>
      </c>
      <c r="F23" s="122">
        <v>1500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'8'!F24</f>
        <v>4470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19467</v>
      </c>
      <c r="F27" s="136">
        <v>9</v>
      </c>
      <c r="G27" s="137">
        <f>E27*F27</f>
        <v>175203</v>
      </c>
      <c r="H27" s="99">
        <f>G27+'8'!H27</f>
        <v>1583755.65</v>
      </c>
      <c r="I27" s="138"/>
      <c r="J27" s="175">
        <f>H27/DAY(B2)</f>
        <v>175972.84999999998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1070</v>
      </c>
      <c r="F28" s="136">
        <v>52</v>
      </c>
      <c r="G28" s="137">
        <f>E28*F28</f>
        <v>55640</v>
      </c>
      <c r="H28" s="99">
        <f>G28+'8'!H28</f>
        <v>476436.11600000039</v>
      </c>
      <c r="I28" s="140"/>
      <c r="J28" s="175">
        <f>H28/DAY(B2)</f>
        <v>52937.346222222266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G30+'8'!H30</f>
        <v>67306</v>
      </c>
      <c r="I30" s="140"/>
      <c r="J30" s="175">
        <f>H30/DAY(B2)</f>
        <v>7478.4444444444443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G31+'8'!H31</f>
        <v>140000</v>
      </c>
      <c r="I31" s="140"/>
      <c r="J31" s="175">
        <f>H31/DAY(B2)</f>
        <v>15555.555555555555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255019</v>
      </c>
      <c r="H32" s="99">
        <f>G32+'8'!H32</f>
        <v>2267497.7660000003</v>
      </c>
      <c r="I32" s="144"/>
      <c r="J32" s="175">
        <f>H32/DAY(B2)</f>
        <v>251944.19622222226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145">
        <v>43930</v>
      </c>
      <c r="F35" s="145">
        <v>45444</v>
      </c>
      <c r="G35" s="112">
        <f t="shared" ref="G35:G46" si="3">F35-E35</f>
        <v>1514</v>
      </c>
      <c r="H35" s="99">
        <f>G35+'8'!H35</f>
        <v>13439.02</v>
      </c>
      <c r="I35" s="95"/>
      <c r="J35" s="175">
        <f>H35/DAY(B2)</f>
        <v>1493.2244444444445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145">
        <v>50674</v>
      </c>
      <c r="F36" s="145">
        <v>51453</v>
      </c>
      <c r="G36" s="112">
        <f t="shared" si="3"/>
        <v>779</v>
      </c>
      <c r="H36" s="99">
        <f>G36+'8'!H36</f>
        <v>7994.260000000002</v>
      </c>
      <c r="I36" s="95"/>
      <c r="J36" s="175">
        <f>H36/DAY(B2)</f>
        <v>888.2511111111113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145">
        <v>48290</v>
      </c>
      <c r="F37" s="145">
        <v>49928</v>
      </c>
      <c r="G37" s="112">
        <f t="shared" si="3"/>
        <v>1638</v>
      </c>
      <c r="H37" s="99">
        <f>G37+'8'!H37</f>
        <v>14502.910000000003</v>
      </c>
      <c r="I37" s="95"/>
      <c r="J37" s="175">
        <f>H37/DAY(B2)</f>
        <v>1611.4344444444448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108">
        <v>53069</v>
      </c>
      <c r="F38" s="108">
        <v>54992</v>
      </c>
      <c r="G38" s="112">
        <f t="shared" si="3"/>
        <v>1923</v>
      </c>
      <c r="H38" s="99">
        <f>G38+'8'!H38</f>
        <v>16615.57</v>
      </c>
      <c r="I38" s="95"/>
      <c r="J38" s="175">
        <f>H38/DAY(B2)</f>
        <v>1846.1744444444444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145">
        <v>81244</v>
      </c>
      <c r="F39" s="145">
        <v>84245</v>
      </c>
      <c r="G39" s="112">
        <f t="shared" si="3"/>
        <v>3001</v>
      </c>
      <c r="H39" s="99">
        <f>G39+'8'!H39</f>
        <v>25071.71</v>
      </c>
      <c r="I39" s="95"/>
      <c r="J39" s="175">
        <f>H39/DAY(B2)</f>
        <v>2785.7455555555553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145">
        <v>24519</v>
      </c>
      <c r="F40" s="145">
        <v>24711</v>
      </c>
      <c r="G40" s="112">
        <f t="shared" si="3"/>
        <v>192</v>
      </c>
      <c r="H40" s="99">
        <f>G40+'8'!H40</f>
        <v>2594.0099999999975</v>
      </c>
      <c r="I40" s="95"/>
      <c r="J40" s="175">
        <f>H40/DAY(B2)</f>
        <v>288.22333333333307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145">
        <v>63</v>
      </c>
      <c r="F41" s="145">
        <v>63</v>
      </c>
      <c r="G41" s="112">
        <f t="shared" si="3"/>
        <v>0</v>
      </c>
      <c r="H41" s="99">
        <f>G41+'8'!H41</f>
        <v>0.27000000000000313</v>
      </c>
      <c r="I41" s="95"/>
      <c r="J41" s="175">
        <f>H41/DAY(B2)</f>
        <v>3.0000000000000346E-2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145">
        <v>113151</v>
      </c>
      <c r="F42" s="145">
        <v>117046</v>
      </c>
      <c r="G42" s="112">
        <f t="shared" si="3"/>
        <v>3895</v>
      </c>
      <c r="H42" s="99">
        <f>G42+'8'!H42</f>
        <v>16916.259999999995</v>
      </c>
      <c r="I42" s="95"/>
      <c r="J42" s="175">
        <f>H42/DAY(B2)</f>
        <v>1879.5844444444438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132091</v>
      </c>
      <c r="F43" s="145">
        <v>134178</v>
      </c>
      <c r="G43" s="112">
        <f t="shared" si="3"/>
        <v>2087</v>
      </c>
      <c r="H43" s="99">
        <f>G43+'8'!H43</f>
        <v>19326.399999999994</v>
      </c>
      <c r="I43" s="95"/>
      <c r="J43" s="175">
        <f>H43/DAY(B2)</f>
        <v>2147.3777777777773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145"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15029</v>
      </c>
      <c r="H47" s="99">
        <f>G47+'8'!H47</f>
        <v>116460.41</v>
      </c>
      <c r="I47" s="95"/>
      <c r="J47" s="175">
        <f>H47/DAY(B2)</f>
        <v>12940.045555555556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145">
        <v>34907</v>
      </c>
      <c r="F49" s="145">
        <v>36299</v>
      </c>
      <c r="G49" s="112">
        <f t="shared" ref="G49:G58" si="4">F49-E49</f>
        <v>1392</v>
      </c>
      <c r="H49" s="99">
        <f>G49+'8'!H49</f>
        <v>11302.810000000001</v>
      </c>
      <c r="I49" s="95"/>
      <c r="J49" s="175">
        <f>H49/DAY(B2)</f>
        <v>1255.867777777778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145">
        <v>65879</v>
      </c>
      <c r="F50" s="145">
        <v>66997</v>
      </c>
      <c r="G50" s="112">
        <f t="shared" si="4"/>
        <v>1118</v>
      </c>
      <c r="H50" s="99">
        <f>G50+'8'!H50</f>
        <v>10610.370000000003</v>
      </c>
      <c r="I50" s="95"/>
      <c r="J50" s="175">
        <f>H50/DAY(B2)</f>
        <v>1178.9300000000003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145">
        <v>0</v>
      </c>
      <c r="F51" s="145">
        <v>0</v>
      </c>
      <c r="G51" s="112">
        <f t="shared" si="4"/>
        <v>0</v>
      </c>
      <c r="H51" s="99">
        <f>G51+'8'!H51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145">
        <v>0</v>
      </c>
      <c r="F52" s="145">
        <v>0</v>
      </c>
      <c r="G52" s="112">
        <f t="shared" si="4"/>
        <v>0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145"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145">
        <v>8527</v>
      </c>
      <c r="F54" s="145">
        <v>9067</v>
      </c>
      <c r="G54" s="112">
        <f t="shared" si="4"/>
        <v>540</v>
      </c>
      <c r="H54" s="99">
        <f>G54+'8'!H54</f>
        <v>3919.58</v>
      </c>
      <c r="I54" s="95"/>
      <c r="J54" s="175">
        <f>H54/DAY(B2)</f>
        <v>435.50888888888886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145">
        <v>90154.47</v>
      </c>
      <c r="F55" s="145">
        <v>90154</v>
      </c>
      <c r="G55" s="112">
        <f t="shared" si="4"/>
        <v>-0.47000000000116415</v>
      </c>
      <c r="H55" s="99">
        <f>G55+'8'!H55</f>
        <v>15787.89</v>
      </c>
      <c r="I55" s="95"/>
      <c r="J55" s="175">
        <f>H55/DAY(B2)</f>
        <v>1754.21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145">
        <v>8724</v>
      </c>
      <c r="F56" s="145">
        <v>8724</v>
      </c>
      <c r="G56" s="112">
        <f t="shared" si="4"/>
        <v>0</v>
      </c>
      <c r="H56" s="99">
        <f>G56+'8'!H56</f>
        <v>113.45999999999913</v>
      </c>
      <c r="I56" s="95"/>
      <c r="J56" s="175">
        <f>H56/DAY(B2)</f>
        <v>12.60666666666657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145"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145">
        <v>6454</v>
      </c>
      <c r="F58" s="145">
        <v>6739</v>
      </c>
      <c r="G58" s="112">
        <f t="shared" si="4"/>
        <v>285</v>
      </c>
      <c r="H58" s="99">
        <f>G58+'8'!H58</f>
        <v>1942.79</v>
      </c>
      <c r="I58" s="95"/>
      <c r="J58" s="175">
        <f>H58/DAY(B2)</f>
        <v>215.86555555555555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3334.5299999999988</v>
      </c>
      <c r="H59" s="99">
        <f>G59+'8'!H59</f>
        <v>43676.9</v>
      </c>
      <c r="I59" s="95">
        <f>G7-G60</f>
        <v>1018.4700000000012</v>
      </c>
      <c r="J59" s="175">
        <f>H59/DAY(B2)</f>
        <v>4852.9888888888891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18363.53</v>
      </c>
      <c r="H60" s="99">
        <f>G60+'8'!H60</f>
        <v>160137.31</v>
      </c>
      <c r="I60" s="95">
        <f>G13-G60</f>
        <v>455.47000000000116</v>
      </c>
      <c r="J60" s="175">
        <f>H60/DAY(B2)</f>
        <v>17793.034444444445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'8'!F62</f>
        <v>270416</v>
      </c>
      <c r="F62" s="122">
        <v>270558</v>
      </c>
      <c r="G62" s="112">
        <f t="shared" ref="G62:G63" si="5">F62-E62</f>
        <v>142</v>
      </c>
      <c r="H62" s="99">
        <f>G62+'8'!H62</f>
        <v>1042</v>
      </c>
      <c r="I62" s="118"/>
      <c r="J62" s="175">
        <f>H62/DAY(B2)</f>
        <v>115.77777777777777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'8'!F63</f>
        <v>216843</v>
      </c>
      <c r="F63" s="122">
        <v>216933</v>
      </c>
      <c r="G63" s="112">
        <f t="shared" si="5"/>
        <v>90</v>
      </c>
      <c r="H63" s="99">
        <f>G63+'8'!H63</f>
        <v>1136</v>
      </c>
      <c r="I63" s="118"/>
      <c r="J63" s="175">
        <f>H63/DAY(B2)</f>
        <v>126.22222222222223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'8'!F64</f>
        <v>0</v>
      </c>
      <c r="F64" s="122">
        <v>0</v>
      </c>
      <c r="G64" s="112">
        <f>G62+G63</f>
        <v>232</v>
      </c>
      <c r="H64" s="99">
        <f>G64+'8'!H64</f>
        <v>2178</v>
      </c>
      <c r="I64" s="118"/>
      <c r="J64" s="175">
        <f>H64/DAY(B2)</f>
        <v>242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'8'!F65</f>
        <v>435658</v>
      </c>
      <c r="F65" s="122">
        <v>435761</v>
      </c>
      <c r="G65" s="112">
        <f t="shared" ref="G65:G70" si="6">F65-E65</f>
        <v>103</v>
      </c>
      <c r="H65" s="99">
        <f>G65+'8'!H65</f>
        <v>838</v>
      </c>
      <c r="I65" s="118"/>
      <c r="J65" s="175">
        <f>H65/DAY(B2)</f>
        <v>93.111111111111114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'8'!F66</f>
        <v>107946</v>
      </c>
      <c r="F66" s="122">
        <v>107966</v>
      </c>
      <c r="G66" s="112">
        <f t="shared" si="6"/>
        <v>20</v>
      </c>
      <c r="H66" s="99">
        <f>G66+'8'!H66</f>
        <v>223</v>
      </c>
      <c r="I66" s="118"/>
      <c r="J66" s="175">
        <f>H66/DAY(B2)</f>
        <v>24.777777777777779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'8'!F67</f>
        <v>104830</v>
      </c>
      <c r="F67" s="122">
        <v>104885</v>
      </c>
      <c r="G67" s="112">
        <f t="shared" si="6"/>
        <v>55</v>
      </c>
      <c r="H67" s="99">
        <f>G67+'8'!H67</f>
        <v>237</v>
      </c>
      <c r="I67" s="118"/>
      <c r="J67" s="175">
        <f>H67/DAY(B2)</f>
        <v>26.333333333333332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'8'!F68</f>
        <v>157984</v>
      </c>
      <c r="F68" s="122">
        <v>158021</v>
      </c>
      <c r="G68" s="112">
        <f t="shared" si="6"/>
        <v>37</v>
      </c>
      <c r="H68" s="99">
        <f>G68+'8'!H68</f>
        <v>324</v>
      </c>
      <c r="I68" s="118"/>
      <c r="J68" s="175">
        <f>H68/DAY(B2)</f>
        <v>36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'8'!F69</f>
        <v>10629</v>
      </c>
      <c r="F69" s="122">
        <v>10638</v>
      </c>
      <c r="G69" s="112">
        <f t="shared" si="6"/>
        <v>9</v>
      </c>
      <c r="H69" s="99">
        <f>G69+'8'!H69</f>
        <v>97</v>
      </c>
      <c r="I69" s="118"/>
      <c r="J69" s="175">
        <f>H69/DAY(B2)</f>
        <v>10.777777777777779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'8'!F70</f>
        <v>8230</v>
      </c>
      <c r="F70" s="122">
        <v>8244</v>
      </c>
      <c r="G70" s="112">
        <f t="shared" si="6"/>
        <v>14</v>
      </c>
      <c r="H70" s="99">
        <f>G70+'8'!H70</f>
        <v>124</v>
      </c>
      <c r="I70" s="118"/>
      <c r="J70" s="175">
        <f>H70/DAY(B2)</f>
        <v>13.777777777777779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238</v>
      </c>
      <c r="H71" s="99">
        <f>G71+'8'!H71</f>
        <v>1843</v>
      </c>
      <c r="I71" s="154"/>
      <c r="J71" s="175">
        <f>H71/DAY(B2)</f>
        <v>204.77777777777777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'8'!F74</f>
        <v>903732</v>
      </c>
      <c r="F74" s="117">
        <v>904033</v>
      </c>
      <c r="G74" s="112">
        <f t="shared" ref="G74:G78" si="7">F74-E74</f>
        <v>301</v>
      </c>
      <c r="H74" s="99">
        <f>G74+'8'!H74</f>
        <v>2726.8510000000242</v>
      </c>
      <c r="I74" s="154"/>
      <c r="J74" s="175">
        <f>H74/DAY(B2)</f>
        <v>302.98344444444712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'8'!F75</f>
        <v>73586.8</v>
      </c>
      <c r="F75" s="123">
        <v>73587</v>
      </c>
      <c r="G75" s="112">
        <f t="shared" si="7"/>
        <v>0.19999999999708962</v>
      </c>
      <c r="H75" s="99">
        <f>G75+'8'!H75</f>
        <v>0.19999999999708962</v>
      </c>
      <c r="I75" s="154"/>
      <c r="J75" s="175">
        <f>H75/DAY(B2)</f>
        <v>2.2222222221898846E-2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'8'!F76</f>
        <v>170907</v>
      </c>
      <c r="F76" s="123">
        <v>171014</v>
      </c>
      <c r="G76" s="112">
        <f t="shared" si="7"/>
        <v>107</v>
      </c>
      <c r="H76" s="99">
        <f>G76+'8'!H76</f>
        <v>1039</v>
      </c>
      <c r="I76" s="154"/>
      <c r="J76" s="175">
        <f>H76/DAY(B2)</f>
        <v>115.44444444444444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'8'!F77</f>
        <v>41687</v>
      </c>
      <c r="F77" s="123">
        <v>41730</v>
      </c>
      <c r="G77" s="112">
        <f t="shared" si="7"/>
        <v>43</v>
      </c>
      <c r="H77" s="99">
        <f>G77+'8'!H77</f>
        <v>427.80000000000291</v>
      </c>
      <c r="I77" s="154"/>
      <c r="J77" s="175">
        <f>H77/DAY(B2)</f>
        <v>47.533333333333658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'8'!F78</f>
        <v>9527</v>
      </c>
      <c r="F78" s="123">
        <v>9528</v>
      </c>
      <c r="G78" s="112">
        <f t="shared" si="7"/>
        <v>1</v>
      </c>
      <c r="H78" s="99">
        <f>G78+'8'!H78</f>
        <v>12</v>
      </c>
      <c r="I78" s="118"/>
      <c r="J78" s="175">
        <f>H78/DAY(B2)</f>
        <v>1.3333333333333333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'8'!F79</f>
        <v>0</v>
      </c>
      <c r="F79" s="117"/>
      <c r="G79" s="112">
        <f>G15-SUM(G74:G78)</f>
        <v>617.80000000000291</v>
      </c>
      <c r="H79" s="99">
        <f>G79+'8'!H79</f>
        <v>4956.3819999999832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1070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'8'!F84</f>
        <v>41675</v>
      </c>
      <c r="F84" s="164">
        <v>41675</v>
      </c>
      <c r="G84" s="112">
        <f t="shared" si="8"/>
        <v>0</v>
      </c>
      <c r="H84" s="99">
        <f>G84+'8'!H84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'8'!F85</f>
        <v>2336.4</v>
      </c>
      <c r="F85" s="164">
        <v>2360</v>
      </c>
      <c r="G85" s="112">
        <f t="shared" si="8"/>
        <v>23.599999999999909</v>
      </c>
      <c r="H85" s="99">
        <f>G85+'8'!H85</f>
        <v>99.579999999999927</v>
      </c>
      <c r="I85" s="118">
        <f>G82+G83+G84+G85</f>
        <v>23.599999999999909</v>
      </c>
      <c r="J85" s="175">
        <f>H85/DAY(B2)</f>
        <v>11.064444444444437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'8'!F86</f>
        <v>43560</v>
      </c>
      <c r="F86" s="164">
        <v>43560</v>
      </c>
      <c r="G86" s="112">
        <f t="shared" si="8"/>
        <v>0</v>
      </c>
      <c r="H86" s="99">
        <f>G86+'8'!H86</f>
        <v>118</v>
      </c>
      <c r="I86" s="118"/>
      <c r="J86" s="175">
        <f>H86/DAY(B2)</f>
        <v>13.111111111111111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'8'!F87</f>
        <v>34599</v>
      </c>
      <c r="F87" s="164">
        <v>34598.550000000003</v>
      </c>
      <c r="G87" s="112">
        <f t="shared" si="8"/>
        <v>-0.44999999999708962</v>
      </c>
      <c r="H87" s="99">
        <f>G87+'8'!H87</f>
        <v>5.0000000002910383E-2</v>
      </c>
      <c r="I87" s="118"/>
      <c r="J87" s="175">
        <f>H87/DAY(B2)</f>
        <v>5.5555555558789316E-3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'8'!F88</f>
        <v>24063</v>
      </c>
      <c r="F88" s="164">
        <v>24063</v>
      </c>
      <c r="G88" s="112">
        <f t="shared" si="8"/>
        <v>0</v>
      </c>
      <c r="H88" s="99">
        <f>G88+'8'!H88</f>
        <v>-0.43000000000029104</v>
      </c>
      <c r="I88" s="118">
        <f>G86+G87+G88</f>
        <v>-0.44999999999708962</v>
      </c>
      <c r="J88" s="175">
        <f>H88/DAY(B2)</f>
        <v>-4.7777777777810115E-2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'8'!F89</f>
        <v>25970</v>
      </c>
      <c r="F89" s="164">
        <v>25981.43</v>
      </c>
      <c r="G89" s="112">
        <f t="shared" si="8"/>
        <v>11.430000000000291</v>
      </c>
      <c r="H89" s="99">
        <f>G89+'8'!H89</f>
        <v>90.31000000000131</v>
      </c>
      <c r="I89" s="118"/>
      <c r="J89" s="175">
        <f>H89/DAY(B2)</f>
        <v>10.03444444444459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'8'!F90</f>
        <v>71183</v>
      </c>
      <c r="F90" s="164">
        <v>71186</v>
      </c>
      <c r="G90" s="112">
        <f t="shared" si="8"/>
        <v>3</v>
      </c>
      <c r="H90" s="99">
        <f>G90+'8'!H90</f>
        <v>22.679999999993015</v>
      </c>
      <c r="I90" s="118">
        <f>G89+G90</f>
        <v>14.430000000000291</v>
      </c>
      <c r="J90" s="175">
        <f>H90/DAY(B2)</f>
        <v>2.5199999999992237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'8'!F91</f>
        <v>3340.85</v>
      </c>
      <c r="F91" s="122">
        <v>3352</v>
      </c>
      <c r="G91" s="112">
        <f t="shared" si="8"/>
        <v>11.150000000000091</v>
      </c>
      <c r="H91" s="99">
        <f>G91+'8'!H91</f>
        <v>100.90999999999985</v>
      </c>
      <c r="I91" s="165"/>
      <c r="J91" s="175">
        <f>H91/DAY(B2)</f>
        <v>11.212222222222206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'8'!F92</f>
        <v>5741</v>
      </c>
      <c r="F92" s="122">
        <v>5741</v>
      </c>
      <c r="G92" s="112">
        <f t="shared" si="8"/>
        <v>0</v>
      </c>
      <c r="H92" s="99">
        <f>G92+'8'!H92</f>
        <v>-6.9999999999708962E-2</v>
      </c>
      <c r="I92" s="165"/>
      <c r="J92" s="175">
        <f>H92/DAY(B2)</f>
        <v>-7.7777777777454406E-3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4993</v>
      </c>
      <c r="H94" s="99">
        <f>G94+'8'!H94</f>
        <v>44068.229999999996</v>
      </c>
      <c r="I94" s="118"/>
      <c r="J94" s="175">
        <f>H94/DAY(B2)</f>
        <v>4896.4699999999993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0.2576101537509029</v>
      </c>
      <c r="H95" s="99">
        <f>G95+'8'!H95</f>
        <v>2.272928236231031</v>
      </c>
      <c r="I95" s="167"/>
      <c r="J95" s="175">
        <f>H95/DAY(B2)</f>
        <v>0.25254758180344788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3894.5299999999988</v>
      </c>
      <c r="H96" s="99">
        <f>G96+'8'!H96</f>
        <v>32817.87999999999</v>
      </c>
      <c r="I96" s="118"/>
      <c r="J96" s="175">
        <f>H96/DAY(B2)</f>
        <v>3646.4311111111101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0.20093540398307702</v>
      </c>
      <c r="H97" s="99">
        <f>G97+'8'!H97</f>
        <v>1.6969395422641493</v>
      </c>
      <c r="I97" s="167"/>
      <c r="J97" s="175">
        <f>H97/DAY(B2)</f>
        <v>0.18854883802934994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3001</v>
      </c>
      <c r="H98" s="99">
        <f>G98+'8'!H98</f>
        <v>25071.71</v>
      </c>
      <c r="I98" s="168"/>
      <c r="J98" s="175">
        <f>H98/DAY(B2)</f>
        <v>2785.7455555555553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0.15483438241667527</v>
      </c>
      <c r="H99" s="99">
        <f>G99+'8'!H99</f>
        <v>1.2953929028994327</v>
      </c>
      <c r="I99" s="168"/>
      <c r="J99" s="175">
        <f>H99/DAY(B2)</f>
        <v>0.14393254476660364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1923</v>
      </c>
      <c r="H100" s="99">
        <f>G100+'8'!H100</f>
        <v>16615.57</v>
      </c>
      <c r="I100" s="118"/>
      <c r="J100" s="175">
        <f>H100/DAY(B2)</f>
        <v>1846.1744444444444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9.9215767206686623E-2</v>
      </c>
      <c r="H101" s="99">
        <f>G101+'8'!H101</f>
        <v>0.85758579796451162</v>
      </c>
      <c r="I101" s="168"/>
      <c r="J101" s="175">
        <f>H101/DAY(B2)</f>
        <v>9.5287310884945742E-2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1897</v>
      </c>
      <c r="H102" s="99">
        <f>G102+'8'!H102</f>
        <v>18604.630000000005</v>
      </c>
      <c r="I102" s="168"/>
      <c r="J102" s="175">
        <f>H102/DAY(B2)</f>
        <v>2067.1811111111115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9.7874316376018983E-2</v>
      </c>
      <c r="H103" s="99">
        <f>G103+'8'!H103</f>
        <v>0.95643011494117369</v>
      </c>
      <c r="I103" s="118"/>
      <c r="J103" s="175">
        <f>H103/DAY(B2)</f>
        <v>0.10627001277124153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1638</v>
      </c>
      <c r="H104" s="99">
        <f>G104+'8'!H104</f>
        <v>14502.910000000003</v>
      </c>
      <c r="I104" s="118"/>
      <c r="J104" s="175">
        <f>H104/DAY(B2)</f>
        <v>1611.4344444444448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8.451140233206067E-2</v>
      </c>
      <c r="H105" s="99">
        <f>G105+'8'!H105</f>
        <v>0.75020365610972317</v>
      </c>
      <c r="I105" s="187"/>
      <c r="J105" s="188">
        <f>H105/DAY(B2)</f>
        <v>8.3355961789969235E-2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'8'!F112</f>
        <v>58659</v>
      </c>
      <c r="F112" s="237">
        <v>58734</v>
      </c>
      <c r="G112" s="112">
        <f t="shared" ref="G112:G123" si="9">F112-E112</f>
        <v>75</v>
      </c>
      <c r="H112" s="99">
        <f>G112+'8'!H112</f>
        <v>680</v>
      </c>
      <c r="I112" s="165"/>
      <c r="J112" s="328">
        <f>H112/DAY(B2)</f>
        <v>75.555555555555557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'8'!F113</f>
        <v>50163</v>
      </c>
      <c r="F113" s="237">
        <v>50610</v>
      </c>
      <c r="G113" s="112">
        <f t="shared" si="9"/>
        <v>447</v>
      </c>
      <c r="H113" s="99">
        <f>G113+'8'!H113</f>
        <v>4209.1100000000006</v>
      </c>
      <c r="I113" s="165"/>
      <c r="J113" s="328">
        <f>H113/DAY(B2)</f>
        <v>467.67888888888893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'8'!F114</f>
        <v>35685</v>
      </c>
      <c r="F114" s="237">
        <v>35947</v>
      </c>
      <c r="G114" s="112">
        <f t="shared" si="9"/>
        <v>262</v>
      </c>
      <c r="H114" s="99">
        <f>G114+'8'!H114</f>
        <v>2787</v>
      </c>
      <c r="I114" s="165"/>
      <c r="J114" s="328">
        <f>H114/DAY(B2)</f>
        <v>309.66666666666669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'8'!F115</f>
        <v>9179</v>
      </c>
      <c r="F115" s="237">
        <v>9190</v>
      </c>
      <c r="G115" s="112">
        <f t="shared" si="9"/>
        <v>11</v>
      </c>
      <c r="H115" s="99">
        <f>G115+'8'!H115</f>
        <v>95.350000000000364</v>
      </c>
      <c r="I115" s="165"/>
      <c r="J115" s="328">
        <f>H115/DAY(B2)</f>
        <v>10.594444444444484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'8'!F116</f>
        <v>933</v>
      </c>
      <c r="F116" s="237">
        <v>1223</v>
      </c>
      <c r="G116" s="112">
        <f t="shared" si="9"/>
        <v>290</v>
      </c>
      <c r="H116" s="99">
        <f>G116+'8'!H116</f>
        <v>1223</v>
      </c>
      <c r="I116" s="165"/>
      <c r="J116" s="328">
        <f>H116/DAY(B2)</f>
        <v>135.88888888888889</v>
      </c>
      <c r="Q116" s="863"/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'8'!F117</f>
        <v>4047</v>
      </c>
      <c r="F117" s="237">
        <v>4263</v>
      </c>
      <c r="G117" s="112">
        <f t="shared" si="9"/>
        <v>216</v>
      </c>
      <c r="H117" s="99">
        <f>G117+'8'!H117</f>
        <v>925.05000000000018</v>
      </c>
      <c r="I117" s="165"/>
      <c r="J117" s="328">
        <f>H117/DAY(B2)</f>
        <v>102.78333333333336</v>
      </c>
      <c r="Q117" s="863"/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'8'!F118</f>
        <v>255150</v>
      </c>
      <c r="F118" s="237">
        <v>255533</v>
      </c>
      <c r="G118" s="112">
        <f t="shared" si="9"/>
        <v>383</v>
      </c>
      <c r="H118" s="99">
        <f>G118+'8'!H118</f>
        <v>3080.6900000000023</v>
      </c>
      <c r="I118" s="165"/>
      <c r="J118" s="328">
        <f>H118/DAY(B2)</f>
        <v>342.29888888888917</v>
      </c>
      <c r="Q118" s="863"/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'8'!F119</f>
        <v>261412</v>
      </c>
      <c r="F119" s="237">
        <v>261847</v>
      </c>
      <c r="G119" s="112">
        <f t="shared" si="9"/>
        <v>435</v>
      </c>
      <c r="H119" s="99">
        <f>G119+'8'!H119</f>
        <v>3698.4500000000116</v>
      </c>
      <c r="I119" s="165"/>
      <c r="J119" s="328">
        <f>H119/DAY(B2)</f>
        <v>410.93888888889018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'8'!F120</f>
        <v>46302</v>
      </c>
      <c r="F120" s="237">
        <v>46745</v>
      </c>
      <c r="G120" s="112">
        <f t="shared" si="9"/>
        <v>443</v>
      </c>
      <c r="H120" s="99">
        <f>G120+'8'!H120</f>
        <v>3785.3899999999994</v>
      </c>
      <c r="I120" s="165"/>
      <c r="J120" s="328">
        <f>H120/DAY(B2)</f>
        <v>420.59888888888884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'8'!F121</f>
        <v>403832</v>
      </c>
      <c r="F121" s="237">
        <v>404573</v>
      </c>
      <c r="G121" s="112">
        <f t="shared" si="9"/>
        <v>741</v>
      </c>
      <c r="H121" s="99">
        <f>G121+'8'!H121</f>
        <v>6538.570000000007</v>
      </c>
      <c r="I121" s="165"/>
      <c r="J121" s="328">
        <f>H121/DAY(B2)</f>
        <v>726.50777777777853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'8'!F122</f>
        <v>128003</v>
      </c>
      <c r="F122" s="237">
        <v>128266</v>
      </c>
      <c r="G122" s="112">
        <f t="shared" si="9"/>
        <v>263</v>
      </c>
      <c r="H122" s="99">
        <f>G122+'8'!H122</f>
        <v>2079.820000000007</v>
      </c>
      <c r="I122" s="165"/>
      <c r="J122" s="328">
        <f>H122/DAY(B2)</f>
        <v>231.0911111111119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'8'!F123</f>
        <v>156083</v>
      </c>
      <c r="F123" s="237">
        <v>156337</v>
      </c>
      <c r="G123" s="112">
        <f t="shared" si="9"/>
        <v>254</v>
      </c>
      <c r="H123" s="99">
        <f>G123+'8'!H123</f>
        <v>2290.0499999999884</v>
      </c>
      <c r="I123" s="165"/>
      <c r="J123" s="328">
        <f>H123/DAY(B2)</f>
        <v>254.44999999999871</v>
      </c>
    </row>
    <row r="124" spans="1:18" ht="29.25" customHeight="1" x14ac:dyDescent="0.5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3820</v>
      </c>
      <c r="H125" s="156"/>
      <c r="I125" s="327">
        <f>G125-(G39+G53)</f>
        <v>819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'8'!F128</f>
        <v>50155</v>
      </c>
      <c r="F128" s="155">
        <v>50522</v>
      </c>
      <c r="G128" s="112">
        <f t="shared" ref="G128:G134" si="10">F128-E128</f>
        <v>367</v>
      </c>
      <c r="H128" s="99">
        <f>G128+'8'!H128</f>
        <v>2776</v>
      </c>
      <c r="I128" s="165"/>
      <c r="J128" s="328">
        <f>H128/DAY(B2)</f>
        <v>308.44444444444446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'8'!F129</f>
        <v>28501</v>
      </c>
      <c r="F129" s="155">
        <v>28699</v>
      </c>
      <c r="G129" s="112">
        <f t="shared" si="10"/>
        <v>198</v>
      </c>
      <c r="H129" s="99">
        <f>G129+'8'!H129</f>
        <v>1788.130000000001</v>
      </c>
      <c r="I129" s="165"/>
      <c r="J129" s="328">
        <f>H129/DAY(B2)</f>
        <v>198.68111111111122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'8'!F130</f>
        <v>40315</v>
      </c>
      <c r="F130" s="155">
        <v>40844</v>
      </c>
      <c r="G130" s="112">
        <f t="shared" si="10"/>
        <v>529</v>
      </c>
      <c r="H130" s="99">
        <f>G130+'8'!H130</f>
        <v>5150</v>
      </c>
      <c r="I130" s="165"/>
      <c r="J130" s="328">
        <f>H130/DAY(B2)</f>
        <v>572.22222222222217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'8'!F131</f>
        <v>15930</v>
      </c>
      <c r="F131" s="155">
        <v>16070</v>
      </c>
      <c r="G131" s="112">
        <f t="shared" si="10"/>
        <v>140</v>
      </c>
      <c r="H131" s="99">
        <f>G131+'8'!H131</f>
        <v>762.31999999999971</v>
      </c>
      <c r="I131" s="165"/>
      <c r="J131" s="328">
        <f>H131/DAY(B2)</f>
        <v>84.70222222222219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'8'!F132</f>
        <v>54553</v>
      </c>
      <c r="F132" s="155">
        <v>54991</v>
      </c>
      <c r="G132" s="112">
        <f t="shared" si="10"/>
        <v>438</v>
      </c>
      <c r="H132" s="99">
        <f>G132+'8'!H132</f>
        <v>3142.6999999999971</v>
      </c>
      <c r="I132" s="165"/>
      <c r="J132" s="328">
        <f>H132/DAY(B2)</f>
        <v>349.18888888888858</v>
      </c>
    </row>
    <row r="133" spans="1:15" ht="27.75" x14ac:dyDescent="0.5">
      <c r="A133" s="863" t="s">
        <v>323</v>
      </c>
      <c r="B133" s="864"/>
      <c r="C133" s="865"/>
      <c r="D133" s="151" t="s">
        <v>183</v>
      </c>
      <c r="E133" s="95">
        <f>'8'!F133</f>
        <v>110300</v>
      </c>
      <c r="F133" s="155">
        <v>110958</v>
      </c>
      <c r="G133" s="112">
        <f t="shared" si="10"/>
        <v>658</v>
      </c>
      <c r="H133" s="99">
        <f>G133+'8'!H133</f>
        <v>5614.3000000000029</v>
      </c>
      <c r="I133" s="165"/>
      <c r="J133" s="328">
        <f>H133/DAY(B2)</f>
        <v>623.81111111111147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'8'!F134</f>
        <v>10166.85</v>
      </c>
      <c r="F134" s="155">
        <v>10365</v>
      </c>
      <c r="G134" s="112">
        <f t="shared" si="10"/>
        <v>198.14999999999964</v>
      </c>
      <c r="H134" s="99">
        <f>G134+'8'!H134</f>
        <v>1763.7700000000004</v>
      </c>
      <c r="I134" s="165"/>
      <c r="J134" s="328">
        <f>H134/DAY(B2)</f>
        <v>195.97444444444449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2528.1499999999996</v>
      </c>
      <c r="H135" s="99">
        <f>G135+'8'!H135</f>
        <v>20997.22</v>
      </c>
      <c r="I135" s="327">
        <f>G135-(G35+G49)</f>
        <v>-377.85000000000036</v>
      </c>
      <c r="J135" s="328">
        <f>H135/DAY(B2)</f>
        <v>2333.0244444444447</v>
      </c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'8'!F138</f>
        <v>866809</v>
      </c>
      <c r="F138" s="147">
        <v>866888</v>
      </c>
      <c r="G138" s="112">
        <f t="shared" ref="G138:G152" si="11">F138-E138</f>
        <v>79</v>
      </c>
      <c r="H138" s="99">
        <f>G138+'8'!H138</f>
        <v>715</v>
      </c>
      <c r="I138" s="118"/>
      <c r="J138" s="328">
        <f>H138/DAY(B2)</f>
        <v>79.444444444444443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'8'!F139</f>
        <v>886630</v>
      </c>
      <c r="F139" s="148">
        <v>886632</v>
      </c>
      <c r="G139" s="112">
        <f t="shared" si="11"/>
        <v>2</v>
      </c>
      <c r="H139" s="99">
        <f>G139+'8'!H139</f>
        <v>59</v>
      </c>
      <c r="I139" s="118"/>
      <c r="J139" s="328">
        <f>H139/DAY(B2)</f>
        <v>6.5555555555555554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'8'!F140</f>
        <v>88940</v>
      </c>
      <c r="F140" s="149">
        <v>88941</v>
      </c>
      <c r="G140" s="112">
        <f t="shared" si="11"/>
        <v>1</v>
      </c>
      <c r="H140" s="99">
        <f>G140+'8'!H140</f>
        <v>19</v>
      </c>
      <c r="I140" s="118"/>
      <c r="J140" s="328">
        <f>H140/DAY(B2)</f>
        <v>2.1111111111111112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'8'!F141</f>
        <v>56077</v>
      </c>
      <c r="F141" s="149">
        <v>56257</v>
      </c>
      <c r="G141" s="112">
        <f t="shared" si="11"/>
        <v>180</v>
      </c>
      <c r="H141" s="99">
        <f>G141+'8'!H141</f>
        <v>1571.4199999999983</v>
      </c>
      <c r="I141" s="118"/>
      <c r="J141" s="328">
        <f>H141/DAY(B2)</f>
        <v>174.60222222222203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'8'!F142</f>
        <v>21834</v>
      </c>
      <c r="F142" s="148">
        <v>21905</v>
      </c>
      <c r="G142" s="112">
        <f t="shared" si="11"/>
        <v>71</v>
      </c>
      <c r="H142" s="99">
        <f>G142+'8'!H142</f>
        <v>620.90000000000146</v>
      </c>
      <c r="I142" s="140"/>
      <c r="J142" s="328">
        <f>H142/DAY(B2)</f>
        <v>68.988888888889051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'8'!F143</f>
        <v>4058</v>
      </c>
      <c r="F143" s="149">
        <v>4084</v>
      </c>
      <c r="G143" s="112">
        <f t="shared" si="11"/>
        <v>26</v>
      </c>
      <c r="H143" s="99">
        <f>G143+'8'!H143</f>
        <v>248.61000000000013</v>
      </c>
      <c r="I143" s="140"/>
      <c r="J143" s="328">
        <f>H143/DAY(B2)</f>
        <v>27.623333333333349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'8'!F144</f>
        <v>878165</v>
      </c>
      <c r="F144" s="149">
        <v>878378</v>
      </c>
      <c r="G144" s="112">
        <f t="shared" si="11"/>
        <v>213</v>
      </c>
      <c r="H144" s="99">
        <f>G144+'8'!H144</f>
        <v>1891</v>
      </c>
      <c r="I144" s="140"/>
      <c r="J144" s="328">
        <f>H144/DAY(B2)</f>
        <v>210.11111111111111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'8'!F145</f>
        <v>5057</v>
      </c>
      <c r="F145" s="149">
        <v>5071</v>
      </c>
      <c r="G145" s="112">
        <f t="shared" si="11"/>
        <v>14</v>
      </c>
      <c r="H145" s="99">
        <f>G145+'8'!H145</f>
        <v>112.15999999999985</v>
      </c>
      <c r="I145" s="140"/>
      <c r="J145" s="328">
        <f>H145/DAY(B2)</f>
        <v>12.462222222222206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'8'!F146</f>
        <v>740692</v>
      </c>
      <c r="F146" s="148">
        <v>741100</v>
      </c>
      <c r="G146" s="112">
        <f t="shared" si="11"/>
        <v>408</v>
      </c>
      <c r="H146" s="99">
        <f>G146+'8'!H146</f>
        <v>3767</v>
      </c>
      <c r="I146" s="140"/>
      <c r="J146" s="328">
        <f>H146/DAY(B2)</f>
        <v>418.55555555555554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'8'!F147</f>
        <v>629801</v>
      </c>
      <c r="F147" s="148">
        <v>630189</v>
      </c>
      <c r="G147" s="112">
        <f t="shared" si="11"/>
        <v>388</v>
      </c>
      <c r="H147" s="99">
        <f>G147+'8'!H147</f>
        <v>3576.4799999999814</v>
      </c>
      <c r="I147" s="140"/>
      <c r="J147" s="328">
        <f>H147/DAY(B2)</f>
        <v>397.38666666666461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'8'!F148</f>
        <v>691828</v>
      </c>
      <c r="F148" s="486">
        <v>692072</v>
      </c>
      <c r="G148" s="112">
        <f t="shared" si="11"/>
        <v>244</v>
      </c>
      <c r="H148" s="99">
        <f>G148+'8'!H148</f>
        <v>2629.0400000000373</v>
      </c>
      <c r="I148" s="124"/>
      <c r="J148" s="328">
        <f>H148/DAY(B2)</f>
        <v>292.11555555555969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'8'!F149</f>
        <v>28830</v>
      </c>
      <c r="F149" s="146">
        <v>29435</v>
      </c>
      <c r="G149" s="112">
        <f t="shared" si="11"/>
        <v>605</v>
      </c>
      <c r="H149" s="99">
        <f>G149+'8'!H149</f>
        <v>4756.7999999999993</v>
      </c>
      <c r="I149" s="119"/>
      <c r="J149" s="328">
        <f>H149/DAY(B2)</f>
        <v>528.5333333333333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'8'!F150</f>
        <v>12658</v>
      </c>
      <c r="F150" s="233">
        <v>12888</v>
      </c>
      <c r="G150" s="112">
        <f t="shared" si="11"/>
        <v>230</v>
      </c>
      <c r="H150" s="99">
        <f>G150+'8'!H150</f>
        <v>2037.17</v>
      </c>
      <c r="I150" s="119"/>
      <c r="J150" s="328">
        <f>H150/DAY(B2)</f>
        <v>226.35222222222222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'8'!F151</f>
        <v>87453</v>
      </c>
      <c r="F151" s="233">
        <v>87671</v>
      </c>
      <c r="G151" s="112">
        <f t="shared" si="11"/>
        <v>218</v>
      </c>
      <c r="H151" s="99">
        <f>G151+'8'!H151</f>
        <v>2191</v>
      </c>
      <c r="I151" s="119"/>
      <c r="J151" s="328">
        <f>H151/DAY(B2)</f>
        <v>243.44444444444446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'8'!F152</f>
        <v>2039</v>
      </c>
      <c r="F152" s="233">
        <v>2120</v>
      </c>
      <c r="G152" s="112">
        <f t="shared" si="11"/>
        <v>81</v>
      </c>
      <c r="H152" s="99">
        <f>G152+'8'!H152</f>
        <v>460</v>
      </c>
      <c r="I152" s="119"/>
      <c r="J152" s="328">
        <f>H152/DAY(B2)</f>
        <v>51.111111111111114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2760</v>
      </c>
      <c r="H153" s="363"/>
      <c r="I153" s="119">
        <f>G153-(G38+G52)</f>
        <v>837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'8'!F155</f>
        <v>37876</v>
      </c>
      <c r="F155" s="374">
        <v>38549</v>
      </c>
      <c r="G155" s="112">
        <f t="shared" ref="G155:G158" si="12">F155-E155</f>
        <v>673</v>
      </c>
      <c r="H155" s="99">
        <f>G155+'8'!H155</f>
        <v>5604</v>
      </c>
      <c r="I155" s="364"/>
      <c r="J155" s="328">
        <f>H155/DAY(B2)</f>
        <v>622.66666666666663</v>
      </c>
    </row>
    <row r="156" spans="1:10" ht="27.75" x14ac:dyDescent="0.5">
      <c r="A156" s="843" t="s">
        <v>346</v>
      </c>
      <c r="B156" s="843"/>
      <c r="C156" s="843"/>
      <c r="D156" s="117" t="s">
        <v>130</v>
      </c>
      <c r="E156" s="95">
        <f>'8'!F156</f>
        <v>3151</v>
      </c>
      <c r="F156" s="155">
        <v>3199</v>
      </c>
      <c r="G156" s="112">
        <f t="shared" si="12"/>
        <v>48</v>
      </c>
      <c r="H156" s="99">
        <f>G156+'8'!H156</f>
        <v>411</v>
      </c>
      <c r="I156" s="165"/>
      <c r="J156" s="328">
        <f>H156/DAY(B2)</f>
        <v>45.666666666666664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>
        <f>'8'!F157</f>
        <v>4801</v>
      </c>
      <c r="F157" s="155">
        <v>4932</v>
      </c>
      <c r="G157" s="112">
        <f t="shared" si="12"/>
        <v>131</v>
      </c>
      <c r="H157" s="99"/>
      <c r="I157" s="165"/>
      <c r="J157" s="328"/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>
        <f>'8'!F158</f>
        <v>69</v>
      </c>
      <c r="F158" s="155">
        <v>69</v>
      </c>
      <c r="G158" s="112">
        <f t="shared" si="12"/>
        <v>0</v>
      </c>
      <c r="H158" s="99"/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'8'!F161</f>
        <v>472437</v>
      </c>
      <c r="F161" s="501">
        <v>472455</v>
      </c>
      <c r="G161" s="238">
        <f t="shared" ref="G161:G166" si="13">F161-E161</f>
        <v>18</v>
      </c>
      <c r="H161" s="99">
        <f>G161+'8'!H161</f>
        <v>401.44000000000233</v>
      </c>
      <c r="I161" s="236"/>
      <c r="J161" s="239">
        <f>H161/DAY(B2)</f>
        <v>44.604444444444702</v>
      </c>
    </row>
    <row r="162" spans="1:10" ht="27" customHeight="1" x14ac:dyDescent="0.5">
      <c r="A162" s="242" t="s">
        <v>93</v>
      </c>
      <c r="B162" s="243"/>
      <c r="C162" s="243"/>
      <c r="D162" s="244" t="s">
        <v>180</v>
      </c>
      <c r="E162" s="95">
        <f>'8'!F162</f>
        <v>88804</v>
      </c>
      <c r="F162" s="235">
        <v>88842</v>
      </c>
      <c r="G162" s="238">
        <f t="shared" si="13"/>
        <v>38</v>
      </c>
      <c r="H162" s="99">
        <f>G162+'8'!H162</f>
        <v>325.60000000000582</v>
      </c>
      <c r="I162" s="236"/>
      <c r="J162" s="239">
        <f>H162/DAY(B2)</f>
        <v>36.177777777778424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'8'!F163</f>
        <v>79499</v>
      </c>
      <c r="F163" s="235">
        <v>79570</v>
      </c>
      <c r="G163" s="238">
        <f t="shared" si="13"/>
        <v>71</v>
      </c>
      <c r="H163" s="99">
        <f>G163+'8'!H163</f>
        <v>349.89999999999418</v>
      </c>
      <c r="I163" s="236"/>
      <c r="J163" s="239">
        <f>H163/DAY(B2)</f>
        <v>38.877777777777133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'8'!F164</f>
        <v>4328</v>
      </c>
      <c r="F164" s="235">
        <v>4329</v>
      </c>
      <c r="G164" s="238">
        <f t="shared" si="13"/>
        <v>1</v>
      </c>
      <c r="H164" s="99">
        <f>G164+'8'!H164</f>
        <v>9</v>
      </c>
      <c r="I164" s="236"/>
      <c r="J164" s="239">
        <f>H164/DAY(B2)</f>
        <v>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'8'!F165</f>
        <v>29925</v>
      </c>
      <c r="F165" s="235">
        <v>29935</v>
      </c>
      <c r="G165" s="238">
        <f t="shared" si="13"/>
        <v>10</v>
      </c>
      <c r="H165" s="99">
        <f>G165+'8'!H165</f>
        <v>77.75</v>
      </c>
      <c r="I165" s="236"/>
      <c r="J165" s="239">
        <f>H165/DAY(B2)</f>
        <v>8.6388888888888893</v>
      </c>
    </row>
    <row r="166" spans="1:10" ht="29.25" x14ac:dyDescent="0.5">
      <c r="A166" s="852"/>
      <c r="B166" s="852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'8'!F173</f>
        <v>8126</v>
      </c>
      <c r="F173" s="155">
        <v>8131</v>
      </c>
      <c r="G173" s="155">
        <f>F173-E173</f>
        <v>5</v>
      </c>
      <c r="H173" s="99">
        <f>G173+'8'!H173</f>
        <v>5</v>
      </c>
      <c r="I173" s="155"/>
      <c r="J173" s="178">
        <f>H173/DAY(B2)</f>
        <v>0.55555555555555558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'8'!F174</f>
        <v>38723</v>
      </c>
      <c r="F174" s="157">
        <v>38735</v>
      </c>
      <c r="G174" s="155">
        <f t="shared" ref="G174:G175" si="14">F174-E174</f>
        <v>12</v>
      </c>
      <c r="H174" s="99">
        <f>G174+'8'!H174</f>
        <v>120</v>
      </c>
      <c r="I174" s="155"/>
      <c r="J174" s="178">
        <f>H174/DAY(B2)</f>
        <v>13.333333333333334</v>
      </c>
    </row>
    <row r="175" spans="1:10" ht="27.75" x14ac:dyDescent="0.5">
      <c r="A175" s="856" t="s">
        <v>76</v>
      </c>
      <c r="B175" s="896"/>
      <c r="C175" s="857"/>
      <c r="D175" s="228" t="s">
        <v>142</v>
      </c>
      <c r="E175" s="95">
        <f>'8'!F175</f>
        <v>21895</v>
      </c>
      <c r="F175" s="155">
        <v>21907</v>
      </c>
      <c r="G175" s="155">
        <f t="shared" si="14"/>
        <v>12</v>
      </c>
      <c r="H175" s="99">
        <f>G175+'8'!H175</f>
        <v>94</v>
      </c>
      <c r="I175" s="155"/>
      <c r="J175" s="178">
        <f>H175/DAY(B2)</f>
        <v>10.444444444444445</v>
      </c>
    </row>
    <row r="176" spans="1:10" ht="27.75" x14ac:dyDescent="0.5">
      <c r="A176" s="847" t="s">
        <v>196</v>
      </c>
      <c r="B176" s="848"/>
      <c r="C176" s="333"/>
      <c r="D176" s="228" t="s">
        <v>142</v>
      </c>
      <c r="E176" s="95"/>
      <c r="F176" s="155"/>
      <c r="G176" s="155">
        <f>SUM(G173:G175)</f>
        <v>29</v>
      </c>
      <c r="H176" s="99">
        <f>G176+'8'!H176</f>
        <v>219</v>
      </c>
      <c r="I176" s="155"/>
      <c r="J176" s="178">
        <f>H176/DAY(B2)</f>
        <v>24.333333333333332</v>
      </c>
    </row>
    <row r="177" spans="1:10" ht="27.75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'8'!F178</f>
        <v>81763</v>
      </c>
      <c r="F178" s="155">
        <v>81801</v>
      </c>
      <c r="G178" s="155">
        <f>F178-E178</f>
        <v>38</v>
      </c>
      <c r="H178" s="99">
        <f>G178+'8'!H178</f>
        <v>486</v>
      </c>
      <c r="I178" s="155"/>
      <c r="J178" s="178">
        <f>H178/DAY(B2)</f>
        <v>54</v>
      </c>
    </row>
    <row r="179" spans="1:10" ht="27.75" x14ac:dyDescent="0.5">
      <c r="A179" s="856" t="s">
        <v>211</v>
      </c>
      <c r="B179" s="857"/>
      <c r="C179" s="333"/>
      <c r="D179" s="228" t="s">
        <v>142</v>
      </c>
      <c r="E179" s="95">
        <f>'8'!F179</f>
        <v>35098</v>
      </c>
      <c r="F179" s="155">
        <v>35133</v>
      </c>
      <c r="G179" s="155">
        <f t="shared" ref="G179:G180" si="15">F179-E179</f>
        <v>35</v>
      </c>
      <c r="H179" s="99">
        <f>G179+'8'!H179</f>
        <v>330</v>
      </c>
      <c r="I179" s="155"/>
      <c r="J179" s="178">
        <f>H179/DAY(B2)</f>
        <v>36.666666666666664</v>
      </c>
    </row>
    <row r="180" spans="1:10" ht="31.5" customHeight="1" x14ac:dyDescent="0.5">
      <c r="A180" s="856" t="s">
        <v>212</v>
      </c>
      <c r="B180" s="857"/>
      <c r="C180" s="333"/>
      <c r="D180" s="228" t="s">
        <v>142</v>
      </c>
      <c r="E180" s="95">
        <f>'8'!F180</f>
        <v>5765</v>
      </c>
      <c r="F180" s="155">
        <v>5770</v>
      </c>
      <c r="G180" s="155">
        <f t="shared" si="15"/>
        <v>5</v>
      </c>
      <c r="H180" s="99">
        <f>G180+'8'!H180</f>
        <v>68</v>
      </c>
      <c r="I180" s="155"/>
      <c r="J180" s="178">
        <f>H180/DAY(B2)</f>
        <v>7.5555555555555554</v>
      </c>
    </row>
    <row r="181" spans="1:10" ht="27.75" x14ac:dyDescent="0.5">
      <c r="A181" s="858" t="s">
        <v>108</v>
      </c>
      <c r="B181" s="859"/>
      <c r="C181" s="333"/>
      <c r="D181" s="228" t="s">
        <v>142</v>
      </c>
      <c r="E181" s="95"/>
      <c r="F181" s="155"/>
      <c r="G181" s="155">
        <f>SUM(G178:G180)</f>
        <v>78</v>
      </c>
      <c r="H181" s="99">
        <f>G181+'8'!H181</f>
        <v>884</v>
      </c>
      <c r="I181" s="155"/>
      <c r="J181" s="178">
        <f>H181/DAY(B2)</f>
        <v>98.222222222222229</v>
      </c>
    </row>
    <row r="182" spans="1:10" ht="27.75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'8'!F183</f>
        <v>15451</v>
      </c>
      <c r="F183" s="157">
        <v>15462</v>
      </c>
      <c r="G183" s="157">
        <f>F183-E183</f>
        <v>11</v>
      </c>
      <c r="H183" s="99">
        <f>G183+'8'!H183</f>
        <v>117</v>
      </c>
      <c r="I183" s="155"/>
      <c r="J183" s="178">
        <f>H183/DAY(B2)</f>
        <v>13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'8'!F184</f>
        <v>10599</v>
      </c>
      <c r="F184" s="157">
        <v>10647</v>
      </c>
      <c r="G184" s="157">
        <f t="shared" ref="G184:G185" si="16">F184-E184</f>
        <v>48</v>
      </c>
      <c r="H184" s="99">
        <f>G184+'8'!H184</f>
        <v>129</v>
      </c>
      <c r="I184" s="155"/>
      <c r="J184" s="178">
        <f>H184/DAY(B2)</f>
        <v>14.333333333333334</v>
      </c>
    </row>
    <row r="185" spans="1:10" ht="35.25" customHeight="1" x14ac:dyDescent="0.5">
      <c r="A185" s="856" t="s">
        <v>216</v>
      </c>
      <c r="B185" s="857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 x14ac:dyDescent="0.5">
      <c r="A186" s="847" t="s">
        <v>196</v>
      </c>
      <c r="B186" s="848"/>
      <c r="C186" s="334"/>
      <c r="D186" s="228" t="s">
        <v>142</v>
      </c>
      <c r="E186" s="95"/>
      <c r="F186" s="157"/>
      <c r="G186" s="157">
        <f>SUM(G183:G185)</f>
        <v>59</v>
      </c>
      <c r="H186" s="99">
        <f>G186+'8'!H186</f>
        <v>246</v>
      </c>
      <c r="I186" s="157"/>
      <c r="J186" s="178">
        <f>H186/DAY(B2)</f>
        <v>27.333333333333332</v>
      </c>
    </row>
    <row r="187" spans="1:10" ht="27.75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198</v>
      </c>
      <c r="H187" s="99">
        <f>G187+'8'!H187</f>
        <v>1503</v>
      </c>
      <c r="I187" s="158"/>
      <c r="J187" s="179">
        <f>H187/DAY(B2)</f>
        <v>167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201</v>
      </c>
      <c r="H188" s="99">
        <f>G188+'8'!H188</f>
        <v>1519</v>
      </c>
      <c r="I188" s="158"/>
      <c r="J188" s="179">
        <f>H188/DAY(B2)</f>
        <v>168.77777777777777</v>
      </c>
    </row>
    <row r="189" spans="1:10" ht="27.75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78</v>
      </c>
      <c r="H189" s="99">
        <f>G189+'8'!H189</f>
        <v>884</v>
      </c>
      <c r="I189" s="158"/>
      <c r="J189" s="179">
        <f>H189/DAY(B2)</f>
        <v>98.222222222222229</v>
      </c>
    </row>
    <row r="190" spans="1:10" ht="29.25" customHeight="1" x14ac:dyDescent="0.5">
      <c r="A190" s="770"/>
      <c r="B190" s="771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19.5" customHeight="1" x14ac:dyDescent="0.5"/>
    <row r="194" ht="19.5" customHeight="1" x14ac:dyDescent="0.5"/>
    <row r="195" ht="19.5" customHeight="1" x14ac:dyDescent="0.5"/>
    <row r="196" ht="19.5" customHeight="1" x14ac:dyDescent="0.5"/>
    <row r="197" ht="19.5" customHeight="1" x14ac:dyDescent="0.5"/>
    <row r="198" ht="19.5" customHeight="1" x14ac:dyDescent="0.5"/>
    <row r="199" ht="19.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topLeftCell="A106" zoomScale="50" zoomScaleNormal="55" zoomScaleSheetLayoutView="50" workbookViewId="0">
      <selection activeCell="F19" sqref="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357</v>
      </c>
      <c r="B2" s="262">
        <v>44602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'9'!F7</f>
        <v>825639</v>
      </c>
      <c r="F7" s="95">
        <v>845927</v>
      </c>
      <c r="G7" s="112">
        <f>F7-E7</f>
        <v>20288</v>
      </c>
      <c r="H7" s="99">
        <f>G7+'9'!H7</f>
        <v>194746.77000000002</v>
      </c>
      <c r="I7" s="113">
        <f>'1'!I7</f>
        <v>12000</v>
      </c>
      <c r="J7" s="175">
        <f>H7/DAY(B2)</f>
        <v>19474.677000000003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'9'!F8</f>
        <v>884521</v>
      </c>
      <c r="F8" s="95">
        <v>904894</v>
      </c>
      <c r="G8" s="115">
        <f>F8-E8</f>
        <v>20373</v>
      </c>
      <c r="H8" s="99">
        <f>G8+'9'!H8</f>
        <v>196345.84999999998</v>
      </c>
      <c r="I8" s="116"/>
      <c r="J8" s="175">
        <f>H8/DAY(B2)</f>
        <v>19634.584999999999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'9'!F9</f>
        <v>408069</v>
      </c>
      <c r="F9" s="598">
        <v>425272</v>
      </c>
      <c r="G9" s="112">
        <f>F9-E9</f>
        <v>17203</v>
      </c>
      <c r="H9" s="99">
        <f>G9+'9'!H9</f>
        <v>143018.15000000002</v>
      </c>
      <c r="I9" s="124">
        <f>I7-J7</f>
        <v>-7474.6770000000033</v>
      </c>
      <c r="J9" s="175">
        <f>H9/DAY(B2)</f>
        <v>14301.815000000002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'9'!F10</f>
        <v>149027</v>
      </c>
      <c r="F10" s="117">
        <v>151529</v>
      </c>
      <c r="G10" s="112">
        <f t="shared" ref="G10:G12" si="0">F10-E10</f>
        <v>2502</v>
      </c>
      <c r="H10" s="99">
        <f>G10+'9'!H10</f>
        <v>46270.03</v>
      </c>
      <c r="I10" s="282"/>
      <c r="J10" s="175">
        <f>H10/DAY(B2)</f>
        <v>4627.0029999999997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'9'!F11</f>
        <v>37170</v>
      </c>
      <c r="F11" s="95">
        <v>37170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19705</v>
      </c>
      <c r="H13" s="99">
        <f>G13+'9'!H13</f>
        <v>172533.75</v>
      </c>
      <c r="I13" s="120">
        <f>G7-G13</f>
        <v>583</v>
      </c>
      <c r="J13" s="175">
        <f>H13/DAY(B2)</f>
        <v>17253.375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'9'!F15</f>
        <v>1915799</v>
      </c>
      <c r="F15" s="232">
        <v>1916951</v>
      </c>
      <c r="G15" s="112">
        <f>(F15-E15)</f>
        <v>1152</v>
      </c>
      <c r="H15" s="99">
        <f>G15+'9'!H15</f>
        <v>10314.233000000007</v>
      </c>
      <c r="I15" s="113">
        <f>'1'!I15</f>
        <v>800</v>
      </c>
      <c r="J15" s="175">
        <f>H15/DAY(B2)</f>
        <v>1031.4233000000008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-231.42330000000084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'9'!F18</f>
        <v>20</v>
      </c>
      <c r="F18" s="122">
        <v>26</v>
      </c>
      <c r="G18" s="119">
        <f>F18*10</f>
        <v>260</v>
      </c>
      <c r="H18" s="99">
        <f>G18+'9'!H18</f>
        <v>2010</v>
      </c>
      <c r="I18" s="113">
        <f>'1'!I18</f>
        <v>65</v>
      </c>
      <c r="J18" s="175">
        <f>H18/DAY(B2)</f>
        <v>201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'9'!F19</f>
        <v>154352</v>
      </c>
      <c r="F19" s="122">
        <v>154409</v>
      </c>
      <c r="G19" s="112">
        <f t="shared" ref="G19" si="1">F19-E19</f>
        <v>57</v>
      </c>
      <c r="H19" s="99">
        <f>G19+'9'!H19</f>
        <v>518</v>
      </c>
      <c r="I19" s="335"/>
      <c r="J19" s="175">
        <f>H19/DAY(B2)</f>
        <v>51.8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317</v>
      </c>
      <c r="H20" s="99">
        <f>G20+'9'!H20</f>
        <v>2528</v>
      </c>
      <c r="I20" s="336">
        <f>I18-J20</f>
        <v>-187.8</v>
      </c>
      <c r="J20" s="175">
        <f>H20/DAY(B2)</f>
        <v>252.8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'9'!F23</f>
        <v>1500</v>
      </c>
      <c r="F23" s="122">
        <v>1500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20373</v>
      </c>
      <c r="F27" s="136">
        <v>9</v>
      </c>
      <c r="G27" s="137">
        <f>E27*F27</f>
        <v>183357</v>
      </c>
      <c r="H27" s="99">
        <f>G27+'9'!H27</f>
        <v>1767112.65</v>
      </c>
      <c r="I27" s="138"/>
      <c r="J27" s="175">
        <f>H27/DAY(B2)</f>
        <v>176711.26499999998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1152</v>
      </c>
      <c r="F28" s="136">
        <v>52</v>
      </c>
      <c r="G28" s="137">
        <f>E28*F28</f>
        <v>59904</v>
      </c>
      <c r="H28" s="99">
        <f>G28+'9'!H28</f>
        <v>536340.11600000039</v>
      </c>
      <c r="I28" s="140"/>
      <c r="J28" s="175">
        <f>H28/DAY(B2)</f>
        <v>53634.011600000042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G30+'9'!H30</f>
        <v>75628</v>
      </c>
      <c r="I30" s="140"/>
      <c r="J30" s="175">
        <f>H30/DAY(B2)</f>
        <v>7562.8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G31+'9'!H31</f>
        <v>160800</v>
      </c>
      <c r="I31" s="140"/>
      <c r="J31" s="175">
        <f>H31/DAY(B2)</f>
        <v>16080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272383</v>
      </c>
      <c r="H32" s="99">
        <f>G32+'9'!H32</f>
        <v>2539880.7660000003</v>
      </c>
      <c r="I32" s="144"/>
      <c r="J32" s="175">
        <f>H32/DAY(B2)</f>
        <v>253988.07660000003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'9'!F35</f>
        <v>45444</v>
      </c>
      <c r="F35" s="145">
        <v>47001</v>
      </c>
      <c r="G35" s="112">
        <f t="shared" ref="G35:G46" si="3">F35-E35</f>
        <v>1557</v>
      </c>
      <c r="H35" s="99">
        <f>G35+'9'!H35</f>
        <v>14996.02</v>
      </c>
      <c r="I35" s="95"/>
      <c r="J35" s="175">
        <f>H35/DAY(B2)</f>
        <v>1499.6020000000001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'9'!F36</f>
        <v>51453</v>
      </c>
      <c r="F36" s="145">
        <v>52537</v>
      </c>
      <c r="G36" s="112">
        <f t="shared" si="3"/>
        <v>1084</v>
      </c>
      <c r="H36" s="99">
        <f>G36+'9'!H36</f>
        <v>9078.260000000002</v>
      </c>
      <c r="I36" s="95"/>
      <c r="J36" s="175">
        <f>H36/DAY(B2)</f>
        <v>907.82600000000025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'9'!F37</f>
        <v>49928</v>
      </c>
      <c r="F37" s="145">
        <v>51575</v>
      </c>
      <c r="G37" s="112">
        <f t="shared" si="3"/>
        <v>1647</v>
      </c>
      <c r="H37" s="99">
        <f>G37+'9'!H37</f>
        <v>16149.910000000003</v>
      </c>
      <c r="I37" s="95"/>
      <c r="J37" s="175">
        <f>H37/DAY(B2)</f>
        <v>1614.9910000000004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'9'!F38</f>
        <v>54992</v>
      </c>
      <c r="F38" s="108">
        <v>56947</v>
      </c>
      <c r="G38" s="112">
        <f t="shared" si="3"/>
        <v>1955</v>
      </c>
      <c r="H38" s="99">
        <f>G38+'9'!H38</f>
        <v>18570.57</v>
      </c>
      <c r="I38" s="95"/>
      <c r="J38" s="175">
        <f>H38/DAY(B2)</f>
        <v>1857.057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'9'!F39</f>
        <v>84245</v>
      </c>
      <c r="F39" s="145">
        <v>87280</v>
      </c>
      <c r="G39" s="112">
        <f t="shared" si="3"/>
        <v>3035</v>
      </c>
      <c r="H39" s="99">
        <f>G39+'9'!H39</f>
        <v>28106.71</v>
      </c>
      <c r="I39" s="95"/>
      <c r="J39" s="175">
        <f>H39/DAY(B2)</f>
        <v>2810.6709999999998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'9'!F40</f>
        <v>24711</v>
      </c>
      <c r="F40" s="145">
        <v>24852</v>
      </c>
      <c r="G40" s="112">
        <f t="shared" si="3"/>
        <v>141</v>
      </c>
      <c r="H40" s="99">
        <f>G40+'9'!H40</f>
        <v>2735.0099999999975</v>
      </c>
      <c r="I40" s="95"/>
      <c r="J40" s="175">
        <f>H40/DAY(B2)</f>
        <v>273.50099999999975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'9'!F41</f>
        <v>63</v>
      </c>
      <c r="F41" s="145">
        <v>63</v>
      </c>
      <c r="G41" s="112">
        <f t="shared" si="3"/>
        <v>0</v>
      </c>
      <c r="H41" s="99">
        <f>G41+'9'!H41</f>
        <v>0.27000000000000313</v>
      </c>
      <c r="I41" s="95"/>
      <c r="J41" s="175">
        <f>H41/DAY(B2)</f>
        <v>2.7000000000000312E-2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'9'!F42</f>
        <v>117046</v>
      </c>
      <c r="F42" s="145">
        <v>121603</v>
      </c>
      <c r="G42" s="112">
        <f t="shared" si="3"/>
        <v>4557</v>
      </c>
      <c r="H42" s="99">
        <f>G42+'9'!H42</f>
        <v>21473.259999999995</v>
      </c>
      <c r="I42" s="95"/>
      <c r="J42" s="175">
        <f>H42/DAY(B2)</f>
        <v>2147.3259999999996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'9'!F43</f>
        <v>134178</v>
      </c>
      <c r="F43" s="145">
        <v>136275</v>
      </c>
      <c r="G43" s="112">
        <f t="shared" si="3"/>
        <v>2097</v>
      </c>
      <c r="H43" s="99">
        <f>G43+'9'!H43</f>
        <v>21423.399999999994</v>
      </c>
      <c r="I43" s="95"/>
      <c r="J43" s="175">
        <f>H43/DAY(B2)</f>
        <v>2142.3399999999992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16073</v>
      </c>
      <c r="H47" s="99">
        <f>G47+'9'!H47</f>
        <v>132533.41</v>
      </c>
      <c r="I47" s="95"/>
      <c r="J47" s="175">
        <f>H47/DAY(B2)</f>
        <v>13253.341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'9'!F49</f>
        <v>36299</v>
      </c>
      <c r="F49" s="145">
        <v>37581</v>
      </c>
      <c r="G49" s="112">
        <f t="shared" ref="G49:G58" si="4">F49-E49</f>
        <v>1282</v>
      </c>
      <c r="H49" s="99">
        <f>G49+'9'!H49</f>
        <v>12584.810000000001</v>
      </c>
      <c r="I49" s="95"/>
      <c r="J49" s="175">
        <f>H49/DAY(B2)</f>
        <v>1258.4810000000002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'9'!F50</f>
        <v>66997</v>
      </c>
      <c r="F50" s="145">
        <v>68141</v>
      </c>
      <c r="G50" s="112">
        <f t="shared" si="4"/>
        <v>1144</v>
      </c>
      <c r="H50" s="99">
        <f>G50+'9'!H50</f>
        <v>11754.370000000003</v>
      </c>
      <c r="I50" s="95"/>
      <c r="J50" s="175">
        <f>H50/DAY(B2)</f>
        <v>1175.4370000000004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'9'!F51</f>
        <v>0</v>
      </c>
      <c r="F51" s="145">
        <v>0</v>
      </c>
      <c r="G51" s="112">
        <f t="shared" si="4"/>
        <v>0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'9'!F52</f>
        <v>0</v>
      </c>
      <c r="F52" s="145">
        <v>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'9'!F54</f>
        <v>9067</v>
      </c>
      <c r="F54" s="145">
        <v>9606</v>
      </c>
      <c r="G54" s="112">
        <f t="shared" si="4"/>
        <v>539</v>
      </c>
      <c r="H54" s="99">
        <f>G54+'9'!H54</f>
        <v>4458.58</v>
      </c>
      <c r="I54" s="95"/>
      <c r="J54" s="175">
        <f>H54/DAY(B2)</f>
        <v>445.858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'9'!F55</f>
        <v>90154</v>
      </c>
      <c r="F55" s="145">
        <v>90154</v>
      </c>
      <c r="G55" s="112">
        <f t="shared" si="4"/>
        <v>0</v>
      </c>
      <c r="H55" s="99">
        <f>G55+'9'!H55</f>
        <v>15787.89</v>
      </c>
      <c r="I55" s="95"/>
      <c r="J55" s="175">
        <f>H55/DAY(B2)</f>
        <v>1578.789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'9'!F56</f>
        <v>8724</v>
      </c>
      <c r="F56" s="376">
        <v>8724</v>
      </c>
      <c r="G56" s="112">
        <f t="shared" si="4"/>
        <v>0</v>
      </c>
      <c r="H56" s="99">
        <f>G56+'9'!H56</f>
        <v>113.45999999999913</v>
      </c>
      <c r="I56" s="95"/>
      <c r="J56" s="175">
        <f>H56/DAY(B2)</f>
        <v>11.345999999999913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'9'!F58</f>
        <v>6739</v>
      </c>
      <c r="F58" s="376">
        <v>6936</v>
      </c>
      <c r="G58" s="112">
        <f t="shared" si="4"/>
        <v>197</v>
      </c>
      <c r="H58" s="99">
        <f>G58+'9'!H58</f>
        <v>2139.79</v>
      </c>
      <c r="I58" s="95"/>
      <c r="J58" s="175">
        <f>H58/DAY(B2)</f>
        <v>213.97899999999998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3162</v>
      </c>
      <c r="H59" s="99">
        <f>G59+'9'!H59</f>
        <v>46838.9</v>
      </c>
      <c r="I59" s="95">
        <f>G7-G60</f>
        <v>1053</v>
      </c>
      <c r="J59" s="175">
        <f>H59/DAY(B2)</f>
        <v>4683.8900000000003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19235</v>
      </c>
      <c r="H60" s="99">
        <f>G60+'9'!H60</f>
        <v>179372.31</v>
      </c>
      <c r="I60" s="95">
        <f>G13-G60</f>
        <v>470</v>
      </c>
      <c r="J60" s="175">
        <f>H60/DAY(B2)</f>
        <v>17937.231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'9'!F62</f>
        <v>270558</v>
      </c>
      <c r="F62" s="122">
        <v>270728</v>
      </c>
      <c r="G62" s="112">
        <f t="shared" ref="G62:G63" si="5">F62-E62</f>
        <v>170</v>
      </c>
      <c r="H62" s="99">
        <f>G62+'9'!H62</f>
        <v>1212</v>
      </c>
      <c r="I62" s="118"/>
      <c r="J62" s="175">
        <f>H62/DAY(B2)</f>
        <v>121.2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'9'!F63</f>
        <v>216933</v>
      </c>
      <c r="F63" s="122">
        <v>217062</v>
      </c>
      <c r="G63" s="112">
        <f t="shared" si="5"/>
        <v>129</v>
      </c>
      <c r="H63" s="99">
        <f>G63+'9'!H63</f>
        <v>1265</v>
      </c>
      <c r="I63" s="118"/>
      <c r="J63" s="175">
        <f>H63/DAY(B2)</f>
        <v>126.5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'9'!F64</f>
        <v>0</v>
      </c>
      <c r="F64" s="122"/>
      <c r="G64" s="112">
        <f>G62+G63</f>
        <v>299</v>
      </c>
      <c r="H64" s="99">
        <f>G64+'9'!H64</f>
        <v>2477</v>
      </c>
      <c r="I64" s="118"/>
      <c r="J64" s="175">
        <f>H64/DAY(B2)</f>
        <v>247.7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'9'!F65</f>
        <v>435761</v>
      </c>
      <c r="F65" s="122">
        <v>435866</v>
      </c>
      <c r="G65" s="112">
        <f t="shared" ref="G65:G70" si="6">F65-E65</f>
        <v>105</v>
      </c>
      <c r="H65" s="99">
        <f>G65+'9'!H65</f>
        <v>943</v>
      </c>
      <c r="I65" s="118"/>
      <c r="J65" s="175">
        <f>H65/DAY(B2)</f>
        <v>94.3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'9'!F66</f>
        <v>107966</v>
      </c>
      <c r="F66" s="122">
        <v>107986</v>
      </c>
      <c r="G66" s="112">
        <f t="shared" si="6"/>
        <v>20</v>
      </c>
      <c r="H66" s="99">
        <f>G66+'9'!H66</f>
        <v>243</v>
      </c>
      <c r="I66" s="118"/>
      <c r="J66" s="175">
        <f>H66/DAY(B2)</f>
        <v>24.3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'9'!F67</f>
        <v>104885</v>
      </c>
      <c r="F67" s="122">
        <v>104950</v>
      </c>
      <c r="G67" s="112">
        <f t="shared" si="6"/>
        <v>65</v>
      </c>
      <c r="H67" s="99">
        <f>G67+'9'!H67</f>
        <v>302</v>
      </c>
      <c r="I67" s="118"/>
      <c r="J67" s="175">
        <f>H67/DAY(B2)</f>
        <v>30.2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'9'!F68</f>
        <v>158021</v>
      </c>
      <c r="F68" s="122">
        <v>158061</v>
      </c>
      <c r="G68" s="112">
        <f t="shared" si="6"/>
        <v>40</v>
      </c>
      <c r="H68" s="99">
        <f>G68+'9'!H68</f>
        <v>364</v>
      </c>
      <c r="I68" s="118"/>
      <c r="J68" s="175">
        <f>H68/DAY(B2)</f>
        <v>36.4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'9'!F69</f>
        <v>10638</v>
      </c>
      <c r="F69" s="122">
        <v>10656</v>
      </c>
      <c r="G69" s="112">
        <f t="shared" si="6"/>
        <v>18</v>
      </c>
      <c r="H69" s="99">
        <f>G69+'9'!H69</f>
        <v>115</v>
      </c>
      <c r="I69" s="118"/>
      <c r="J69" s="175">
        <f>H69/DAY(B2)</f>
        <v>11.5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'9'!F70</f>
        <v>8244</v>
      </c>
      <c r="F70" s="122">
        <v>8252</v>
      </c>
      <c r="G70" s="112">
        <f t="shared" si="6"/>
        <v>8</v>
      </c>
      <c r="H70" s="99">
        <f>G70+'9'!H70</f>
        <v>132</v>
      </c>
      <c r="I70" s="118"/>
      <c r="J70" s="175">
        <f>H70/DAY(B2)</f>
        <v>13.2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256</v>
      </c>
      <c r="H71" s="99">
        <f>G71+'9'!H71</f>
        <v>2099</v>
      </c>
      <c r="I71" s="154"/>
      <c r="J71" s="175">
        <f>H71/DAY(B2)</f>
        <v>209.9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'9'!F74</f>
        <v>904033</v>
      </c>
      <c r="F74" s="117">
        <v>904374</v>
      </c>
      <c r="G74" s="112">
        <f t="shared" ref="G74:G78" si="7">F74-E74</f>
        <v>341</v>
      </c>
      <c r="H74" s="99">
        <f>G74+'9'!H74</f>
        <v>3067.8510000000242</v>
      </c>
      <c r="I74" s="154"/>
      <c r="J74" s="175">
        <f>H74/DAY(B2)</f>
        <v>306.78510000000244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'9'!F75</f>
        <v>73587</v>
      </c>
      <c r="F75" s="123">
        <v>73587</v>
      </c>
      <c r="G75" s="112">
        <f t="shared" si="7"/>
        <v>0</v>
      </c>
      <c r="H75" s="99">
        <f>G75+'9'!H75</f>
        <v>0.19999999999708962</v>
      </c>
      <c r="I75" s="154"/>
      <c r="J75" s="175">
        <f>H75/DAY(B2)</f>
        <v>1.9999999999708962E-2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'9'!F76</f>
        <v>171014</v>
      </c>
      <c r="F76" s="123">
        <v>171128</v>
      </c>
      <c r="G76" s="112">
        <f t="shared" si="7"/>
        <v>114</v>
      </c>
      <c r="H76" s="99">
        <f>G76+'9'!H76</f>
        <v>1153</v>
      </c>
      <c r="I76" s="154"/>
      <c r="J76" s="175">
        <f>H76/DAY(B2)</f>
        <v>115.3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'9'!F77</f>
        <v>41730</v>
      </c>
      <c r="F77" s="123">
        <v>41773</v>
      </c>
      <c r="G77" s="112">
        <f t="shared" si="7"/>
        <v>43</v>
      </c>
      <c r="H77" s="99">
        <f>G77+'9'!H77</f>
        <v>470.80000000000291</v>
      </c>
      <c r="I77" s="154"/>
      <c r="J77" s="175">
        <f>H77/DAY(B2)</f>
        <v>47.08000000000029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'9'!F78</f>
        <v>9528</v>
      </c>
      <c r="F78" s="123">
        <v>9531</v>
      </c>
      <c r="G78" s="112">
        <f t="shared" si="7"/>
        <v>3</v>
      </c>
      <c r="H78" s="99">
        <f>G78+'9'!H78</f>
        <v>15</v>
      </c>
      <c r="I78" s="118"/>
      <c r="J78" s="175">
        <f>H78/DAY(B2)</f>
        <v>1.5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'9'!F79</f>
        <v>0</v>
      </c>
      <c r="F79" s="117"/>
      <c r="G79" s="112">
        <f>G15-SUM(G74:G78)</f>
        <v>651</v>
      </c>
      <c r="H79" s="99">
        <f>G79+'9'!H79</f>
        <v>5607.3819999999832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1152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'9'!F84</f>
        <v>41675</v>
      </c>
      <c r="F84" s="164">
        <v>41675</v>
      </c>
      <c r="G84" s="112">
        <f t="shared" si="8"/>
        <v>0</v>
      </c>
      <c r="H84" s="99">
        <f>G84+'9'!H84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'9'!F85</f>
        <v>2360</v>
      </c>
      <c r="F85" s="164">
        <v>2384</v>
      </c>
      <c r="G85" s="112">
        <f t="shared" si="8"/>
        <v>24</v>
      </c>
      <c r="H85" s="99">
        <f>G85+'9'!H85</f>
        <v>123.57999999999993</v>
      </c>
      <c r="I85" s="118">
        <f>G82+G83+G84+G85</f>
        <v>24</v>
      </c>
      <c r="J85" s="175">
        <f>H85/DAY(B2)</f>
        <v>12.357999999999993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'9'!F86</f>
        <v>43560</v>
      </c>
      <c r="F86" s="164">
        <v>43560</v>
      </c>
      <c r="G86" s="112">
        <f t="shared" si="8"/>
        <v>0</v>
      </c>
      <c r="H86" s="99">
        <f>G86+'9'!H86</f>
        <v>118</v>
      </c>
      <c r="I86" s="118"/>
      <c r="J86" s="175">
        <f>H86/DAY(B2)</f>
        <v>11.8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'9'!F87</f>
        <v>34598.550000000003</v>
      </c>
      <c r="F87" s="164">
        <v>34598.550000000003</v>
      </c>
      <c r="G87" s="112">
        <f t="shared" si="8"/>
        <v>0</v>
      </c>
      <c r="H87" s="99">
        <f>G87+'9'!H87</f>
        <v>5.0000000002910383E-2</v>
      </c>
      <c r="I87" s="118"/>
      <c r="J87" s="175">
        <f>H87/DAY(B2)</f>
        <v>5.0000000002910381E-3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'9'!F88</f>
        <v>24063</v>
      </c>
      <c r="F88" s="164">
        <v>24063</v>
      </c>
      <c r="G88" s="112">
        <f t="shared" si="8"/>
        <v>0</v>
      </c>
      <c r="H88" s="99">
        <f>G88+'9'!H88</f>
        <v>-0.43000000000029104</v>
      </c>
      <c r="I88" s="118">
        <f>G86+G87+G88</f>
        <v>0</v>
      </c>
      <c r="J88" s="175">
        <f>H88/DAY(B2)</f>
        <v>-4.3000000000029105E-2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'9'!F89</f>
        <v>25981.43</v>
      </c>
      <c r="F89" s="164">
        <v>25993</v>
      </c>
      <c r="G89" s="112">
        <f t="shared" si="8"/>
        <v>11.569999999999709</v>
      </c>
      <c r="H89" s="99">
        <f>G89+'9'!H89</f>
        <v>101.88000000000102</v>
      </c>
      <c r="I89" s="118"/>
      <c r="J89" s="175">
        <f>H89/DAY(B2)</f>
        <v>10.188000000000102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'9'!F90</f>
        <v>71186</v>
      </c>
      <c r="F90" s="164">
        <v>71190</v>
      </c>
      <c r="G90" s="112">
        <f t="shared" si="8"/>
        <v>4</v>
      </c>
      <c r="H90" s="99">
        <f>G90+'9'!H90</f>
        <v>26.679999999993015</v>
      </c>
      <c r="I90" s="118">
        <f>G89+G90</f>
        <v>15.569999999999709</v>
      </c>
      <c r="J90" s="175">
        <f>H90/DAY(B2)</f>
        <v>2.6679999999993016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'9'!F91</f>
        <v>3352</v>
      </c>
      <c r="F91" s="122">
        <v>3364</v>
      </c>
      <c r="G91" s="112">
        <f t="shared" si="8"/>
        <v>12</v>
      </c>
      <c r="H91" s="99">
        <f>G91+'9'!H91</f>
        <v>112.90999999999985</v>
      </c>
      <c r="I91" s="165"/>
      <c r="J91" s="175">
        <f>H91/DAY(B2)</f>
        <v>11.290999999999986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'9'!F92</f>
        <v>5741</v>
      </c>
      <c r="F92" s="122">
        <v>5741</v>
      </c>
      <c r="G92" s="112">
        <f t="shared" si="8"/>
        <v>0</v>
      </c>
      <c r="H92" s="99">
        <f>G92+'9'!H92</f>
        <v>-6.9999999999708962E-2</v>
      </c>
      <c r="I92" s="165"/>
      <c r="J92" s="175">
        <f>H92/DAY(B2)</f>
        <v>-6.9999999999708958E-3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4936</v>
      </c>
      <c r="H94" s="99">
        <f>G94+'9'!H94</f>
        <v>49004.229999999996</v>
      </c>
      <c r="I94" s="118"/>
      <c r="J94" s="175">
        <f>H94/DAY(B2)</f>
        <v>4900.4229999999998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0.24329652996845424</v>
      </c>
      <c r="H95" s="99">
        <f>G95+'9'!H95</f>
        <v>2.5162247661994854</v>
      </c>
      <c r="I95" s="167"/>
      <c r="J95" s="175">
        <f>H95/DAY(B2)</f>
        <v>0.25162247661994852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4557</v>
      </c>
      <c r="H96" s="99">
        <f>G96+'9'!H96</f>
        <v>37374.87999999999</v>
      </c>
      <c r="I96" s="118"/>
      <c r="J96" s="175">
        <f>H96/DAY(B2)</f>
        <v>3737.4879999999989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0.22461553627760253</v>
      </c>
      <c r="H97" s="99">
        <f>G97+'9'!H97</f>
        <v>1.9215550785417519</v>
      </c>
      <c r="I97" s="167"/>
      <c r="J97" s="175">
        <f>H97/DAY(B2)</f>
        <v>0.19215550785417518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3035</v>
      </c>
      <c r="H98" s="99">
        <f>G98+'9'!H98</f>
        <v>28106.71</v>
      </c>
      <c r="I98" s="168"/>
      <c r="J98" s="175">
        <f>H98/DAY(B2)</f>
        <v>2810.6709999999998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0.14959582018927445</v>
      </c>
      <c r="H99" s="99">
        <f>G99+'9'!H99</f>
        <v>1.4449887230887071</v>
      </c>
      <c r="I99" s="168"/>
      <c r="J99" s="175">
        <f>H99/DAY(B2)</f>
        <v>0.14449887230887071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1955</v>
      </c>
      <c r="H100" s="99">
        <f>G100+'9'!H100</f>
        <v>18570.57</v>
      </c>
      <c r="I100" s="118"/>
      <c r="J100" s="175">
        <f>H100/DAY(B2)</f>
        <v>1857.057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9.6362381703470029E-2</v>
      </c>
      <c r="H101" s="99">
        <f>G101+'9'!H101</f>
        <v>0.95394817966798162</v>
      </c>
      <c r="I101" s="168"/>
      <c r="J101" s="175">
        <f>H101/DAY(B2)</f>
        <v>9.5394817966798162E-2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2228</v>
      </c>
      <c r="H102" s="99">
        <f>G102+'9'!H102</f>
        <v>20832.630000000005</v>
      </c>
      <c r="I102" s="168"/>
      <c r="J102" s="175">
        <f>H102/DAY(B2)</f>
        <v>2083.2630000000004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0.1098186119873817</v>
      </c>
      <c r="H103" s="99">
        <f>G103+'9'!H103</f>
        <v>1.0662487269285554</v>
      </c>
      <c r="I103" s="118"/>
      <c r="J103" s="175">
        <f>H103/DAY(B2)</f>
        <v>0.10662487269285555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1647</v>
      </c>
      <c r="H104" s="99">
        <f>G104+'9'!H104</f>
        <v>16149.910000000003</v>
      </c>
      <c r="I104" s="118"/>
      <c r="J104" s="175">
        <f>H104/DAY(B2)</f>
        <v>1614.9910000000004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8.118099369085173E-2</v>
      </c>
      <c r="H105" s="99">
        <f>G105+'9'!H105</f>
        <v>0.83138464980057492</v>
      </c>
      <c r="I105" s="187"/>
      <c r="J105" s="188">
        <f>H105/DAY(B2)</f>
        <v>8.3138464980057489E-2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'9'!F112</f>
        <v>58734</v>
      </c>
      <c r="F112" s="237">
        <v>58809</v>
      </c>
      <c r="G112" s="112">
        <f t="shared" ref="G112:G123" si="9">F112-E112</f>
        <v>75</v>
      </c>
      <c r="H112" s="99">
        <f>G112+'9'!H112</f>
        <v>755</v>
      </c>
      <c r="I112" s="165"/>
      <c r="J112" s="328">
        <f>H112/DAY(B2)</f>
        <v>75.5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'9'!F113</f>
        <v>50610</v>
      </c>
      <c r="F113" s="237">
        <v>51099</v>
      </c>
      <c r="G113" s="112">
        <f t="shared" si="9"/>
        <v>489</v>
      </c>
      <c r="H113" s="99">
        <f>G113+'9'!H113</f>
        <v>4698.1100000000006</v>
      </c>
      <c r="I113" s="165"/>
      <c r="J113" s="328">
        <f>H113/DAY(B2)</f>
        <v>469.81100000000004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'9'!F114</f>
        <v>35947</v>
      </c>
      <c r="F114" s="237">
        <v>36210</v>
      </c>
      <c r="G114" s="112">
        <f t="shared" si="9"/>
        <v>263</v>
      </c>
      <c r="H114" s="99">
        <f>G114+'9'!H114</f>
        <v>3050</v>
      </c>
      <c r="I114" s="165"/>
      <c r="J114" s="328">
        <f>H114/DAY(B2)</f>
        <v>305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'9'!F115</f>
        <v>9190</v>
      </c>
      <c r="F115" s="237">
        <v>9202</v>
      </c>
      <c r="G115" s="112">
        <f t="shared" si="9"/>
        <v>12</v>
      </c>
      <c r="H115" s="99">
        <f>G115+'9'!H115</f>
        <v>107.35000000000036</v>
      </c>
      <c r="I115" s="165"/>
      <c r="J115" s="328">
        <f>H115/DAY(B2)</f>
        <v>10.735000000000037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'9'!F116</f>
        <v>1223</v>
      </c>
      <c r="F116" s="237">
        <v>1551</v>
      </c>
      <c r="G116" s="112">
        <f t="shared" si="9"/>
        <v>328</v>
      </c>
      <c r="H116" s="99">
        <f>G116+'9'!H116</f>
        <v>1551</v>
      </c>
      <c r="I116" s="165"/>
      <c r="J116" s="328">
        <f>H116/DAY(B2)</f>
        <v>155.1</v>
      </c>
      <c r="Q116" s="863" t="s">
        <v>311</v>
      </c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'9'!F117</f>
        <v>4263</v>
      </c>
      <c r="F117" s="237">
        <v>4377</v>
      </c>
      <c r="G117" s="112">
        <f t="shared" si="9"/>
        <v>114</v>
      </c>
      <c r="H117" s="99">
        <f>G117+'9'!H117</f>
        <v>1039.0500000000002</v>
      </c>
      <c r="I117" s="165"/>
      <c r="J117" s="328">
        <f>H117/DAY(B2)</f>
        <v>103.90500000000002</v>
      </c>
      <c r="Q117" s="863" t="s">
        <v>312</v>
      </c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'9'!F118</f>
        <v>255533</v>
      </c>
      <c r="F118" s="237">
        <v>255945</v>
      </c>
      <c r="G118" s="112">
        <f t="shared" si="9"/>
        <v>412</v>
      </c>
      <c r="H118" s="99">
        <f>G118+'9'!H118</f>
        <v>3492.6900000000023</v>
      </c>
      <c r="I118" s="165"/>
      <c r="J118" s="328">
        <f>H118/DAY(B2)</f>
        <v>349.26900000000023</v>
      </c>
      <c r="Q118" s="863" t="s">
        <v>311</v>
      </c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'9'!F119</f>
        <v>261847</v>
      </c>
      <c r="F119" s="237">
        <v>262266</v>
      </c>
      <c r="G119" s="112">
        <f t="shared" si="9"/>
        <v>419</v>
      </c>
      <c r="H119" s="99">
        <f>G119+'9'!H119</f>
        <v>4117.4500000000116</v>
      </c>
      <c r="I119" s="165"/>
      <c r="J119" s="328">
        <f>H119/DAY(B2)</f>
        <v>411.74500000000114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'9'!F120</f>
        <v>46745</v>
      </c>
      <c r="F120" s="237">
        <v>47190</v>
      </c>
      <c r="G120" s="112">
        <f t="shared" si="9"/>
        <v>445</v>
      </c>
      <c r="H120" s="99">
        <f>G120+'9'!H120</f>
        <v>4230.3899999999994</v>
      </c>
      <c r="I120" s="165"/>
      <c r="J120" s="328">
        <f>H120/DAY(B2)</f>
        <v>423.03899999999993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'9'!F121</f>
        <v>404573</v>
      </c>
      <c r="F121" s="237">
        <v>405308</v>
      </c>
      <c r="G121" s="112">
        <f t="shared" si="9"/>
        <v>735</v>
      </c>
      <c r="H121" s="99">
        <f>G121+'9'!H121</f>
        <v>7273.570000000007</v>
      </c>
      <c r="I121" s="165"/>
      <c r="J121" s="328">
        <f>H121/DAY(B2)</f>
        <v>727.35700000000065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'9'!F122</f>
        <v>128266</v>
      </c>
      <c r="F122" s="237">
        <v>128409</v>
      </c>
      <c r="G122" s="112">
        <f t="shared" si="9"/>
        <v>143</v>
      </c>
      <c r="H122" s="99">
        <f>G122+'9'!H122</f>
        <v>2222.820000000007</v>
      </c>
      <c r="I122" s="165"/>
      <c r="J122" s="328">
        <f>H122/DAY(B2)</f>
        <v>222.28200000000069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'9'!F123</f>
        <v>156337</v>
      </c>
      <c r="F123" s="237">
        <v>156591</v>
      </c>
      <c r="G123" s="112">
        <f t="shared" si="9"/>
        <v>254</v>
      </c>
      <c r="H123" s="99">
        <f>G123+'9'!H123</f>
        <v>2544.0499999999884</v>
      </c>
      <c r="I123" s="165"/>
      <c r="J123" s="328">
        <f>H123/DAY(B2)</f>
        <v>254.40499999999884</v>
      </c>
    </row>
    <row r="124" spans="1:18" ht="29.25" customHeight="1" x14ac:dyDescent="0.5">
      <c r="A124" s="867"/>
      <c r="B124" s="868"/>
      <c r="C124" s="869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3689</v>
      </c>
      <c r="H125" s="156"/>
      <c r="I125" s="327">
        <f>G125-(G39+G53)</f>
        <v>654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'9'!F128</f>
        <v>50522</v>
      </c>
      <c r="F128" s="155">
        <v>50880</v>
      </c>
      <c r="G128" s="112">
        <f t="shared" ref="G128:G134" si="10">F128-E128</f>
        <v>358</v>
      </c>
      <c r="H128" s="99">
        <f>G128+'9'!H128</f>
        <v>3134</v>
      </c>
      <c r="I128" s="165"/>
      <c r="J128" s="328">
        <f>H128/DAY(B2)</f>
        <v>313.39999999999998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'9'!F129</f>
        <v>28699</v>
      </c>
      <c r="F129" s="155">
        <v>28890</v>
      </c>
      <c r="G129" s="112">
        <f t="shared" si="10"/>
        <v>191</v>
      </c>
      <c r="H129" s="99">
        <f>G129+'9'!H129</f>
        <v>1979.130000000001</v>
      </c>
      <c r="I129" s="165"/>
      <c r="J129" s="328">
        <f>H129/DAY(B2)</f>
        <v>197.9130000000001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'9'!F130</f>
        <v>40844</v>
      </c>
      <c r="F130" s="155">
        <v>41497</v>
      </c>
      <c r="G130" s="112">
        <f t="shared" si="10"/>
        <v>653</v>
      </c>
      <c r="H130" s="99">
        <f>G130+'9'!H130</f>
        <v>5803</v>
      </c>
      <c r="I130" s="165"/>
      <c r="J130" s="328">
        <f>H130/DAY(B2)</f>
        <v>580.29999999999995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'9'!F131</f>
        <v>16070</v>
      </c>
      <c r="F131" s="155">
        <v>16210</v>
      </c>
      <c r="G131" s="112">
        <f t="shared" si="10"/>
        <v>140</v>
      </c>
      <c r="H131" s="99">
        <f>G131+'9'!H131</f>
        <v>902.31999999999971</v>
      </c>
      <c r="I131" s="165"/>
      <c r="J131" s="328">
        <f>H131/DAY(B2)</f>
        <v>90.231999999999971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'9'!F132</f>
        <v>54991</v>
      </c>
      <c r="F132" s="155">
        <v>55427</v>
      </c>
      <c r="G132" s="112">
        <f t="shared" si="10"/>
        <v>436</v>
      </c>
      <c r="H132" s="99">
        <f>G132+'9'!H132</f>
        <v>3578.6999999999971</v>
      </c>
      <c r="I132" s="165"/>
      <c r="J132" s="328">
        <f>H132/DAY(B2)</f>
        <v>357.86999999999972</v>
      </c>
    </row>
    <row r="133" spans="1:15" ht="27.75" x14ac:dyDescent="0.5">
      <c r="A133" s="863" t="s">
        <v>323</v>
      </c>
      <c r="B133" s="864"/>
      <c r="C133" s="865"/>
      <c r="D133" s="151" t="s">
        <v>183</v>
      </c>
      <c r="E133" s="95">
        <f>'9'!F133</f>
        <v>110958</v>
      </c>
      <c r="F133" s="155">
        <v>111480</v>
      </c>
      <c r="G133" s="112">
        <f t="shared" si="10"/>
        <v>522</v>
      </c>
      <c r="H133" s="99">
        <f>G133+'9'!H133</f>
        <v>6136.3000000000029</v>
      </c>
      <c r="I133" s="165"/>
      <c r="J133" s="328">
        <f>H133/DAY(B2)</f>
        <v>613.63000000000034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'9'!F134</f>
        <v>10365</v>
      </c>
      <c r="F134" s="551">
        <v>10524</v>
      </c>
      <c r="G134" s="112">
        <f t="shared" si="10"/>
        <v>159</v>
      </c>
      <c r="H134" s="99">
        <f>G134+'9'!H134</f>
        <v>1922.7700000000004</v>
      </c>
      <c r="I134" s="165"/>
      <c r="J134" s="328">
        <f>H134/DAY(B2)</f>
        <v>192.27700000000004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2459</v>
      </c>
      <c r="H135" s="99">
        <f>G135+'9'!H135</f>
        <v>23456.22</v>
      </c>
      <c r="I135" s="327">
        <f>G135-(G35+G49)</f>
        <v>-380</v>
      </c>
      <c r="J135" s="328">
        <f>H135/DAY(B2)</f>
        <v>2345.6220000000003</v>
      </c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'9'!F138</f>
        <v>866888</v>
      </c>
      <c r="F138" s="147">
        <v>866962</v>
      </c>
      <c r="G138" s="112">
        <f t="shared" ref="G138:G152" si="11">F138-E138</f>
        <v>74</v>
      </c>
      <c r="H138" s="99">
        <f>G138+'9'!H138</f>
        <v>789</v>
      </c>
      <c r="I138" s="118"/>
      <c r="J138" s="328">
        <f>H138/DAY(B2)</f>
        <v>78.900000000000006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'9'!F139</f>
        <v>886632</v>
      </c>
      <c r="F139" s="148">
        <v>886634</v>
      </c>
      <c r="G139" s="112">
        <f t="shared" si="11"/>
        <v>2</v>
      </c>
      <c r="H139" s="99">
        <f>G139+'9'!H139</f>
        <v>61</v>
      </c>
      <c r="I139" s="118"/>
      <c r="J139" s="328">
        <f>H139/DAY(B2)</f>
        <v>6.1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'9'!F140</f>
        <v>88941</v>
      </c>
      <c r="F140" s="149">
        <v>88942</v>
      </c>
      <c r="G140" s="112">
        <f t="shared" si="11"/>
        <v>1</v>
      </c>
      <c r="H140" s="99">
        <f>G140+'9'!H140</f>
        <v>20</v>
      </c>
      <c r="I140" s="118"/>
      <c r="J140" s="328">
        <f>H140/DAY(B2)</f>
        <v>2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'9'!F141</f>
        <v>56257</v>
      </c>
      <c r="F141" s="149">
        <v>56433</v>
      </c>
      <c r="G141" s="112">
        <f t="shared" si="11"/>
        <v>176</v>
      </c>
      <c r="H141" s="99">
        <f>G141+'9'!H141</f>
        <v>1747.4199999999983</v>
      </c>
      <c r="I141" s="118"/>
      <c r="J141" s="328">
        <f>H141/DAY(B2)</f>
        <v>174.74199999999982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'9'!F142</f>
        <v>21905</v>
      </c>
      <c r="F142" s="148">
        <v>21974</v>
      </c>
      <c r="G142" s="112">
        <f t="shared" si="11"/>
        <v>69</v>
      </c>
      <c r="H142" s="99">
        <f>G142+'9'!H142</f>
        <v>689.90000000000146</v>
      </c>
      <c r="I142" s="140"/>
      <c r="J142" s="328">
        <f>H142/DAY(B2)</f>
        <v>68.990000000000151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'9'!F143</f>
        <v>4084</v>
      </c>
      <c r="F143" s="149">
        <v>4114</v>
      </c>
      <c r="G143" s="112">
        <f t="shared" si="11"/>
        <v>30</v>
      </c>
      <c r="H143" s="99">
        <f>G143+'9'!H143</f>
        <v>278.61000000000013</v>
      </c>
      <c r="I143" s="140"/>
      <c r="J143" s="328">
        <f>H143/DAY(B2)</f>
        <v>27.861000000000011</v>
      </c>
      <c r="O143" s="148">
        <v>582206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'9'!F144</f>
        <v>878378</v>
      </c>
      <c r="F144" s="149">
        <v>878602</v>
      </c>
      <c r="G144" s="112">
        <f t="shared" si="11"/>
        <v>224</v>
      </c>
      <c r="H144" s="99">
        <f>G144+'9'!H144</f>
        <v>2115</v>
      </c>
      <c r="I144" s="140"/>
      <c r="J144" s="328">
        <f>H144/DAY(B2)</f>
        <v>211.5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'9'!F145</f>
        <v>5071</v>
      </c>
      <c r="F145" s="149">
        <v>5087</v>
      </c>
      <c r="G145" s="112">
        <f t="shared" si="11"/>
        <v>16</v>
      </c>
      <c r="H145" s="99">
        <f>G145+'9'!H145</f>
        <v>128.15999999999985</v>
      </c>
      <c r="I145" s="140"/>
      <c r="J145" s="328">
        <f>H145/DAY(B2)</f>
        <v>12.815999999999985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'9'!F146</f>
        <v>741100</v>
      </c>
      <c r="F146" s="148">
        <v>741510</v>
      </c>
      <c r="G146" s="112">
        <f t="shared" si="11"/>
        <v>410</v>
      </c>
      <c r="H146" s="99">
        <f>G146+'9'!H146</f>
        <v>4177</v>
      </c>
      <c r="I146" s="140"/>
      <c r="J146" s="328">
        <f>H146/DAY(B2)</f>
        <v>417.7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'9'!F147</f>
        <v>630189</v>
      </c>
      <c r="F147" s="148">
        <v>630587</v>
      </c>
      <c r="G147" s="112">
        <f t="shared" si="11"/>
        <v>398</v>
      </c>
      <c r="H147" s="99">
        <f>G147+'9'!H147</f>
        <v>3974.4799999999814</v>
      </c>
      <c r="I147" s="140"/>
      <c r="J147" s="328">
        <f>H147/DAY(B2)</f>
        <v>397.44799999999816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'9'!F148</f>
        <v>692072</v>
      </c>
      <c r="F148" s="150">
        <v>692358</v>
      </c>
      <c r="G148" s="112">
        <f t="shared" si="11"/>
        <v>286</v>
      </c>
      <c r="H148" s="99">
        <f>G148+'9'!H148</f>
        <v>2915.0400000000373</v>
      </c>
      <c r="I148" s="124"/>
      <c r="J148" s="328">
        <f>H148/DAY(B2)</f>
        <v>291.50400000000371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'9'!F149</f>
        <v>29435</v>
      </c>
      <c r="F149" s="146">
        <v>30087</v>
      </c>
      <c r="G149" s="112">
        <f t="shared" si="11"/>
        <v>652</v>
      </c>
      <c r="H149" s="99">
        <f>G149+'9'!H149</f>
        <v>5408.7999999999993</v>
      </c>
      <c r="I149" s="119"/>
      <c r="J149" s="328">
        <f>H149/DAY(B2)</f>
        <v>540.87999999999988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'9'!F150</f>
        <v>12888</v>
      </c>
      <c r="F150" s="233">
        <v>13102</v>
      </c>
      <c r="G150" s="112">
        <f t="shared" si="11"/>
        <v>214</v>
      </c>
      <c r="H150" s="99">
        <f>G150+'9'!H150</f>
        <v>2251.17</v>
      </c>
      <c r="I150" s="119"/>
      <c r="J150" s="328">
        <f>H150/DAY(B2)</f>
        <v>225.11700000000002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'9'!F151</f>
        <v>87671</v>
      </c>
      <c r="F151" s="233">
        <v>87897</v>
      </c>
      <c r="G151" s="112">
        <f t="shared" si="11"/>
        <v>226</v>
      </c>
      <c r="H151" s="99">
        <f>G151+'9'!H151</f>
        <v>2417</v>
      </c>
      <c r="I151" s="119"/>
      <c r="J151" s="328">
        <f>H151/DAY(B2)</f>
        <v>241.7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'9'!F152</f>
        <v>2120</v>
      </c>
      <c r="F152" s="233">
        <v>2180</v>
      </c>
      <c r="G152" s="112">
        <f t="shared" si="11"/>
        <v>60</v>
      </c>
      <c r="H152" s="99">
        <f>G152+'9'!H152</f>
        <v>520</v>
      </c>
      <c r="I152" s="119"/>
      <c r="J152" s="328">
        <f>H152/DAY(B2)</f>
        <v>52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2838</v>
      </c>
      <c r="H153" s="363"/>
      <c r="I153" s="119">
        <f>G153-(G38+G52)</f>
        <v>883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'9'!F155</f>
        <v>38549</v>
      </c>
      <c r="F155" s="374">
        <v>39240</v>
      </c>
      <c r="G155" s="112">
        <f t="shared" ref="G155:G156" si="12">F155-E155</f>
        <v>691</v>
      </c>
      <c r="H155" s="99">
        <f>G155+'9'!H155</f>
        <v>6295</v>
      </c>
      <c r="I155" s="364"/>
      <c r="J155" s="328">
        <f>H155/DAY(B2)</f>
        <v>629.5</v>
      </c>
    </row>
    <row r="156" spans="1:10" ht="27.75" x14ac:dyDescent="0.5">
      <c r="A156" s="843" t="s">
        <v>346</v>
      </c>
      <c r="B156" s="843"/>
      <c r="C156" s="843"/>
      <c r="D156" s="117" t="s">
        <v>130</v>
      </c>
      <c r="E156" s="95">
        <f>'9'!F156</f>
        <v>3199</v>
      </c>
      <c r="F156" s="155">
        <v>3245</v>
      </c>
      <c r="G156" s="112">
        <f t="shared" si="12"/>
        <v>46</v>
      </c>
      <c r="H156" s="99">
        <f>G156+'9'!H156</f>
        <v>457</v>
      </c>
      <c r="I156" s="165"/>
      <c r="J156" s="328">
        <f>H156/DAY(B2)</f>
        <v>45.7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'9'!F161</f>
        <v>472455</v>
      </c>
      <c r="F161" s="235">
        <v>472470</v>
      </c>
      <c r="G161" s="238">
        <f t="shared" ref="G161:G165" si="13">F161-E161</f>
        <v>15</v>
      </c>
      <c r="H161" s="99">
        <f>G161+'9'!H161</f>
        <v>416.44000000000233</v>
      </c>
      <c r="I161" s="236"/>
      <c r="J161" s="239">
        <f>H161/DAY(B2)</f>
        <v>41.644000000000233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'9'!F162</f>
        <v>88842</v>
      </c>
      <c r="F162" s="235">
        <v>88884</v>
      </c>
      <c r="G162" s="238">
        <f t="shared" si="13"/>
        <v>42</v>
      </c>
      <c r="H162" s="99">
        <f>G162+'9'!H162</f>
        <v>367.60000000000582</v>
      </c>
      <c r="I162" s="236"/>
      <c r="J162" s="239">
        <f>H162/DAY(B2)</f>
        <v>36.760000000000581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'9'!F163</f>
        <v>79570</v>
      </c>
      <c r="F163" s="235">
        <v>79662</v>
      </c>
      <c r="G163" s="238">
        <f t="shared" si="13"/>
        <v>92</v>
      </c>
      <c r="H163" s="99">
        <f>G163+'9'!H163</f>
        <v>441.89999999999418</v>
      </c>
      <c r="I163" s="236"/>
      <c r="J163" s="239">
        <f>H163/DAY(B2)</f>
        <v>44.189999999999415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'9'!F164</f>
        <v>4329</v>
      </c>
      <c r="F164" s="235">
        <v>4330</v>
      </c>
      <c r="G164" s="238">
        <f t="shared" si="13"/>
        <v>1</v>
      </c>
      <c r="H164" s="99">
        <f>G164+'9'!H164</f>
        <v>10</v>
      </c>
      <c r="I164" s="236"/>
      <c r="J164" s="239">
        <f>H164/DAY(B2)</f>
        <v>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'9'!F165</f>
        <v>29935</v>
      </c>
      <c r="F165" s="235">
        <v>29949</v>
      </c>
      <c r="G165" s="238">
        <f t="shared" si="13"/>
        <v>14</v>
      </c>
      <c r="H165" s="99">
        <f>G165+'9'!H165</f>
        <v>91.75</v>
      </c>
      <c r="I165" s="236"/>
      <c r="J165" s="239">
        <f>H165/DAY(B2)</f>
        <v>9.1750000000000007</v>
      </c>
    </row>
    <row r="166" spans="1:10" ht="29.25" x14ac:dyDescent="0.5">
      <c r="A166" s="852"/>
      <c r="B166" s="852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'9'!F173</f>
        <v>8131</v>
      </c>
      <c r="F173" s="155">
        <v>8132</v>
      </c>
      <c r="G173" s="155">
        <f>F173-E173</f>
        <v>1</v>
      </c>
      <c r="H173" s="99">
        <f>G173+'9'!H173</f>
        <v>6</v>
      </c>
      <c r="I173" s="155"/>
      <c r="J173" s="178">
        <f>H173/DAY(B2)</f>
        <v>0.6</v>
      </c>
    </row>
    <row r="174" spans="1:10" ht="34.5" customHeight="1" x14ac:dyDescent="0.5">
      <c r="A174" s="856" t="s">
        <v>75</v>
      </c>
      <c r="B174" s="857"/>
      <c r="C174" s="333"/>
      <c r="D174" s="228" t="s">
        <v>142</v>
      </c>
      <c r="E174" s="95">
        <f>'9'!F174</f>
        <v>38735</v>
      </c>
      <c r="F174" s="157">
        <v>38749</v>
      </c>
      <c r="G174" s="155">
        <f t="shared" ref="G174:G175" si="14">F174-E174</f>
        <v>14</v>
      </c>
      <c r="H174" s="99">
        <f>G174+'9'!H174</f>
        <v>134</v>
      </c>
      <c r="I174" s="155"/>
      <c r="J174" s="178">
        <f>H174/DAY(B2)</f>
        <v>13.4</v>
      </c>
    </row>
    <row r="175" spans="1:10" ht="31.5" customHeight="1" x14ac:dyDescent="0.5">
      <c r="A175" s="856" t="s">
        <v>76</v>
      </c>
      <c r="B175" s="896"/>
      <c r="C175" s="857"/>
      <c r="D175" s="228" t="s">
        <v>142</v>
      </c>
      <c r="E175" s="95">
        <f>'9'!F175</f>
        <v>21907</v>
      </c>
      <c r="F175" s="155">
        <v>21919</v>
      </c>
      <c r="G175" s="155">
        <f t="shared" si="14"/>
        <v>12</v>
      </c>
      <c r="H175" s="99">
        <f>G175+'9'!H175</f>
        <v>106</v>
      </c>
      <c r="I175" s="155"/>
      <c r="J175" s="178">
        <f>H175/DAY(B2)</f>
        <v>10.6</v>
      </c>
    </row>
    <row r="176" spans="1:10" ht="21.75" customHeight="1" x14ac:dyDescent="0.5">
      <c r="A176" s="847" t="s">
        <v>196</v>
      </c>
      <c r="B176" s="848"/>
      <c r="C176" s="333"/>
      <c r="D176" s="228"/>
      <c r="E176" s="95"/>
      <c r="F176" s="155"/>
      <c r="G176" s="155">
        <f>SUM(G173:G175)</f>
        <v>27</v>
      </c>
      <c r="H176" s="99">
        <f>G176+'9'!H176</f>
        <v>246</v>
      </c>
      <c r="I176" s="155"/>
      <c r="J176" s="178">
        <f>H176/DAY(B2)</f>
        <v>24.6</v>
      </c>
    </row>
    <row r="177" spans="1:10" ht="27.75" customHeight="1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 x14ac:dyDescent="0.5">
      <c r="A178" s="856" t="s">
        <v>210</v>
      </c>
      <c r="B178" s="857"/>
      <c r="C178" s="333"/>
      <c r="D178" s="228" t="s">
        <v>142</v>
      </c>
      <c r="E178" s="95">
        <f>'9'!F178</f>
        <v>81801</v>
      </c>
      <c r="F178" s="155">
        <v>81848</v>
      </c>
      <c r="G178" s="155">
        <f>F178-E178</f>
        <v>47</v>
      </c>
      <c r="H178" s="99">
        <f>G178+'9'!H178</f>
        <v>533</v>
      </c>
      <c r="I178" s="155"/>
      <c r="J178" s="178">
        <f>H178/DAY(B2)</f>
        <v>53.3</v>
      </c>
    </row>
    <row r="179" spans="1:10" ht="27.75" customHeight="1" x14ac:dyDescent="0.5">
      <c r="A179" s="856" t="s">
        <v>211</v>
      </c>
      <c r="B179" s="857"/>
      <c r="C179" s="333"/>
      <c r="D179" s="228" t="s">
        <v>142</v>
      </c>
      <c r="E179" s="95">
        <f>'9'!F179</f>
        <v>35133</v>
      </c>
      <c r="F179" s="155">
        <v>35133</v>
      </c>
      <c r="G179" s="155">
        <f t="shared" ref="G179:G180" si="15">F179-E179</f>
        <v>0</v>
      </c>
      <c r="H179" s="99">
        <f>G179+'9'!H179</f>
        <v>330</v>
      </c>
      <c r="I179" s="155"/>
      <c r="J179" s="178">
        <f>H179/DAY(B2)</f>
        <v>33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'9'!F180</f>
        <v>5770</v>
      </c>
      <c r="F180" s="155">
        <v>5770</v>
      </c>
      <c r="G180" s="155">
        <f t="shared" si="15"/>
        <v>0</v>
      </c>
      <c r="H180" s="99">
        <f>G180+'9'!H180</f>
        <v>68</v>
      </c>
      <c r="I180" s="155"/>
      <c r="J180" s="178">
        <f>H180/DAY(B2)</f>
        <v>6.8</v>
      </c>
    </row>
    <row r="181" spans="1:10" ht="27.75" x14ac:dyDescent="0.5">
      <c r="A181" s="858" t="s">
        <v>108</v>
      </c>
      <c r="B181" s="859"/>
      <c r="C181" s="333"/>
      <c r="D181" s="228"/>
      <c r="E181" s="95"/>
      <c r="F181" s="155"/>
      <c r="G181" s="155">
        <f>SUM(G178:G180)</f>
        <v>47</v>
      </c>
      <c r="H181" s="99">
        <f>G181+'9'!H181</f>
        <v>931</v>
      </c>
      <c r="I181" s="155"/>
      <c r="J181" s="178">
        <f>H181/DAY(B2)</f>
        <v>93.1</v>
      </c>
    </row>
    <row r="182" spans="1:10" ht="27.75" x14ac:dyDescent="0.5">
      <c r="A182" s="856" t="s">
        <v>213</v>
      </c>
      <c r="B182" s="857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'9'!F183</f>
        <v>15462</v>
      </c>
      <c r="F183" s="157">
        <v>15484</v>
      </c>
      <c r="G183" s="157">
        <f>F183-E183</f>
        <v>22</v>
      </c>
      <c r="H183" s="99">
        <f>G183+'9'!H183</f>
        <v>139</v>
      </c>
      <c r="I183" s="155"/>
      <c r="J183" s="178">
        <f>H183/DAY(B2)</f>
        <v>13.9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'9'!F184</f>
        <v>10647</v>
      </c>
      <c r="F184" s="157">
        <v>10651</v>
      </c>
      <c r="G184" s="157">
        <f t="shared" ref="G184:G185" si="16">F184-E184</f>
        <v>4</v>
      </c>
      <c r="H184" s="99">
        <f>G184+'9'!H184</f>
        <v>133</v>
      </c>
      <c r="I184" s="155"/>
      <c r="J184" s="178">
        <f>H184/DAY(B2)</f>
        <v>13.3</v>
      </c>
    </row>
    <row r="185" spans="1:10" ht="37.5" customHeight="1" x14ac:dyDescent="0.5">
      <c r="A185" s="856" t="s">
        <v>216</v>
      </c>
      <c r="B185" s="857"/>
      <c r="C185" s="334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 x14ac:dyDescent="0.5">
      <c r="A186" s="847" t="s">
        <v>196</v>
      </c>
      <c r="B186" s="848"/>
      <c r="C186" s="334"/>
      <c r="D186" s="229"/>
      <c r="E186" s="95"/>
      <c r="F186" s="157"/>
      <c r="G186" s="157">
        <f>SUM(G183:G185)</f>
        <v>26</v>
      </c>
      <c r="H186" s="99">
        <f>G186+'9'!H186</f>
        <v>272</v>
      </c>
      <c r="I186" s="157"/>
      <c r="J186" s="178">
        <f>H186/DAY(B2)</f>
        <v>27.2</v>
      </c>
    </row>
    <row r="187" spans="1:10" ht="21.75" customHeight="1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550">
        <f>G62+G19</f>
        <v>227</v>
      </c>
      <c r="H187" s="99">
        <f>G187+'9'!H187</f>
        <v>1730</v>
      </c>
      <c r="I187" s="158"/>
      <c r="J187" s="179">
        <f>H187/DAY(B2)</f>
        <v>173</v>
      </c>
    </row>
    <row r="188" spans="1:10" ht="21.75" customHeight="1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550">
        <f>G65+G66+G67+G69+G70</f>
        <v>216</v>
      </c>
      <c r="H188" s="99">
        <f>G188+'9'!H188</f>
        <v>1735</v>
      </c>
      <c r="I188" s="158"/>
      <c r="J188" s="179">
        <f>H188/DAY(B2)</f>
        <v>173.5</v>
      </c>
    </row>
    <row r="189" spans="1:10" ht="21.75" customHeight="1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530">
        <f>G181</f>
        <v>47</v>
      </c>
      <c r="H189" s="99">
        <f>G189+'9'!H189</f>
        <v>931</v>
      </c>
      <c r="I189" s="158"/>
      <c r="J189" s="179">
        <f>H189/DAY(B2)</f>
        <v>93.1</v>
      </c>
    </row>
    <row r="190" spans="1:10" ht="27" customHeight="1" x14ac:dyDescent="0.5">
      <c r="A190" s="770"/>
      <c r="B190" s="771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1.75" customHeight="1" x14ac:dyDescent="0.5"/>
    <row r="192" spans="1:10" ht="21.75" customHeight="1" x14ac:dyDescent="0.5"/>
    <row r="193" ht="21.75" customHeight="1" x14ac:dyDescent="0.5"/>
    <row r="194" ht="21.75" customHeight="1" x14ac:dyDescent="0.5"/>
    <row r="195" ht="21.75" customHeight="1" x14ac:dyDescent="0.5"/>
    <row r="196" ht="21.75" customHeight="1" x14ac:dyDescent="0.5"/>
    <row r="197" ht="21.75" customHeight="1" x14ac:dyDescent="0.5"/>
    <row r="198" ht="21.75" customHeight="1" x14ac:dyDescent="0.5"/>
    <row r="199" ht="21.75" customHeight="1" x14ac:dyDescent="0.5"/>
    <row r="200" ht="21.75" customHeight="1" x14ac:dyDescent="0.5"/>
    <row r="201" ht="21.75" customHeight="1" x14ac:dyDescent="0.5"/>
    <row r="202" ht="36.7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  <row r="240" ht="21.75" customHeight="1" x14ac:dyDescent="0.5"/>
    <row r="241" ht="21.75" customHeight="1" x14ac:dyDescent="0.5"/>
    <row r="242" ht="21.75" customHeight="1" x14ac:dyDescent="0.5"/>
    <row r="243" ht="21.75" customHeight="1" x14ac:dyDescent="0.5"/>
    <row r="244" ht="21.75" customHeight="1" x14ac:dyDescent="0.5"/>
    <row r="245" ht="21.75" customHeight="1" x14ac:dyDescent="0.5"/>
    <row r="246" ht="21.75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153" zoomScale="55" zoomScaleNormal="55" workbookViewId="0">
      <selection activeCell="F174" sqref="F174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30.75" customHeight="1" x14ac:dyDescent="0.5">
      <c r="A2" s="191" t="s">
        <v>357</v>
      </c>
      <c r="B2" s="262">
        <v>44603</v>
      </c>
      <c r="C2" s="348" t="s">
        <v>67</v>
      </c>
      <c r="D2" s="218">
        <v>0.54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26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'10'!F7</f>
        <v>845927</v>
      </c>
      <c r="F7" s="95">
        <v>866845</v>
      </c>
      <c r="G7" s="112">
        <f>F7-E7</f>
        <v>20918</v>
      </c>
      <c r="H7" s="99">
        <f>G7+'10'!H7</f>
        <v>215664.77000000002</v>
      </c>
      <c r="I7" s="113">
        <f>'1'!I7</f>
        <v>12000</v>
      </c>
      <c r="J7" s="175">
        <f>H7/DAY(B2)</f>
        <v>19605.888181818184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'10'!F8</f>
        <v>904894</v>
      </c>
      <c r="F8" s="95">
        <v>925914</v>
      </c>
      <c r="G8" s="115">
        <f>F8-E8</f>
        <v>21020</v>
      </c>
      <c r="H8" s="99">
        <f>G8+'10'!H8</f>
        <v>217365.84999999998</v>
      </c>
      <c r="I8" s="116"/>
      <c r="J8" s="175">
        <f>H8/DAY(B2)</f>
        <v>19760.531818181815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'10'!F9</f>
        <v>425272</v>
      </c>
      <c r="F9" s="598">
        <v>442898</v>
      </c>
      <c r="G9" s="112">
        <f>F9-E9</f>
        <v>17626</v>
      </c>
      <c r="H9" s="99">
        <f>G9+'10'!H9</f>
        <v>160644.15000000002</v>
      </c>
      <c r="I9" s="124">
        <f>I7-J7</f>
        <v>-7605.8881818181835</v>
      </c>
      <c r="J9" s="175">
        <f>H9/DAY(B2)</f>
        <v>14604.013636363639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'10'!F10</f>
        <v>151529</v>
      </c>
      <c r="F10" s="353">
        <v>154225</v>
      </c>
      <c r="G10" s="112">
        <f t="shared" ref="G10:G12" si="0">F10-E10</f>
        <v>2696</v>
      </c>
      <c r="H10" s="99">
        <f>G10+'10'!H10</f>
        <v>48966.03</v>
      </c>
      <c r="I10" s="282"/>
      <c r="J10" s="175">
        <f>H10/DAY(B2)</f>
        <v>4451.4572727272725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'10'!F11</f>
        <v>37170</v>
      </c>
      <c r="F11" s="95">
        <v>37170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20322</v>
      </c>
      <c r="H13" s="99">
        <f>G13+'10'!H13</f>
        <v>192855.75</v>
      </c>
      <c r="I13" s="120">
        <f>G7-G13</f>
        <v>596</v>
      </c>
      <c r="J13" s="175">
        <f>H13/DAY(B2)</f>
        <v>17532.340909090908</v>
      </c>
      <c r="K13" s="79"/>
      <c r="L13" s="66"/>
      <c r="N13" s="87"/>
      <c r="O13" s="71"/>
    </row>
    <row r="14" spans="1:15" ht="30.75" customHeight="1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'10'!F15</f>
        <v>1916951</v>
      </c>
      <c r="F15" s="598">
        <v>1918069</v>
      </c>
      <c r="G15" s="112">
        <f>(F15-E15)</f>
        <v>1118</v>
      </c>
      <c r="H15" s="99">
        <f>G15+'10'!H15</f>
        <v>11432.233000000007</v>
      </c>
      <c r="I15" s="113">
        <f>'1'!I15</f>
        <v>800</v>
      </c>
      <c r="J15" s="175">
        <f>H15/DAY(B2)</f>
        <v>1039.2939090909097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-239.29390909090966</v>
      </c>
      <c r="J16" s="176"/>
      <c r="K16" s="79"/>
      <c r="L16" s="66"/>
      <c r="N16" s="87"/>
      <c r="O16" s="71"/>
    </row>
    <row r="17" spans="1:15" ht="30.75" customHeight="1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84" t="s">
        <v>141</v>
      </c>
      <c r="B18" s="885"/>
      <c r="C18" s="886"/>
      <c r="D18" s="151" t="s">
        <v>142</v>
      </c>
      <c r="E18" s="95">
        <f>'10'!F18</f>
        <v>26</v>
      </c>
      <c r="F18" s="122">
        <v>26</v>
      </c>
      <c r="G18" s="119">
        <f>F18*10</f>
        <v>260</v>
      </c>
      <c r="H18" s="99">
        <f>G18+'10'!H18</f>
        <v>2270</v>
      </c>
      <c r="I18" s="113">
        <f>'1'!I18</f>
        <v>65</v>
      </c>
      <c r="J18" s="175">
        <f>H18/DAY(B2)</f>
        <v>206.36363636363637</v>
      </c>
      <c r="K18" s="79"/>
      <c r="L18" s="66"/>
      <c r="N18" s="87"/>
      <c r="O18" s="71"/>
    </row>
    <row r="19" spans="1:15" ht="30.75" customHeight="1" x14ac:dyDescent="0.5">
      <c r="A19" s="884" t="s">
        <v>69</v>
      </c>
      <c r="B19" s="885"/>
      <c r="C19" s="886"/>
      <c r="D19" s="151" t="s">
        <v>142</v>
      </c>
      <c r="E19" s="95">
        <f>'10'!F19</f>
        <v>154409</v>
      </c>
      <c r="F19" s="122">
        <v>154465</v>
      </c>
      <c r="G19" s="112">
        <f t="shared" ref="G19" si="1">F19-E19</f>
        <v>56</v>
      </c>
      <c r="H19" s="99">
        <f>G19+'10'!H19</f>
        <v>574</v>
      </c>
      <c r="I19" s="335"/>
      <c r="J19" s="175">
        <f>H19/DAY(B2)</f>
        <v>52.18181818181818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316</v>
      </c>
      <c r="H20" s="99">
        <f>G20+'10'!H20</f>
        <v>2844</v>
      </c>
      <c r="I20" s="336">
        <f>I18-J20</f>
        <v>-193.54545454545456</v>
      </c>
      <c r="J20" s="175">
        <f>H20/DAY(B2)</f>
        <v>258.54545454545456</v>
      </c>
      <c r="K20" s="79"/>
      <c r="L20" s="66"/>
      <c r="N20" s="87"/>
      <c r="O20" s="71"/>
    </row>
    <row r="21" spans="1:15" ht="30.75" customHeight="1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'10'!F23</f>
        <v>1500</v>
      </c>
      <c r="F23" s="122">
        <v>1500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21020</v>
      </c>
      <c r="F27" s="136">
        <v>9</v>
      </c>
      <c r="G27" s="137">
        <f>E27*F27</f>
        <v>189180</v>
      </c>
      <c r="H27" s="99">
        <f>G27+'10'!H27</f>
        <v>1956292.65</v>
      </c>
      <c r="I27" s="138"/>
      <c r="J27" s="175">
        <f>H27/DAY(B2)</f>
        <v>177844.78636363635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1118</v>
      </c>
      <c r="F28" s="136">
        <v>52</v>
      </c>
      <c r="G28" s="137">
        <f>E28*F28</f>
        <v>58136</v>
      </c>
      <c r="H28" s="99">
        <f>G28+'10'!H28</f>
        <v>594476.11600000039</v>
      </c>
      <c r="I28" s="140"/>
      <c r="J28" s="175">
        <f>H28/DAY(B2)</f>
        <v>54043.283272727305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G30+'10'!H30</f>
        <v>83804</v>
      </c>
      <c r="I30" s="140"/>
      <c r="J30" s="175">
        <f>H30/DAY(B2)</f>
        <v>7618.545454545455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G31+'10'!H31</f>
        <v>181600</v>
      </c>
      <c r="I31" s="140"/>
      <c r="J31" s="175">
        <f>H31/DAY(B2)</f>
        <v>16509.090909090908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276292</v>
      </c>
      <c r="H32" s="99">
        <f>G32+'10'!H32</f>
        <v>2816172.7660000003</v>
      </c>
      <c r="I32" s="144"/>
      <c r="J32" s="175">
        <f>H32/DAY(B2)</f>
        <v>256015.70600000003</v>
      </c>
      <c r="K32" s="63"/>
      <c r="L32" s="89"/>
      <c r="N32" s="87"/>
      <c r="O32" s="71"/>
    </row>
    <row r="33" spans="1:15" ht="30.7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'10'!F35</f>
        <v>47001</v>
      </c>
      <c r="F35" s="145">
        <v>48436</v>
      </c>
      <c r="G35" s="112">
        <f t="shared" ref="G35:G46" si="3">F35-E35</f>
        <v>1435</v>
      </c>
      <c r="H35" s="99">
        <f>G35+'10'!H35</f>
        <v>16431.02</v>
      </c>
      <c r="I35" s="95"/>
      <c r="J35" s="175">
        <f>H35/DAY(B2)</f>
        <v>1493.7290909090909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'10'!F36</f>
        <v>52537</v>
      </c>
      <c r="F36" s="145">
        <v>53614</v>
      </c>
      <c r="G36" s="112">
        <f t="shared" si="3"/>
        <v>1077</v>
      </c>
      <c r="H36" s="99">
        <f>G36+'10'!H36</f>
        <v>10155.260000000002</v>
      </c>
      <c r="I36" s="95"/>
      <c r="J36" s="175">
        <f>H36/DAY(B2)</f>
        <v>923.2054545454547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'10'!F37</f>
        <v>51575</v>
      </c>
      <c r="F37" s="145">
        <v>53259</v>
      </c>
      <c r="G37" s="112">
        <f t="shared" si="3"/>
        <v>1684</v>
      </c>
      <c r="H37" s="99">
        <f>G37+'10'!H37</f>
        <v>17833.910000000003</v>
      </c>
      <c r="I37" s="95"/>
      <c r="J37" s="175">
        <f>H37/DAY(B2)</f>
        <v>1621.2645454545457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'10'!F38</f>
        <v>56947</v>
      </c>
      <c r="F38" s="108">
        <v>59023</v>
      </c>
      <c r="G38" s="112">
        <f t="shared" si="3"/>
        <v>2076</v>
      </c>
      <c r="H38" s="99">
        <f>G38+'10'!H38</f>
        <v>20646.57</v>
      </c>
      <c r="I38" s="95"/>
      <c r="J38" s="175">
        <f>H38/DAY(B2)</f>
        <v>1876.9609090909091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'10'!F39</f>
        <v>87280</v>
      </c>
      <c r="F39" s="145">
        <v>90428</v>
      </c>
      <c r="G39" s="112">
        <f t="shared" si="3"/>
        <v>3148</v>
      </c>
      <c r="H39" s="99">
        <f>G39+'10'!H39</f>
        <v>31254.71</v>
      </c>
      <c r="I39" s="95"/>
      <c r="J39" s="175">
        <f>H39/DAY(B2)</f>
        <v>2841.3372727272726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'10'!F40</f>
        <v>24852</v>
      </c>
      <c r="F40" s="145">
        <v>25009</v>
      </c>
      <c r="G40" s="112">
        <f t="shared" si="3"/>
        <v>157</v>
      </c>
      <c r="H40" s="99">
        <f>G40+'10'!H40</f>
        <v>2892.0099999999975</v>
      </c>
      <c r="I40" s="95"/>
      <c r="J40" s="175">
        <f>H40/DAY(B2)</f>
        <v>262.9099999999998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'10'!F41</f>
        <v>63</v>
      </c>
      <c r="F41" s="145">
        <v>63</v>
      </c>
      <c r="G41" s="112">
        <f t="shared" si="3"/>
        <v>0</v>
      </c>
      <c r="H41" s="99">
        <f>G41+'10'!H41</f>
        <v>0.27000000000000313</v>
      </c>
      <c r="I41" s="95"/>
      <c r="J41" s="175">
        <f>H41/DAY(B2)</f>
        <v>2.4545454545454828E-2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'10'!F42</f>
        <v>121603</v>
      </c>
      <c r="F42" s="145">
        <v>126339</v>
      </c>
      <c r="G42" s="112">
        <f t="shared" si="3"/>
        <v>4736</v>
      </c>
      <c r="H42" s="99">
        <f>G42+'10'!H42</f>
        <v>26209.259999999995</v>
      </c>
      <c r="I42" s="95"/>
      <c r="J42" s="175">
        <f>H42/DAY(B2)</f>
        <v>2382.6599999999994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'10'!F43</f>
        <v>136275</v>
      </c>
      <c r="F43" s="376">
        <v>138387</v>
      </c>
      <c r="G43" s="112">
        <f t="shared" si="3"/>
        <v>2112</v>
      </c>
      <c r="H43" s="99">
        <f>G43+'10'!H43</f>
        <v>23535.399999999994</v>
      </c>
      <c r="I43" s="95"/>
      <c r="J43" s="175">
        <f>H43/DAY(B2)</f>
        <v>2139.5818181818177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16425</v>
      </c>
      <c r="H47" s="99">
        <f>G47+'10'!H47</f>
        <v>148958.41</v>
      </c>
      <c r="I47" s="95"/>
      <c r="J47" s="175">
        <f>H47/DAY(B2)</f>
        <v>13541.673636363637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'10'!F49</f>
        <v>37581</v>
      </c>
      <c r="F49" s="145">
        <v>38922</v>
      </c>
      <c r="G49" s="112">
        <f t="shared" ref="G49:G58" si="4">F49-E49</f>
        <v>1341</v>
      </c>
      <c r="H49" s="99">
        <f>G49+'10'!H49</f>
        <v>13925.810000000001</v>
      </c>
      <c r="I49" s="95"/>
      <c r="J49" s="175">
        <f>H49/DAY(B2)</f>
        <v>1265.9827272727273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'10'!F50</f>
        <v>68141</v>
      </c>
      <c r="F50" s="145">
        <v>69423</v>
      </c>
      <c r="G50" s="112">
        <f t="shared" si="4"/>
        <v>1282</v>
      </c>
      <c r="H50" s="99">
        <f>G50+'10'!H50</f>
        <v>13036.370000000003</v>
      </c>
      <c r="I50" s="95"/>
      <c r="J50" s="175">
        <f>H50/DAY(B2)</f>
        <v>1185.1245454545458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'10'!F51</f>
        <v>0</v>
      </c>
      <c r="F51" s="145">
        <v>0</v>
      </c>
      <c r="G51" s="112">
        <f t="shared" si="4"/>
        <v>0</v>
      </c>
      <c r="H51" s="99">
        <f>G51+'10'!H51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'10'!F52</f>
        <v>0</v>
      </c>
      <c r="F52" s="145">
        <v>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'10'!F54</f>
        <v>9606</v>
      </c>
      <c r="F54" s="145">
        <v>10146</v>
      </c>
      <c r="G54" s="112">
        <f t="shared" si="4"/>
        <v>540</v>
      </c>
      <c r="H54" s="99">
        <f>G54+'10'!H54</f>
        <v>4998.58</v>
      </c>
      <c r="I54" s="95"/>
      <c r="J54" s="175">
        <f>H54/DAY(B2)</f>
        <v>454.41636363636366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'10'!F55</f>
        <v>90154</v>
      </c>
      <c r="F55" s="145">
        <v>90154</v>
      </c>
      <c r="G55" s="112">
        <f t="shared" si="4"/>
        <v>0</v>
      </c>
      <c r="H55" s="99">
        <f>G55+'10'!H55</f>
        <v>15787.89</v>
      </c>
      <c r="I55" s="95"/>
      <c r="J55" s="175">
        <f>H55/DAY(B2)</f>
        <v>1435.2627272727273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'10'!F56</f>
        <v>8724</v>
      </c>
      <c r="F56" s="376">
        <v>8724</v>
      </c>
      <c r="G56" s="112">
        <f t="shared" si="4"/>
        <v>0</v>
      </c>
      <c r="H56" s="99">
        <f>G56+'10'!H56</f>
        <v>113.45999999999913</v>
      </c>
      <c r="I56" s="95"/>
      <c r="J56" s="175">
        <f>H56/DAY(B2)</f>
        <v>10.314545454545375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'10'!F58</f>
        <v>6936</v>
      </c>
      <c r="F58" s="145">
        <v>7138</v>
      </c>
      <c r="G58" s="112">
        <f t="shared" si="4"/>
        <v>202</v>
      </c>
      <c r="H58" s="99">
        <f>G58+'10'!H58</f>
        <v>2341.79</v>
      </c>
      <c r="I58" s="95"/>
      <c r="J58" s="175">
        <f>H58/DAY(B2)</f>
        <v>212.89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3365</v>
      </c>
      <c r="H59" s="99">
        <f>G59+'10'!H59</f>
        <v>50203.9</v>
      </c>
      <c r="I59" s="95">
        <f>G7-G60</f>
        <v>1128</v>
      </c>
      <c r="J59" s="175">
        <f>H59/DAY(B2)</f>
        <v>4563.9909090909096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19790</v>
      </c>
      <c r="H60" s="99">
        <f>G60+'10'!H60</f>
        <v>199162.31</v>
      </c>
      <c r="I60" s="95">
        <f>G13-G60</f>
        <v>532</v>
      </c>
      <c r="J60" s="175">
        <f>H60/DAY(B2)</f>
        <v>18105.664545454547</v>
      </c>
      <c r="K60" s="79"/>
      <c r="L60" s="66"/>
      <c r="N60" s="87"/>
      <c r="O60" s="71"/>
    </row>
    <row r="61" spans="1:15" s="68" customFormat="1" ht="30.75" customHeight="1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884" t="s">
        <v>198</v>
      </c>
      <c r="B62" s="885"/>
      <c r="C62" s="886"/>
      <c r="D62" s="151" t="s">
        <v>142</v>
      </c>
      <c r="E62" s="95">
        <f>'10'!F62</f>
        <v>270728</v>
      </c>
      <c r="F62" s="122">
        <v>270909</v>
      </c>
      <c r="G62" s="112">
        <f t="shared" ref="G62:G63" si="5">F62-E62</f>
        <v>181</v>
      </c>
      <c r="H62" s="99">
        <f>G62+'10'!H62</f>
        <v>1393</v>
      </c>
      <c r="I62" s="118"/>
      <c r="J62" s="175">
        <f>H62/DAY(B2)</f>
        <v>126.63636363636364</v>
      </c>
      <c r="K62" s="80"/>
      <c r="L62" s="66"/>
      <c r="N62" s="87"/>
      <c r="O62" s="71"/>
    </row>
    <row r="63" spans="1:15" ht="30.75" customHeight="1" x14ac:dyDescent="0.5">
      <c r="A63" s="884" t="s">
        <v>199</v>
      </c>
      <c r="B63" s="885"/>
      <c r="C63" s="886"/>
      <c r="D63" s="151" t="s">
        <v>142</v>
      </c>
      <c r="E63" s="95">
        <f>'10'!F63</f>
        <v>217062</v>
      </c>
      <c r="F63" s="150">
        <v>217198</v>
      </c>
      <c r="G63" s="112">
        <f t="shared" si="5"/>
        <v>136</v>
      </c>
      <c r="H63" s="99">
        <f>G63+'10'!H63</f>
        <v>1401</v>
      </c>
      <c r="I63" s="118"/>
      <c r="J63" s="175">
        <f>H63/DAY(B2)</f>
        <v>127.36363636363636</v>
      </c>
      <c r="K63" s="69"/>
      <c r="L63" s="66"/>
      <c r="N63" s="87"/>
      <c r="O63" s="71"/>
    </row>
    <row r="64" spans="1:15" ht="30.75" customHeight="1" x14ac:dyDescent="0.5">
      <c r="A64" s="893" t="s">
        <v>200</v>
      </c>
      <c r="B64" s="894"/>
      <c r="C64" s="895"/>
      <c r="D64" s="151"/>
      <c r="E64" s="95">
        <f>'10'!F64</f>
        <v>0</v>
      </c>
      <c r="F64" s="122"/>
      <c r="G64" s="112">
        <f>G62+G63</f>
        <v>317</v>
      </c>
      <c r="H64" s="99">
        <f>G64+'10'!H64</f>
        <v>2794</v>
      </c>
      <c r="I64" s="118"/>
      <c r="J64" s="175">
        <f>H64/DAY(B2)</f>
        <v>254</v>
      </c>
      <c r="K64" s="69"/>
      <c r="L64" s="66"/>
      <c r="N64" s="87"/>
      <c r="O64" s="71"/>
    </row>
    <row r="65" spans="1:15" ht="30.75" customHeight="1" x14ac:dyDescent="0.5">
      <c r="A65" s="884" t="s">
        <v>201</v>
      </c>
      <c r="B65" s="885"/>
      <c r="C65" s="886"/>
      <c r="D65" s="151" t="s">
        <v>142</v>
      </c>
      <c r="E65" s="95">
        <f>'10'!F65</f>
        <v>435866</v>
      </c>
      <c r="F65" s="122">
        <v>435970</v>
      </c>
      <c r="G65" s="112">
        <f t="shared" ref="G65:G70" si="6">F65-E65</f>
        <v>104</v>
      </c>
      <c r="H65" s="99">
        <f>G65+'10'!H65</f>
        <v>1047</v>
      </c>
      <c r="I65" s="118"/>
      <c r="J65" s="175">
        <f>H65/DAY(B2)</f>
        <v>95.181818181818187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'10'!F66</f>
        <v>107986</v>
      </c>
      <c r="F66" s="122">
        <v>108017</v>
      </c>
      <c r="G66" s="112">
        <f t="shared" si="6"/>
        <v>31</v>
      </c>
      <c r="H66" s="99">
        <f>G66+'10'!H66</f>
        <v>274</v>
      </c>
      <c r="I66" s="118"/>
      <c r="J66" s="175">
        <f>H66/DAY(B2)</f>
        <v>24.90909090909091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'10'!F67</f>
        <v>104950</v>
      </c>
      <c r="F67" s="122">
        <v>105015</v>
      </c>
      <c r="G67" s="112">
        <f t="shared" si="6"/>
        <v>65</v>
      </c>
      <c r="H67" s="99">
        <f>G67+'10'!H67</f>
        <v>367</v>
      </c>
      <c r="I67" s="118"/>
      <c r="J67" s="175">
        <f>H67/DAY(B2)</f>
        <v>33.363636363636367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'10'!F68</f>
        <v>158061</v>
      </c>
      <c r="F68" s="122">
        <v>158114</v>
      </c>
      <c r="G68" s="112">
        <f t="shared" si="6"/>
        <v>53</v>
      </c>
      <c r="H68" s="99">
        <f>G68+'10'!H68</f>
        <v>417</v>
      </c>
      <c r="I68" s="118"/>
      <c r="J68" s="175">
        <f>H68/DAY(B2)</f>
        <v>37.909090909090907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'10'!F69</f>
        <v>10656</v>
      </c>
      <c r="F69" s="122">
        <v>10688</v>
      </c>
      <c r="G69" s="112">
        <f t="shared" si="6"/>
        <v>32</v>
      </c>
      <c r="H69" s="99">
        <f>G69+'10'!H69</f>
        <v>147</v>
      </c>
      <c r="I69" s="118"/>
      <c r="J69" s="175">
        <f>H69/DAY(B2)</f>
        <v>13.363636363636363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'10'!F70</f>
        <v>8252</v>
      </c>
      <c r="F70" s="122">
        <v>8264</v>
      </c>
      <c r="G70" s="112">
        <f t="shared" si="6"/>
        <v>12</v>
      </c>
      <c r="H70" s="99">
        <f>G70+'10'!H70</f>
        <v>144</v>
      </c>
      <c r="I70" s="118"/>
      <c r="J70" s="175">
        <f>H70/DAY(B2)</f>
        <v>13.090909090909092</v>
      </c>
      <c r="K70" s="69"/>
      <c r="L70" s="66"/>
      <c r="N70" s="87"/>
      <c r="O70" s="71"/>
    </row>
    <row r="71" spans="1:15" ht="30.75" customHeight="1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297</v>
      </c>
      <c r="H71" s="99">
        <f>G71+'10'!H71</f>
        <v>2396</v>
      </c>
      <c r="I71" s="154"/>
      <c r="J71" s="175">
        <f>H71/DAY(B2)</f>
        <v>217.81818181818181</v>
      </c>
      <c r="K71" s="69"/>
      <c r="L71" s="66"/>
      <c r="N71" s="87"/>
      <c r="O71" s="71"/>
    </row>
    <row r="72" spans="1:15" s="88" customFormat="1" ht="30.75" customHeight="1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884" t="s">
        <v>220</v>
      </c>
      <c r="B74" s="885"/>
      <c r="C74" s="886"/>
      <c r="D74" s="151" t="s">
        <v>139</v>
      </c>
      <c r="E74" s="95">
        <f>'10'!F74</f>
        <v>904374</v>
      </c>
      <c r="F74" s="117">
        <v>904690</v>
      </c>
      <c r="G74" s="112">
        <f t="shared" ref="G74:G78" si="7">F74-E74</f>
        <v>316</v>
      </c>
      <c r="H74" s="99">
        <f>G74+'10'!H74</f>
        <v>3383.8510000000242</v>
      </c>
      <c r="I74" s="154"/>
      <c r="J74" s="175">
        <f>H74/DAY(B2)</f>
        <v>307.62281818182038</v>
      </c>
      <c r="K74" s="69"/>
      <c r="L74" s="66"/>
      <c r="N74" s="87"/>
      <c r="O74" s="71"/>
    </row>
    <row r="75" spans="1:15" ht="30.75" customHeight="1" x14ac:dyDescent="0.5">
      <c r="A75" s="884" t="s">
        <v>221</v>
      </c>
      <c r="B75" s="885"/>
      <c r="C75" s="886"/>
      <c r="D75" s="151" t="s">
        <v>139</v>
      </c>
      <c r="E75" s="95">
        <f>'10'!F75</f>
        <v>73587</v>
      </c>
      <c r="F75" s="123">
        <v>73587</v>
      </c>
      <c r="G75" s="112">
        <f t="shared" si="7"/>
        <v>0</v>
      </c>
      <c r="H75" s="99">
        <f>G75+'10'!H75</f>
        <v>0.19999999999708962</v>
      </c>
      <c r="I75" s="154"/>
      <c r="J75" s="175">
        <f>H75/DAY(B2)</f>
        <v>1.8181818181553601E-2</v>
      </c>
      <c r="K75" s="69"/>
      <c r="L75" s="66"/>
      <c r="N75" s="87"/>
      <c r="O75" s="71"/>
    </row>
    <row r="76" spans="1:15" ht="30.75" customHeight="1" x14ac:dyDescent="0.5">
      <c r="A76" s="881" t="s">
        <v>222</v>
      </c>
      <c r="B76" s="882"/>
      <c r="C76" s="883"/>
      <c r="D76" s="151" t="s">
        <v>139</v>
      </c>
      <c r="E76" s="95">
        <f>'10'!F76</f>
        <v>171128</v>
      </c>
      <c r="F76" s="123">
        <v>171252</v>
      </c>
      <c r="G76" s="112">
        <f t="shared" si="7"/>
        <v>124</v>
      </c>
      <c r="H76" s="99">
        <f>G76+'10'!H76</f>
        <v>1277</v>
      </c>
      <c r="I76" s="154"/>
      <c r="J76" s="175">
        <f>H76/DAY(B2)</f>
        <v>116.09090909090909</v>
      </c>
      <c r="K76" s="69"/>
      <c r="L76" s="66"/>
      <c r="N76" s="87"/>
      <c r="O76" s="71"/>
    </row>
    <row r="77" spans="1:15" ht="30.75" customHeight="1" x14ac:dyDescent="0.5">
      <c r="A77" s="881" t="s">
        <v>223</v>
      </c>
      <c r="B77" s="882"/>
      <c r="C77" s="883"/>
      <c r="D77" s="151" t="s">
        <v>139</v>
      </c>
      <c r="E77" s="95">
        <f>'10'!F77</f>
        <v>41773</v>
      </c>
      <c r="F77" s="123">
        <v>41826</v>
      </c>
      <c r="G77" s="112">
        <f t="shared" si="7"/>
        <v>53</v>
      </c>
      <c r="H77" s="99">
        <f>G77+'10'!H77</f>
        <v>523.80000000000291</v>
      </c>
      <c r="I77" s="154"/>
      <c r="J77" s="175">
        <f>H77/DAY(B2)</f>
        <v>47.61818181818208</v>
      </c>
      <c r="K77" s="69"/>
      <c r="L77" s="66"/>
      <c r="N77" s="87"/>
      <c r="O77" s="71"/>
    </row>
    <row r="78" spans="1:15" ht="30.75" customHeight="1" x14ac:dyDescent="0.5">
      <c r="A78" s="881" t="s">
        <v>224</v>
      </c>
      <c r="B78" s="882"/>
      <c r="C78" s="883"/>
      <c r="D78" s="151" t="s">
        <v>139</v>
      </c>
      <c r="E78" s="95">
        <f>'10'!F78</f>
        <v>9531</v>
      </c>
      <c r="F78" s="123">
        <v>9534</v>
      </c>
      <c r="G78" s="112">
        <f t="shared" si="7"/>
        <v>3</v>
      </c>
      <c r="H78" s="99">
        <f>G78+'10'!H78</f>
        <v>18</v>
      </c>
      <c r="I78" s="118"/>
      <c r="J78" s="175">
        <f>H78/DAY(B2)</f>
        <v>1.6363636363636365</v>
      </c>
      <c r="K78" s="69"/>
      <c r="L78" s="66"/>
      <c r="N78" s="87"/>
      <c r="O78" s="71"/>
    </row>
    <row r="79" spans="1:15" s="57" customFormat="1" ht="30.75" customHeight="1" x14ac:dyDescent="0.5">
      <c r="A79" s="881" t="s">
        <v>225</v>
      </c>
      <c r="B79" s="882"/>
      <c r="C79" s="883"/>
      <c r="D79" s="151"/>
      <c r="E79" s="95">
        <f>'10'!F79</f>
        <v>0</v>
      </c>
      <c r="F79" s="117"/>
      <c r="G79" s="112">
        <f>G15-SUM(G74:G78)</f>
        <v>622</v>
      </c>
      <c r="H79" s="99">
        <f>G79+'10'!H79</f>
        <v>6229.3819999999832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1118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'10'!F84</f>
        <v>41675</v>
      </c>
      <c r="F84" s="164">
        <v>41675</v>
      </c>
      <c r="G84" s="112">
        <f t="shared" si="8"/>
        <v>0</v>
      </c>
      <c r="H84" s="99">
        <f>G84+'10'!H84</f>
        <v>0</v>
      </c>
      <c r="I84" s="118"/>
      <c r="J84" s="175">
        <f>H84/DAY(B2)</f>
        <v>0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'10'!F85</f>
        <v>2384</v>
      </c>
      <c r="F85" s="164">
        <v>2408</v>
      </c>
      <c r="G85" s="112">
        <f t="shared" si="8"/>
        <v>24</v>
      </c>
      <c r="H85" s="99">
        <f>G85+'10'!H85</f>
        <v>147.57999999999993</v>
      </c>
      <c r="I85" s="118">
        <f>G82+G83+G84+G85</f>
        <v>24</v>
      </c>
      <c r="J85" s="175">
        <f>H85/DAY(B2)</f>
        <v>13.416363636363629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'10'!F86</f>
        <v>43560</v>
      </c>
      <c r="F86" s="164">
        <v>43560</v>
      </c>
      <c r="G86" s="112">
        <f t="shared" si="8"/>
        <v>0</v>
      </c>
      <c r="H86" s="99">
        <f>G86+'10'!H86</f>
        <v>118</v>
      </c>
      <c r="I86" s="118"/>
      <c r="J86" s="175">
        <f>H86/DAY(B2)</f>
        <v>10.727272727272727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'10'!F87</f>
        <v>34598.550000000003</v>
      </c>
      <c r="F87" s="164">
        <v>34598.550000000003</v>
      </c>
      <c r="G87" s="112">
        <f t="shared" si="8"/>
        <v>0</v>
      </c>
      <c r="H87" s="99">
        <f>G87+'10'!H87</f>
        <v>5.0000000002910383E-2</v>
      </c>
      <c r="I87" s="118"/>
      <c r="J87" s="175">
        <f>H87/DAY(B2)</f>
        <v>4.5454545457191261E-3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'10'!F88</f>
        <v>24063</v>
      </c>
      <c r="F88" s="164">
        <v>24063</v>
      </c>
      <c r="G88" s="112">
        <f t="shared" si="8"/>
        <v>0</v>
      </c>
      <c r="H88" s="99">
        <f>G88+'10'!H88</f>
        <v>-0.43000000000029104</v>
      </c>
      <c r="I88" s="118">
        <f>G86+G87+G88</f>
        <v>0</v>
      </c>
      <c r="J88" s="175">
        <f>H88/DAY(B2)</f>
        <v>-3.9090909090935551E-2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'10'!F89</f>
        <v>25993</v>
      </c>
      <c r="F89" s="164">
        <v>26004</v>
      </c>
      <c r="G89" s="112">
        <f t="shared" si="8"/>
        <v>11</v>
      </c>
      <c r="H89" s="99">
        <f>G89+'10'!H89</f>
        <v>112.88000000000102</v>
      </c>
      <c r="I89" s="118"/>
      <c r="J89" s="175">
        <f>H89/DAY(B2)</f>
        <v>10.261818181818274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'10'!F90</f>
        <v>71190</v>
      </c>
      <c r="F90" s="164">
        <v>71194</v>
      </c>
      <c r="G90" s="112">
        <f t="shared" si="8"/>
        <v>4</v>
      </c>
      <c r="H90" s="99">
        <f>G90+'10'!H90</f>
        <v>30.679999999993015</v>
      </c>
      <c r="I90" s="118">
        <f>G89+G90</f>
        <v>15</v>
      </c>
      <c r="J90" s="175">
        <f>H90/DAY(B2)</f>
        <v>2.789090909090274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'10'!F91</f>
        <v>3364</v>
      </c>
      <c r="F91" s="122">
        <v>3376</v>
      </c>
      <c r="G91" s="112">
        <f t="shared" si="8"/>
        <v>12</v>
      </c>
      <c r="H91" s="99">
        <f>G91+'10'!H91</f>
        <v>124.90999999999985</v>
      </c>
      <c r="I91" s="165"/>
      <c r="J91" s="175">
        <f>H91/DAY(B2)</f>
        <v>11.355454545454533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'10'!F92</f>
        <v>5741</v>
      </c>
      <c r="F92" s="122">
        <v>5741</v>
      </c>
      <c r="G92" s="112">
        <f t="shared" si="8"/>
        <v>0</v>
      </c>
      <c r="H92" s="99">
        <f>G92+'10'!H92</f>
        <v>-6.9999999999708962E-2</v>
      </c>
      <c r="I92" s="165"/>
      <c r="J92" s="175">
        <f>H92/DAY(B2)</f>
        <v>-6.3636363636099058E-3</v>
      </c>
      <c r="O92" s="71"/>
    </row>
    <row r="93" spans="1:15" ht="30.75" customHeight="1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4888</v>
      </c>
      <c r="H94" s="99">
        <f>G94+'10'!H94</f>
        <v>53892.229999999996</v>
      </c>
      <c r="I94" s="118"/>
      <c r="J94" s="175">
        <f>H94/DAY(B2)</f>
        <v>4899.2936363636363</v>
      </c>
      <c r="K94" s="69"/>
      <c r="L94" s="66"/>
      <c r="O94" s="71"/>
    </row>
    <row r="95" spans="1:15" ht="30.75" customHeight="1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0.23367434745195526</v>
      </c>
      <c r="H95" s="99">
        <f>G95+'10'!H95</f>
        <v>2.7498991136514408</v>
      </c>
      <c r="I95" s="167"/>
      <c r="J95" s="175">
        <f>H95/DAY(B2)</f>
        <v>0.24999082851376733</v>
      </c>
      <c r="K95" s="69"/>
      <c r="L95" s="66"/>
      <c r="O95" s="71"/>
    </row>
    <row r="96" spans="1:15" ht="30.75" customHeight="1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4736</v>
      </c>
      <c r="H96" s="99">
        <f>G96+'10'!H96</f>
        <v>42110.87999999999</v>
      </c>
      <c r="I96" s="118"/>
      <c r="J96" s="175">
        <f>H96/DAY(B2)</f>
        <v>3828.2618181818175</v>
      </c>
      <c r="K96" s="69"/>
      <c r="L96" s="66"/>
      <c r="O96" s="71"/>
    </row>
    <row r="97" spans="1:15" ht="30.75" customHeight="1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0.22640787838225451</v>
      </c>
      <c r="H97" s="99">
        <f>G97+'10'!H97</f>
        <v>2.1479629569240064</v>
      </c>
      <c r="I97" s="167"/>
      <c r="J97" s="175">
        <f>H97/DAY(B2)</f>
        <v>0.19526935972036422</v>
      </c>
      <c r="K97" s="69"/>
      <c r="L97" s="66"/>
      <c r="O97" s="71"/>
    </row>
    <row r="98" spans="1:15" ht="30.75" customHeight="1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3148</v>
      </c>
      <c r="H98" s="99">
        <f>G98+'10'!H98</f>
        <v>31254.71</v>
      </c>
      <c r="I98" s="168"/>
      <c r="J98" s="175">
        <f>H98/DAY(B2)</f>
        <v>2841.3372727272726</v>
      </c>
      <c r="K98" s="69"/>
      <c r="L98" s="66"/>
      <c r="O98" s="71"/>
    </row>
    <row r="99" spans="1:15" ht="30.75" customHeight="1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0.15049239889090735</v>
      </c>
      <c r="H99" s="99">
        <f>G99+'10'!H99</f>
        <v>1.5954811219796143</v>
      </c>
      <c r="I99" s="168"/>
      <c r="J99" s="175">
        <f>H99/DAY(B2)</f>
        <v>0.14504373836178311</v>
      </c>
      <c r="O99" s="71"/>
    </row>
    <row r="100" spans="1:15" ht="30.75" customHeight="1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2076</v>
      </c>
      <c r="H100" s="99">
        <f>G100+'10'!H100</f>
        <v>20646.57</v>
      </c>
      <c r="I100" s="118"/>
      <c r="J100" s="175">
        <f>H100/DAY(B2)</f>
        <v>1876.9609090909091</v>
      </c>
      <c r="K100" s="70"/>
      <c r="O100" s="71"/>
    </row>
    <row r="101" spans="1:15" ht="30.75" customHeight="1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9.9244669662491639E-2</v>
      </c>
      <c r="H101" s="99">
        <f>G101+'10'!H101</f>
        <v>1.0531928493304732</v>
      </c>
      <c r="I101" s="168"/>
      <c r="J101" s="175">
        <f>H101/DAY(B2)</f>
        <v>9.5744804484588469E-2</v>
      </c>
      <c r="O101" s="71"/>
    </row>
    <row r="102" spans="1:15" ht="30.75" customHeight="1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2359</v>
      </c>
      <c r="H102" s="99">
        <f>G102+'10'!H102</f>
        <v>23191.630000000005</v>
      </c>
      <c r="I102" s="168"/>
      <c r="J102" s="175">
        <f>H102/DAY(B2)</f>
        <v>2108.3300000000004</v>
      </c>
      <c r="O102" s="71"/>
    </row>
    <row r="103" spans="1:15" ht="30.75" customHeight="1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0.11277368773305288</v>
      </c>
      <c r="H103" s="99">
        <f>G103+'10'!H103</f>
        <v>1.1790224146616084</v>
      </c>
      <c r="I103" s="118"/>
      <c r="J103" s="175">
        <f>H103/DAY(B2)</f>
        <v>0.10718385587832803</v>
      </c>
      <c r="O103" s="71"/>
    </row>
    <row r="104" spans="1:15" ht="30.75" customHeight="1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1684</v>
      </c>
      <c r="H104" s="99">
        <f>G104+'10'!H104</f>
        <v>17833.910000000003</v>
      </c>
      <c r="I104" s="118"/>
      <c r="J104" s="175">
        <f>H104/DAY(B2)</f>
        <v>1621.2645454545457</v>
      </c>
      <c r="O104" s="71"/>
    </row>
    <row r="105" spans="1:15" ht="30.75" customHeight="1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8.0504828377473941E-2</v>
      </c>
      <c r="H105" s="99">
        <f>G105+'10'!H105</f>
        <v>0.91188947817804888</v>
      </c>
      <c r="I105" s="187"/>
      <c r="J105" s="188">
        <f>H105/DAY(B2)</f>
        <v>8.2899043470731723E-2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30.75" customHeight="1" x14ac:dyDescent="0.5">
      <c r="A109" s="901"/>
      <c r="B109" s="901"/>
    </row>
    <row r="110" spans="1:15" ht="30.75" customHeight="1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30.75" customHeight="1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863" t="s">
        <v>252</v>
      </c>
      <c r="B112" s="864"/>
      <c r="C112" s="865"/>
      <c r="D112" s="146" t="s">
        <v>183</v>
      </c>
      <c r="E112" s="95">
        <f>'10'!F112</f>
        <v>58809</v>
      </c>
      <c r="F112" s="237">
        <v>58875</v>
      </c>
      <c r="G112" s="112">
        <f t="shared" ref="G112:G123" si="9">F112-E112</f>
        <v>66</v>
      </c>
      <c r="H112" s="99">
        <f>G112+'10'!H112</f>
        <v>821</v>
      </c>
      <c r="I112" s="165"/>
      <c r="J112" s="328">
        <f>H112/DAY(B2)</f>
        <v>74.63636363636364</v>
      </c>
    </row>
    <row r="113" spans="1:18" ht="30.75" customHeight="1" x14ac:dyDescent="0.5">
      <c r="A113" s="863" t="s">
        <v>253</v>
      </c>
      <c r="B113" s="864"/>
      <c r="C113" s="865"/>
      <c r="D113" s="146" t="s">
        <v>183</v>
      </c>
      <c r="E113" s="95">
        <f>'10'!F113</f>
        <v>51099</v>
      </c>
      <c r="F113" s="237">
        <v>51535</v>
      </c>
      <c r="G113" s="112">
        <f t="shared" si="9"/>
        <v>436</v>
      </c>
      <c r="H113" s="99">
        <f>G113+'10'!H113</f>
        <v>5134.1100000000006</v>
      </c>
      <c r="I113" s="165"/>
      <c r="J113" s="328">
        <f>H113/DAY(B2)</f>
        <v>466.7372727272728</v>
      </c>
    </row>
    <row r="114" spans="1:18" ht="30.75" customHeight="1" x14ac:dyDescent="0.5">
      <c r="A114" s="863" t="s">
        <v>254</v>
      </c>
      <c r="B114" s="864"/>
      <c r="C114" s="865"/>
      <c r="D114" s="146" t="s">
        <v>183</v>
      </c>
      <c r="E114" s="95">
        <f>'10'!F114</f>
        <v>36210</v>
      </c>
      <c r="F114" s="237">
        <v>36599</v>
      </c>
      <c r="G114" s="112">
        <f t="shared" si="9"/>
        <v>389</v>
      </c>
      <c r="H114" s="99">
        <f>G114+'10'!H114</f>
        <v>3439</v>
      </c>
      <c r="I114" s="165"/>
      <c r="J114" s="328">
        <f>H114/DAY(B2)</f>
        <v>312.63636363636363</v>
      </c>
    </row>
    <row r="115" spans="1:18" ht="30.75" customHeight="1" x14ac:dyDescent="0.5">
      <c r="A115" s="863" t="s">
        <v>255</v>
      </c>
      <c r="B115" s="864"/>
      <c r="C115" s="865"/>
      <c r="D115" s="146" t="s">
        <v>183</v>
      </c>
      <c r="E115" s="95">
        <f>'10'!F115</f>
        <v>9202</v>
      </c>
      <c r="F115" s="237">
        <v>9211</v>
      </c>
      <c r="G115" s="112">
        <f t="shared" si="9"/>
        <v>9</v>
      </c>
      <c r="H115" s="99">
        <f>G115+'10'!H115</f>
        <v>116.35000000000036</v>
      </c>
      <c r="I115" s="165"/>
      <c r="J115" s="328">
        <f>H115/DAY(B2)</f>
        <v>10.57727272727276</v>
      </c>
    </row>
    <row r="116" spans="1:18" ht="30.75" customHeight="1" x14ac:dyDescent="0.5">
      <c r="A116" s="870" t="s">
        <v>96</v>
      </c>
      <c r="B116" s="871"/>
      <c r="C116" s="872"/>
      <c r="D116" s="146" t="s">
        <v>183</v>
      </c>
      <c r="E116" s="95">
        <f>'10'!F116</f>
        <v>1551</v>
      </c>
      <c r="F116" s="237">
        <v>1921</v>
      </c>
      <c r="G116" s="112">
        <f t="shared" si="9"/>
        <v>370</v>
      </c>
      <c r="H116" s="99">
        <f>G116+'10'!H116</f>
        <v>1921</v>
      </c>
      <c r="I116" s="165"/>
      <c r="J116" s="328">
        <f>H116/DAY(B2)</f>
        <v>174.63636363636363</v>
      </c>
      <c r="Q116" s="863" t="s">
        <v>311</v>
      </c>
      <c r="R116" s="865"/>
    </row>
    <row r="117" spans="1:18" ht="30.75" customHeight="1" x14ac:dyDescent="0.5">
      <c r="A117" s="870" t="s">
        <v>184</v>
      </c>
      <c r="B117" s="871"/>
      <c r="C117" s="872"/>
      <c r="D117" s="146" t="s">
        <v>183</v>
      </c>
      <c r="E117" s="95">
        <f>'10'!F117</f>
        <v>4377</v>
      </c>
      <c r="F117" s="237">
        <v>4666</v>
      </c>
      <c r="G117" s="112">
        <f t="shared" si="9"/>
        <v>289</v>
      </c>
      <c r="H117" s="99">
        <f>G117+'10'!H117</f>
        <v>1328.0500000000002</v>
      </c>
      <c r="I117" s="165"/>
      <c r="J117" s="328">
        <f>H117/DAY(B2)</f>
        <v>120.7318181818182</v>
      </c>
      <c r="Q117" s="863" t="s">
        <v>312</v>
      </c>
      <c r="R117" s="865"/>
    </row>
    <row r="118" spans="1:18" ht="30.75" customHeight="1" x14ac:dyDescent="0.5">
      <c r="A118" s="862" t="s">
        <v>97</v>
      </c>
      <c r="B118" s="862"/>
      <c r="C118" s="862"/>
      <c r="D118" s="151" t="s">
        <v>183</v>
      </c>
      <c r="E118" s="95">
        <f>'10'!F118</f>
        <v>255945</v>
      </c>
      <c r="F118" s="237">
        <v>256349</v>
      </c>
      <c r="G118" s="112">
        <f t="shared" si="9"/>
        <v>404</v>
      </c>
      <c r="H118" s="99">
        <f>G118+'10'!H118</f>
        <v>3896.6900000000023</v>
      </c>
      <c r="I118" s="165"/>
      <c r="J118" s="328">
        <f>H118/DAY(B2)</f>
        <v>354.24454545454569</v>
      </c>
      <c r="Q118" s="863" t="s">
        <v>311</v>
      </c>
      <c r="R118" s="865"/>
    </row>
    <row r="119" spans="1:18" ht="30.75" customHeight="1" x14ac:dyDescent="0.5">
      <c r="A119" s="862" t="s">
        <v>98</v>
      </c>
      <c r="B119" s="862"/>
      <c r="C119" s="862"/>
      <c r="D119" s="151" t="s">
        <v>183</v>
      </c>
      <c r="E119" s="95">
        <f>'10'!F119</f>
        <v>262266</v>
      </c>
      <c r="F119" s="237">
        <v>262701</v>
      </c>
      <c r="G119" s="112">
        <f t="shared" si="9"/>
        <v>435</v>
      </c>
      <c r="H119" s="99">
        <f>G119+'10'!H119</f>
        <v>4552.4500000000116</v>
      </c>
      <c r="I119" s="165"/>
      <c r="J119" s="328">
        <f>H119/DAY(B2)</f>
        <v>413.85909090909195</v>
      </c>
    </row>
    <row r="120" spans="1:18" ht="30.75" customHeight="1" x14ac:dyDescent="0.5">
      <c r="A120" s="862" t="s">
        <v>99</v>
      </c>
      <c r="B120" s="862"/>
      <c r="C120" s="862"/>
      <c r="D120" s="151" t="s">
        <v>183</v>
      </c>
      <c r="E120" s="95">
        <f>'10'!F120</f>
        <v>47190</v>
      </c>
      <c r="F120" s="237">
        <v>47633</v>
      </c>
      <c r="G120" s="112">
        <f t="shared" si="9"/>
        <v>443</v>
      </c>
      <c r="H120" s="99">
        <f>G120+'10'!H120</f>
        <v>4673.3899999999994</v>
      </c>
      <c r="I120" s="165"/>
      <c r="J120" s="328">
        <f>H120/DAY(B2)</f>
        <v>424.85363636363633</v>
      </c>
    </row>
    <row r="121" spans="1:18" ht="30.75" customHeight="1" x14ac:dyDescent="0.5">
      <c r="A121" s="862" t="s">
        <v>100</v>
      </c>
      <c r="B121" s="862"/>
      <c r="C121" s="862"/>
      <c r="D121" s="151" t="s">
        <v>183</v>
      </c>
      <c r="E121" s="95">
        <f>'10'!F121</f>
        <v>405308</v>
      </c>
      <c r="F121" s="237">
        <v>406029</v>
      </c>
      <c r="G121" s="112">
        <f t="shared" si="9"/>
        <v>721</v>
      </c>
      <c r="H121" s="99">
        <f>G121+'10'!H121</f>
        <v>7994.570000000007</v>
      </c>
      <c r="I121" s="165"/>
      <c r="J121" s="328">
        <f>H121/DAY(B2)</f>
        <v>726.77909090909156</v>
      </c>
    </row>
    <row r="122" spans="1:18" ht="30.75" customHeight="1" x14ac:dyDescent="0.5">
      <c r="A122" s="862" t="s">
        <v>101</v>
      </c>
      <c r="B122" s="862"/>
      <c r="C122" s="862"/>
      <c r="D122" s="151" t="s">
        <v>183</v>
      </c>
      <c r="E122" s="95">
        <f>'10'!F122</f>
        <v>128409</v>
      </c>
      <c r="F122" s="237">
        <v>128621</v>
      </c>
      <c r="G122" s="112">
        <f t="shared" si="9"/>
        <v>212</v>
      </c>
      <c r="H122" s="99">
        <f>G122+'10'!H122</f>
        <v>2434.820000000007</v>
      </c>
      <c r="I122" s="165"/>
      <c r="J122" s="328">
        <f>H122/DAY(B2)</f>
        <v>221.34727272727335</v>
      </c>
    </row>
    <row r="123" spans="1:18" ht="30.75" customHeight="1" x14ac:dyDescent="0.5">
      <c r="A123" s="862" t="s">
        <v>102</v>
      </c>
      <c r="B123" s="862"/>
      <c r="C123" s="862"/>
      <c r="D123" s="151" t="s">
        <v>183</v>
      </c>
      <c r="E123" s="95">
        <f>'10'!F123</f>
        <v>156591</v>
      </c>
      <c r="F123" s="237">
        <v>156841</v>
      </c>
      <c r="G123" s="112">
        <f t="shared" si="9"/>
        <v>250</v>
      </c>
      <c r="H123" s="99">
        <f>G123+'10'!H123</f>
        <v>2794.0499999999884</v>
      </c>
      <c r="I123" s="165"/>
      <c r="J123" s="328">
        <f>H123/DAY(B2)</f>
        <v>254.0045454545444</v>
      </c>
    </row>
    <row r="124" spans="1:18" ht="30.75" customHeight="1" x14ac:dyDescent="0.5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30.75" customHeight="1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4024</v>
      </c>
      <c r="H125" s="156"/>
      <c r="I125" s="327">
        <f>G125-(G39+G53)</f>
        <v>876</v>
      </c>
      <c r="J125" s="327"/>
    </row>
    <row r="126" spans="1:18" ht="30.75" customHeight="1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30.75" customHeight="1" x14ac:dyDescent="0.5">
      <c r="A127" s="852"/>
      <c r="B127" s="852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 x14ac:dyDescent="0.5">
      <c r="A128" s="863" t="s">
        <v>318</v>
      </c>
      <c r="B128" s="864"/>
      <c r="C128" s="865"/>
      <c r="D128" s="151" t="s">
        <v>183</v>
      </c>
      <c r="E128" s="95">
        <f>'10'!F128</f>
        <v>50880</v>
      </c>
      <c r="F128" s="155">
        <v>51208</v>
      </c>
      <c r="G128" s="112">
        <f t="shared" ref="G128:G134" si="10">F128-E128</f>
        <v>328</v>
      </c>
      <c r="H128" s="99">
        <f>G128+'10'!H128</f>
        <v>3462</v>
      </c>
      <c r="I128" s="165"/>
      <c r="J128" s="328">
        <f>H128/DAY(B2)</f>
        <v>314.72727272727275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'10'!F129</f>
        <v>28890</v>
      </c>
      <c r="F129" s="155">
        <v>29201</v>
      </c>
      <c r="G129" s="112">
        <f t="shared" si="10"/>
        <v>311</v>
      </c>
      <c r="H129" s="99">
        <f>G129+'10'!H129</f>
        <v>2290.130000000001</v>
      </c>
      <c r="I129" s="165"/>
      <c r="J129" s="328">
        <f>H129/DAY(B2)</f>
        <v>208.19363636363644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'10'!F130</f>
        <v>41497</v>
      </c>
      <c r="F130" s="155">
        <v>42044</v>
      </c>
      <c r="G130" s="112">
        <f t="shared" si="10"/>
        <v>547</v>
      </c>
      <c r="H130" s="99">
        <f>G130+'10'!H130</f>
        <v>6350</v>
      </c>
      <c r="I130" s="165"/>
      <c r="J130" s="328">
        <f>H130/DAY(B2)</f>
        <v>577.27272727272725</v>
      </c>
      <c r="N130" s="240"/>
      <c r="O130" s="241"/>
    </row>
    <row r="131" spans="1:15" ht="30.75" customHeight="1" x14ac:dyDescent="0.5">
      <c r="A131" s="863" t="s">
        <v>321</v>
      </c>
      <c r="B131" s="864"/>
      <c r="C131" s="865"/>
      <c r="D131" s="151" t="s">
        <v>183</v>
      </c>
      <c r="E131" s="95">
        <f>'10'!F131</f>
        <v>16210</v>
      </c>
      <c r="F131" s="155">
        <v>16348</v>
      </c>
      <c r="G131" s="112">
        <f t="shared" si="10"/>
        <v>138</v>
      </c>
      <c r="H131" s="99">
        <f>G131+'10'!H131</f>
        <v>1040.3199999999997</v>
      </c>
      <c r="I131" s="165"/>
      <c r="J131" s="328">
        <f>H131/DAY(B2)</f>
        <v>94.574545454545429</v>
      </c>
      <c r="N131" s="240"/>
      <c r="O131" s="241"/>
    </row>
    <row r="132" spans="1:15" ht="30.75" customHeight="1" x14ac:dyDescent="0.5">
      <c r="A132" s="863" t="s">
        <v>322</v>
      </c>
      <c r="B132" s="864"/>
      <c r="C132" s="865"/>
      <c r="D132" s="151" t="s">
        <v>183</v>
      </c>
      <c r="E132" s="95">
        <f>'10'!F132</f>
        <v>55427</v>
      </c>
      <c r="F132" s="155">
        <v>55864</v>
      </c>
      <c r="G132" s="112">
        <f t="shared" si="10"/>
        <v>437</v>
      </c>
      <c r="H132" s="99">
        <f>G132+'10'!H132</f>
        <v>4015.6999999999971</v>
      </c>
      <c r="I132" s="165"/>
      <c r="J132" s="328">
        <f>H132/DAY(B2)</f>
        <v>365.06363636363608</v>
      </c>
    </row>
    <row r="133" spans="1:15" ht="30.75" customHeight="1" x14ac:dyDescent="0.5">
      <c r="A133" s="863" t="s">
        <v>362</v>
      </c>
      <c r="B133" s="864"/>
      <c r="C133" s="865"/>
      <c r="D133" s="151" t="s">
        <v>183</v>
      </c>
      <c r="E133" s="95">
        <f>'10'!F133</f>
        <v>111480</v>
      </c>
      <c r="F133" s="155">
        <v>111974</v>
      </c>
      <c r="G133" s="112">
        <f t="shared" si="10"/>
        <v>494</v>
      </c>
      <c r="H133" s="99">
        <f>G133+'10'!H133</f>
        <v>6630.3000000000029</v>
      </c>
      <c r="I133" s="165"/>
      <c r="J133" s="328">
        <f>H133/DAY(B2)</f>
        <v>602.75454545454568</v>
      </c>
    </row>
    <row r="134" spans="1:15" ht="30.75" customHeight="1" x14ac:dyDescent="0.5">
      <c r="A134" s="863" t="s">
        <v>340</v>
      </c>
      <c r="B134" s="864"/>
      <c r="C134" s="865"/>
      <c r="D134" s="151" t="s">
        <v>183</v>
      </c>
      <c r="E134" s="95">
        <f>'10'!F134</f>
        <v>10524</v>
      </c>
      <c r="F134" s="551">
        <v>10682</v>
      </c>
      <c r="G134" s="112">
        <f t="shared" si="10"/>
        <v>158</v>
      </c>
      <c r="H134" s="99">
        <f>G134+'10'!H134</f>
        <v>2080.7700000000004</v>
      </c>
      <c r="I134" s="165"/>
      <c r="J134" s="328">
        <f>H134/DAY(B2)</f>
        <v>189.16090909090914</v>
      </c>
    </row>
    <row r="135" spans="1:15" ht="30.75" customHeight="1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2413</v>
      </c>
      <c r="H135" s="99">
        <f>G135+'10'!H135</f>
        <v>25869.22</v>
      </c>
      <c r="I135" s="327">
        <f>G135-(G35+G49)</f>
        <v>-363</v>
      </c>
      <c r="J135" s="328">
        <f>H135/DAY(B2)</f>
        <v>2351.747272727273</v>
      </c>
    </row>
    <row r="136" spans="1:15" ht="30.75" customHeight="1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30.75" customHeight="1" x14ac:dyDescent="0.5">
      <c r="A137" s="245"/>
      <c r="B137" s="246"/>
      <c r="C137" s="246"/>
      <c r="D137" s="165"/>
      <c r="E137" s="165"/>
      <c r="F137" s="165" t="s">
        <v>358</v>
      </c>
      <c r="G137" s="165"/>
      <c r="H137" s="156"/>
      <c r="I137" s="165"/>
      <c r="J137" s="327"/>
    </row>
    <row r="138" spans="1:15" ht="30.75" customHeight="1" x14ac:dyDescent="0.5">
      <c r="A138" s="862" t="s">
        <v>185</v>
      </c>
      <c r="B138" s="862"/>
      <c r="C138" s="862"/>
      <c r="D138" s="151" t="s">
        <v>183</v>
      </c>
      <c r="E138" s="95">
        <f>'10'!F138</f>
        <v>866962</v>
      </c>
      <c r="F138" s="147">
        <v>867078</v>
      </c>
      <c r="G138" s="112">
        <f t="shared" ref="G138:G152" si="11">F138-E138</f>
        <v>116</v>
      </c>
      <c r="H138" s="99">
        <f>G138+'10'!H138</f>
        <v>905</v>
      </c>
      <c r="I138" s="118"/>
      <c r="J138" s="328">
        <f>H138/DAY(B2)</f>
        <v>82.272727272727266</v>
      </c>
    </row>
    <row r="139" spans="1:15" ht="30.75" customHeight="1" x14ac:dyDescent="0.5">
      <c r="A139" s="862" t="s">
        <v>186</v>
      </c>
      <c r="B139" s="862"/>
      <c r="C139" s="862"/>
      <c r="D139" s="151" t="s">
        <v>183</v>
      </c>
      <c r="E139" s="95">
        <f>'10'!F139</f>
        <v>886634</v>
      </c>
      <c r="F139" s="148">
        <v>886647</v>
      </c>
      <c r="G139" s="112">
        <f t="shared" si="11"/>
        <v>13</v>
      </c>
      <c r="H139" s="99">
        <f>G139+'10'!H139</f>
        <v>74</v>
      </c>
      <c r="I139" s="118"/>
      <c r="J139" s="328">
        <f>H139/DAY(B2)</f>
        <v>6.7272727272727275</v>
      </c>
    </row>
    <row r="140" spans="1:15" ht="30.75" customHeight="1" x14ac:dyDescent="0.5">
      <c r="A140" s="862" t="s">
        <v>187</v>
      </c>
      <c r="B140" s="862"/>
      <c r="C140" s="862"/>
      <c r="D140" s="151" t="s">
        <v>183</v>
      </c>
      <c r="E140" s="95">
        <f>'10'!F140</f>
        <v>88942</v>
      </c>
      <c r="F140" s="149">
        <v>88948</v>
      </c>
      <c r="G140" s="112">
        <f t="shared" si="11"/>
        <v>6</v>
      </c>
      <c r="H140" s="99">
        <f>G140+'10'!H140</f>
        <v>26</v>
      </c>
      <c r="I140" s="118"/>
      <c r="J140" s="328">
        <f>H140/DAY(B2)</f>
        <v>2.3636363636363638</v>
      </c>
    </row>
    <row r="141" spans="1:15" ht="30.75" customHeight="1" x14ac:dyDescent="0.5">
      <c r="A141" s="843" t="s">
        <v>188</v>
      </c>
      <c r="B141" s="843"/>
      <c r="C141" s="843"/>
      <c r="D141" s="151" t="s">
        <v>183</v>
      </c>
      <c r="E141" s="95">
        <f>'10'!F141</f>
        <v>56433</v>
      </c>
      <c r="F141" s="149">
        <v>56623</v>
      </c>
      <c r="G141" s="112">
        <f t="shared" si="11"/>
        <v>190</v>
      </c>
      <c r="H141" s="99">
        <f>G141+'10'!H141</f>
        <v>1937.4199999999983</v>
      </c>
      <c r="I141" s="118"/>
      <c r="J141" s="328">
        <f>H141/DAY(B2)</f>
        <v>176.12909090909076</v>
      </c>
    </row>
    <row r="142" spans="1:15" ht="30.75" customHeight="1" x14ac:dyDescent="0.5">
      <c r="A142" s="843" t="s">
        <v>189</v>
      </c>
      <c r="B142" s="843"/>
      <c r="C142" s="843"/>
      <c r="D142" s="151" t="s">
        <v>183</v>
      </c>
      <c r="E142" s="95">
        <f>'10'!F142</f>
        <v>21974</v>
      </c>
      <c r="F142" s="148">
        <v>22044</v>
      </c>
      <c r="G142" s="112">
        <f t="shared" si="11"/>
        <v>70</v>
      </c>
      <c r="H142" s="99">
        <f>G142+'10'!H142</f>
        <v>759.90000000000146</v>
      </c>
      <c r="I142" s="140"/>
      <c r="J142" s="328">
        <f>H142/DAY(B2)</f>
        <v>69.081818181818321</v>
      </c>
    </row>
    <row r="143" spans="1:15" ht="30.75" customHeight="1" x14ac:dyDescent="0.5">
      <c r="A143" s="862" t="s">
        <v>91</v>
      </c>
      <c r="B143" s="862"/>
      <c r="C143" s="862"/>
      <c r="D143" s="151" t="s">
        <v>183</v>
      </c>
      <c r="E143" s="95">
        <f>'10'!F143</f>
        <v>4114</v>
      </c>
      <c r="F143" s="149">
        <v>4137</v>
      </c>
      <c r="G143" s="112">
        <f t="shared" si="11"/>
        <v>23</v>
      </c>
      <c r="H143" s="99">
        <f>G143+'10'!H143</f>
        <v>301.61000000000013</v>
      </c>
      <c r="I143" s="140"/>
      <c r="J143" s="328">
        <f>H143/DAY(B2)</f>
        <v>27.419090909090922</v>
      </c>
    </row>
    <row r="144" spans="1:15" ht="30.75" customHeight="1" x14ac:dyDescent="0.5">
      <c r="A144" s="843" t="s">
        <v>90</v>
      </c>
      <c r="B144" s="843"/>
      <c r="C144" s="843"/>
      <c r="D144" s="151" t="s">
        <v>183</v>
      </c>
      <c r="E144" s="95">
        <f>'10'!F144</f>
        <v>878602</v>
      </c>
      <c r="F144" s="149">
        <v>878805</v>
      </c>
      <c r="G144" s="112">
        <f t="shared" si="11"/>
        <v>203</v>
      </c>
      <c r="H144" s="99">
        <f>G144+'10'!H144</f>
        <v>2318</v>
      </c>
      <c r="I144" s="140"/>
      <c r="J144" s="328">
        <f>H144/DAY(B2)</f>
        <v>210.72727272727272</v>
      </c>
    </row>
    <row r="145" spans="1:10" ht="30.75" customHeight="1" x14ac:dyDescent="0.5">
      <c r="A145" s="862" t="s">
        <v>190</v>
      </c>
      <c r="B145" s="862"/>
      <c r="C145" s="862"/>
      <c r="D145" s="152" t="s">
        <v>183</v>
      </c>
      <c r="E145" s="95">
        <f>'10'!F145</f>
        <v>5087</v>
      </c>
      <c r="F145" s="149">
        <v>5101</v>
      </c>
      <c r="G145" s="112">
        <f t="shared" si="11"/>
        <v>14</v>
      </c>
      <c r="H145" s="99">
        <f>G145+'10'!H145</f>
        <v>142.15999999999985</v>
      </c>
      <c r="I145" s="140"/>
      <c r="J145" s="328">
        <f>H145/DAY(B2)</f>
        <v>12.92363636363635</v>
      </c>
    </row>
    <row r="146" spans="1:10" ht="30.75" customHeight="1" x14ac:dyDescent="0.5">
      <c r="A146" s="897" t="s">
        <v>191</v>
      </c>
      <c r="B146" s="882"/>
      <c r="C146" s="883"/>
      <c r="D146" s="152" t="s">
        <v>183</v>
      </c>
      <c r="E146" s="95">
        <f>'10'!F146</f>
        <v>741510</v>
      </c>
      <c r="F146" s="148">
        <v>741931</v>
      </c>
      <c r="G146" s="112">
        <f t="shared" si="11"/>
        <v>421</v>
      </c>
      <c r="H146" s="99">
        <f>G146+'10'!H146</f>
        <v>4598</v>
      </c>
      <c r="I146" s="140"/>
      <c r="J146" s="328">
        <f>H146/DAY(B2)</f>
        <v>418</v>
      </c>
    </row>
    <row r="147" spans="1:10" ht="30.75" customHeight="1" x14ac:dyDescent="0.5">
      <c r="A147" s="843" t="s">
        <v>192</v>
      </c>
      <c r="B147" s="843"/>
      <c r="C147" s="843"/>
      <c r="D147" s="152" t="s">
        <v>183</v>
      </c>
      <c r="E147" s="95">
        <f>'10'!F147</f>
        <v>630587</v>
      </c>
      <c r="F147" s="148">
        <v>630999</v>
      </c>
      <c r="G147" s="112">
        <f t="shared" si="11"/>
        <v>412</v>
      </c>
      <c r="H147" s="99">
        <f>G147+'10'!H147</f>
        <v>4386.4799999999814</v>
      </c>
      <c r="I147" s="140"/>
      <c r="J147" s="328">
        <f>H147/DAY(B2)</f>
        <v>398.77090909090742</v>
      </c>
    </row>
    <row r="148" spans="1:10" ht="30.75" customHeight="1" x14ac:dyDescent="0.5">
      <c r="A148" s="844" t="s">
        <v>193</v>
      </c>
      <c r="B148" s="845"/>
      <c r="C148" s="846"/>
      <c r="D148" s="123" t="s">
        <v>130</v>
      </c>
      <c r="E148" s="95">
        <f>'10'!F148</f>
        <v>692358</v>
      </c>
      <c r="F148" s="150">
        <v>692688</v>
      </c>
      <c r="G148" s="112">
        <f t="shared" si="11"/>
        <v>330</v>
      </c>
      <c r="H148" s="99">
        <f>G148+'10'!H148</f>
        <v>3245.0400000000373</v>
      </c>
      <c r="I148" s="124"/>
      <c r="J148" s="328">
        <f>H148/DAY(B2)</f>
        <v>295.00363636363977</v>
      </c>
    </row>
    <row r="149" spans="1:10" ht="30.75" customHeight="1" x14ac:dyDescent="0.5">
      <c r="A149" s="844" t="s">
        <v>336</v>
      </c>
      <c r="B149" s="845"/>
      <c r="C149" s="846"/>
      <c r="D149" s="227" t="s">
        <v>130</v>
      </c>
      <c r="E149" s="95">
        <f>'10'!F149</f>
        <v>30087</v>
      </c>
      <c r="F149" s="146">
        <v>30761</v>
      </c>
      <c r="G149" s="112">
        <f t="shared" si="11"/>
        <v>674</v>
      </c>
      <c r="H149" s="99">
        <f>G149+'10'!H149</f>
        <v>6082.7999999999993</v>
      </c>
      <c r="I149" s="119"/>
      <c r="J149" s="328">
        <f>H149/DAY(B2)</f>
        <v>552.98181818181808</v>
      </c>
    </row>
    <row r="150" spans="1:10" ht="30.75" customHeight="1" x14ac:dyDescent="0.5">
      <c r="A150" s="844" t="s">
        <v>337</v>
      </c>
      <c r="B150" s="845"/>
      <c r="C150" s="846"/>
      <c r="D150" s="117" t="s">
        <v>130</v>
      </c>
      <c r="E150" s="95">
        <f>'10'!F150</f>
        <v>13102</v>
      </c>
      <c r="F150" s="233">
        <v>13320</v>
      </c>
      <c r="G150" s="112">
        <f t="shared" si="11"/>
        <v>218</v>
      </c>
      <c r="H150" s="99">
        <f>G150+'10'!H150</f>
        <v>2469.17</v>
      </c>
      <c r="I150" s="119"/>
      <c r="J150" s="328">
        <f>H150/DAY(B2)</f>
        <v>224.47</v>
      </c>
    </row>
    <row r="151" spans="1:10" ht="30.75" customHeight="1" x14ac:dyDescent="0.5">
      <c r="A151" s="844" t="s">
        <v>338</v>
      </c>
      <c r="B151" s="845"/>
      <c r="C151" s="846"/>
      <c r="D151" s="117" t="s">
        <v>130</v>
      </c>
      <c r="E151" s="95">
        <f>'10'!F151</f>
        <v>87897</v>
      </c>
      <c r="F151" s="233">
        <v>88114</v>
      </c>
      <c r="G151" s="112">
        <f t="shared" si="11"/>
        <v>217</v>
      </c>
      <c r="H151" s="99">
        <f>G151+'10'!H151</f>
        <v>2634</v>
      </c>
      <c r="I151" s="119"/>
      <c r="J151" s="328">
        <f>H151/DAY(B2)</f>
        <v>239.45454545454547</v>
      </c>
    </row>
    <row r="152" spans="1:10" ht="30.75" customHeight="1" x14ac:dyDescent="0.5">
      <c r="A152" s="844" t="s">
        <v>339</v>
      </c>
      <c r="B152" s="845"/>
      <c r="C152" s="846"/>
      <c r="D152" s="117" t="s">
        <v>130</v>
      </c>
      <c r="E152" s="95">
        <f>'10'!F152</f>
        <v>2180</v>
      </c>
      <c r="F152" s="233">
        <v>2241</v>
      </c>
      <c r="G152" s="112">
        <f t="shared" si="11"/>
        <v>61</v>
      </c>
      <c r="H152" s="99">
        <f>G152+'10'!H152</f>
        <v>581</v>
      </c>
      <c r="I152" s="119"/>
      <c r="J152" s="328">
        <f>H152/DAY(B2)</f>
        <v>52.81818181818182</v>
      </c>
    </row>
    <row r="153" spans="1:10" ht="30.75" customHeight="1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2968</v>
      </c>
      <c r="H153" s="363"/>
      <c r="I153" s="119">
        <f>G153-(G38+G52)</f>
        <v>892</v>
      </c>
      <c r="J153" s="366"/>
    </row>
    <row r="154" spans="1:10" ht="30.75" customHeight="1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0.75" customHeight="1" x14ac:dyDescent="0.55000000000000004">
      <c r="A155" s="843" t="s">
        <v>345</v>
      </c>
      <c r="B155" s="843"/>
      <c r="C155" s="843"/>
      <c r="D155" s="117" t="s">
        <v>130</v>
      </c>
      <c r="E155" s="95">
        <f>'10'!F155</f>
        <v>39240</v>
      </c>
      <c r="F155" s="551">
        <v>39939</v>
      </c>
      <c r="G155" s="112">
        <f t="shared" ref="G155:G156" si="12">F155-E155</f>
        <v>699</v>
      </c>
      <c r="H155" s="99">
        <f>G155+'10'!H155</f>
        <v>6994</v>
      </c>
      <c r="I155" s="364"/>
      <c r="J155" s="328">
        <f>H155/DAY(B2)</f>
        <v>635.81818181818187</v>
      </c>
    </row>
    <row r="156" spans="1:10" ht="30.75" customHeight="1" x14ac:dyDescent="0.5">
      <c r="A156" s="843" t="s">
        <v>347</v>
      </c>
      <c r="B156" s="843"/>
      <c r="C156" s="843"/>
      <c r="D156" s="117" t="s">
        <v>130</v>
      </c>
      <c r="E156" s="95">
        <f>'10'!F156</f>
        <v>3245</v>
      </c>
      <c r="F156" s="155">
        <v>3296</v>
      </c>
      <c r="G156" s="112">
        <f t="shared" si="12"/>
        <v>51</v>
      </c>
      <c r="H156" s="99">
        <f>G156+'10'!H156</f>
        <v>508</v>
      </c>
      <c r="I156" s="165"/>
      <c r="J156" s="328">
        <f>H156/DAY(B2)</f>
        <v>46.18181818181818</v>
      </c>
    </row>
    <row r="157" spans="1:10" ht="30.75" customHeight="1" x14ac:dyDescent="0.5">
      <c r="A157" s="844" t="s">
        <v>363</v>
      </c>
      <c r="B157" s="845"/>
      <c r="C157" s="846"/>
      <c r="D157" s="117" t="s">
        <v>130</v>
      </c>
      <c r="E157" s="95"/>
      <c r="F157" s="155"/>
      <c r="G157" s="112"/>
      <c r="H157" s="99"/>
      <c r="I157" s="165"/>
      <c r="J157" s="328"/>
    </row>
    <row r="158" spans="1:10" ht="30.75" customHeight="1" x14ac:dyDescent="0.5">
      <c r="A158" s="844" t="s">
        <v>364</v>
      </c>
      <c r="B158" s="845"/>
      <c r="C158" s="846"/>
      <c r="D158" s="117" t="s">
        <v>130</v>
      </c>
      <c r="E158" s="95"/>
      <c r="F158" s="155"/>
      <c r="G158" s="112"/>
      <c r="H158" s="99"/>
      <c r="I158" s="165"/>
      <c r="J158" s="328"/>
    </row>
    <row r="159" spans="1:10" ht="30.75" customHeight="1" x14ac:dyDescent="0.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0.75" customHeight="1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'10'!F161</f>
        <v>472470</v>
      </c>
      <c r="F161" s="235">
        <v>472490</v>
      </c>
      <c r="G161" s="238">
        <f t="shared" ref="G161:G165" si="13">F161-E161</f>
        <v>20</v>
      </c>
      <c r="H161" s="99">
        <f>G161+'10'!H161</f>
        <v>436.44000000000233</v>
      </c>
      <c r="I161" s="236"/>
      <c r="J161" s="239">
        <f>H161/DAY(B2)</f>
        <v>39.676363636363845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'10'!F162</f>
        <v>88884</v>
      </c>
      <c r="F162" s="235">
        <v>88920</v>
      </c>
      <c r="G162" s="238">
        <f t="shared" si="13"/>
        <v>36</v>
      </c>
      <c r="H162" s="99">
        <f>G162+'10'!H162</f>
        <v>403.60000000000582</v>
      </c>
      <c r="I162" s="236"/>
      <c r="J162" s="239">
        <f>H162/DAY(B2)</f>
        <v>36.690909090909621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'10'!F163</f>
        <v>79662</v>
      </c>
      <c r="F163" s="235">
        <v>79754</v>
      </c>
      <c r="G163" s="238">
        <f t="shared" si="13"/>
        <v>92</v>
      </c>
      <c r="H163" s="99">
        <f>G163+'10'!H163</f>
        <v>533.89999999999418</v>
      </c>
      <c r="I163" s="236"/>
      <c r="J163" s="239">
        <f>H163/DAY(B2)</f>
        <v>48.536363636363106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'10'!F164</f>
        <v>4330</v>
      </c>
      <c r="F164" s="235">
        <v>4330</v>
      </c>
      <c r="G164" s="238">
        <f t="shared" si="13"/>
        <v>0</v>
      </c>
      <c r="H164" s="99">
        <f>G164+'10'!H164</f>
        <v>10</v>
      </c>
      <c r="I164" s="236"/>
      <c r="J164" s="239">
        <f>H164/DAY(B2)</f>
        <v>0.90909090909090906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'10'!F165</f>
        <v>29949</v>
      </c>
      <c r="F165" s="235">
        <v>29958</v>
      </c>
      <c r="G165" s="238">
        <f t="shared" si="13"/>
        <v>9</v>
      </c>
      <c r="H165" s="99">
        <f>G165+'10'!H165</f>
        <v>100.75</v>
      </c>
      <c r="I165" s="236"/>
      <c r="J165" s="239">
        <f>H165/DAY(B2)</f>
        <v>9.1590909090909083</v>
      </c>
    </row>
    <row r="166" spans="1:10" ht="30.75" customHeight="1" x14ac:dyDescent="0.5">
      <c r="A166" s="852"/>
      <c r="B166" s="852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 x14ac:dyDescent="0.5">
      <c r="A167" s="852"/>
      <c r="B167" s="852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 x14ac:dyDescent="0.5">
      <c r="A168" s="852"/>
      <c r="B168" s="852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30.75" customHeight="1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56" t="s">
        <v>209</v>
      </c>
      <c r="B173" s="857"/>
      <c r="C173" s="333"/>
      <c r="D173" s="228" t="s">
        <v>142</v>
      </c>
      <c r="E173" s="95">
        <f>'10'!F173</f>
        <v>8132</v>
      </c>
      <c r="F173" s="551">
        <v>8132</v>
      </c>
      <c r="G173" s="155">
        <f>F173-E173</f>
        <v>0</v>
      </c>
      <c r="H173" s="99">
        <f>G173+'10'!H173</f>
        <v>6</v>
      </c>
      <c r="I173" s="155"/>
      <c r="J173" s="178">
        <f>H173/DAY(B2)</f>
        <v>0.54545454545454541</v>
      </c>
    </row>
    <row r="174" spans="1:10" ht="30.75" customHeight="1" x14ac:dyDescent="0.5">
      <c r="A174" s="856" t="s">
        <v>75</v>
      </c>
      <c r="B174" s="857"/>
      <c r="C174" s="333"/>
      <c r="D174" s="228" t="s">
        <v>142</v>
      </c>
      <c r="E174" s="95">
        <f>'10'!F174</f>
        <v>38749</v>
      </c>
      <c r="F174" s="157">
        <v>38761</v>
      </c>
      <c r="G174" s="155">
        <f t="shared" ref="G174:G175" si="14">F174-E174</f>
        <v>12</v>
      </c>
      <c r="H174" s="99">
        <f>G174+'10'!H174</f>
        <v>146</v>
      </c>
      <c r="I174" s="155"/>
      <c r="J174" s="178">
        <f>H174/DAY(B2)</f>
        <v>13.272727272727273</v>
      </c>
    </row>
    <row r="175" spans="1:10" ht="30.75" customHeight="1" x14ac:dyDescent="0.5">
      <c r="A175" s="856" t="s">
        <v>76</v>
      </c>
      <c r="B175" s="896"/>
      <c r="C175" s="857"/>
      <c r="D175" s="228" t="s">
        <v>142</v>
      </c>
      <c r="E175" s="95">
        <f>'10'!F175</f>
        <v>21919</v>
      </c>
      <c r="F175" s="155">
        <v>21931</v>
      </c>
      <c r="G175" s="155">
        <f t="shared" si="14"/>
        <v>12</v>
      </c>
      <c r="H175" s="99">
        <f>G175+'10'!H175</f>
        <v>118</v>
      </c>
      <c r="I175" s="155"/>
      <c r="J175" s="178">
        <f>H175/DAY(B2)</f>
        <v>10.727272727272727</v>
      </c>
    </row>
    <row r="176" spans="1:10" ht="30.75" customHeight="1" x14ac:dyDescent="0.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24</v>
      </c>
      <c r="H176" s="99">
        <f>G176+'10'!H176</f>
        <v>270</v>
      </c>
      <c r="I176" s="155"/>
      <c r="J176" s="178">
        <f>H176/DAY(B2)</f>
        <v>24.545454545454547</v>
      </c>
    </row>
    <row r="177" spans="1:10" ht="30.75" customHeight="1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 x14ac:dyDescent="0.5">
      <c r="A178" s="856" t="s">
        <v>210</v>
      </c>
      <c r="B178" s="857"/>
      <c r="C178" s="333"/>
      <c r="D178" s="228" t="s">
        <v>142</v>
      </c>
      <c r="E178" s="95">
        <f>'10'!F178</f>
        <v>81848</v>
      </c>
      <c r="F178" s="155">
        <v>81878</v>
      </c>
      <c r="G178" s="155">
        <f>F178-E178</f>
        <v>30</v>
      </c>
      <c r="H178" s="99">
        <f>G178+'10'!H178</f>
        <v>563</v>
      </c>
      <c r="I178" s="155"/>
      <c r="J178" s="178">
        <f>H178/DAY(B2)</f>
        <v>51.18181818181818</v>
      </c>
    </row>
    <row r="179" spans="1:10" ht="30.75" customHeight="1" x14ac:dyDescent="0.5">
      <c r="A179" s="856" t="s">
        <v>211</v>
      </c>
      <c r="B179" s="857"/>
      <c r="C179" s="333"/>
      <c r="D179" s="228" t="s">
        <v>142</v>
      </c>
      <c r="E179" s="95">
        <f>'10'!F179</f>
        <v>35133</v>
      </c>
      <c r="F179" s="155">
        <v>35157</v>
      </c>
      <c r="G179" s="155">
        <f t="shared" ref="G179:G180" si="15">F179-E179</f>
        <v>24</v>
      </c>
      <c r="H179" s="99">
        <f>G179+'10'!H179</f>
        <v>354</v>
      </c>
      <c r="I179" s="155"/>
      <c r="J179" s="178">
        <f>H179/DAY(B2)</f>
        <v>32.18181818181818</v>
      </c>
    </row>
    <row r="180" spans="1:10" ht="30.75" customHeight="1" x14ac:dyDescent="0.5">
      <c r="A180" s="856" t="s">
        <v>212</v>
      </c>
      <c r="B180" s="857"/>
      <c r="C180" s="333"/>
      <c r="D180" s="228" t="s">
        <v>142</v>
      </c>
      <c r="E180" s="95">
        <f>'10'!F180</f>
        <v>5770</v>
      </c>
      <c r="F180" s="155">
        <v>5772</v>
      </c>
      <c r="G180" s="155">
        <f t="shared" si="15"/>
        <v>2</v>
      </c>
      <c r="H180" s="99">
        <f>G180+'10'!H180</f>
        <v>70</v>
      </c>
      <c r="I180" s="155"/>
      <c r="J180" s="178">
        <f>H180/DAY(B2)</f>
        <v>6.3636363636363633</v>
      </c>
    </row>
    <row r="181" spans="1:10" ht="30.75" customHeight="1" x14ac:dyDescent="0.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56</v>
      </c>
      <c r="H181" s="99">
        <f>G181+'10'!H181</f>
        <v>987</v>
      </c>
      <c r="I181" s="155"/>
      <c r="J181" s="178">
        <f>H181/DAY(B2)</f>
        <v>89.727272727272734</v>
      </c>
    </row>
    <row r="182" spans="1:10" ht="30.75" customHeight="1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 x14ac:dyDescent="0.5">
      <c r="A183" s="856" t="s">
        <v>214</v>
      </c>
      <c r="B183" s="857"/>
      <c r="C183" s="334"/>
      <c r="D183" s="228" t="s">
        <v>142</v>
      </c>
      <c r="E183" s="95">
        <f>'10'!F183</f>
        <v>15484</v>
      </c>
      <c r="F183" s="157">
        <v>15521</v>
      </c>
      <c r="G183" s="157">
        <f>F183-E183</f>
        <v>37</v>
      </c>
      <c r="H183" s="99">
        <f>G183+'10'!H183</f>
        <v>176</v>
      </c>
      <c r="I183" s="155"/>
      <c r="J183" s="178">
        <f>H183/DAY(B2)</f>
        <v>16</v>
      </c>
    </row>
    <row r="184" spans="1:10" ht="30.75" customHeight="1" x14ac:dyDescent="0.5">
      <c r="A184" s="856" t="s">
        <v>215</v>
      </c>
      <c r="B184" s="857"/>
      <c r="C184" s="334"/>
      <c r="D184" s="228" t="s">
        <v>142</v>
      </c>
      <c r="E184" s="95">
        <f>'10'!F184</f>
        <v>10651</v>
      </c>
      <c r="F184" s="157">
        <v>10660</v>
      </c>
      <c r="G184" s="157">
        <f t="shared" ref="G184:G185" si="16">F184-E184</f>
        <v>9</v>
      </c>
      <c r="H184" s="99">
        <f>G184+'10'!H184</f>
        <v>142</v>
      </c>
      <c r="I184" s="155"/>
      <c r="J184" s="178">
        <f>H184/DAY(B2)</f>
        <v>12.909090909090908</v>
      </c>
    </row>
    <row r="185" spans="1:10" ht="30.75" customHeight="1" x14ac:dyDescent="0.5">
      <c r="A185" s="856" t="s">
        <v>216</v>
      </c>
      <c r="B185" s="857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46</v>
      </c>
      <c r="H186" s="99">
        <f>G186+'10'!H186</f>
        <v>318</v>
      </c>
      <c r="I186" s="157"/>
      <c r="J186" s="178">
        <f>H186/DAY(B2)</f>
        <v>28.90909090909091</v>
      </c>
    </row>
    <row r="187" spans="1:10" ht="30.75" customHeight="1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237</v>
      </c>
      <c r="H187" s="99">
        <f>G187+'10'!H187</f>
        <v>1967</v>
      </c>
      <c r="I187" s="158"/>
      <c r="J187" s="179">
        <f>H187/DAY(B2)</f>
        <v>178.81818181818181</v>
      </c>
    </row>
    <row r="188" spans="1:10" ht="30.75" customHeight="1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244</v>
      </c>
      <c r="H188" s="99">
        <f>G188+'10'!H188</f>
        <v>1979</v>
      </c>
      <c r="I188" s="158"/>
      <c r="J188" s="179">
        <f>H188/DAY(B2)</f>
        <v>179.90909090909091</v>
      </c>
    </row>
    <row r="189" spans="1:10" ht="30.75" customHeight="1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56</v>
      </c>
      <c r="H189" s="99">
        <f>G189+'10'!H189</f>
        <v>987</v>
      </c>
      <c r="I189" s="158"/>
      <c r="J189" s="179">
        <f>H189/DAY(B2)</f>
        <v>89.727272727272734</v>
      </c>
    </row>
    <row r="190" spans="1:10" ht="30.75" customHeight="1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154" zoomScale="50" zoomScaleNormal="75" zoomScaleSheetLayoutView="50" workbookViewId="0">
      <selection activeCell="F157" sqref="F157"/>
    </sheetView>
  </sheetViews>
  <sheetFormatPr defaultColWidth="22.33203125" defaultRowHeight="32.2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32.25" customHeight="1" x14ac:dyDescent="0.5">
      <c r="A2" s="191" t="s">
        <v>303</v>
      </c>
      <c r="B2" s="262">
        <v>44604</v>
      </c>
      <c r="C2" s="348" t="s">
        <v>67</v>
      </c>
      <c r="D2" s="218">
        <v>0.73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 x14ac:dyDescent="0.5">
      <c r="A3" s="189"/>
      <c r="B3" s="221"/>
      <c r="C3" s="348" t="s">
        <v>118</v>
      </c>
      <c r="D3" s="219">
        <v>23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32.25" customHeight="1" x14ac:dyDescent="0.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 x14ac:dyDescent="0.45">
      <c r="A7" s="194" t="s">
        <v>129</v>
      </c>
      <c r="B7" s="195"/>
      <c r="C7" s="195"/>
      <c r="D7" s="151" t="s">
        <v>130</v>
      </c>
      <c r="E7" s="95">
        <f>'11'!F7</f>
        <v>866845</v>
      </c>
      <c r="F7" s="95">
        <v>889068</v>
      </c>
      <c r="G7" s="112">
        <f>F7-E7</f>
        <v>22223</v>
      </c>
      <c r="H7" s="99">
        <f>G7+'11'!H7</f>
        <v>237887.77000000002</v>
      </c>
      <c r="I7" s="113">
        <f>'1'!I7</f>
        <v>12000</v>
      </c>
      <c r="J7" s="175">
        <f>H7/DAY(B2)</f>
        <v>19823.980833333335</v>
      </c>
      <c r="K7" s="172">
        <v>1375467</v>
      </c>
      <c r="L7" s="66"/>
      <c r="N7" s="87"/>
      <c r="O7" s="71"/>
    </row>
    <row r="8" spans="1:15" ht="32.25" customHeight="1" thickBot="1" x14ac:dyDescent="0.45">
      <c r="A8" s="196" t="s">
        <v>131</v>
      </c>
      <c r="B8" s="197"/>
      <c r="C8" s="198"/>
      <c r="D8" s="224" t="s">
        <v>24</v>
      </c>
      <c r="E8" s="95">
        <f>'11'!F8</f>
        <v>925914</v>
      </c>
      <c r="F8" s="95">
        <v>948253</v>
      </c>
      <c r="G8" s="115">
        <f>F8-E8</f>
        <v>22339</v>
      </c>
      <c r="H8" s="99">
        <f>G8+'11'!H8</f>
        <v>239704.84999999998</v>
      </c>
      <c r="I8" s="116"/>
      <c r="J8" s="175">
        <f>H8/DAY(B2)</f>
        <v>19975.404166666664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 x14ac:dyDescent="0.4">
      <c r="A9" s="199" t="s">
        <v>132</v>
      </c>
      <c r="B9" s="200"/>
      <c r="C9" s="200"/>
      <c r="D9" s="151" t="s">
        <v>130</v>
      </c>
      <c r="E9" s="95">
        <f>'11'!F9</f>
        <v>442898</v>
      </c>
      <c r="F9" s="598">
        <v>461289</v>
      </c>
      <c r="G9" s="112">
        <f>F9-E9</f>
        <v>18391</v>
      </c>
      <c r="H9" s="99">
        <f>G9+'11'!H9</f>
        <v>179035.15000000002</v>
      </c>
      <c r="I9" s="124">
        <f>I7-J7</f>
        <v>-7823.9808333333349</v>
      </c>
      <c r="J9" s="175">
        <f>H9/DAY(B2)</f>
        <v>14919.595833333335</v>
      </c>
      <c r="K9" s="79">
        <f>K8-100</f>
        <v>1715817</v>
      </c>
      <c r="L9" s="66"/>
      <c r="N9" s="87"/>
      <c r="O9" s="71"/>
    </row>
    <row r="10" spans="1:15" ht="32.25" customHeight="1" x14ac:dyDescent="0.4">
      <c r="A10" s="194" t="s">
        <v>133</v>
      </c>
      <c r="B10" s="195"/>
      <c r="C10" s="195"/>
      <c r="D10" s="151" t="s">
        <v>130</v>
      </c>
      <c r="E10" s="95">
        <f>'11'!F10</f>
        <v>154225</v>
      </c>
      <c r="F10" s="353">
        <v>157461</v>
      </c>
      <c r="G10" s="112">
        <f t="shared" ref="G10:G12" si="0">F10-E10</f>
        <v>3236</v>
      </c>
      <c r="H10" s="99">
        <f>G10+'11'!H10</f>
        <v>52202.03</v>
      </c>
      <c r="I10" s="282"/>
      <c r="J10" s="175">
        <f>H10/DAY(B2)</f>
        <v>4350.1691666666666</v>
      </c>
      <c r="K10" s="79"/>
      <c r="L10" s="66"/>
      <c r="N10" s="87"/>
      <c r="O10" s="71"/>
    </row>
    <row r="11" spans="1:15" ht="32.25" customHeight="1" x14ac:dyDescent="0.4">
      <c r="A11" s="194" t="s">
        <v>134</v>
      </c>
      <c r="B11" s="195"/>
      <c r="C11" s="195"/>
      <c r="D11" s="151" t="s">
        <v>130</v>
      </c>
      <c r="E11" s="95">
        <f>'11'!F11</f>
        <v>37170</v>
      </c>
      <c r="F11" s="95">
        <v>37170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 x14ac:dyDescent="0.4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21627</v>
      </c>
      <c r="H13" s="99">
        <f>G13+'11'!H13</f>
        <v>214482.75</v>
      </c>
      <c r="I13" s="120">
        <f>G7-G13</f>
        <v>596</v>
      </c>
      <c r="J13" s="175">
        <f>H13/DAY(B2)</f>
        <v>17873.5625</v>
      </c>
      <c r="K13" s="79"/>
      <c r="L13" s="66"/>
      <c r="N13" s="87"/>
      <c r="O13" s="71"/>
    </row>
    <row r="14" spans="1:15" ht="32.25" customHeight="1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 x14ac:dyDescent="0.5">
      <c r="A15" s="345" t="s">
        <v>138</v>
      </c>
      <c r="B15" s="205"/>
      <c r="C15" s="205"/>
      <c r="D15" s="151" t="s">
        <v>139</v>
      </c>
      <c r="E15" s="95">
        <f>'11'!F15</f>
        <v>1918069</v>
      </c>
      <c r="F15" s="123">
        <v>1919362</v>
      </c>
      <c r="G15" s="112">
        <f>(F15-E15)</f>
        <v>1293</v>
      </c>
      <c r="H15" s="99">
        <f>G15+'11'!H15</f>
        <v>12725.233000000007</v>
      </c>
      <c r="I15" s="113">
        <f>'1'!I15</f>
        <v>800</v>
      </c>
      <c r="J15" s="175">
        <f>H15/DAY(B2)</f>
        <v>1060.436083333334</v>
      </c>
      <c r="K15" s="79"/>
      <c r="L15" s="66"/>
      <c r="N15" s="87"/>
      <c r="O15" s="71"/>
    </row>
    <row r="16" spans="1:15" ht="32.2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-260.43608333333395</v>
      </c>
      <c r="J16" s="176"/>
      <c r="K16" s="79"/>
      <c r="L16" s="66"/>
      <c r="N16" s="87"/>
      <c r="O16" s="71"/>
    </row>
    <row r="17" spans="1:15" ht="32.25" customHeight="1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 x14ac:dyDescent="0.5">
      <c r="A18" s="884" t="s">
        <v>141</v>
      </c>
      <c r="B18" s="885"/>
      <c r="C18" s="886"/>
      <c r="D18" s="151" t="s">
        <v>142</v>
      </c>
      <c r="E18" s="95">
        <f>'11'!F18</f>
        <v>26</v>
      </c>
      <c r="F18" s="122">
        <v>28</v>
      </c>
      <c r="G18" s="119">
        <f>F18*10</f>
        <v>280</v>
      </c>
      <c r="H18" s="99">
        <f>G18+'11'!H18</f>
        <v>2550</v>
      </c>
      <c r="I18" s="113">
        <f>'1'!I18</f>
        <v>65</v>
      </c>
      <c r="J18" s="175">
        <f>H18/DAY(B2)</f>
        <v>212.5</v>
      </c>
      <c r="K18" s="79"/>
      <c r="L18" s="66"/>
      <c r="N18" s="87"/>
      <c r="O18" s="71"/>
    </row>
    <row r="19" spans="1:15" ht="32.25" customHeight="1" x14ac:dyDescent="0.5">
      <c r="A19" s="884" t="s">
        <v>69</v>
      </c>
      <c r="B19" s="885"/>
      <c r="C19" s="886"/>
      <c r="D19" s="151" t="s">
        <v>142</v>
      </c>
      <c r="E19" s="95">
        <f>'11'!F19</f>
        <v>154465</v>
      </c>
      <c r="F19" s="122">
        <v>154524</v>
      </c>
      <c r="G19" s="112">
        <f t="shared" ref="G19" si="1">F19-E19</f>
        <v>59</v>
      </c>
      <c r="H19" s="99">
        <f>G19+'11'!H19</f>
        <v>633</v>
      </c>
      <c r="I19" s="335"/>
      <c r="J19" s="175">
        <f>H19/DAY(B2)</f>
        <v>52.75</v>
      </c>
      <c r="K19" s="79"/>
      <c r="L19" s="66"/>
      <c r="N19" s="87"/>
      <c r="O19" s="71"/>
    </row>
    <row r="20" spans="1:15" ht="32.2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339</v>
      </c>
      <c r="H20" s="99">
        <f>G20+'11'!H20</f>
        <v>3183</v>
      </c>
      <c r="I20" s="336">
        <f>I18-J20</f>
        <v>-200.25</v>
      </c>
      <c r="J20" s="175">
        <f>H20/DAY(B2)</f>
        <v>265.25</v>
      </c>
      <c r="K20" s="79"/>
      <c r="L20" s="66"/>
      <c r="N20" s="87"/>
      <c r="O20" s="71"/>
    </row>
    <row r="21" spans="1:15" ht="32.25" customHeight="1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 x14ac:dyDescent="0.5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 x14ac:dyDescent="0.5">
      <c r="A23" s="345" t="s">
        <v>147</v>
      </c>
      <c r="B23" s="205"/>
      <c r="C23" s="205"/>
      <c r="D23" s="151" t="s">
        <v>146</v>
      </c>
      <c r="E23" s="95">
        <f>'11'!F23</f>
        <v>1500</v>
      </c>
      <c r="F23" s="122">
        <v>1500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 x14ac:dyDescent="0.4">
      <c r="A24" s="206" t="s">
        <v>148</v>
      </c>
      <c r="B24" s="207"/>
      <c r="C24" s="207"/>
      <c r="D24" s="146" t="s">
        <v>146</v>
      </c>
      <c r="E24" s="95">
        <f>'11'!F24</f>
        <v>4470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 x14ac:dyDescent="0.5">
      <c r="A27" s="208" t="s">
        <v>5</v>
      </c>
      <c r="B27" s="209"/>
      <c r="C27" s="210"/>
      <c r="D27" s="226" t="s">
        <v>24</v>
      </c>
      <c r="E27" s="135">
        <f>G8</f>
        <v>22339</v>
      </c>
      <c r="F27" s="136">
        <v>9</v>
      </c>
      <c r="G27" s="137">
        <f>E27*F27</f>
        <v>201051</v>
      </c>
      <c r="H27" s="99">
        <f>G27+'11'!H27</f>
        <v>2157343.65</v>
      </c>
      <c r="I27" s="138"/>
      <c r="J27" s="175">
        <f>H27/DAY(B2)</f>
        <v>179778.63749999998</v>
      </c>
      <c r="K27" s="63"/>
      <c r="L27" s="89"/>
      <c r="N27" s="87"/>
      <c r="O27" s="71"/>
    </row>
    <row r="28" spans="1:15" s="88" customFormat="1" ht="32.25" customHeight="1" x14ac:dyDescent="0.5">
      <c r="A28" s="208" t="s">
        <v>152</v>
      </c>
      <c r="B28" s="209"/>
      <c r="C28" s="210"/>
      <c r="D28" s="226" t="s">
        <v>153</v>
      </c>
      <c r="E28" s="139">
        <f>G15</f>
        <v>1293</v>
      </c>
      <c r="F28" s="136">
        <v>52</v>
      </c>
      <c r="G28" s="137">
        <f>E28*F28</f>
        <v>67236</v>
      </c>
      <c r="H28" s="99">
        <f>G28+'11'!H28</f>
        <v>661712.11600000039</v>
      </c>
      <c r="I28" s="140"/>
      <c r="J28" s="175">
        <f>H28/DAY(B2)</f>
        <v>55142.676333333366</v>
      </c>
      <c r="K28" s="63"/>
      <c r="L28" s="89"/>
      <c r="N28" s="87"/>
      <c r="O28" s="71"/>
    </row>
    <row r="29" spans="1:15" s="88" customFormat="1" ht="32.2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G30+'11'!H30</f>
        <v>92418</v>
      </c>
      <c r="I30" s="140"/>
      <c r="J30" s="175">
        <f>H30/DAY(B2)</f>
        <v>7701.5</v>
      </c>
      <c r="K30" s="63"/>
      <c r="L30" s="89"/>
      <c r="N30" s="87"/>
      <c r="O30" s="71"/>
    </row>
    <row r="31" spans="1:15" s="88" customFormat="1" ht="32.25" customHeight="1" x14ac:dyDescent="0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137">
        <f>E31*F31</f>
        <v>22400</v>
      </c>
      <c r="H31" s="99">
        <f>G31+'11'!H31</f>
        <v>204000</v>
      </c>
      <c r="I31" s="140"/>
      <c r="J31" s="175">
        <f>H31/DAY(B2)</f>
        <v>17000</v>
      </c>
      <c r="K31" s="63"/>
      <c r="L31" s="89"/>
      <c r="N31" s="87"/>
      <c r="O31" s="71"/>
    </row>
    <row r="32" spans="1:15" s="88" customFormat="1" ht="32.2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299301</v>
      </c>
      <c r="H32" s="99">
        <f>G32+'11'!H32</f>
        <v>3115473.7660000003</v>
      </c>
      <c r="I32" s="144"/>
      <c r="J32" s="175">
        <f>H32/DAY(B2)</f>
        <v>259622.81383333335</v>
      </c>
      <c r="K32" s="63"/>
      <c r="L32" s="89"/>
      <c r="N32" s="87"/>
      <c r="O32" s="71"/>
    </row>
    <row r="33" spans="1:15" ht="32.2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 x14ac:dyDescent="0.4">
      <c r="A35" s="194" t="s">
        <v>161</v>
      </c>
      <c r="B35" s="195"/>
      <c r="C35" s="195"/>
      <c r="D35" s="151" t="s">
        <v>130</v>
      </c>
      <c r="E35" s="95">
        <f>'11'!F35</f>
        <v>48436</v>
      </c>
      <c r="F35" s="145">
        <v>50061</v>
      </c>
      <c r="G35" s="112">
        <f t="shared" ref="G35:G46" si="3">F35-E35</f>
        <v>1625</v>
      </c>
      <c r="H35" s="99">
        <f>G35+'11'!H35</f>
        <v>18056.02</v>
      </c>
      <c r="I35" s="95"/>
      <c r="J35" s="175">
        <f>H35/DAY(B2)</f>
        <v>1504.6683333333333</v>
      </c>
      <c r="K35" s="79"/>
      <c r="L35" s="66"/>
      <c r="N35" s="87"/>
      <c r="O35" s="71"/>
    </row>
    <row r="36" spans="1:15" ht="32.25" customHeight="1" x14ac:dyDescent="0.4">
      <c r="A36" s="194" t="s">
        <v>162</v>
      </c>
      <c r="B36" s="195"/>
      <c r="C36" s="195"/>
      <c r="D36" s="151" t="s">
        <v>130</v>
      </c>
      <c r="E36" s="95">
        <f>'11'!F36</f>
        <v>53614</v>
      </c>
      <c r="F36" s="145">
        <v>54808</v>
      </c>
      <c r="G36" s="112">
        <f t="shared" si="3"/>
        <v>1194</v>
      </c>
      <c r="H36" s="99">
        <f>G36+'11'!H36</f>
        <v>11349.260000000002</v>
      </c>
      <c r="I36" s="95"/>
      <c r="J36" s="175">
        <f>H36/DAY(B2)</f>
        <v>945.77166666666687</v>
      </c>
      <c r="K36" s="79"/>
      <c r="L36" s="66"/>
      <c r="N36" s="87"/>
      <c r="O36" s="344"/>
    </row>
    <row r="37" spans="1:15" ht="32.25" customHeight="1" x14ac:dyDescent="0.4">
      <c r="A37" s="194" t="s">
        <v>163</v>
      </c>
      <c r="B37" s="195"/>
      <c r="C37" s="195"/>
      <c r="D37" s="151" t="s">
        <v>130</v>
      </c>
      <c r="E37" s="95">
        <f>'11'!F37</f>
        <v>53259</v>
      </c>
      <c r="F37" s="376">
        <v>55042</v>
      </c>
      <c r="G37" s="112">
        <f t="shared" si="3"/>
        <v>1783</v>
      </c>
      <c r="H37" s="99">
        <f>G37+'11'!H37</f>
        <v>19616.910000000003</v>
      </c>
      <c r="I37" s="95"/>
      <c r="J37" s="175">
        <f>H37/DAY(B2)</f>
        <v>1634.7425000000003</v>
      </c>
      <c r="K37" s="79"/>
      <c r="L37" s="66"/>
      <c r="N37" s="87"/>
      <c r="O37" s="234"/>
    </row>
    <row r="38" spans="1:15" ht="32.25" customHeight="1" x14ac:dyDescent="0.4">
      <c r="A38" s="194" t="s">
        <v>164</v>
      </c>
      <c r="B38" s="195"/>
      <c r="C38" s="195"/>
      <c r="D38" s="151" t="s">
        <v>130</v>
      </c>
      <c r="E38" s="95">
        <f>'11'!F38</f>
        <v>59023</v>
      </c>
      <c r="F38" s="108">
        <v>61185</v>
      </c>
      <c r="G38" s="112">
        <f t="shared" si="3"/>
        <v>2162</v>
      </c>
      <c r="H38" s="99">
        <f>G38+'11'!H38</f>
        <v>22808.57</v>
      </c>
      <c r="I38" s="95"/>
      <c r="J38" s="175">
        <f>H38/DAY(B2)</f>
        <v>1900.7141666666666</v>
      </c>
      <c r="K38" s="79"/>
      <c r="L38" s="66"/>
      <c r="N38" s="87"/>
      <c r="O38" s="71"/>
    </row>
    <row r="39" spans="1:15" ht="32.25" customHeight="1" x14ac:dyDescent="0.4">
      <c r="A39" s="194" t="s">
        <v>165</v>
      </c>
      <c r="B39" s="195"/>
      <c r="C39" s="195"/>
      <c r="D39" s="151" t="s">
        <v>130</v>
      </c>
      <c r="E39" s="95">
        <f>'11'!F39</f>
        <v>90428</v>
      </c>
      <c r="F39" s="145">
        <v>93673</v>
      </c>
      <c r="G39" s="112">
        <f t="shared" si="3"/>
        <v>3245</v>
      </c>
      <c r="H39" s="99">
        <f>G39+'11'!H39</f>
        <v>34499.71</v>
      </c>
      <c r="I39" s="95"/>
      <c r="J39" s="175">
        <f>H39/DAY(B2)</f>
        <v>2874.9758333333334</v>
      </c>
      <c r="K39" s="79"/>
      <c r="L39" s="66"/>
      <c r="N39" s="87"/>
      <c r="O39" s="71"/>
    </row>
    <row r="40" spans="1:15" ht="32.25" customHeight="1" x14ac:dyDescent="0.4">
      <c r="A40" s="215" t="s">
        <v>166</v>
      </c>
      <c r="B40" s="216"/>
      <c r="C40" s="216"/>
      <c r="D40" s="151" t="s">
        <v>130</v>
      </c>
      <c r="E40" s="95">
        <f>'11'!F40</f>
        <v>25009</v>
      </c>
      <c r="F40" s="145">
        <v>25514</v>
      </c>
      <c r="G40" s="112">
        <f t="shared" si="3"/>
        <v>505</v>
      </c>
      <c r="H40" s="99">
        <f>G40+'11'!H40</f>
        <v>3397.0099999999975</v>
      </c>
      <c r="I40" s="95"/>
      <c r="J40" s="175">
        <f>H40/DAY(B2)</f>
        <v>283.08416666666648</v>
      </c>
      <c r="K40" s="80"/>
      <c r="L40" s="66"/>
      <c r="N40" s="87"/>
      <c r="O40" s="71"/>
    </row>
    <row r="41" spans="1:15" ht="32.25" customHeight="1" x14ac:dyDescent="0.4">
      <c r="A41" s="194" t="s">
        <v>167</v>
      </c>
      <c r="B41" s="195"/>
      <c r="C41" s="195"/>
      <c r="D41" s="151" t="s">
        <v>130</v>
      </c>
      <c r="E41" s="95">
        <f>'11'!F41</f>
        <v>63</v>
      </c>
      <c r="F41" s="145">
        <v>63</v>
      </c>
      <c r="G41" s="112">
        <f t="shared" si="3"/>
        <v>0</v>
      </c>
      <c r="H41" s="99">
        <f>G41+'11'!H41</f>
        <v>0.27000000000000313</v>
      </c>
      <c r="I41" s="95"/>
      <c r="J41" s="175">
        <f>H41/DAY(B2)</f>
        <v>2.2500000000000259E-2</v>
      </c>
      <c r="K41" s="79"/>
      <c r="L41" s="66"/>
      <c r="N41" s="87"/>
      <c r="O41" s="71"/>
    </row>
    <row r="42" spans="1:15" ht="32.25" customHeight="1" x14ac:dyDescent="0.4">
      <c r="A42" s="194" t="s">
        <v>168</v>
      </c>
      <c r="B42" s="195"/>
      <c r="C42" s="195"/>
      <c r="D42" s="151" t="s">
        <v>130</v>
      </c>
      <c r="E42" s="95">
        <f>'11'!F42</f>
        <v>126339</v>
      </c>
      <c r="F42" s="145">
        <v>131048</v>
      </c>
      <c r="G42" s="112">
        <f t="shared" si="3"/>
        <v>4709</v>
      </c>
      <c r="H42" s="99">
        <f>G42+'11'!H42</f>
        <v>30918.259999999995</v>
      </c>
      <c r="I42" s="95"/>
      <c r="J42" s="175">
        <f>H42/DAY(B2)</f>
        <v>2576.5216666666661</v>
      </c>
      <c r="K42" s="79"/>
      <c r="L42" s="66"/>
      <c r="N42" s="87"/>
      <c r="O42" s="71"/>
    </row>
    <row r="43" spans="1:15" ht="32.25" customHeight="1" x14ac:dyDescent="0.4">
      <c r="A43" s="194" t="s">
        <v>169</v>
      </c>
      <c r="B43" s="195"/>
      <c r="C43" s="195"/>
      <c r="D43" s="151" t="s">
        <v>130</v>
      </c>
      <c r="E43" s="376">
        <v>138387</v>
      </c>
      <c r="F43" s="376">
        <v>140613</v>
      </c>
      <c r="G43" s="112">
        <f t="shared" si="3"/>
        <v>2226</v>
      </c>
      <c r="H43" s="99">
        <f>G43+'11'!H43</f>
        <v>25761.399999999994</v>
      </c>
      <c r="I43" s="95"/>
      <c r="J43" s="175">
        <f>H43/DAY(B2)</f>
        <v>2146.7833333333328</v>
      </c>
      <c r="K43" s="79"/>
      <c r="L43" s="66"/>
      <c r="N43" s="87"/>
      <c r="O43" s="71"/>
    </row>
    <row r="44" spans="1:15" ht="32.25" customHeight="1" x14ac:dyDescent="0.4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 x14ac:dyDescent="0.4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 x14ac:dyDescent="0.4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17449</v>
      </c>
      <c r="H47" s="99">
        <f>G47+'11'!H47</f>
        <v>166407.41</v>
      </c>
      <c r="I47" s="95"/>
      <c r="J47" s="175">
        <f>H47/DAY(B2)</f>
        <v>13867.284166666666</v>
      </c>
      <c r="K47" s="79"/>
      <c r="L47" s="66"/>
      <c r="N47" s="87"/>
      <c r="O47" s="71"/>
    </row>
    <row r="48" spans="1:15" ht="32.2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 x14ac:dyDescent="0.4">
      <c r="A49" s="194" t="s">
        <v>161</v>
      </c>
      <c r="B49" s="217"/>
      <c r="C49" s="217"/>
      <c r="D49" s="151" t="s">
        <v>130</v>
      </c>
      <c r="E49" s="95">
        <f>'11'!F49</f>
        <v>38922</v>
      </c>
      <c r="F49" s="145">
        <v>40496</v>
      </c>
      <c r="G49" s="112">
        <f t="shared" ref="G49:G58" si="4">F49-E49</f>
        <v>1574</v>
      </c>
      <c r="H49" s="99">
        <f>G49+'11'!H49</f>
        <v>15499.810000000001</v>
      </c>
      <c r="I49" s="95"/>
      <c r="J49" s="175">
        <f>H49/DAY(B2)</f>
        <v>1291.6508333333334</v>
      </c>
      <c r="K49" s="79"/>
      <c r="L49" s="66"/>
      <c r="N49" s="87"/>
      <c r="O49" s="71"/>
    </row>
    <row r="50" spans="1:15" ht="32.25" customHeight="1" x14ac:dyDescent="0.4">
      <c r="A50" s="194" t="s">
        <v>175</v>
      </c>
      <c r="B50" s="217"/>
      <c r="C50" s="217"/>
      <c r="D50" s="151" t="s">
        <v>130</v>
      </c>
      <c r="E50" s="145">
        <v>69423</v>
      </c>
      <c r="F50" s="145">
        <v>70733</v>
      </c>
      <c r="G50" s="112">
        <f t="shared" si="4"/>
        <v>1310</v>
      </c>
      <c r="H50" s="99">
        <f>G50+'11'!H50</f>
        <v>14346.370000000003</v>
      </c>
      <c r="I50" s="95"/>
      <c r="J50" s="175">
        <f>H50/DAY(B2)</f>
        <v>1195.5308333333335</v>
      </c>
      <c r="K50" s="79"/>
      <c r="L50" s="66"/>
      <c r="N50" s="87"/>
      <c r="O50" s="71"/>
    </row>
    <row r="51" spans="1:15" ht="32.25" customHeight="1" x14ac:dyDescent="0.4">
      <c r="A51" s="194" t="s">
        <v>163</v>
      </c>
      <c r="B51" s="217"/>
      <c r="C51" s="217"/>
      <c r="D51" s="151" t="s">
        <v>130</v>
      </c>
      <c r="E51" s="95">
        <f>'11'!F51</f>
        <v>0</v>
      </c>
      <c r="F51" s="145">
        <v>0</v>
      </c>
      <c r="G51" s="112">
        <f t="shared" si="4"/>
        <v>0</v>
      </c>
      <c r="H51" s="99">
        <f>G51+'11'!H51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2.25" customHeight="1" x14ac:dyDescent="0.4">
      <c r="A52" s="194" t="s">
        <v>176</v>
      </c>
      <c r="B52" s="217"/>
      <c r="C52" s="217"/>
      <c r="D52" s="151" t="s">
        <v>130</v>
      </c>
      <c r="E52" s="95">
        <f>'11'!F52</f>
        <v>0</v>
      </c>
      <c r="F52" s="145">
        <v>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 x14ac:dyDescent="0.4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 x14ac:dyDescent="0.4">
      <c r="A54" s="194" t="s">
        <v>177</v>
      </c>
      <c r="B54" s="217"/>
      <c r="C54" s="217"/>
      <c r="D54" s="151" t="s">
        <v>130</v>
      </c>
      <c r="E54" s="95">
        <f>'11'!F54</f>
        <v>10146</v>
      </c>
      <c r="F54" s="145">
        <v>10689</v>
      </c>
      <c r="G54" s="112">
        <f t="shared" si="4"/>
        <v>543</v>
      </c>
      <c r="H54" s="99">
        <f>G54+'11'!H54</f>
        <v>5541.58</v>
      </c>
      <c r="I54" s="95"/>
      <c r="J54" s="175">
        <f>H54/DAY(B2)</f>
        <v>461.79833333333335</v>
      </c>
      <c r="K54" s="79"/>
      <c r="L54" s="66"/>
      <c r="N54" s="87"/>
      <c r="O54" s="71"/>
    </row>
    <row r="55" spans="1:15" ht="32.25" customHeight="1" x14ac:dyDescent="0.4">
      <c r="A55" s="194" t="s">
        <v>178</v>
      </c>
      <c r="B55" s="217"/>
      <c r="C55" s="217"/>
      <c r="D55" s="151" t="s">
        <v>130</v>
      </c>
      <c r="E55" s="95">
        <f>'11'!F55</f>
        <v>90154</v>
      </c>
      <c r="F55" s="145">
        <v>90373</v>
      </c>
      <c r="G55" s="112">
        <f t="shared" si="4"/>
        <v>219</v>
      </c>
      <c r="H55" s="99">
        <f>G55+'11'!H55</f>
        <v>16006.89</v>
      </c>
      <c r="I55" s="95"/>
      <c r="J55" s="175">
        <f>H55/DAY(B2)</f>
        <v>1333.9075</v>
      </c>
      <c r="K55" s="79"/>
      <c r="L55" s="66"/>
      <c r="N55" s="87"/>
      <c r="O55" s="71"/>
    </row>
    <row r="56" spans="1:15" ht="32.25" customHeight="1" x14ac:dyDescent="0.4">
      <c r="A56" s="194" t="s">
        <v>179</v>
      </c>
      <c r="B56" s="217"/>
      <c r="C56" s="217"/>
      <c r="D56" s="151" t="s">
        <v>180</v>
      </c>
      <c r="E56" s="95">
        <f>'11'!F56</f>
        <v>8724</v>
      </c>
      <c r="F56" s="145">
        <v>8724</v>
      </c>
      <c r="G56" s="112">
        <f t="shared" si="4"/>
        <v>0</v>
      </c>
      <c r="H56" s="99">
        <f>G56+'11'!H56</f>
        <v>113.45999999999913</v>
      </c>
      <c r="I56" s="95"/>
      <c r="J56" s="175">
        <f>H56/DAY(B2)</f>
        <v>9.4549999999999272</v>
      </c>
      <c r="K56" s="78"/>
      <c r="L56" s="66"/>
      <c r="N56" s="87"/>
      <c r="O56" s="71"/>
    </row>
    <row r="57" spans="1:15" ht="32.25" customHeight="1" x14ac:dyDescent="0.4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 x14ac:dyDescent="0.4">
      <c r="A58" s="194" t="s">
        <v>181</v>
      </c>
      <c r="B58" s="217"/>
      <c r="C58" s="217"/>
      <c r="D58" s="151" t="s">
        <v>130</v>
      </c>
      <c r="E58" s="95">
        <f>'11'!F58</f>
        <v>7138</v>
      </c>
      <c r="F58" s="145">
        <v>7369</v>
      </c>
      <c r="G58" s="112">
        <f t="shared" si="4"/>
        <v>231</v>
      </c>
      <c r="H58" s="99">
        <f>G58+'11'!H58</f>
        <v>2572.79</v>
      </c>
      <c r="I58" s="95"/>
      <c r="J58" s="175">
        <f>H58/DAY(B2)</f>
        <v>214.39916666666667</v>
      </c>
      <c r="K58" s="79"/>
      <c r="L58" s="66"/>
      <c r="N58" s="87"/>
      <c r="O58" s="71"/>
    </row>
    <row r="59" spans="1:15" ht="32.2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3877</v>
      </c>
      <c r="H59" s="99">
        <f>G59+'11'!H59</f>
        <v>54080.9</v>
      </c>
      <c r="I59" s="95">
        <f>G7-G60</f>
        <v>897</v>
      </c>
      <c r="J59" s="175">
        <f>H59/DAY(B2)</f>
        <v>4506.7416666666668</v>
      </c>
      <c r="K59" s="79"/>
      <c r="L59" s="66"/>
      <c r="N59" s="87"/>
      <c r="O59" s="71"/>
    </row>
    <row r="60" spans="1:15" ht="32.2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21326</v>
      </c>
      <c r="H60" s="99">
        <f>G60+'11'!H60</f>
        <v>220488.31</v>
      </c>
      <c r="I60" s="95">
        <f>G13-G60</f>
        <v>301</v>
      </c>
      <c r="J60" s="175">
        <f>H60/DAY(B2)</f>
        <v>18374.025833333333</v>
      </c>
      <c r="K60" s="79"/>
      <c r="L60" s="66"/>
      <c r="N60" s="87"/>
      <c r="O60" s="71"/>
    </row>
    <row r="61" spans="1:15" s="68" customFormat="1" ht="32.25" customHeight="1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 x14ac:dyDescent="0.5">
      <c r="A62" s="884" t="s">
        <v>198</v>
      </c>
      <c r="B62" s="885"/>
      <c r="C62" s="886"/>
      <c r="D62" s="151" t="s">
        <v>142</v>
      </c>
      <c r="E62" s="95">
        <f>'11'!F62</f>
        <v>270909</v>
      </c>
      <c r="F62" s="122">
        <v>271086</v>
      </c>
      <c r="G62" s="112">
        <f t="shared" ref="G62:G63" si="5">F62-E62</f>
        <v>177</v>
      </c>
      <c r="H62" s="99">
        <f>G62+'11'!H62</f>
        <v>1570</v>
      </c>
      <c r="I62" s="118"/>
      <c r="J62" s="175">
        <f>H62/DAY(B2)</f>
        <v>130.83333333333334</v>
      </c>
      <c r="K62" s="80"/>
      <c r="L62" s="66"/>
      <c r="N62" s="87"/>
      <c r="O62" s="71"/>
    </row>
    <row r="63" spans="1:15" ht="32.25" customHeight="1" x14ac:dyDescent="0.5">
      <c r="A63" s="884" t="s">
        <v>199</v>
      </c>
      <c r="B63" s="885"/>
      <c r="C63" s="886"/>
      <c r="D63" s="151" t="s">
        <v>142</v>
      </c>
      <c r="E63" s="95">
        <f>'11'!F63</f>
        <v>217198</v>
      </c>
      <c r="F63" s="122">
        <v>217380</v>
      </c>
      <c r="G63" s="112">
        <f t="shared" si="5"/>
        <v>182</v>
      </c>
      <c r="H63" s="99">
        <f>G63+'11'!H63</f>
        <v>1583</v>
      </c>
      <c r="I63" s="118"/>
      <c r="J63" s="175">
        <f>H63/DAY(B2)</f>
        <v>131.91666666666666</v>
      </c>
      <c r="K63" s="69"/>
      <c r="L63" s="66"/>
      <c r="N63" s="87"/>
      <c r="O63" s="71"/>
    </row>
    <row r="64" spans="1:15" ht="32.25" customHeight="1" x14ac:dyDescent="0.5">
      <c r="A64" s="893" t="s">
        <v>200</v>
      </c>
      <c r="B64" s="894"/>
      <c r="C64" s="895"/>
      <c r="D64" s="151"/>
      <c r="E64" s="95">
        <f>'11'!F64</f>
        <v>0</v>
      </c>
      <c r="F64" s="122"/>
      <c r="G64" s="112">
        <f>G62+G63</f>
        <v>359</v>
      </c>
      <c r="H64" s="99">
        <f>G64+'11'!H64</f>
        <v>3153</v>
      </c>
      <c r="I64" s="118"/>
      <c r="J64" s="175">
        <f>H64/DAY(B2)</f>
        <v>262.75</v>
      </c>
      <c r="K64" s="69"/>
      <c r="L64" s="66"/>
      <c r="N64" s="87"/>
      <c r="O64" s="71"/>
    </row>
    <row r="65" spans="1:15" ht="32.25" customHeight="1" x14ac:dyDescent="0.5">
      <c r="A65" s="884" t="s">
        <v>201</v>
      </c>
      <c r="B65" s="885"/>
      <c r="C65" s="886"/>
      <c r="D65" s="151" t="s">
        <v>142</v>
      </c>
      <c r="E65" s="95">
        <f>'11'!F65</f>
        <v>435970</v>
      </c>
      <c r="F65" s="122">
        <v>436096</v>
      </c>
      <c r="G65" s="112">
        <f t="shared" ref="G65:G70" si="6">F65-E65</f>
        <v>126</v>
      </c>
      <c r="H65" s="99">
        <f>G65+'11'!H65</f>
        <v>1173</v>
      </c>
      <c r="I65" s="118"/>
      <c r="J65" s="175">
        <f>H65/DAY(B2)</f>
        <v>97.75</v>
      </c>
      <c r="K65" s="69"/>
      <c r="L65" s="66"/>
      <c r="N65" s="87"/>
      <c r="O65" s="71"/>
    </row>
    <row r="66" spans="1:15" ht="32.25" customHeight="1" x14ac:dyDescent="0.5">
      <c r="A66" s="345" t="s">
        <v>202</v>
      </c>
      <c r="B66" s="346"/>
      <c r="C66" s="346"/>
      <c r="D66" s="151" t="s">
        <v>142</v>
      </c>
      <c r="E66" s="95">
        <f>'11'!F66</f>
        <v>108017</v>
      </c>
      <c r="F66" s="122">
        <v>108045</v>
      </c>
      <c r="G66" s="112">
        <f t="shared" si="6"/>
        <v>28</v>
      </c>
      <c r="H66" s="99">
        <f>G66+'11'!H66</f>
        <v>302</v>
      </c>
      <c r="I66" s="118"/>
      <c r="J66" s="175">
        <f>H66/DAY(B2)</f>
        <v>25.166666666666668</v>
      </c>
      <c r="K66" s="78"/>
      <c r="L66" s="66"/>
      <c r="N66" s="87"/>
      <c r="O66" s="71"/>
    </row>
    <row r="67" spans="1:15" ht="32.25" customHeight="1" x14ac:dyDescent="0.5">
      <c r="A67" s="345" t="s">
        <v>203</v>
      </c>
      <c r="B67" s="346"/>
      <c r="C67" s="346"/>
      <c r="D67" s="151" t="s">
        <v>142</v>
      </c>
      <c r="E67" s="95">
        <f>'11'!F67</f>
        <v>105015</v>
      </c>
      <c r="F67" s="122">
        <v>105081</v>
      </c>
      <c r="G67" s="112">
        <f t="shared" si="6"/>
        <v>66</v>
      </c>
      <c r="H67" s="99">
        <f>G67+'11'!H67</f>
        <v>433</v>
      </c>
      <c r="I67" s="118"/>
      <c r="J67" s="175">
        <f>H67/DAY(B2)</f>
        <v>36.083333333333336</v>
      </c>
      <c r="K67" s="81"/>
      <c r="L67" s="66"/>
      <c r="N67" s="87"/>
      <c r="O67" s="71"/>
    </row>
    <row r="68" spans="1:15" ht="32.25" customHeight="1" x14ac:dyDescent="0.5">
      <c r="A68" s="345" t="s">
        <v>204</v>
      </c>
      <c r="B68" s="346"/>
      <c r="C68" s="346"/>
      <c r="D68" s="151" t="s">
        <v>142</v>
      </c>
      <c r="E68" s="95">
        <f>'11'!F68</f>
        <v>158114</v>
      </c>
      <c r="F68" s="122">
        <v>158166</v>
      </c>
      <c r="G68" s="112">
        <f t="shared" si="6"/>
        <v>52</v>
      </c>
      <c r="H68" s="99">
        <f>G68+'11'!H68</f>
        <v>469</v>
      </c>
      <c r="I68" s="118"/>
      <c r="J68" s="175">
        <f>H68/DAY(B2)</f>
        <v>39.083333333333336</v>
      </c>
      <c r="K68" s="69"/>
      <c r="L68" s="66"/>
      <c r="N68" s="87"/>
      <c r="O68" s="71"/>
    </row>
    <row r="69" spans="1:15" ht="32.25" customHeight="1" x14ac:dyDescent="0.5">
      <c r="A69" s="345" t="s">
        <v>205</v>
      </c>
      <c r="B69" s="346"/>
      <c r="C69" s="346"/>
      <c r="D69" s="151" t="s">
        <v>142</v>
      </c>
      <c r="E69" s="95">
        <f>'11'!F69</f>
        <v>10688</v>
      </c>
      <c r="F69" s="122">
        <v>10702</v>
      </c>
      <c r="G69" s="112">
        <f t="shared" si="6"/>
        <v>14</v>
      </c>
      <c r="H69" s="99">
        <f>G69+'11'!H69</f>
        <v>161</v>
      </c>
      <c r="I69" s="118"/>
      <c r="J69" s="175">
        <f>H69/DAY(B2)</f>
        <v>13.416666666666666</v>
      </c>
      <c r="K69" s="69"/>
      <c r="L69" s="66"/>
      <c r="N69" s="87"/>
      <c r="O69" s="71"/>
    </row>
    <row r="70" spans="1:15" ht="32.25" customHeight="1" x14ac:dyDescent="0.5">
      <c r="A70" s="345" t="s">
        <v>206</v>
      </c>
      <c r="B70" s="346"/>
      <c r="C70" s="346"/>
      <c r="D70" s="151" t="s">
        <v>142</v>
      </c>
      <c r="E70" s="95">
        <f>'11'!F70</f>
        <v>8264</v>
      </c>
      <c r="F70" s="122">
        <v>8269</v>
      </c>
      <c r="G70" s="112">
        <f t="shared" si="6"/>
        <v>5</v>
      </c>
      <c r="H70" s="99">
        <f>G70+'11'!H70</f>
        <v>149</v>
      </c>
      <c r="I70" s="118"/>
      <c r="J70" s="175">
        <f>H70/DAY(B2)</f>
        <v>12.416666666666666</v>
      </c>
      <c r="K70" s="69"/>
      <c r="L70" s="66"/>
      <c r="N70" s="87"/>
      <c r="O70" s="71"/>
    </row>
    <row r="71" spans="1:15" ht="32.25" customHeight="1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291</v>
      </c>
      <c r="H71" s="99">
        <f>G71+'11'!H71</f>
        <v>2687</v>
      </c>
      <c r="I71" s="154"/>
      <c r="J71" s="175">
        <f>H71/DAY(B2)</f>
        <v>223.91666666666666</v>
      </c>
      <c r="K71" s="69"/>
      <c r="L71" s="66"/>
      <c r="N71" s="87"/>
      <c r="O71" s="71"/>
    </row>
    <row r="72" spans="1:15" s="88" customFormat="1" ht="32.25" customHeight="1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 x14ac:dyDescent="0.5">
      <c r="A74" s="884" t="s">
        <v>220</v>
      </c>
      <c r="B74" s="885"/>
      <c r="C74" s="886"/>
      <c r="D74" s="151" t="s">
        <v>139</v>
      </c>
      <c r="E74" s="95">
        <f>'11'!F74</f>
        <v>904690</v>
      </c>
      <c r="F74" s="117">
        <v>905014</v>
      </c>
      <c r="G74" s="112">
        <f t="shared" ref="G74:G78" si="7">F74-E74</f>
        <v>324</v>
      </c>
      <c r="H74" s="99">
        <f>G74+'11'!H74</f>
        <v>3707.8510000000242</v>
      </c>
      <c r="I74" s="154"/>
      <c r="J74" s="175">
        <f>H74/DAY(B2)</f>
        <v>308.98758333333535</v>
      </c>
      <c r="K74" s="69"/>
      <c r="L74" s="66"/>
      <c r="N74" s="87"/>
      <c r="O74" s="71"/>
    </row>
    <row r="75" spans="1:15" ht="32.25" customHeight="1" x14ac:dyDescent="0.5">
      <c r="A75" s="884" t="s">
        <v>221</v>
      </c>
      <c r="B75" s="885"/>
      <c r="C75" s="886"/>
      <c r="D75" s="151" t="s">
        <v>139</v>
      </c>
      <c r="E75" s="95">
        <f>'11'!F75</f>
        <v>73587</v>
      </c>
      <c r="F75" s="123">
        <v>73587</v>
      </c>
      <c r="G75" s="112">
        <f t="shared" si="7"/>
        <v>0</v>
      </c>
      <c r="H75" s="99">
        <f>G75+'11'!H75</f>
        <v>0.19999999999708962</v>
      </c>
      <c r="I75" s="154"/>
      <c r="J75" s="175">
        <f>H75/DAY(B2)</f>
        <v>1.6666666666424135E-2</v>
      </c>
      <c r="K75" s="69"/>
      <c r="L75" s="66"/>
      <c r="N75" s="87"/>
      <c r="O75" s="71"/>
    </row>
    <row r="76" spans="1:15" ht="32.25" customHeight="1" x14ac:dyDescent="0.5">
      <c r="A76" s="881" t="s">
        <v>222</v>
      </c>
      <c r="B76" s="882"/>
      <c r="C76" s="883"/>
      <c r="D76" s="151" t="s">
        <v>139</v>
      </c>
      <c r="E76" s="95">
        <f>'11'!F76</f>
        <v>171252</v>
      </c>
      <c r="F76" s="123">
        <v>171404</v>
      </c>
      <c r="G76" s="112">
        <f t="shared" si="7"/>
        <v>152</v>
      </c>
      <c r="H76" s="99">
        <f>G76+'11'!H76</f>
        <v>1429</v>
      </c>
      <c r="I76" s="154"/>
      <c r="J76" s="175">
        <f>H76/DAY(B2)</f>
        <v>119.08333333333333</v>
      </c>
      <c r="K76" s="69"/>
      <c r="L76" s="66"/>
      <c r="N76" s="87"/>
      <c r="O76" s="71"/>
    </row>
    <row r="77" spans="1:15" ht="32.25" customHeight="1" x14ac:dyDescent="0.5">
      <c r="A77" s="881" t="s">
        <v>223</v>
      </c>
      <c r="B77" s="882"/>
      <c r="C77" s="883"/>
      <c r="D77" s="151" t="s">
        <v>139</v>
      </c>
      <c r="E77" s="95">
        <f>'11'!F77</f>
        <v>41826</v>
      </c>
      <c r="F77" s="123">
        <v>41884</v>
      </c>
      <c r="G77" s="112">
        <f t="shared" si="7"/>
        <v>58</v>
      </c>
      <c r="H77" s="99">
        <f>G77+'11'!H77</f>
        <v>581.80000000000291</v>
      </c>
      <c r="I77" s="154"/>
      <c r="J77" s="175">
        <f>H77/DAY(B2)</f>
        <v>48.483333333333576</v>
      </c>
      <c r="K77" s="69"/>
      <c r="L77" s="66"/>
      <c r="N77" s="87"/>
      <c r="O77" s="71"/>
    </row>
    <row r="78" spans="1:15" ht="32.25" customHeight="1" x14ac:dyDescent="0.5">
      <c r="A78" s="881" t="s">
        <v>224</v>
      </c>
      <c r="B78" s="882"/>
      <c r="C78" s="883"/>
      <c r="D78" s="151" t="s">
        <v>139</v>
      </c>
      <c r="E78" s="95">
        <f>'11'!F78</f>
        <v>9534</v>
      </c>
      <c r="F78" s="123">
        <v>9538</v>
      </c>
      <c r="G78" s="112">
        <f t="shared" si="7"/>
        <v>4</v>
      </c>
      <c r="H78" s="99">
        <f>G78+'11'!H78</f>
        <v>22</v>
      </c>
      <c r="I78" s="118"/>
      <c r="J78" s="175">
        <f>H78/DAY(B2)</f>
        <v>1.8333333333333333</v>
      </c>
      <c r="K78" s="69"/>
      <c r="L78" s="66"/>
      <c r="N78" s="87"/>
      <c r="O78" s="71"/>
    </row>
    <row r="79" spans="1:15" s="57" customFormat="1" ht="32.25" customHeight="1" x14ac:dyDescent="0.5">
      <c r="A79" s="881" t="s">
        <v>225</v>
      </c>
      <c r="B79" s="882"/>
      <c r="C79" s="883"/>
      <c r="D79" s="151"/>
      <c r="E79" s="95">
        <f>'11'!F79</f>
        <v>0</v>
      </c>
      <c r="F79" s="117"/>
      <c r="G79" s="112">
        <f>G15-SUM(G74:G78)</f>
        <v>755</v>
      </c>
      <c r="H79" s="99">
        <f>G79+'11'!H79</f>
        <v>6984.3819999999832</v>
      </c>
      <c r="I79" s="118"/>
      <c r="J79" s="175">
        <f>H79/DAY(B2)</f>
        <v>582.03183333333197</v>
      </c>
      <c r="K79" s="59"/>
      <c r="L79" s="58"/>
      <c r="N79" s="87"/>
      <c r="O79" s="71"/>
    </row>
    <row r="80" spans="1:15" s="57" customFormat="1" ht="32.25" customHeight="1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1293</v>
      </c>
      <c r="H80" s="99">
        <f>G80+'11'!H80</f>
        <v>1293</v>
      </c>
      <c r="I80" s="118"/>
      <c r="J80" s="175">
        <f>H80/DAY(B2)</f>
        <v>107.75</v>
      </c>
      <c r="K80" s="59"/>
      <c r="L80" s="58"/>
      <c r="N80" s="87"/>
      <c r="O80" s="71"/>
    </row>
    <row r="81" spans="1:15" ht="32.25" customHeight="1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 x14ac:dyDescent="0.5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 x14ac:dyDescent="0.5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 x14ac:dyDescent="0.5">
      <c r="A84" s="345" t="s">
        <v>230</v>
      </c>
      <c r="B84" s="346"/>
      <c r="C84" s="346"/>
      <c r="D84" s="151" t="s">
        <v>228</v>
      </c>
      <c r="E84" s="95">
        <f>'11'!F84</f>
        <v>41675</v>
      </c>
      <c r="F84" s="164">
        <v>41675</v>
      </c>
      <c r="G84" s="112">
        <f t="shared" si="8"/>
        <v>0</v>
      </c>
      <c r="H84" s="99">
        <f>G84+'11'!H84</f>
        <v>0</v>
      </c>
      <c r="I84" s="118"/>
      <c r="J84" s="175">
        <f>H84/DAY(B2)</f>
        <v>0</v>
      </c>
      <c r="O84" s="71"/>
    </row>
    <row r="85" spans="1:15" ht="32.25" customHeight="1" x14ac:dyDescent="0.5">
      <c r="A85" s="345" t="s">
        <v>231</v>
      </c>
      <c r="B85" s="346"/>
      <c r="C85" s="346"/>
      <c r="D85" s="151" t="s">
        <v>228</v>
      </c>
      <c r="E85" s="95">
        <f>'11'!F85</f>
        <v>2408</v>
      </c>
      <c r="F85" s="164">
        <v>2432</v>
      </c>
      <c r="G85" s="112">
        <f t="shared" si="8"/>
        <v>24</v>
      </c>
      <c r="H85" s="99">
        <f>G85+'11'!H85</f>
        <v>171.57999999999993</v>
      </c>
      <c r="I85" s="118">
        <f>G82+G83+G84+G85</f>
        <v>24</v>
      </c>
      <c r="J85" s="175">
        <f>H85/DAY(B2)</f>
        <v>14.298333333333327</v>
      </c>
      <c r="O85" s="71"/>
    </row>
    <row r="86" spans="1:15" ht="32.25" customHeight="1" x14ac:dyDescent="0.5">
      <c r="A86" s="345" t="s">
        <v>232</v>
      </c>
      <c r="B86" s="346"/>
      <c r="C86" s="346"/>
      <c r="D86" s="151" t="s">
        <v>228</v>
      </c>
      <c r="E86" s="95">
        <f>'11'!F86</f>
        <v>43560</v>
      </c>
      <c r="F86" s="164">
        <v>43562</v>
      </c>
      <c r="G86" s="112">
        <f t="shared" si="8"/>
        <v>2</v>
      </c>
      <c r="H86" s="99">
        <f>G86+'11'!H86</f>
        <v>120</v>
      </c>
      <c r="I86" s="118"/>
      <c r="J86" s="175">
        <f>H86/DAY(B2)</f>
        <v>10</v>
      </c>
      <c r="O86" s="71"/>
    </row>
    <row r="87" spans="1:15" ht="32.25" customHeight="1" x14ac:dyDescent="0.5">
      <c r="A87" s="345" t="s">
        <v>233</v>
      </c>
      <c r="B87" s="346"/>
      <c r="C87" s="346"/>
      <c r="D87" s="151" t="s">
        <v>228</v>
      </c>
      <c r="E87" s="95">
        <f>'11'!F87</f>
        <v>34598.550000000003</v>
      </c>
      <c r="F87" s="164">
        <v>34598.550000000003</v>
      </c>
      <c r="G87" s="112">
        <f t="shared" si="8"/>
        <v>0</v>
      </c>
      <c r="H87" s="99">
        <f>G87+'11'!H87</f>
        <v>5.0000000002910383E-2</v>
      </c>
      <c r="I87" s="118"/>
      <c r="J87" s="175">
        <f>H87/DAY(B2)</f>
        <v>4.1666666669091983E-3</v>
      </c>
      <c r="O87" s="71"/>
    </row>
    <row r="88" spans="1:15" ht="32.25" customHeight="1" x14ac:dyDescent="0.5">
      <c r="A88" s="345" t="s">
        <v>234</v>
      </c>
      <c r="B88" s="346"/>
      <c r="C88" s="346"/>
      <c r="D88" s="151" t="s">
        <v>228</v>
      </c>
      <c r="E88" s="95">
        <f>'11'!F88</f>
        <v>24063</v>
      </c>
      <c r="F88" s="164">
        <v>24066.77</v>
      </c>
      <c r="G88" s="112">
        <f t="shared" si="8"/>
        <v>3.7700000000004366</v>
      </c>
      <c r="H88" s="99">
        <f>G88+'11'!H88</f>
        <v>3.3400000000001455</v>
      </c>
      <c r="I88" s="118">
        <f>G86+G87+G88</f>
        <v>5.7700000000004366</v>
      </c>
      <c r="J88" s="175">
        <f>H88/DAY(B2)</f>
        <v>0.27833333333334548</v>
      </c>
      <c r="O88" s="71"/>
    </row>
    <row r="89" spans="1:15" ht="32.25" customHeight="1" x14ac:dyDescent="0.5">
      <c r="A89" s="345" t="s">
        <v>235</v>
      </c>
      <c r="B89" s="346"/>
      <c r="C89" s="346"/>
      <c r="D89" s="151" t="s">
        <v>228</v>
      </c>
      <c r="E89" s="95">
        <f>'11'!F89</f>
        <v>26004</v>
      </c>
      <c r="F89" s="164">
        <v>26012.63</v>
      </c>
      <c r="G89" s="112">
        <f t="shared" si="8"/>
        <v>8.6300000000010186</v>
      </c>
      <c r="H89" s="99">
        <f>G89+'11'!H89</f>
        <v>121.51000000000204</v>
      </c>
      <c r="I89" s="118"/>
      <c r="J89" s="175">
        <f>H89/DAY(B2)</f>
        <v>10.125833333333503</v>
      </c>
      <c r="O89" s="71"/>
    </row>
    <row r="90" spans="1:15" ht="32.25" customHeight="1" x14ac:dyDescent="0.5">
      <c r="A90" s="345" t="s">
        <v>236</v>
      </c>
      <c r="B90" s="346"/>
      <c r="C90" s="346"/>
      <c r="D90" s="151" t="s">
        <v>228</v>
      </c>
      <c r="E90" s="95">
        <f>'11'!F90</f>
        <v>71194</v>
      </c>
      <c r="F90" s="164">
        <v>71201.23</v>
      </c>
      <c r="G90" s="112">
        <f t="shared" si="8"/>
        <v>7.2299999999959255</v>
      </c>
      <c r="H90" s="99">
        <f>G90+'11'!H90</f>
        <v>37.909999999988941</v>
      </c>
      <c r="I90" s="118">
        <f>G89+G90</f>
        <v>15.859999999996944</v>
      </c>
      <c r="J90" s="175">
        <f>H90/DAY(B2)</f>
        <v>3.1591666666657452</v>
      </c>
      <c r="O90" s="71"/>
    </row>
    <row r="91" spans="1:15" ht="32.25" customHeight="1" x14ac:dyDescent="0.5">
      <c r="A91" s="345" t="s">
        <v>237</v>
      </c>
      <c r="B91" s="346"/>
      <c r="C91" s="346"/>
      <c r="D91" s="151" t="s">
        <v>228</v>
      </c>
      <c r="E91" s="95">
        <f>'11'!F91</f>
        <v>3376</v>
      </c>
      <c r="F91" s="122">
        <v>3387.86</v>
      </c>
      <c r="G91" s="112">
        <f t="shared" si="8"/>
        <v>11.860000000000127</v>
      </c>
      <c r="H91" s="99">
        <f>G91+'11'!H91</f>
        <v>136.76999999999998</v>
      </c>
      <c r="I91" s="165"/>
      <c r="J91" s="175">
        <f>H91/DAY(B2)</f>
        <v>11.397499999999999</v>
      </c>
      <c r="O91" s="71"/>
    </row>
    <row r="92" spans="1:15" ht="32.25" customHeight="1" x14ac:dyDescent="0.5">
      <c r="A92" s="345" t="s">
        <v>238</v>
      </c>
      <c r="B92" s="346"/>
      <c r="C92" s="346"/>
      <c r="D92" s="151" t="s">
        <v>228</v>
      </c>
      <c r="E92" s="95">
        <f>'11'!F92</f>
        <v>5741</v>
      </c>
      <c r="F92" s="122">
        <v>5741</v>
      </c>
      <c r="G92" s="112">
        <f t="shared" si="8"/>
        <v>0</v>
      </c>
      <c r="H92" s="99">
        <f>G92+'11'!H92</f>
        <v>-6.9999999999708962E-2</v>
      </c>
      <c r="I92" s="165"/>
      <c r="J92" s="175">
        <f>H92/DAY(B2)</f>
        <v>-5.8333333333090804E-3</v>
      </c>
      <c r="O92" s="71"/>
    </row>
    <row r="93" spans="1:15" ht="32.25" customHeight="1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5425</v>
      </c>
      <c r="H94" s="99">
        <f>G94+'11'!H94</f>
        <v>59317.229999999996</v>
      </c>
      <c r="I94" s="118"/>
      <c r="J94" s="175">
        <f>H94/DAY(B2)</f>
        <v>4943.1025</v>
      </c>
      <c r="K94" s="69"/>
      <c r="L94" s="66"/>
      <c r="O94" s="71"/>
    </row>
    <row r="95" spans="1:15" ht="32.25" customHeight="1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0.24411645592404266</v>
      </c>
      <c r="H95" s="99">
        <f>G95+'11'!H95</f>
        <v>2.9940155695754833</v>
      </c>
      <c r="I95" s="167"/>
      <c r="J95" s="175">
        <f>H95/DAY(B2)</f>
        <v>0.2495012974646236</v>
      </c>
      <c r="K95" s="69"/>
      <c r="L95" s="66"/>
      <c r="O95" s="71"/>
    </row>
    <row r="96" spans="1:15" ht="32.25" customHeight="1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4928</v>
      </c>
      <c r="H96" s="99">
        <f>G96+'11'!H96</f>
        <v>47038.87999999999</v>
      </c>
      <c r="I96" s="118"/>
      <c r="J96" s="175">
        <f>H96/DAY(B2)</f>
        <v>3919.9066666666658</v>
      </c>
      <c r="K96" s="69"/>
      <c r="L96" s="66"/>
      <c r="O96" s="71"/>
    </row>
    <row r="97" spans="1:15" ht="32.25" customHeight="1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0.22175223867164648</v>
      </c>
      <c r="H97" s="99">
        <f>G97+'11'!H97</f>
        <v>2.3697151955956528</v>
      </c>
      <c r="I97" s="167"/>
      <c r="J97" s="175">
        <f>H97/DAY(B2)</f>
        <v>0.19747626629963774</v>
      </c>
      <c r="K97" s="69"/>
      <c r="L97" s="66"/>
      <c r="O97" s="71"/>
    </row>
    <row r="98" spans="1:15" ht="32.25" customHeight="1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3245</v>
      </c>
      <c r="H98" s="99">
        <f>G98+'11'!H98</f>
        <v>34499.71</v>
      </c>
      <c r="I98" s="168"/>
      <c r="J98" s="175">
        <f>H98/DAY(B2)</f>
        <v>2874.9758333333334</v>
      </c>
      <c r="K98" s="69"/>
      <c r="L98" s="66"/>
      <c r="O98" s="71"/>
    </row>
    <row r="99" spans="1:15" ht="32.25" customHeight="1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0.14601988930387436</v>
      </c>
      <c r="H99" s="99">
        <f>G99+'11'!H99</f>
        <v>1.7415010112834888</v>
      </c>
      <c r="I99" s="168"/>
      <c r="J99" s="175">
        <f>H99/DAY(B2)</f>
        <v>0.14512508427362406</v>
      </c>
      <c r="O99" s="71"/>
    </row>
    <row r="100" spans="1:15" ht="32.25" customHeight="1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2162</v>
      </c>
      <c r="H100" s="99">
        <f>G100+'11'!H100</f>
        <v>22808.57</v>
      </c>
      <c r="I100" s="118"/>
      <c r="J100" s="175">
        <f>H100/DAY(B2)</f>
        <v>1900.7141666666666</v>
      </c>
      <c r="K100" s="70"/>
      <c r="O100" s="71"/>
    </row>
    <row r="101" spans="1:15" ht="32.25" customHeight="1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9.7286594969176077E-2</v>
      </c>
      <c r="H101" s="99">
        <f>G101+'11'!H101</f>
        <v>1.1504794442996493</v>
      </c>
      <c r="I101" s="168"/>
      <c r="J101" s="175">
        <f>H101/DAY(B2)</f>
        <v>9.5873287024970777E-2</v>
      </c>
      <c r="O101" s="71"/>
    </row>
    <row r="102" spans="1:15" ht="32.25" customHeight="1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2504</v>
      </c>
      <c r="H102" s="99">
        <f>G102+'11'!H102</f>
        <v>25695.630000000005</v>
      </c>
      <c r="I102" s="168"/>
      <c r="J102" s="175">
        <f>H102/DAY(B2)</f>
        <v>2141.3025000000002</v>
      </c>
      <c r="O102" s="71"/>
    </row>
    <row r="103" spans="1:15" ht="32.25" customHeight="1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0.11267605633802817</v>
      </c>
      <c r="H103" s="99">
        <f>G103+'11'!H103</f>
        <v>1.2916984709996366</v>
      </c>
      <c r="I103" s="118"/>
      <c r="J103" s="175">
        <f>H103/DAY(B2)</f>
        <v>0.10764153924996972</v>
      </c>
      <c r="O103" s="71"/>
    </row>
    <row r="104" spans="1:15" ht="32.25" customHeight="1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1783</v>
      </c>
      <c r="H104" s="99">
        <f>G104+'11'!H104</f>
        <v>19616.910000000003</v>
      </c>
      <c r="I104" s="118"/>
      <c r="J104" s="175">
        <f>H104/DAY(B2)</f>
        <v>1634.7425000000003</v>
      </c>
      <c r="O104" s="71"/>
    </row>
    <row r="105" spans="1:15" ht="32.25" customHeight="1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8.0232191873284439E-2</v>
      </c>
      <c r="H105" s="99">
        <f>G105+'11'!H105</f>
        <v>0.99212167005133334</v>
      </c>
      <c r="I105" s="187"/>
      <c r="J105" s="188">
        <f>H105/DAY(B2)</f>
        <v>8.2676805837611111E-2</v>
      </c>
      <c r="O105" s="71"/>
    </row>
    <row r="106" spans="1:15" ht="32.2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32.25" customHeight="1" x14ac:dyDescent="0.5">
      <c r="A109" s="901"/>
      <c r="B109" s="901"/>
    </row>
    <row r="110" spans="1:15" ht="32.25" customHeight="1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32.25" customHeight="1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32.25" customHeight="1" x14ac:dyDescent="0.5">
      <c r="A112" s="863" t="s">
        <v>252</v>
      </c>
      <c r="B112" s="864"/>
      <c r="C112" s="865"/>
      <c r="D112" s="146" t="s">
        <v>183</v>
      </c>
      <c r="E112" s="95">
        <f>'11'!F112</f>
        <v>58875</v>
      </c>
      <c r="F112" s="237">
        <v>58939</v>
      </c>
      <c r="G112" s="112">
        <f t="shared" ref="G112:G123" si="9">F112-E112</f>
        <v>64</v>
      </c>
      <c r="H112" s="99">
        <f>G112+'11'!H112</f>
        <v>885</v>
      </c>
      <c r="I112" s="165"/>
      <c r="J112" s="328">
        <f>H112/DAY(B2)</f>
        <v>73.75</v>
      </c>
    </row>
    <row r="113" spans="1:18" ht="32.25" customHeight="1" x14ac:dyDescent="0.5">
      <c r="A113" s="863" t="s">
        <v>253</v>
      </c>
      <c r="B113" s="864"/>
      <c r="C113" s="865"/>
      <c r="D113" s="146" t="s">
        <v>183</v>
      </c>
      <c r="E113" s="95">
        <f>'11'!F113</f>
        <v>51535</v>
      </c>
      <c r="F113" s="237">
        <v>52030</v>
      </c>
      <c r="G113" s="112">
        <f t="shared" si="9"/>
        <v>495</v>
      </c>
      <c r="H113" s="99">
        <f>G113+'11'!H113</f>
        <v>5629.1100000000006</v>
      </c>
      <c r="I113" s="165"/>
      <c r="J113" s="328">
        <f>H113/DAY(B2)</f>
        <v>469.09250000000003</v>
      </c>
    </row>
    <row r="114" spans="1:18" ht="32.25" customHeight="1" x14ac:dyDescent="0.5">
      <c r="A114" s="863" t="s">
        <v>254</v>
      </c>
      <c r="B114" s="864"/>
      <c r="C114" s="865"/>
      <c r="D114" s="146" t="s">
        <v>183</v>
      </c>
      <c r="E114" s="95">
        <f>'11'!F114</f>
        <v>36599</v>
      </c>
      <c r="F114" s="237">
        <v>37020</v>
      </c>
      <c r="G114" s="112">
        <f t="shared" si="9"/>
        <v>421</v>
      </c>
      <c r="H114" s="99">
        <f>G114+'11'!H114</f>
        <v>3860</v>
      </c>
      <c r="I114" s="165"/>
      <c r="J114" s="328">
        <f>H114/DAY(B2)</f>
        <v>321.66666666666669</v>
      </c>
    </row>
    <row r="115" spans="1:18" ht="32.25" customHeight="1" x14ac:dyDescent="0.5">
      <c r="A115" s="863" t="s">
        <v>255</v>
      </c>
      <c r="B115" s="864"/>
      <c r="C115" s="865"/>
      <c r="D115" s="146" t="s">
        <v>183</v>
      </c>
      <c r="E115" s="95">
        <f>'11'!F115</f>
        <v>9211</v>
      </c>
      <c r="F115" s="237">
        <v>9221</v>
      </c>
      <c r="G115" s="112">
        <f t="shared" si="9"/>
        <v>10</v>
      </c>
      <c r="H115" s="99">
        <f>G115+'11'!H115</f>
        <v>126.35000000000036</v>
      </c>
      <c r="I115" s="165"/>
      <c r="J115" s="328">
        <f>H115/DAY(B2)</f>
        <v>10.529166666666697</v>
      </c>
    </row>
    <row r="116" spans="1:18" ht="32.25" customHeight="1" x14ac:dyDescent="0.5">
      <c r="A116" s="870" t="s">
        <v>96</v>
      </c>
      <c r="B116" s="871"/>
      <c r="C116" s="872"/>
      <c r="D116" s="146" t="s">
        <v>183</v>
      </c>
      <c r="E116" s="95">
        <f>'11'!F116</f>
        <v>1921</v>
      </c>
      <c r="F116" s="237">
        <v>2405</v>
      </c>
      <c r="G116" s="112">
        <f t="shared" si="9"/>
        <v>484</v>
      </c>
      <c r="H116" s="99">
        <f>G116+'11'!H116</f>
        <v>2405</v>
      </c>
      <c r="I116" s="165"/>
      <c r="J116" s="328">
        <f>H116/DAY(B2)</f>
        <v>200.41666666666666</v>
      </c>
      <c r="Q116" s="863" t="s">
        <v>311</v>
      </c>
      <c r="R116" s="865"/>
    </row>
    <row r="117" spans="1:18" ht="32.25" customHeight="1" x14ac:dyDescent="0.5">
      <c r="A117" s="870" t="s">
        <v>184</v>
      </c>
      <c r="B117" s="871"/>
      <c r="C117" s="872"/>
      <c r="D117" s="146" t="s">
        <v>183</v>
      </c>
      <c r="E117" s="95">
        <f>'11'!F117</f>
        <v>4666</v>
      </c>
      <c r="F117" s="237">
        <v>4862</v>
      </c>
      <c r="G117" s="112">
        <f t="shared" si="9"/>
        <v>196</v>
      </c>
      <c r="H117" s="99">
        <f>G117+'11'!H117</f>
        <v>1524.0500000000002</v>
      </c>
      <c r="I117" s="165"/>
      <c r="J117" s="328">
        <f>H117/DAY(B2)</f>
        <v>127.00416666666668</v>
      </c>
      <c r="Q117" s="863" t="s">
        <v>312</v>
      </c>
      <c r="R117" s="865"/>
    </row>
    <row r="118" spans="1:18" ht="32.25" customHeight="1" x14ac:dyDescent="0.5">
      <c r="A118" s="862" t="s">
        <v>97</v>
      </c>
      <c r="B118" s="862"/>
      <c r="C118" s="862"/>
      <c r="D118" s="151" t="s">
        <v>183</v>
      </c>
      <c r="E118" s="95">
        <f>'11'!F118</f>
        <v>256349</v>
      </c>
      <c r="F118" s="237">
        <v>256755</v>
      </c>
      <c r="G118" s="112">
        <f t="shared" si="9"/>
        <v>406</v>
      </c>
      <c r="H118" s="99">
        <f>G118+'11'!H118</f>
        <v>4302.6900000000023</v>
      </c>
      <c r="I118" s="165"/>
      <c r="J118" s="328">
        <f>H118/DAY(B2)</f>
        <v>358.55750000000018</v>
      </c>
      <c r="Q118" s="863" t="s">
        <v>311</v>
      </c>
      <c r="R118" s="865"/>
    </row>
    <row r="119" spans="1:18" ht="32.25" customHeight="1" x14ac:dyDescent="0.5">
      <c r="A119" s="862" t="s">
        <v>98</v>
      </c>
      <c r="B119" s="862"/>
      <c r="C119" s="862"/>
      <c r="D119" s="151" t="s">
        <v>183</v>
      </c>
      <c r="E119" s="95">
        <f>'11'!F119</f>
        <v>262701</v>
      </c>
      <c r="F119" s="237">
        <v>263141</v>
      </c>
      <c r="G119" s="112">
        <f t="shared" si="9"/>
        <v>440</v>
      </c>
      <c r="H119" s="99">
        <f>G119+'11'!H119</f>
        <v>4992.4500000000116</v>
      </c>
      <c r="I119" s="165"/>
      <c r="J119" s="328">
        <f>H119/DAY(B2)</f>
        <v>416.03750000000099</v>
      </c>
    </row>
    <row r="120" spans="1:18" ht="32.25" customHeight="1" x14ac:dyDescent="0.5">
      <c r="A120" s="862" t="s">
        <v>99</v>
      </c>
      <c r="B120" s="862"/>
      <c r="C120" s="862"/>
      <c r="D120" s="151" t="s">
        <v>183</v>
      </c>
      <c r="E120" s="95">
        <f>'11'!F120</f>
        <v>47633</v>
      </c>
      <c r="F120" s="237">
        <v>48046</v>
      </c>
      <c r="G120" s="112">
        <f t="shared" si="9"/>
        <v>413</v>
      </c>
      <c r="H120" s="99">
        <f>G120+'11'!H120</f>
        <v>5086.3899999999994</v>
      </c>
      <c r="I120" s="165"/>
      <c r="J120" s="328">
        <f>H120/DAY(B2)</f>
        <v>423.86583333333328</v>
      </c>
    </row>
    <row r="121" spans="1:18" ht="32.25" customHeight="1" x14ac:dyDescent="0.5">
      <c r="A121" s="862" t="s">
        <v>100</v>
      </c>
      <c r="B121" s="862"/>
      <c r="C121" s="862"/>
      <c r="D121" s="151" t="s">
        <v>183</v>
      </c>
      <c r="E121" s="95">
        <f>'11'!F121</f>
        <v>406029</v>
      </c>
      <c r="F121" s="237">
        <v>406805</v>
      </c>
      <c r="G121" s="112">
        <f t="shared" si="9"/>
        <v>776</v>
      </c>
      <c r="H121" s="99">
        <f>G121+'11'!H121</f>
        <v>8770.570000000007</v>
      </c>
      <c r="I121" s="165"/>
      <c r="J121" s="328">
        <f>H121/DAY(B2)</f>
        <v>730.88083333333395</v>
      </c>
    </row>
    <row r="122" spans="1:18" ht="32.25" customHeight="1" x14ac:dyDescent="0.5">
      <c r="A122" s="862" t="s">
        <v>101</v>
      </c>
      <c r="B122" s="862"/>
      <c r="C122" s="862"/>
      <c r="D122" s="151" t="s">
        <v>183</v>
      </c>
      <c r="E122" s="95">
        <f>'11'!F122</f>
        <v>128621</v>
      </c>
      <c r="F122" s="237">
        <v>128805</v>
      </c>
      <c r="G122" s="112">
        <f t="shared" si="9"/>
        <v>184</v>
      </c>
      <c r="H122" s="99">
        <f>G122+'11'!H122</f>
        <v>2618.820000000007</v>
      </c>
      <c r="I122" s="165"/>
      <c r="J122" s="328">
        <f>H122/DAY(B2)</f>
        <v>218.23500000000058</v>
      </c>
    </row>
    <row r="123" spans="1:18" ht="32.25" customHeight="1" x14ac:dyDescent="0.5">
      <c r="A123" s="862" t="s">
        <v>102</v>
      </c>
      <c r="B123" s="862"/>
      <c r="C123" s="862"/>
      <c r="D123" s="151" t="s">
        <v>183</v>
      </c>
      <c r="E123" s="95">
        <f>'11'!F123</f>
        <v>156841</v>
      </c>
      <c r="F123" s="237">
        <v>157104</v>
      </c>
      <c r="G123" s="112">
        <f t="shared" si="9"/>
        <v>263</v>
      </c>
      <c r="H123" s="99">
        <f>G123+'11'!H123</f>
        <v>3057.0499999999884</v>
      </c>
      <c r="I123" s="165"/>
      <c r="J123" s="328">
        <f>H123/DAY(B2)</f>
        <v>254.7541666666657</v>
      </c>
    </row>
    <row r="124" spans="1:18" ht="32.25" customHeight="1" x14ac:dyDescent="0.5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32.25" customHeight="1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4152</v>
      </c>
      <c r="H125" s="156"/>
      <c r="I125" s="327" t="s">
        <v>368</v>
      </c>
      <c r="J125" s="327"/>
    </row>
    <row r="126" spans="1:18" ht="32.25" customHeight="1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32.25" customHeight="1" x14ac:dyDescent="0.5">
      <c r="A127" s="852"/>
      <c r="B127" s="852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 x14ac:dyDescent="0.5">
      <c r="A128" s="863" t="s">
        <v>318</v>
      </c>
      <c r="B128" s="864"/>
      <c r="C128" s="865"/>
      <c r="D128" s="151" t="s">
        <v>183</v>
      </c>
      <c r="E128" s="95">
        <f>'11'!F128</f>
        <v>51208</v>
      </c>
      <c r="F128" s="165">
        <v>51543</v>
      </c>
      <c r="G128" s="112">
        <f t="shared" ref="G128:G134" si="10">F128-E128</f>
        <v>335</v>
      </c>
      <c r="H128" s="99">
        <f>G128+'11'!H128</f>
        <v>3797</v>
      </c>
      <c r="I128" s="165"/>
      <c r="J128" s="328">
        <f>H128/DAY(B2)</f>
        <v>316.41666666666669</v>
      </c>
    </row>
    <row r="129" spans="1:15" ht="32.25" customHeight="1" x14ac:dyDescent="0.5">
      <c r="A129" s="329" t="s">
        <v>319</v>
      </c>
      <c r="B129" s="330"/>
      <c r="C129" s="331"/>
      <c r="D129" s="151" t="s">
        <v>183</v>
      </c>
      <c r="E129" s="95">
        <f>'11'!F129</f>
        <v>29201</v>
      </c>
      <c r="F129" s="165">
        <v>29490</v>
      </c>
      <c r="G129" s="112">
        <f t="shared" si="10"/>
        <v>289</v>
      </c>
      <c r="H129" s="99">
        <f>G129+'11'!H129</f>
        <v>2579.130000000001</v>
      </c>
      <c r="I129" s="165"/>
      <c r="J129" s="328">
        <f>H129/DAY(B2)</f>
        <v>214.92750000000009</v>
      </c>
      <c r="N129" s="240"/>
      <c r="O129" s="241"/>
    </row>
    <row r="130" spans="1:15" ht="32.25" customHeight="1" x14ac:dyDescent="0.5">
      <c r="A130" s="329" t="s">
        <v>320</v>
      </c>
      <c r="B130" s="330"/>
      <c r="C130" s="331"/>
      <c r="D130" s="151" t="s">
        <v>183</v>
      </c>
      <c r="E130" s="95">
        <f>'11'!F130</f>
        <v>42044</v>
      </c>
      <c r="F130" s="165">
        <v>42771</v>
      </c>
      <c r="G130" s="112">
        <f t="shared" si="10"/>
        <v>727</v>
      </c>
      <c r="H130" s="99">
        <f>G130+'11'!H130</f>
        <v>7077</v>
      </c>
      <c r="I130" s="165"/>
      <c r="J130" s="328">
        <f>H130/DAY(B2)</f>
        <v>589.75</v>
      </c>
      <c r="N130" s="240"/>
      <c r="O130" s="241"/>
    </row>
    <row r="131" spans="1:15" ht="32.25" customHeight="1" x14ac:dyDescent="0.5">
      <c r="A131" s="863" t="s">
        <v>321</v>
      </c>
      <c r="B131" s="864"/>
      <c r="C131" s="865"/>
      <c r="D131" s="151" t="s">
        <v>183</v>
      </c>
      <c r="E131" s="95">
        <f>'11'!F131</f>
        <v>16348</v>
      </c>
      <c r="F131" s="165">
        <v>16488</v>
      </c>
      <c r="G131" s="112">
        <f t="shared" si="10"/>
        <v>140</v>
      </c>
      <c r="H131" s="99">
        <f>G131+'11'!H131</f>
        <v>1180.3199999999997</v>
      </c>
      <c r="I131" s="165"/>
      <c r="J131" s="328">
        <f>H131/DAY(B2)</f>
        <v>98.359999999999971</v>
      </c>
      <c r="N131" s="240"/>
      <c r="O131" s="241"/>
    </row>
    <row r="132" spans="1:15" ht="32.25" customHeight="1" x14ac:dyDescent="0.5">
      <c r="A132" s="863" t="s">
        <v>322</v>
      </c>
      <c r="B132" s="864"/>
      <c r="C132" s="865"/>
      <c r="D132" s="151" t="s">
        <v>183</v>
      </c>
      <c r="E132" s="95">
        <f>'11'!F132</f>
        <v>55864</v>
      </c>
      <c r="F132" s="165">
        <v>56306</v>
      </c>
      <c r="G132" s="112">
        <f t="shared" si="10"/>
        <v>442</v>
      </c>
      <c r="H132" s="99">
        <f>G132+'11'!H132</f>
        <v>4457.6999999999971</v>
      </c>
      <c r="I132" s="165"/>
      <c r="J132" s="328">
        <f>H132/DAY(B2)</f>
        <v>371.47499999999974</v>
      </c>
    </row>
    <row r="133" spans="1:15" ht="32.25" customHeight="1" x14ac:dyDescent="0.5">
      <c r="A133" s="863" t="s">
        <v>362</v>
      </c>
      <c r="B133" s="864"/>
      <c r="C133" s="865"/>
      <c r="D133" s="151" t="s">
        <v>183</v>
      </c>
      <c r="E133" s="95">
        <f>'11'!F133</f>
        <v>111974</v>
      </c>
      <c r="F133" s="165">
        <v>112672</v>
      </c>
      <c r="G133" s="112">
        <f t="shared" si="10"/>
        <v>698</v>
      </c>
      <c r="H133" s="99">
        <f>G133+'11'!H133</f>
        <v>7328.3000000000029</v>
      </c>
      <c r="I133" s="165"/>
      <c r="J133" s="328">
        <f>H133/DAY(B2)</f>
        <v>610.69166666666695</v>
      </c>
    </row>
    <row r="134" spans="1:15" ht="32.25" customHeight="1" x14ac:dyDescent="0.5">
      <c r="A134" s="863" t="s">
        <v>340</v>
      </c>
      <c r="B134" s="864"/>
      <c r="C134" s="865"/>
      <c r="D134" s="151" t="s">
        <v>183</v>
      </c>
      <c r="E134" s="551">
        <v>10682</v>
      </c>
      <c r="F134" s="165">
        <v>10844</v>
      </c>
      <c r="G134" s="112">
        <f t="shared" si="10"/>
        <v>162</v>
      </c>
      <c r="H134" s="99">
        <f>G134+'11'!H134</f>
        <v>2242.7700000000004</v>
      </c>
      <c r="I134" s="165"/>
      <c r="J134" s="328">
        <f>H134/DAY(B2)</f>
        <v>186.89750000000004</v>
      </c>
    </row>
    <row r="135" spans="1:15" ht="32.25" customHeight="1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2793</v>
      </c>
      <c r="H135" s="99">
        <f>G135+'10'!H135</f>
        <v>26249.22</v>
      </c>
      <c r="I135" s="327">
        <f>G135-(G35+G49)</f>
        <v>-406</v>
      </c>
      <c r="J135" s="328"/>
    </row>
    <row r="136" spans="1:15" ht="32.25" customHeight="1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32.2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 x14ac:dyDescent="0.5">
      <c r="A138" s="862" t="s">
        <v>185</v>
      </c>
      <c r="B138" s="862"/>
      <c r="C138" s="862"/>
      <c r="D138" s="151" t="s">
        <v>183</v>
      </c>
      <c r="E138" s="95">
        <f>'11'!F138</f>
        <v>867078</v>
      </c>
      <c r="F138" s="147">
        <v>867174</v>
      </c>
      <c r="G138" s="112">
        <f t="shared" ref="G138:G152" si="11">F138-E138</f>
        <v>96</v>
      </c>
      <c r="H138" s="99">
        <f>G138+'11'!H138</f>
        <v>1001</v>
      </c>
      <c r="I138" s="118"/>
      <c r="J138" s="328">
        <f>H138/DAY(B2)</f>
        <v>83.416666666666671</v>
      </c>
    </row>
    <row r="139" spans="1:15" ht="32.25" customHeight="1" x14ac:dyDescent="0.5">
      <c r="A139" s="862" t="s">
        <v>186</v>
      </c>
      <c r="B139" s="862"/>
      <c r="C139" s="862"/>
      <c r="D139" s="151" t="s">
        <v>183</v>
      </c>
      <c r="E139" s="95">
        <f>'11'!F139</f>
        <v>886647</v>
      </c>
      <c r="F139" s="148">
        <v>886654</v>
      </c>
      <c r="G139" s="112">
        <f t="shared" si="11"/>
        <v>7</v>
      </c>
      <c r="H139" s="99">
        <f>G139+'11'!H139</f>
        <v>81</v>
      </c>
      <c r="I139" s="118"/>
      <c r="J139" s="328">
        <f>H139/DAY(B2)</f>
        <v>6.75</v>
      </c>
    </row>
    <row r="140" spans="1:15" ht="32.25" customHeight="1" x14ac:dyDescent="0.5">
      <c r="A140" s="862" t="s">
        <v>187</v>
      </c>
      <c r="B140" s="862"/>
      <c r="C140" s="862"/>
      <c r="D140" s="151" t="s">
        <v>183</v>
      </c>
      <c r="E140" s="95">
        <f>'11'!F140</f>
        <v>88948</v>
      </c>
      <c r="F140" s="149">
        <v>88948</v>
      </c>
      <c r="G140" s="112">
        <f t="shared" si="11"/>
        <v>0</v>
      </c>
      <c r="H140" s="99">
        <f>G140+'11'!H140</f>
        <v>26</v>
      </c>
      <c r="I140" s="118"/>
      <c r="J140" s="328">
        <f>H140/DAY(B2)</f>
        <v>2.1666666666666665</v>
      </c>
    </row>
    <row r="141" spans="1:15" ht="32.25" customHeight="1" x14ac:dyDescent="0.5">
      <c r="A141" s="843" t="s">
        <v>188</v>
      </c>
      <c r="B141" s="843"/>
      <c r="C141" s="843"/>
      <c r="D141" s="151" t="s">
        <v>183</v>
      </c>
      <c r="E141" s="95">
        <f>'11'!F141</f>
        <v>56623</v>
      </c>
      <c r="F141" s="149">
        <v>56810</v>
      </c>
      <c r="G141" s="112">
        <f t="shared" si="11"/>
        <v>187</v>
      </c>
      <c r="H141" s="99">
        <f>G141+'11'!H141</f>
        <v>2124.4199999999983</v>
      </c>
      <c r="I141" s="118"/>
      <c r="J141" s="328">
        <f>H141/DAY(B2)</f>
        <v>177.03499999999985</v>
      </c>
    </row>
    <row r="142" spans="1:15" ht="32.25" customHeight="1" x14ac:dyDescent="0.5">
      <c r="A142" s="843" t="s">
        <v>189</v>
      </c>
      <c r="B142" s="843"/>
      <c r="C142" s="843"/>
      <c r="D142" s="151" t="s">
        <v>183</v>
      </c>
      <c r="E142" s="95">
        <f>'11'!F142</f>
        <v>22044</v>
      </c>
      <c r="F142" s="148">
        <v>22114</v>
      </c>
      <c r="G142" s="112">
        <f t="shared" si="11"/>
        <v>70</v>
      </c>
      <c r="H142" s="99">
        <f>G142+'11'!H142</f>
        <v>829.90000000000146</v>
      </c>
      <c r="I142" s="140"/>
      <c r="J142" s="328">
        <f>H142/DAY(B2)</f>
        <v>69.158333333333459</v>
      </c>
    </row>
    <row r="143" spans="1:15" ht="32.25" customHeight="1" x14ac:dyDescent="0.5">
      <c r="A143" s="862" t="s">
        <v>91</v>
      </c>
      <c r="B143" s="862"/>
      <c r="C143" s="862"/>
      <c r="D143" s="151" t="s">
        <v>183</v>
      </c>
      <c r="E143" s="95">
        <f>'11'!F143</f>
        <v>4137</v>
      </c>
      <c r="F143" s="149">
        <v>4168</v>
      </c>
      <c r="G143" s="112">
        <f t="shared" si="11"/>
        <v>31</v>
      </c>
      <c r="H143" s="99">
        <f>G143+'11'!H143</f>
        <v>332.61000000000013</v>
      </c>
      <c r="I143" s="140"/>
      <c r="J143" s="328">
        <f>H143/DAY(B2)</f>
        <v>27.717500000000012</v>
      </c>
    </row>
    <row r="144" spans="1:15" ht="32.25" customHeight="1" x14ac:dyDescent="0.5">
      <c r="A144" s="843" t="s">
        <v>90</v>
      </c>
      <c r="B144" s="843"/>
      <c r="C144" s="843"/>
      <c r="D144" s="151" t="s">
        <v>183</v>
      </c>
      <c r="E144" s="95">
        <f>'11'!F144</f>
        <v>878805</v>
      </c>
      <c r="F144" s="149">
        <v>879025</v>
      </c>
      <c r="G144" s="112">
        <f t="shared" si="11"/>
        <v>220</v>
      </c>
      <c r="H144" s="99">
        <f>G144+'11'!H144</f>
        <v>2538</v>
      </c>
      <c r="I144" s="140"/>
      <c r="J144" s="328">
        <f>H144/DAY(B2)</f>
        <v>211.5</v>
      </c>
    </row>
    <row r="145" spans="1:10" ht="32.25" customHeight="1" x14ac:dyDescent="0.5">
      <c r="A145" s="862" t="s">
        <v>190</v>
      </c>
      <c r="B145" s="862"/>
      <c r="C145" s="862"/>
      <c r="D145" s="152" t="s">
        <v>183</v>
      </c>
      <c r="E145" s="95">
        <f>'11'!F145</f>
        <v>5101</v>
      </c>
      <c r="F145" s="149">
        <v>5110</v>
      </c>
      <c r="G145" s="112">
        <f t="shared" si="11"/>
        <v>9</v>
      </c>
      <c r="H145" s="99">
        <f>G145+'11'!H145</f>
        <v>151.15999999999985</v>
      </c>
      <c r="I145" s="140"/>
      <c r="J145" s="328">
        <f>H145/DAY(B2)</f>
        <v>12.596666666666655</v>
      </c>
    </row>
    <row r="146" spans="1:10" ht="32.25" customHeight="1" x14ac:dyDescent="0.5">
      <c r="A146" s="897" t="s">
        <v>191</v>
      </c>
      <c r="B146" s="882"/>
      <c r="C146" s="883"/>
      <c r="D146" s="152" t="s">
        <v>183</v>
      </c>
      <c r="E146" s="95">
        <f>'11'!F146</f>
        <v>741931</v>
      </c>
      <c r="F146" s="148">
        <v>742402</v>
      </c>
      <c r="G146" s="112">
        <f t="shared" si="11"/>
        <v>471</v>
      </c>
      <c r="H146" s="99">
        <f>G146+'11'!H146</f>
        <v>5069</v>
      </c>
      <c r="I146" s="140"/>
      <c r="J146" s="328">
        <f>H146/DAY(B2)</f>
        <v>422.41666666666669</v>
      </c>
    </row>
    <row r="147" spans="1:10" ht="32.25" customHeight="1" x14ac:dyDescent="0.5">
      <c r="A147" s="843" t="s">
        <v>192</v>
      </c>
      <c r="B147" s="843"/>
      <c r="C147" s="843"/>
      <c r="D147" s="152" t="s">
        <v>183</v>
      </c>
      <c r="E147" s="95">
        <f>'11'!F147</f>
        <v>630999</v>
      </c>
      <c r="F147" s="148">
        <v>631441</v>
      </c>
      <c r="G147" s="112">
        <f t="shared" si="11"/>
        <v>442</v>
      </c>
      <c r="H147" s="99">
        <f>G147+'11'!H147</f>
        <v>4828.4799999999814</v>
      </c>
      <c r="I147" s="140"/>
      <c r="J147" s="328">
        <f>H147/DAY(B2)</f>
        <v>402.3733333333318</v>
      </c>
    </row>
    <row r="148" spans="1:10" ht="32.25" customHeight="1" x14ac:dyDescent="0.5">
      <c r="A148" s="844" t="s">
        <v>193</v>
      </c>
      <c r="B148" s="845"/>
      <c r="C148" s="846"/>
      <c r="D148" s="123" t="s">
        <v>130</v>
      </c>
      <c r="E148" s="95">
        <f>'11'!F148</f>
        <v>692688</v>
      </c>
      <c r="F148" s="150">
        <v>693071</v>
      </c>
      <c r="G148" s="112">
        <f t="shared" si="11"/>
        <v>383</v>
      </c>
      <c r="H148" s="99">
        <f>G148+'11'!H148</f>
        <v>3628.0400000000373</v>
      </c>
      <c r="I148" s="124"/>
      <c r="J148" s="328">
        <f>H148/DAY(B2)</f>
        <v>302.33666666666977</v>
      </c>
    </row>
    <row r="149" spans="1:10" ht="32.25" customHeight="1" x14ac:dyDescent="0.5">
      <c r="A149" s="844" t="s">
        <v>336</v>
      </c>
      <c r="B149" s="845"/>
      <c r="C149" s="846"/>
      <c r="D149" s="227" t="s">
        <v>130</v>
      </c>
      <c r="E149" s="95">
        <f>'11'!F149</f>
        <v>30761</v>
      </c>
      <c r="F149" s="146">
        <v>31427</v>
      </c>
      <c r="G149" s="112">
        <f t="shared" si="11"/>
        <v>666</v>
      </c>
      <c r="H149" s="99">
        <f>G149+'11'!H149</f>
        <v>6748.7999999999993</v>
      </c>
      <c r="I149" s="119"/>
      <c r="J149" s="328">
        <f>H149/DAY(B2)</f>
        <v>562.4</v>
      </c>
    </row>
    <row r="150" spans="1:10" ht="32.25" customHeight="1" x14ac:dyDescent="0.5">
      <c r="A150" s="844" t="s">
        <v>337</v>
      </c>
      <c r="B150" s="845"/>
      <c r="C150" s="846"/>
      <c r="D150" s="117" t="s">
        <v>130</v>
      </c>
      <c r="E150" s="95">
        <f>'11'!F150</f>
        <v>13320</v>
      </c>
      <c r="F150" s="233">
        <v>13549</v>
      </c>
      <c r="G150" s="112">
        <f t="shared" si="11"/>
        <v>229</v>
      </c>
      <c r="H150" s="99">
        <f>G150+'11'!H150</f>
        <v>2698.17</v>
      </c>
      <c r="I150" s="119"/>
      <c r="J150" s="328">
        <f>H150/DAY(B2)</f>
        <v>224.8475</v>
      </c>
    </row>
    <row r="151" spans="1:10" ht="32.25" customHeight="1" x14ac:dyDescent="0.5">
      <c r="A151" s="844" t="s">
        <v>338</v>
      </c>
      <c r="B151" s="845"/>
      <c r="C151" s="846"/>
      <c r="D151" s="117" t="s">
        <v>130</v>
      </c>
      <c r="E151" s="95">
        <f>'11'!F151</f>
        <v>88114</v>
      </c>
      <c r="F151" s="233">
        <v>88393</v>
      </c>
      <c r="G151" s="112">
        <f t="shared" si="11"/>
        <v>279</v>
      </c>
      <c r="H151" s="99">
        <f>G151+'11'!H151</f>
        <v>2913</v>
      </c>
      <c r="I151" s="119"/>
      <c r="J151" s="328">
        <f>H151/DAY(B2)</f>
        <v>242.75</v>
      </c>
    </row>
    <row r="152" spans="1:10" ht="32.25" customHeight="1" x14ac:dyDescent="0.5">
      <c r="A152" s="844" t="s">
        <v>339</v>
      </c>
      <c r="B152" s="845"/>
      <c r="C152" s="846"/>
      <c r="D152" s="117" t="s">
        <v>130</v>
      </c>
      <c r="E152" s="95">
        <f>'11'!F152</f>
        <v>2241</v>
      </c>
      <c r="F152" s="233">
        <v>2303</v>
      </c>
      <c r="G152" s="112">
        <f t="shared" si="11"/>
        <v>62</v>
      </c>
      <c r="H152" s="99">
        <f>G152+'11'!H152</f>
        <v>643</v>
      </c>
      <c r="I152" s="119"/>
      <c r="J152" s="328">
        <f>H152/DAY(B2)</f>
        <v>53.583333333333336</v>
      </c>
    </row>
    <row r="153" spans="1:10" ht="32.25" customHeight="1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3152</v>
      </c>
      <c r="H153" s="363"/>
      <c r="I153" s="119">
        <f>G153-(G38+G52)</f>
        <v>990</v>
      </c>
      <c r="J153" s="366"/>
    </row>
    <row r="154" spans="1:10" ht="32.25" customHeight="1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2.25" customHeight="1" x14ac:dyDescent="0.55000000000000004">
      <c r="A155" s="843" t="s">
        <v>345</v>
      </c>
      <c r="B155" s="843"/>
      <c r="C155" s="843"/>
      <c r="D155" s="117" t="s">
        <v>130</v>
      </c>
      <c r="E155" s="95">
        <f>'11'!F155</f>
        <v>39939</v>
      </c>
      <c r="F155" s="374">
        <v>40653</v>
      </c>
      <c r="G155" s="112">
        <f t="shared" ref="G155:G158" si="12">F155-E155</f>
        <v>714</v>
      </c>
      <c r="H155" s="99">
        <f>G155+'11'!H155</f>
        <v>7708</v>
      </c>
      <c r="I155" s="364"/>
      <c r="J155" s="328">
        <f>H155/DAY(B2)</f>
        <v>642.33333333333337</v>
      </c>
    </row>
    <row r="156" spans="1:10" ht="32.25" customHeight="1" x14ac:dyDescent="0.5">
      <c r="A156" s="843" t="s">
        <v>347</v>
      </c>
      <c r="B156" s="843"/>
      <c r="C156" s="843"/>
      <c r="D156" s="117" t="s">
        <v>130</v>
      </c>
      <c r="E156" s="95">
        <f>'11'!F156</f>
        <v>3296</v>
      </c>
      <c r="F156" s="155">
        <v>3353</v>
      </c>
      <c r="G156" s="112">
        <f t="shared" si="12"/>
        <v>57</v>
      </c>
      <c r="H156" s="99">
        <f>G156+'11'!H156</f>
        <v>565</v>
      </c>
      <c r="I156" s="165"/>
      <c r="J156" s="328">
        <f>H156/DAY(B2)</f>
        <v>47.083333333333336</v>
      </c>
    </row>
    <row r="157" spans="1:10" ht="32.25" customHeight="1" x14ac:dyDescent="0.5">
      <c r="A157" s="844" t="s">
        <v>363</v>
      </c>
      <c r="B157" s="845"/>
      <c r="C157" s="846"/>
      <c r="D157" s="117" t="s">
        <v>130</v>
      </c>
      <c r="E157" s="95">
        <v>5280</v>
      </c>
      <c r="F157" s="155">
        <v>5301</v>
      </c>
      <c r="G157" s="112">
        <f t="shared" si="12"/>
        <v>21</v>
      </c>
      <c r="H157" s="99">
        <f>G157+'11'!H157</f>
        <v>21</v>
      </c>
      <c r="I157" s="165"/>
      <c r="J157" s="328">
        <f>H157/DAY(B2)</f>
        <v>1.75</v>
      </c>
    </row>
    <row r="158" spans="1:10" ht="32.25" customHeight="1" x14ac:dyDescent="0.5">
      <c r="A158" s="844" t="s">
        <v>364</v>
      </c>
      <c r="B158" s="845"/>
      <c r="C158" s="846"/>
      <c r="D158" s="117" t="s">
        <v>130</v>
      </c>
      <c r="E158" s="95">
        <v>69</v>
      </c>
      <c r="F158" s="155">
        <v>70</v>
      </c>
      <c r="G158" s="112">
        <f t="shared" si="12"/>
        <v>1</v>
      </c>
      <c r="H158" s="99">
        <f>G158+'11'!H158</f>
        <v>1</v>
      </c>
      <c r="I158" s="165"/>
      <c r="J158" s="328">
        <f>H158/DAY(B2)</f>
        <v>8.3333333333333329E-2</v>
      </c>
    </row>
    <row r="159" spans="1:10" ht="32.25" customHeight="1" x14ac:dyDescent="0.5">
      <c r="A159" s="927"/>
      <c r="B159" s="928"/>
      <c r="C159" s="929"/>
      <c r="D159" s="117"/>
      <c r="E159" s="95"/>
      <c r="F159" s="165"/>
      <c r="G159" s="362">
        <f>SUM(G155:G158)</f>
        <v>793</v>
      </c>
      <c r="H159" s="99"/>
      <c r="I159" s="165"/>
      <c r="J159" s="328"/>
    </row>
    <row r="160" spans="1:10" ht="32.25" customHeight="1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32.25" customHeight="1" x14ac:dyDescent="0.5">
      <c r="A161" s="242" t="s">
        <v>92</v>
      </c>
      <c r="B161" s="243"/>
      <c r="C161" s="243"/>
      <c r="D161" s="244" t="s">
        <v>180</v>
      </c>
      <c r="E161" s="95">
        <f>'11'!F161</f>
        <v>472490</v>
      </c>
      <c r="F161" s="235">
        <v>472508</v>
      </c>
      <c r="G161" s="238">
        <f t="shared" ref="G161:G165" si="13">F161-E161</f>
        <v>18</v>
      </c>
      <c r="H161" s="99">
        <f>G161+'11'!H161</f>
        <v>454.44000000000233</v>
      </c>
      <c r="I161" s="236"/>
      <c r="J161" s="239">
        <f>H161/DAY(B2)</f>
        <v>37.870000000000196</v>
      </c>
    </row>
    <row r="162" spans="1:10" ht="32.25" customHeight="1" x14ac:dyDescent="0.5">
      <c r="A162" s="242" t="s">
        <v>93</v>
      </c>
      <c r="B162" s="243"/>
      <c r="C162" s="243"/>
      <c r="D162" s="244" t="s">
        <v>180</v>
      </c>
      <c r="E162" s="95">
        <f>'11'!F162</f>
        <v>88920</v>
      </c>
      <c r="F162" s="235">
        <v>88941</v>
      </c>
      <c r="G162" s="238">
        <f t="shared" si="13"/>
        <v>21</v>
      </c>
      <c r="H162" s="99">
        <f>G162+'11'!H162</f>
        <v>424.60000000000582</v>
      </c>
      <c r="I162" s="236"/>
      <c r="J162" s="239">
        <f>H162/DAY(B2)</f>
        <v>35.383333333333816</v>
      </c>
    </row>
    <row r="163" spans="1:10" ht="32.25" customHeight="1" x14ac:dyDescent="0.5">
      <c r="A163" s="242" t="s">
        <v>197</v>
      </c>
      <c r="B163" s="243"/>
      <c r="C163" s="243"/>
      <c r="D163" s="244" t="s">
        <v>180</v>
      </c>
      <c r="E163" s="95">
        <f>'11'!F163</f>
        <v>79754</v>
      </c>
      <c r="F163" s="235">
        <v>79835</v>
      </c>
      <c r="G163" s="238">
        <f t="shared" si="13"/>
        <v>81</v>
      </c>
      <c r="H163" s="99">
        <f>G163+'11'!H163</f>
        <v>614.89999999999418</v>
      </c>
      <c r="I163" s="236"/>
      <c r="J163" s="239">
        <f>H163/DAY(B2)</f>
        <v>51.241666666666184</v>
      </c>
    </row>
    <row r="164" spans="1:10" ht="32.25" customHeight="1" x14ac:dyDescent="0.5">
      <c r="A164" s="242" t="s">
        <v>197</v>
      </c>
      <c r="B164" s="243"/>
      <c r="C164" s="243"/>
      <c r="D164" s="244" t="s">
        <v>180</v>
      </c>
      <c r="E164" s="95">
        <f>'11'!F164</f>
        <v>4330</v>
      </c>
      <c r="F164" s="235">
        <v>4330</v>
      </c>
      <c r="G164" s="238">
        <f t="shared" si="13"/>
        <v>0</v>
      </c>
      <c r="H164" s="99">
        <f>G164+'11'!H164</f>
        <v>10</v>
      </c>
      <c r="I164" s="236"/>
      <c r="J164" s="239">
        <f>H164/DAY(B2)</f>
        <v>0.83333333333333337</v>
      </c>
    </row>
    <row r="165" spans="1:10" ht="32.25" customHeight="1" x14ac:dyDescent="0.5">
      <c r="A165" s="242" t="s">
        <v>309</v>
      </c>
      <c r="B165" s="243"/>
      <c r="C165" s="243"/>
      <c r="D165" s="244" t="s">
        <v>180</v>
      </c>
      <c r="E165" s="95">
        <f>'11'!F165</f>
        <v>29958</v>
      </c>
      <c r="F165" s="235">
        <v>29962</v>
      </c>
      <c r="G165" s="238">
        <f t="shared" si="13"/>
        <v>4</v>
      </c>
      <c r="H165" s="99">
        <f>G165+'11'!H165</f>
        <v>104.75</v>
      </c>
      <c r="I165" s="236"/>
      <c r="J165" s="239">
        <f>H165/DAY(B2)</f>
        <v>8.7291666666666661</v>
      </c>
    </row>
    <row r="166" spans="1:10" ht="32.25" customHeight="1" x14ac:dyDescent="0.5">
      <c r="A166" s="852"/>
      <c r="B166" s="852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 x14ac:dyDescent="0.5">
      <c r="A167" s="852"/>
      <c r="B167" s="852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 x14ac:dyDescent="0.5">
      <c r="A168" s="852"/>
      <c r="B168" s="852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32.25" customHeight="1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 x14ac:dyDescent="0.5">
      <c r="A173" s="856" t="s">
        <v>209</v>
      </c>
      <c r="B173" s="857"/>
      <c r="C173" s="333"/>
      <c r="D173" s="228" t="s">
        <v>142</v>
      </c>
      <c r="E173" s="95">
        <f>'11'!F173</f>
        <v>8132</v>
      </c>
      <c r="F173" s="155">
        <v>8132</v>
      </c>
      <c r="G173" s="155">
        <f>F173-E173</f>
        <v>0</v>
      </c>
      <c r="H173" s="99">
        <f>G173+'11'!H173</f>
        <v>6</v>
      </c>
      <c r="I173" s="155"/>
      <c r="J173" s="178">
        <f>H173/DAY(B2)</f>
        <v>0.5</v>
      </c>
    </row>
    <row r="174" spans="1:10" ht="32.25" customHeight="1" x14ac:dyDescent="0.5">
      <c r="A174" s="856" t="s">
        <v>75</v>
      </c>
      <c r="B174" s="857"/>
      <c r="C174" s="333"/>
      <c r="D174" s="228" t="s">
        <v>142</v>
      </c>
      <c r="E174" s="157">
        <v>38761</v>
      </c>
      <c r="F174" s="157">
        <v>38778</v>
      </c>
      <c r="G174" s="155">
        <f t="shared" ref="G174:G175" si="14">F174-E174</f>
        <v>17</v>
      </c>
      <c r="H174" s="99">
        <f>G174+'11'!H174</f>
        <v>163</v>
      </c>
      <c r="I174" s="155"/>
      <c r="J174" s="178">
        <f>H174/DAY(B2)</f>
        <v>13.583333333333334</v>
      </c>
    </row>
    <row r="175" spans="1:10" ht="32.25" customHeight="1" x14ac:dyDescent="0.5">
      <c r="A175" s="856" t="s">
        <v>76</v>
      </c>
      <c r="B175" s="896"/>
      <c r="C175" s="857"/>
      <c r="D175" s="228" t="s">
        <v>142</v>
      </c>
      <c r="E175" s="95">
        <f>'11'!F175</f>
        <v>21931</v>
      </c>
      <c r="F175" s="155">
        <v>21945</v>
      </c>
      <c r="G175" s="155">
        <f t="shared" si="14"/>
        <v>14</v>
      </c>
      <c r="H175" s="99">
        <f>G175+'11'!H175</f>
        <v>132</v>
      </c>
      <c r="I175" s="155"/>
      <c r="J175" s="178">
        <f>H175/DAY(B2)</f>
        <v>11</v>
      </c>
    </row>
    <row r="176" spans="1:10" ht="32.25" customHeight="1" x14ac:dyDescent="0.5">
      <c r="A176" s="589" t="s">
        <v>196</v>
      </c>
      <c r="B176" s="590"/>
      <c r="C176" s="483"/>
      <c r="D176" s="228" t="s">
        <v>142</v>
      </c>
      <c r="E176" s="95"/>
      <c r="F176" s="155"/>
      <c r="G176" s="155">
        <f>SUM(G173:G175)</f>
        <v>31</v>
      </c>
      <c r="H176" s="99">
        <f>G176+'11'!H176</f>
        <v>301</v>
      </c>
      <c r="I176" s="155"/>
      <c r="J176" s="178">
        <f>H176/DAY(B2)</f>
        <v>25.083333333333332</v>
      </c>
    </row>
    <row r="177" spans="1:10" ht="32.25" customHeight="1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 x14ac:dyDescent="0.5">
      <c r="A178" s="856" t="s">
        <v>210</v>
      </c>
      <c r="B178" s="857"/>
      <c r="C178" s="333"/>
      <c r="D178" s="228" t="s">
        <v>142</v>
      </c>
      <c r="E178" s="95">
        <f>'11'!F178</f>
        <v>81878</v>
      </c>
      <c r="F178" s="155">
        <v>81973</v>
      </c>
      <c r="G178" s="155">
        <f>F178-E178</f>
        <v>95</v>
      </c>
      <c r="H178" s="99">
        <f>G178+'11'!H178</f>
        <v>658</v>
      </c>
      <c r="I178" s="155"/>
      <c r="J178" s="178">
        <f>H178/DAY(B2)</f>
        <v>54.833333333333336</v>
      </c>
    </row>
    <row r="179" spans="1:10" ht="32.25" customHeight="1" x14ac:dyDescent="0.5">
      <c r="A179" s="856" t="s">
        <v>211</v>
      </c>
      <c r="B179" s="857"/>
      <c r="C179" s="333"/>
      <c r="D179" s="228" t="s">
        <v>142</v>
      </c>
      <c r="E179" s="95">
        <f>'11'!F179</f>
        <v>35157</v>
      </c>
      <c r="F179" s="155">
        <v>35177</v>
      </c>
      <c r="G179" s="155">
        <f t="shared" ref="G179:G180" si="15">F179-E179</f>
        <v>20</v>
      </c>
      <c r="H179" s="99">
        <f>G179+'11'!H179</f>
        <v>374</v>
      </c>
      <c r="I179" s="155"/>
      <c r="J179" s="178">
        <f>H179/DAY(B2)</f>
        <v>31.166666666666668</v>
      </c>
    </row>
    <row r="180" spans="1:10" ht="32.25" customHeight="1" x14ac:dyDescent="0.5">
      <c r="A180" s="856" t="s">
        <v>212</v>
      </c>
      <c r="B180" s="857"/>
      <c r="C180" s="333"/>
      <c r="D180" s="228" t="s">
        <v>142</v>
      </c>
      <c r="E180" s="95">
        <f>'11'!F180</f>
        <v>5772</v>
      </c>
      <c r="F180" s="155">
        <v>5782</v>
      </c>
      <c r="G180" s="155">
        <f t="shared" si="15"/>
        <v>10</v>
      </c>
      <c r="H180" s="99">
        <f>G180+'11'!H180</f>
        <v>80</v>
      </c>
      <c r="I180" s="155"/>
      <c r="J180" s="178">
        <f>H180/DAY(B2)</f>
        <v>6.666666666666667</v>
      </c>
    </row>
    <row r="181" spans="1:10" ht="32.25" customHeight="1" x14ac:dyDescent="0.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125</v>
      </c>
      <c r="H181" s="99">
        <f>G181+'11'!H181</f>
        <v>1112</v>
      </c>
      <c r="I181" s="155"/>
      <c r="J181" s="178">
        <f>H181/DAY(B2)</f>
        <v>92.666666666666671</v>
      </c>
    </row>
    <row r="182" spans="1:10" ht="32.25" customHeight="1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 x14ac:dyDescent="0.5">
      <c r="A183" s="856" t="s">
        <v>214</v>
      </c>
      <c r="B183" s="857"/>
      <c r="C183" s="334"/>
      <c r="D183" s="228" t="s">
        <v>142</v>
      </c>
      <c r="E183" s="95">
        <f>'11'!F183</f>
        <v>15521</v>
      </c>
      <c r="F183" s="157">
        <v>15537</v>
      </c>
      <c r="G183" s="157">
        <f>F183-E183</f>
        <v>16</v>
      </c>
      <c r="H183" s="99">
        <f>G183+'11'!H183</f>
        <v>192</v>
      </c>
      <c r="I183" s="155"/>
      <c r="J183" s="178">
        <f>H183/DAY(B2)</f>
        <v>16</v>
      </c>
    </row>
    <row r="184" spans="1:10" ht="32.25" customHeight="1" x14ac:dyDescent="0.5">
      <c r="A184" s="856" t="s">
        <v>215</v>
      </c>
      <c r="B184" s="857"/>
      <c r="C184" s="334"/>
      <c r="D184" s="228" t="s">
        <v>142</v>
      </c>
      <c r="E184" s="95">
        <f>'11'!F184</f>
        <v>10660</v>
      </c>
      <c r="F184" s="157">
        <v>10665</v>
      </c>
      <c r="G184" s="157">
        <f t="shared" ref="G184:G185" si="16">F184-E184</f>
        <v>5</v>
      </c>
      <c r="H184" s="99">
        <f>G184+'11'!H184</f>
        <v>147</v>
      </c>
      <c r="I184" s="155"/>
      <c r="J184" s="178">
        <f>H184/DAY(B2)</f>
        <v>12.25</v>
      </c>
    </row>
    <row r="185" spans="1:10" ht="32.25" customHeight="1" x14ac:dyDescent="0.5">
      <c r="A185" s="856" t="s">
        <v>216</v>
      </c>
      <c r="B185" s="857"/>
      <c r="C185" s="334"/>
      <c r="D185" s="228" t="s">
        <v>142</v>
      </c>
      <c r="E185" s="95">
        <f>'11'!F185</f>
        <v>0</v>
      </c>
      <c r="F185" s="157"/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21</v>
      </c>
      <c r="H186" s="99">
        <f>G186+'11'!H186</f>
        <v>339</v>
      </c>
      <c r="I186" s="157"/>
      <c r="J186" s="178">
        <f>H186/DAY(B2)</f>
        <v>28.25</v>
      </c>
    </row>
    <row r="187" spans="1:10" ht="32.25" customHeight="1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236</v>
      </c>
      <c r="H187" s="99">
        <f>G187+'11'!H187</f>
        <v>2203</v>
      </c>
      <c r="I187" s="158"/>
      <c r="J187" s="179">
        <f>H187/DAY(B2)</f>
        <v>183.58333333333334</v>
      </c>
    </row>
    <row r="188" spans="1:10" ht="32.25" customHeight="1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239</v>
      </c>
      <c r="H188" s="99">
        <f>G188+'11'!H188</f>
        <v>2218</v>
      </c>
      <c r="I188" s="158"/>
      <c r="J188" s="179">
        <f>H188/DAY(B2)</f>
        <v>184.83333333333334</v>
      </c>
    </row>
    <row r="189" spans="1:10" ht="32.25" customHeight="1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681">
        <f>G181</f>
        <v>125</v>
      </c>
      <c r="H189" s="99">
        <f>G189+'11'!H189</f>
        <v>1112</v>
      </c>
      <c r="I189" s="158"/>
      <c r="J189" s="179">
        <f>H189/DAY(B2)</f>
        <v>92.666666666666671</v>
      </c>
    </row>
    <row r="190" spans="1:10" ht="32.25" customHeight="1" x14ac:dyDescent="0.5">
      <c r="A190" s="770"/>
      <c r="B190" s="771"/>
      <c r="C190" s="481"/>
      <c r="D190" s="478"/>
      <c r="E190" s="475"/>
      <c r="F190" s="478"/>
      <c r="G190" s="478"/>
      <c r="H190" s="484"/>
      <c r="I190" s="478"/>
      <c r="J190" s="480"/>
    </row>
  </sheetData>
  <mergeCells count="114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zoomScale="50" zoomScaleSheetLayoutView="50" workbookViewId="0">
      <selection activeCell="Q46" sqref="Q46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.75" customHeight="1" x14ac:dyDescent="0.5">
      <c r="A2" s="191" t="s">
        <v>303</v>
      </c>
      <c r="B2" s="262">
        <v>44605</v>
      </c>
      <c r="C2" s="348" t="s">
        <v>67</v>
      </c>
      <c r="D2" s="218">
        <v>0.53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23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'12'!F7</f>
        <v>889068</v>
      </c>
      <c r="F7" s="95">
        <v>911144</v>
      </c>
      <c r="G7" s="112">
        <f>F7-E7</f>
        <v>22076</v>
      </c>
      <c r="H7" s="99">
        <f>G7+'12'!H7</f>
        <v>259963.77000000002</v>
      </c>
      <c r="I7" s="113">
        <f>'1'!I7</f>
        <v>12000</v>
      </c>
      <c r="J7" s="175">
        <f>H7/DAY(B2)</f>
        <v>19997.213076923079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'12'!F8</f>
        <v>948253</v>
      </c>
      <c r="F8" s="95">
        <v>970453</v>
      </c>
      <c r="G8" s="115">
        <f>F8-E8</f>
        <v>22200</v>
      </c>
      <c r="H8" s="99">
        <f>G8+'12'!H8</f>
        <v>261904.84999999998</v>
      </c>
      <c r="I8" s="116"/>
      <c r="J8" s="175">
        <f>H8/DAY(B2)</f>
        <v>20146.526923076923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'12'!F9</f>
        <v>461289</v>
      </c>
      <c r="F9" s="598">
        <v>479386</v>
      </c>
      <c r="G9" s="112">
        <f>F9-E9</f>
        <v>18097</v>
      </c>
      <c r="H9" s="99">
        <f>G9+'12'!H9</f>
        <v>197132.15000000002</v>
      </c>
      <c r="I9" s="124">
        <f>I7-J7</f>
        <v>-7997.2130769230789</v>
      </c>
      <c r="J9" s="175">
        <f>H9/DAY(B2)</f>
        <v>15164.01153846154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353">
        <v>157461</v>
      </c>
      <c r="F10" s="353">
        <v>160802</v>
      </c>
      <c r="G10" s="112">
        <f t="shared" ref="G10:G12" si="0">F10-E10</f>
        <v>3341</v>
      </c>
      <c r="H10" s="99">
        <f>G10+'12'!H10</f>
        <v>55543.03</v>
      </c>
      <c r="I10" s="282"/>
      <c r="J10" s="175">
        <f>H10/DAY(B2)</f>
        <v>4272.540769230769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'12'!F11</f>
        <v>37170</v>
      </c>
      <c r="F11" s="95">
        <v>37170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21438</v>
      </c>
      <c r="H13" s="99">
        <f>G13+'12'!H13</f>
        <v>235920.75</v>
      </c>
      <c r="I13" s="120">
        <f>G7-G13</f>
        <v>638</v>
      </c>
      <c r="J13" s="175">
        <f>H13/DAY(B2)</f>
        <v>18147.75</v>
      </c>
      <c r="K13" s="79"/>
      <c r="L13" s="66"/>
      <c r="N13" s="87"/>
      <c r="O13" s="71"/>
    </row>
    <row r="14" spans="1:15" ht="27.75" customHeight="1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'12'!F15</f>
        <v>1919362</v>
      </c>
      <c r="F15" s="123">
        <v>1920470</v>
      </c>
      <c r="G15" s="112">
        <f>(F15-E15)</f>
        <v>1108</v>
      </c>
      <c r="H15" s="99">
        <f>G15+'12'!H15</f>
        <v>13833.233000000007</v>
      </c>
      <c r="I15" s="113">
        <f>'1'!I15</f>
        <v>800</v>
      </c>
      <c r="J15" s="175">
        <f>H15/DAY(B2)</f>
        <v>1064.0948461538467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-264.09484615384667</v>
      </c>
      <c r="J16" s="176"/>
      <c r="K16" s="79"/>
      <c r="L16" s="66"/>
      <c r="N16" s="87"/>
      <c r="O16" s="71"/>
    </row>
    <row r="17" spans="1:15" ht="27.75" customHeight="1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84" t="s">
        <v>141</v>
      </c>
      <c r="B18" s="885"/>
      <c r="C18" s="886"/>
      <c r="D18" s="151" t="s">
        <v>142</v>
      </c>
      <c r="E18" s="95">
        <f>'12'!F18</f>
        <v>28</v>
      </c>
      <c r="F18" s="122">
        <v>24</v>
      </c>
      <c r="G18" s="119">
        <f>F18*10</f>
        <v>240</v>
      </c>
      <c r="H18" s="99">
        <f>G18+'12'!H18</f>
        <v>2790</v>
      </c>
      <c r="I18" s="113">
        <f>'1'!I18</f>
        <v>65</v>
      </c>
      <c r="J18" s="175">
        <f>H18/DAY(B2)</f>
        <v>214.61538461538461</v>
      </c>
      <c r="K18" s="79"/>
      <c r="L18" s="66"/>
      <c r="N18" s="87"/>
      <c r="O18" s="71"/>
    </row>
    <row r="19" spans="1:15" ht="27.75" customHeight="1" x14ac:dyDescent="0.5">
      <c r="A19" s="884" t="s">
        <v>69</v>
      </c>
      <c r="B19" s="885"/>
      <c r="C19" s="886"/>
      <c r="D19" s="151" t="s">
        <v>142</v>
      </c>
      <c r="E19" s="95">
        <f>'12'!F19</f>
        <v>154524</v>
      </c>
      <c r="F19" s="122">
        <v>154580</v>
      </c>
      <c r="G19" s="112">
        <f t="shared" ref="G19" si="1">F19-E19</f>
        <v>56</v>
      </c>
      <c r="H19" s="99">
        <f>G19+'12'!H19</f>
        <v>689</v>
      </c>
      <c r="I19" s="335"/>
      <c r="J19" s="175">
        <f>H19/DAY(B2)</f>
        <v>53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296</v>
      </c>
      <c r="H20" s="99">
        <f>G20+'12'!H20</f>
        <v>3479</v>
      </c>
      <c r="I20" s="336">
        <f>I18-J20</f>
        <v>-202.61538461538464</v>
      </c>
      <c r="J20" s="175">
        <f>H20/DAY(B2)</f>
        <v>267.61538461538464</v>
      </c>
      <c r="K20" s="79"/>
      <c r="L20" s="66"/>
      <c r="N20" s="87"/>
      <c r="O20" s="71"/>
    </row>
    <row r="21" spans="1:15" ht="27.75" customHeight="1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'12'!F23</f>
        <v>1500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22200</v>
      </c>
      <c r="F27" s="136">
        <v>9</v>
      </c>
      <c r="G27" s="137">
        <f>E27*F27</f>
        <v>199800</v>
      </c>
      <c r="H27" s="99">
        <f>G27+'12'!H27</f>
        <v>2357143.65</v>
      </c>
      <c r="I27" s="138"/>
      <c r="J27" s="175">
        <f>H27/DAY(B2)</f>
        <v>181318.7423076923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1108</v>
      </c>
      <c r="F28" s="136">
        <v>70</v>
      </c>
      <c r="G28" s="137">
        <f>E28*F28</f>
        <v>77560</v>
      </c>
      <c r="H28" s="99">
        <f>G28+'12'!H28</f>
        <v>739272.11600000039</v>
      </c>
      <c r="I28" s="140"/>
      <c r="J28" s="175">
        <f>H28/DAY(B2)</f>
        <v>56867.085846153874</v>
      </c>
      <c r="K28" s="63"/>
      <c r="L28" s="89"/>
      <c r="N28" s="87"/>
      <c r="O28" s="71">
        <v>0</v>
      </c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151</v>
      </c>
      <c r="G30" s="137">
        <f>E30*F30</f>
        <v>8456</v>
      </c>
      <c r="H30" s="99">
        <f>G30+'12'!H30</f>
        <v>100874</v>
      </c>
      <c r="I30" s="140"/>
      <c r="J30" s="175">
        <f>H30/DAY(B2)</f>
        <v>7759.5384615384619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G31+'12'!H31</f>
        <v>223200</v>
      </c>
      <c r="I31" s="140"/>
      <c r="J31" s="175">
        <f>H31/DAY(B2)</f>
        <v>17169.23076923077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305016</v>
      </c>
      <c r="H32" s="99">
        <f>G32+'12'!H32</f>
        <v>3420489.7660000003</v>
      </c>
      <c r="I32" s="144"/>
      <c r="J32" s="175">
        <f>H32/DAY(B2)</f>
        <v>263114.59738461539</v>
      </c>
      <c r="K32" s="63"/>
      <c r="L32" s="89"/>
      <c r="N32" s="87"/>
      <c r="O32" s="71"/>
    </row>
    <row r="33" spans="1:15" ht="27.7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'12'!F35</f>
        <v>50061</v>
      </c>
      <c r="F35" s="145">
        <v>51594</v>
      </c>
      <c r="G35" s="112">
        <f t="shared" ref="G35:G46" si="3">F35-E35</f>
        <v>1533</v>
      </c>
      <c r="H35" s="99">
        <f>G35+'12'!H35</f>
        <v>19589.02</v>
      </c>
      <c r="I35" s="95"/>
      <c r="J35" s="175">
        <f>H35/DAY(B2)</f>
        <v>1506.8476923076923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'12'!F36</f>
        <v>54808</v>
      </c>
      <c r="F36" s="145">
        <v>55877</v>
      </c>
      <c r="G36" s="112">
        <f t="shared" si="3"/>
        <v>1069</v>
      </c>
      <c r="H36" s="99">
        <f>G36+'12'!H36</f>
        <v>12418.260000000002</v>
      </c>
      <c r="I36" s="95"/>
      <c r="J36" s="175">
        <f>H36/DAY(B2)</f>
        <v>955.25076923076938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'12'!F37</f>
        <v>55042</v>
      </c>
      <c r="F37" s="145">
        <v>56823</v>
      </c>
      <c r="G37" s="112">
        <f t="shared" si="3"/>
        <v>1781</v>
      </c>
      <c r="H37" s="99">
        <f>G37+'12'!H37</f>
        <v>21397.910000000003</v>
      </c>
      <c r="I37" s="95"/>
      <c r="J37" s="175">
        <f>H37/DAY(B2)</f>
        <v>1645.9930769230773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'12'!F38</f>
        <v>61185</v>
      </c>
      <c r="F38" s="108">
        <v>63214</v>
      </c>
      <c r="G38" s="112">
        <f t="shared" si="3"/>
        <v>2029</v>
      </c>
      <c r="H38" s="99">
        <f>G38+'12'!H38</f>
        <v>24837.57</v>
      </c>
      <c r="I38" s="95"/>
      <c r="J38" s="175">
        <f>H38/DAY(B2)</f>
        <v>1910.5823076923077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'12'!F39</f>
        <v>93673</v>
      </c>
      <c r="F39" s="145">
        <v>96952</v>
      </c>
      <c r="G39" s="112">
        <f t="shared" si="3"/>
        <v>3279</v>
      </c>
      <c r="H39" s="99">
        <f>G39+'12'!H39</f>
        <v>37778.71</v>
      </c>
      <c r="I39" s="95"/>
      <c r="J39" s="175">
        <f>H39/DAY(B2)</f>
        <v>2906.0546153846153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'12'!F40</f>
        <v>25514</v>
      </c>
      <c r="F40" s="145">
        <v>26453</v>
      </c>
      <c r="G40" s="112">
        <f t="shared" si="3"/>
        <v>939</v>
      </c>
      <c r="H40" s="99">
        <f>G40+'12'!H40</f>
        <v>4336.0099999999975</v>
      </c>
      <c r="I40" s="95"/>
      <c r="J40" s="175">
        <f>H40/DAY(B2)</f>
        <v>333.53923076923058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'12'!F41</f>
        <v>63</v>
      </c>
      <c r="F41" s="145">
        <v>63</v>
      </c>
      <c r="G41" s="112">
        <f t="shared" si="3"/>
        <v>0</v>
      </c>
      <c r="H41" s="99">
        <f>G41+'12'!H41</f>
        <v>0.27000000000000313</v>
      </c>
      <c r="I41" s="95"/>
      <c r="J41" s="175">
        <f>H41/DAY(B2)</f>
        <v>2.0769230769231008E-2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'12'!F42</f>
        <v>131048</v>
      </c>
      <c r="F42" s="145">
        <v>135861</v>
      </c>
      <c r="G42" s="112">
        <f t="shared" si="3"/>
        <v>4813</v>
      </c>
      <c r="H42" s="99">
        <f>G42+'12'!H42</f>
        <v>35731.259999999995</v>
      </c>
      <c r="I42" s="95"/>
      <c r="J42" s="175">
        <f>H42/DAY(B2)</f>
        <v>2748.558461538461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'12'!F43</f>
        <v>140613</v>
      </c>
      <c r="F43" s="145">
        <v>142758</v>
      </c>
      <c r="G43" s="112">
        <f t="shared" si="3"/>
        <v>2145</v>
      </c>
      <c r="H43" s="99">
        <f>G43+'12'!H43</f>
        <v>27906.399999999994</v>
      </c>
      <c r="I43" s="95"/>
      <c r="J43" s="175">
        <f>H43/DAY(B2)</f>
        <v>2146.6461538461535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17588</v>
      </c>
      <c r="H47" s="99">
        <f>G47+'12'!H47</f>
        <v>183995.41</v>
      </c>
      <c r="I47" s="95"/>
      <c r="J47" s="175">
        <f>H47/DAY(B2)</f>
        <v>14153.493076923078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'12'!F49</f>
        <v>40496</v>
      </c>
      <c r="F49" s="145">
        <v>41944</v>
      </c>
      <c r="G49" s="112">
        <f t="shared" ref="G49:G58" si="4">F49-E49</f>
        <v>1448</v>
      </c>
      <c r="H49" s="99">
        <f>G49+'12'!H49</f>
        <v>16947.810000000001</v>
      </c>
      <c r="I49" s="95"/>
      <c r="J49" s="175">
        <f>H49/DAY(B2)</f>
        <v>1303.6776923076925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'12'!F50</f>
        <v>70733</v>
      </c>
      <c r="F50" s="145">
        <v>72291</v>
      </c>
      <c r="G50" s="112">
        <f t="shared" si="4"/>
        <v>1558</v>
      </c>
      <c r="H50" s="99">
        <f>G50+'12'!H50</f>
        <v>15904.370000000003</v>
      </c>
      <c r="I50" s="95"/>
      <c r="J50" s="175">
        <f>H50/DAY(B2)</f>
        <v>1223.4130769230771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'12'!F51</f>
        <v>0</v>
      </c>
      <c r="F51" s="145">
        <v>0</v>
      </c>
      <c r="G51" s="112">
        <f t="shared" si="4"/>
        <v>0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'12'!F52</f>
        <v>0</v>
      </c>
      <c r="F52" s="145">
        <v>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'12'!F54</f>
        <v>10689</v>
      </c>
      <c r="F54" s="145">
        <v>11228</v>
      </c>
      <c r="G54" s="112">
        <f t="shared" si="4"/>
        <v>539</v>
      </c>
      <c r="H54" s="99">
        <f>G54+'12'!H54</f>
        <v>6080.58</v>
      </c>
      <c r="I54" s="95"/>
      <c r="J54" s="175">
        <f>H54/DAY(B2)</f>
        <v>467.73692307692306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'12'!F55</f>
        <v>90373</v>
      </c>
      <c r="F55" s="145">
        <v>90579</v>
      </c>
      <c r="G55" s="112">
        <f t="shared" si="4"/>
        <v>206</v>
      </c>
      <c r="H55" s="99">
        <f>G55+'12'!H55</f>
        <v>16212.89</v>
      </c>
      <c r="I55" s="95"/>
      <c r="J55" s="175">
        <f>H55/DAY(B2)</f>
        <v>1247.1453846153845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'12'!F56</f>
        <v>8724</v>
      </c>
      <c r="F56" s="145">
        <v>8724</v>
      </c>
      <c r="G56" s="112">
        <f t="shared" si="4"/>
        <v>0</v>
      </c>
      <c r="H56" s="99">
        <f>G56+'12'!H56</f>
        <v>113.45999999999913</v>
      </c>
      <c r="I56" s="95"/>
      <c r="J56" s="175">
        <f>H56/DAY(B2)</f>
        <v>8.7276923076922408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'12'!F58</f>
        <v>7369</v>
      </c>
      <c r="F58" s="145">
        <v>7565</v>
      </c>
      <c r="G58" s="112">
        <f t="shared" si="4"/>
        <v>196</v>
      </c>
      <c r="H58" s="99">
        <f>G58+'12'!H58</f>
        <v>2768.79</v>
      </c>
      <c r="I58" s="95"/>
      <c r="J58" s="175">
        <f>H58/DAY(B2)</f>
        <v>212.98384615384614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3947</v>
      </c>
      <c r="H59" s="99">
        <f>G59+'12'!H59</f>
        <v>58027.9</v>
      </c>
      <c r="I59" s="95">
        <f>G7-G60</f>
        <v>541</v>
      </c>
      <c r="J59" s="175">
        <f>H59/DAY(B2)</f>
        <v>4463.6846153846154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21535</v>
      </c>
      <c r="H60" s="99">
        <f>G60+'12'!H60</f>
        <v>242023.31</v>
      </c>
      <c r="I60" s="95">
        <f>G13-G60</f>
        <v>-97</v>
      </c>
      <c r="J60" s="175">
        <f>H60/DAY(B2)</f>
        <v>18617.17769230769</v>
      </c>
      <c r="K60" s="79"/>
      <c r="L60" s="66"/>
      <c r="N60" s="87"/>
      <c r="O60" s="71"/>
    </row>
    <row r="61" spans="1:15" s="68" customFormat="1" ht="27.75" customHeight="1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84" t="s">
        <v>198</v>
      </c>
      <c r="B62" s="885"/>
      <c r="C62" s="886"/>
      <c r="D62" s="151" t="s">
        <v>142</v>
      </c>
      <c r="E62" s="95">
        <f>'12'!F62</f>
        <v>271086</v>
      </c>
      <c r="F62" s="122">
        <v>271263</v>
      </c>
      <c r="G62" s="112">
        <f t="shared" ref="G62:G63" si="5">F62-E62</f>
        <v>177</v>
      </c>
      <c r="H62" s="99">
        <f>G62+'12'!H62</f>
        <v>1747</v>
      </c>
      <c r="I62" s="118"/>
      <c r="J62" s="175">
        <f>H62/DAY(B2)</f>
        <v>134.38461538461539</v>
      </c>
      <c r="K62" s="80"/>
      <c r="L62" s="66"/>
      <c r="N62" s="87"/>
      <c r="O62" s="71"/>
    </row>
    <row r="63" spans="1:15" ht="27.75" customHeight="1" x14ac:dyDescent="0.5">
      <c r="A63" s="884" t="s">
        <v>199</v>
      </c>
      <c r="B63" s="885"/>
      <c r="C63" s="886"/>
      <c r="D63" s="151" t="s">
        <v>142</v>
      </c>
      <c r="E63" s="95">
        <f>'12'!F63</f>
        <v>217380</v>
      </c>
      <c r="F63" s="122">
        <v>217520</v>
      </c>
      <c r="G63" s="112">
        <f t="shared" si="5"/>
        <v>140</v>
      </c>
      <c r="H63" s="99">
        <f>G63+'12'!H63</f>
        <v>1723</v>
      </c>
      <c r="I63" s="118"/>
      <c r="J63" s="175">
        <f>H63/DAY(B2)</f>
        <v>132.53846153846155</v>
      </c>
      <c r="K63" s="69"/>
      <c r="L63" s="66"/>
      <c r="N63" s="87"/>
      <c r="O63" s="71"/>
    </row>
    <row r="64" spans="1:15" ht="27.75" customHeight="1" x14ac:dyDescent="0.5">
      <c r="A64" s="893" t="s">
        <v>200</v>
      </c>
      <c r="B64" s="894"/>
      <c r="C64" s="895"/>
      <c r="D64" s="151"/>
      <c r="E64" s="95">
        <f>'12'!F64</f>
        <v>0</v>
      </c>
      <c r="F64" s="122"/>
      <c r="G64" s="112">
        <f>G62+G63</f>
        <v>317</v>
      </c>
      <c r="H64" s="99">
        <f>G64+'12'!H64</f>
        <v>3470</v>
      </c>
      <c r="I64" s="118"/>
      <c r="J64" s="175">
        <f>H64/DAY(B2)</f>
        <v>266.92307692307691</v>
      </c>
      <c r="K64" s="69"/>
      <c r="L64" s="66"/>
      <c r="N64" s="87"/>
      <c r="O64" s="71"/>
    </row>
    <row r="65" spans="1:15" ht="27.75" customHeight="1" x14ac:dyDescent="0.5">
      <c r="A65" s="884" t="s">
        <v>201</v>
      </c>
      <c r="B65" s="885"/>
      <c r="C65" s="886"/>
      <c r="D65" s="151" t="s">
        <v>142</v>
      </c>
      <c r="E65" s="95">
        <f>'12'!F65</f>
        <v>436096</v>
      </c>
      <c r="F65" s="122">
        <v>436208</v>
      </c>
      <c r="G65" s="112">
        <f t="shared" ref="G65:G70" si="6">F65-E65</f>
        <v>112</v>
      </c>
      <c r="H65" s="99">
        <f>G65+'12'!H65</f>
        <v>1285</v>
      </c>
      <c r="I65" s="118"/>
      <c r="J65" s="175">
        <f>H65/DAY(B2)</f>
        <v>98.84615384615384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'12'!F66</f>
        <v>108045</v>
      </c>
      <c r="F66" s="122">
        <v>108072</v>
      </c>
      <c r="G66" s="112">
        <f t="shared" si="6"/>
        <v>27</v>
      </c>
      <c r="H66" s="99">
        <f>G66+'12'!H66</f>
        <v>329</v>
      </c>
      <c r="I66" s="118"/>
      <c r="J66" s="175">
        <f>H66/DAY(B2)</f>
        <v>25.307692307692307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'12'!F67</f>
        <v>105081</v>
      </c>
      <c r="F67" s="122">
        <v>105152</v>
      </c>
      <c r="G67" s="112">
        <f t="shared" si="6"/>
        <v>71</v>
      </c>
      <c r="H67" s="99">
        <f>G67+'12'!H67</f>
        <v>504</v>
      </c>
      <c r="I67" s="118"/>
      <c r="J67" s="175">
        <f>H67/DAY(B2)</f>
        <v>38.769230769230766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'12'!F68</f>
        <v>158166</v>
      </c>
      <c r="F68" s="122">
        <v>158198</v>
      </c>
      <c r="G68" s="112">
        <f t="shared" si="6"/>
        <v>32</v>
      </c>
      <c r="H68" s="99">
        <f>G68+'12'!H68</f>
        <v>501</v>
      </c>
      <c r="I68" s="118"/>
      <c r="J68" s="175">
        <f>H68/DAY(B2)</f>
        <v>38.53846153846154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'12'!F69</f>
        <v>10702</v>
      </c>
      <c r="F69" s="122">
        <v>10713</v>
      </c>
      <c r="G69" s="112">
        <f t="shared" si="6"/>
        <v>11</v>
      </c>
      <c r="H69" s="99">
        <f>G69+'12'!H69</f>
        <v>172</v>
      </c>
      <c r="I69" s="118"/>
      <c r="J69" s="175">
        <f>H69/DAY(B2)</f>
        <v>13.23076923076923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'12'!F70</f>
        <v>8269</v>
      </c>
      <c r="F70" s="122">
        <v>8277</v>
      </c>
      <c r="G70" s="112">
        <f t="shared" si="6"/>
        <v>8</v>
      </c>
      <c r="H70" s="99">
        <f>G70+'12'!H70</f>
        <v>157</v>
      </c>
      <c r="I70" s="118"/>
      <c r="J70" s="175">
        <f>H70/DAY(B2)</f>
        <v>12.076923076923077</v>
      </c>
      <c r="K70" s="69"/>
      <c r="L70" s="66"/>
      <c r="N70" s="87"/>
      <c r="O70" s="71"/>
    </row>
    <row r="71" spans="1:15" ht="27.75" customHeight="1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261</v>
      </c>
      <c r="H71" s="99">
        <f>G71+'12'!H71</f>
        <v>2948</v>
      </c>
      <c r="I71" s="154"/>
      <c r="J71" s="175">
        <f>H71/DAY(B2)</f>
        <v>226.76923076923077</v>
      </c>
      <c r="K71" s="69"/>
      <c r="L71" s="66"/>
      <c r="N71" s="87"/>
      <c r="O71" s="71"/>
    </row>
    <row r="72" spans="1:15" s="88" customFormat="1" ht="27.75" customHeight="1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84" t="s">
        <v>220</v>
      </c>
      <c r="B74" s="885"/>
      <c r="C74" s="886"/>
      <c r="D74" s="151" t="s">
        <v>139</v>
      </c>
      <c r="E74" s="95">
        <f>'12'!F74</f>
        <v>905014</v>
      </c>
      <c r="F74" s="117">
        <v>905301</v>
      </c>
      <c r="G74" s="112">
        <f t="shared" ref="G74:G78" si="7">F74-E74</f>
        <v>287</v>
      </c>
      <c r="H74" s="99">
        <f>G74+'12'!H74</f>
        <v>3994.8510000000242</v>
      </c>
      <c r="I74" s="154"/>
      <c r="J74" s="175">
        <f>H74/DAY(B2)</f>
        <v>307.29623076923264</v>
      </c>
      <c r="K74" s="69"/>
      <c r="L74" s="66"/>
      <c r="N74" s="87"/>
      <c r="O74" s="71"/>
    </row>
    <row r="75" spans="1:15" ht="27.75" customHeight="1" x14ac:dyDescent="0.5">
      <c r="A75" s="884" t="s">
        <v>221</v>
      </c>
      <c r="B75" s="885"/>
      <c r="C75" s="886"/>
      <c r="D75" s="151" t="s">
        <v>139</v>
      </c>
      <c r="E75" s="95">
        <f>'12'!F75</f>
        <v>73587</v>
      </c>
      <c r="F75" s="123">
        <v>73587</v>
      </c>
      <c r="G75" s="112">
        <f t="shared" si="7"/>
        <v>0</v>
      </c>
      <c r="H75" s="99">
        <f>G75+'12'!H75</f>
        <v>0.19999999999708962</v>
      </c>
      <c r="I75" s="154"/>
      <c r="J75" s="175">
        <f>H75/DAY(B2)</f>
        <v>1.5384615384391509E-2</v>
      </c>
      <c r="K75" s="69"/>
      <c r="L75" s="66"/>
      <c r="N75" s="87"/>
      <c r="O75" s="71"/>
    </row>
    <row r="76" spans="1:15" ht="27.75" customHeight="1" x14ac:dyDescent="0.5">
      <c r="A76" s="881" t="s">
        <v>222</v>
      </c>
      <c r="B76" s="882"/>
      <c r="C76" s="883"/>
      <c r="D76" s="151" t="s">
        <v>139</v>
      </c>
      <c r="E76" s="95">
        <f>'12'!F76</f>
        <v>171404</v>
      </c>
      <c r="F76" s="123">
        <v>171523</v>
      </c>
      <c r="G76" s="112">
        <f t="shared" si="7"/>
        <v>119</v>
      </c>
      <c r="H76" s="99">
        <f>G76+'12'!H76</f>
        <v>1548</v>
      </c>
      <c r="I76" s="154"/>
      <c r="J76" s="175">
        <f>H76/DAY(B2)</f>
        <v>119.07692307692308</v>
      </c>
      <c r="K76" s="69"/>
      <c r="L76" s="66"/>
      <c r="N76" s="87"/>
      <c r="O76" s="71"/>
    </row>
    <row r="77" spans="1:15" ht="27.75" customHeight="1" x14ac:dyDescent="0.5">
      <c r="A77" s="881" t="s">
        <v>223</v>
      </c>
      <c r="B77" s="882"/>
      <c r="C77" s="883"/>
      <c r="D77" s="151" t="s">
        <v>139</v>
      </c>
      <c r="E77" s="95">
        <f>'12'!F77</f>
        <v>41884</v>
      </c>
      <c r="F77" s="123">
        <v>41936</v>
      </c>
      <c r="G77" s="112">
        <f t="shared" si="7"/>
        <v>52</v>
      </c>
      <c r="H77" s="99">
        <f>G77+'12'!H77</f>
        <v>633.80000000000291</v>
      </c>
      <c r="I77" s="154"/>
      <c r="J77" s="175">
        <f>H77/DAY(B2)</f>
        <v>48.753846153846375</v>
      </c>
      <c r="K77" s="69"/>
      <c r="L77" s="66"/>
      <c r="N77" s="87"/>
      <c r="O77" s="71"/>
    </row>
    <row r="78" spans="1:15" ht="27.75" customHeight="1" x14ac:dyDescent="0.5">
      <c r="A78" s="881" t="s">
        <v>224</v>
      </c>
      <c r="B78" s="882"/>
      <c r="C78" s="883"/>
      <c r="D78" s="151" t="s">
        <v>139</v>
      </c>
      <c r="E78" s="95">
        <f>'12'!F78</f>
        <v>9538</v>
      </c>
      <c r="F78" s="123">
        <v>9541</v>
      </c>
      <c r="G78" s="112">
        <f t="shared" si="7"/>
        <v>3</v>
      </c>
      <c r="H78" s="99">
        <f>G78+'12'!H78</f>
        <v>25</v>
      </c>
      <c r="I78" s="118"/>
      <c r="J78" s="175">
        <f>H78/DAY(B2)</f>
        <v>1.9230769230769231</v>
      </c>
      <c r="K78" s="69"/>
      <c r="L78" s="66"/>
      <c r="N78" s="87"/>
      <c r="O78" s="71"/>
    </row>
    <row r="79" spans="1:15" s="57" customFormat="1" ht="27.75" customHeight="1" x14ac:dyDescent="0.5">
      <c r="A79" s="881" t="s">
        <v>225</v>
      </c>
      <c r="B79" s="882"/>
      <c r="C79" s="883"/>
      <c r="D79" s="151"/>
      <c r="E79" s="95">
        <f>'12'!F79</f>
        <v>0</v>
      </c>
      <c r="F79" s="117"/>
      <c r="G79" s="112">
        <f>G15-SUM(G74:G78)</f>
        <v>647</v>
      </c>
      <c r="H79" s="99">
        <f>G79+'12'!H79</f>
        <v>7631.3819999999832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1108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'12'!F84</f>
        <v>41675</v>
      </c>
      <c r="F84" s="164">
        <v>41675</v>
      </c>
      <c r="G84" s="112">
        <f t="shared" si="8"/>
        <v>0</v>
      </c>
      <c r="H84" s="99">
        <f>G84+'12'!H84</f>
        <v>0</v>
      </c>
      <c r="I84" s="118"/>
      <c r="J84" s="175">
        <f>H84/DAY(B2)</f>
        <v>0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'12'!F85</f>
        <v>2432</v>
      </c>
      <c r="F85" s="164">
        <v>2456</v>
      </c>
      <c r="G85" s="112">
        <f t="shared" si="8"/>
        <v>24</v>
      </c>
      <c r="H85" s="99">
        <f>G85+'12'!H85</f>
        <v>195.57999999999993</v>
      </c>
      <c r="I85" s="118">
        <f>G82+G83+G84+G85</f>
        <v>24</v>
      </c>
      <c r="J85" s="175">
        <f>H85/DAY(B2)</f>
        <v>15.04461538461538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'12'!F86</f>
        <v>43562</v>
      </c>
      <c r="F86" s="164">
        <v>43564</v>
      </c>
      <c r="G86" s="112">
        <f t="shared" si="8"/>
        <v>2</v>
      </c>
      <c r="H86" s="99">
        <f>G86+'12'!H86</f>
        <v>122</v>
      </c>
      <c r="I86" s="118"/>
      <c r="J86" s="175">
        <f>H86/DAY(B2)</f>
        <v>9.384615384615385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'12'!F87</f>
        <v>34598.550000000003</v>
      </c>
      <c r="F87" s="164">
        <v>34598.550000000003</v>
      </c>
      <c r="G87" s="112">
        <f t="shared" si="8"/>
        <v>0</v>
      </c>
      <c r="H87" s="99">
        <f>G87+'12'!H87</f>
        <v>5.0000000002910383E-2</v>
      </c>
      <c r="I87" s="118"/>
      <c r="J87" s="175">
        <f>H87/DAY(B2)</f>
        <v>3.846153846377722E-3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'12'!F88</f>
        <v>24066.77</v>
      </c>
      <c r="F88" s="164">
        <v>24066.77</v>
      </c>
      <c r="G88" s="112">
        <f t="shared" si="8"/>
        <v>0</v>
      </c>
      <c r="H88" s="99">
        <f>G88+'12'!H88</f>
        <v>3.3400000000001455</v>
      </c>
      <c r="I88" s="118">
        <f>G86+G87+G88</f>
        <v>2</v>
      </c>
      <c r="J88" s="175">
        <f>H88/DAY(B2)</f>
        <v>0.25692307692308813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'12'!F89</f>
        <v>26012.63</v>
      </c>
      <c r="F89" s="164">
        <v>26022.66</v>
      </c>
      <c r="G89" s="112">
        <f t="shared" si="8"/>
        <v>10.029999999998836</v>
      </c>
      <c r="H89" s="99">
        <f>G89+'12'!H89</f>
        <v>131.54000000000087</v>
      </c>
      <c r="I89" s="118"/>
      <c r="J89" s="175">
        <f>H89/DAY(B2)</f>
        <v>10.118461538461606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'12'!F90</f>
        <v>71201.23</v>
      </c>
      <c r="F90" s="164">
        <v>71209.78</v>
      </c>
      <c r="G90" s="112">
        <f t="shared" si="8"/>
        <v>8.5500000000029104</v>
      </c>
      <c r="H90" s="99">
        <f>G90+'12'!H90</f>
        <v>46.459999999991851</v>
      </c>
      <c r="I90" s="118">
        <f>G89+G90</f>
        <v>18.580000000001746</v>
      </c>
      <c r="J90" s="175">
        <f>H90/DAY(B2)</f>
        <v>3.5738461538455271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'12'!F91</f>
        <v>3387.86</v>
      </c>
      <c r="F91" s="122">
        <v>3398.46</v>
      </c>
      <c r="G91" s="112">
        <f t="shared" si="8"/>
        <v>10.599999999999909</v>
      </c>
      <c r="H91" s="99">
        <f>G91+'12'!H91</f>
        <v>147.36999999999989</v>
      </c>
      <c r="I91" s="165"/>
      <c r="J91" s="175">
        <f>H91/DAY(B2)</f>
        <v>11.336153846153838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'12'!F92</f>
        <v>5741</v>
      </c>
      <c r="F92" s="122">
        <v>5741</v>
      </c>
      <c r="G92" s="112">
        <f t="shared" si="8"/>
        <v>0</v>
      </c>
      <c r="H92" s="99">
        <f>G92+'12'!H92</f>
        <v>-6.9999999999708962E-2</v>
      </c>
      <c r="I92" s="165"/>
      <c r="J92" s="175">
        <f>H92/DAY(B2)</f>
        <v>-5.3846153845929969E-3</v>
      </c>
      <c r="O92" s="71"/>
    </row>
    <row r="93" spans="1:15" ht="27.75" customHeight="1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5126</v>
      </c>
      <c r="H94" s="99">
        <f>G94+'12'!H94</f>
        <v>64443.229999999996</v>
      </c>
      <c r="I94" s="118"/>
      <c r="J94" s="175">
        <f>H94/DAY(B2)</f>
        <v>4957.1715384615381</v>
      </c>
      <c r="K94" s="69"/>
      <c r="L94" s="66"/>
      <c r="O94" s="71"/>
    </row>
    <row r="95" spans="1:15" ht="27.75" customHeight="1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0.23219786193150932</v>
      </c>
      <c r="H95" s="99">
        <f>G95+'12'!H95</f>
        <v>3.2262134315069928</v>
      </c>
      <c r="I95" s="167"/>
      <c r="J95" s="175">
        <f>H95/DAY(B2)</f>
        <v>0.24817026396207637</v>
      </c>
      <c r="K95" s="69"/>
      <c r="L95" s="66"/>
      <c r="O95" s="71"/>
    </row>
    <row r="96" spans="1:15" ht="27.75" customHeight="1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5019</v>
      </c>
      <c r="H96" s="99">
        <f>G96+'12'!H96</f>
        <v>52057.87999999999</v>
      </c>
      <c r="I96" s="118"/>
      <c r="J96" s="175">
        <f>H96/DAY(B2)</f>
        <v>4004.4523076923069</v>
      </c>
      <c r="K96" s="69"/>
      <c r="L96" s="66"/>
      <c r="O96" s="71"/>
    </row>
    <row r="97" spans="1:15" ht="27.75" customHeight="1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0.2273509693785106</v>
      </c>
      <c r="H97" s="99">
        <f>G97+'12'!H97</f>
        <v>2.5970661649741635</v>
      </c>
      <c r="I97" s="167"/>
      <c r="J97" s="175">
        <f>H97/DAY(B2)</f>
        <v>0.19977432038262796</v>
      </c>
      <c r="K97" s="69"/>
      <c r="L97" s="66"/>
      <c r="O97" s="71"/>
    </row>
    <row r="98" spans="1:15" ht="27.75" customHeight="1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3279</v>
      </c>
      <c r="H98" s="99">
        <f>G98+'12'!H98</f>
        <v>37778.71</v>
      </c>
      <c r="I98" s="168"/>
      <c r="J98" s="175">
        <f>H98/DAY(B2)</f>
        <v>2906.0546153846153</v>
      </c>
      <c r="K98" s="69"/>
      <c r="L98" s="66"/>
      <c r="O98" s="71"/>
    </row>
    <row r="99" spans="1:15" ht="27.75" customHeight="1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0.1485323428157275</v>
      </c>
      <c r="H99" s="99">
        <f>G99+'12'!H99</f>
        <v>1.8900333540992162</v>
      </c>
      <c r="I99" s="168"/>
      <c r="J99" s="175">
        <f>H99/DAY(B2)</f>
        <v>0.14538718108455509</v>
      </c>
      <c r="O99" s="71"/>
    </row>
    <row r="100" spans="1:15" ht="27.75" customHeight="1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2029</v>
      </c>
      <c r="H100" s="99">
        <f>G100+'12'!H100</f>
        <v>24837.57</v>
      </c>
      <c r="I100" s="118"/>
      <c r="J100" s="175">
        <f>H100/DAY(B2)</f>
        <v>1910.5823076923077</v>
      </c>
      <c r="K100" s="70"/>
      <c r="O100" s="71"/>
    </row>
    <row r="101" spans="1:15" ht="27.75" customHeight="1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9.1909766262003992E-2</v>
      </c>
      <c r="H101" s="99">
        <f>G101+'12'!H101</f>
        <v>1.2423892105616534</v>
      </c>
      <c r="I101" s="168"/>
      <c r="J101" s="175">
        <f>H101/DAY(B2)</f>
        <v>9.5568400812434881E-2</v>
      </c>
      <c r="O101" s="71"/>
    </row>
    <row r="102" spans="1:15" ht="27.75" customHeight="1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2627</v>
      </c>
      <c r="H102" s="99">
        <f>G102+'12'!H102</f>
        <v>28322.630000000005</v>
      </c>
      <c r="I102" s="168"/>
      <c r="J102" s="175">
        <f>H102/DAY(B2)</f>
        <v>2178.6638461538464</v>
      </c>
      <c r="O102" s="71"/>
    </row>
    <row r="103" spans="1:15" ht="27.75" customHeight="1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0.1189980068853053</v>
      </c>
      <c r="H103" s="99">
        <f>G103+'12'!H103</f>
        <v>1.410696477884942</v>
      </c>
      <c r="I103" s="118"/>
      <c r="J103" s="175">
        <f>H103/DAY(B2)</f>
        <v>0.10851511368345708</v>
      </c>
      <c r="O103" s="71"/>
    </row>
    <row r="104" spans="1:15" ht="27.75" customHeight="1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1781</v>
      </c>
      <c r="H104" s="99">
        <f>G104+'12'!H104</f>
        <v>21397.910000000003</v>
      </c>
      <c r="I104" s="118"/>
      <c r="J104" s="175">
        <f>H104/DAY(B2)</f>
        <v>1645.9930769230773</v>
      </c>
      <c r="O104" s="71"/>
    </row>
    <row r="105" spans="1:15" ht="27.75" customHeight="1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8.0675847073745241E-2</v>
      </c>
      <c r="H105" s="99">
        <f>G105+'12'!H105</f>
        <v>1.0727975171250785</v>
      </c>
      <c r="I105" s="187"/>
      <c r="J105" s="188">
        <f>H105/DAY(B2)</f>
        <v>8.2522885932698353E-2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7.75" customHeight="1" x14ac:dyDescent="0.5">
      <c r="A109" s="901"/>
      <c r="B109" s="901"/>
    </row>
    <row r="110" spans="1:15" ht="27.75" customHeight="1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customHeight="1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863" t="s">
        <v>252</v>
      </c>
      <c r="B112" s="864"/>
      <c r="C112" s="865"/>
      <c r="D112" s="146" t="s">
        <v>183</v>
      </c>
      <c r="E112" s="95">
        <f>'12'!F112</f>
        <v>58939</v>
      </c>
      <c r="F112" s="237">
        <v>59004</v>
      </c>
      <c r="G112" s="112">
        <f t="shared" ref="G112:G123" si="9">F112-E112</f>
        <v>65</v>
      </c>
      <c r="H112" s="99">
        <f>G112+'12'!H112</f>
        <v>950</v>
      </c>
      <c r="I112" s="165"/>
      <c r="J112" s="328">
        <f>H112/DAY(B2)</f>
        <v>73.07692307692308</v>
      </c>
    </row>
    <row r="113" spans="1:18" ht="27.75" customHeight="1" x14ac:dyDescent="0.5">
      <c r="A113" s="863" t="s">
        <v>253</v>
      </c>
      <c r="B113" s="864"/>
      <c r="C113" s="865"/>
      <c r="D113" s="146" t="s">
        <v>183</v>
      </c>
      <c r="E113" s="95">
        <f>'12'!F113</f>
        <v>52030</v>
      </c>
      <c r="F113" s="237">
        <v>52520</v>
      </c>
      <c r="G113" s="112">
        <f t="shared" si="9"/>
        <v>490</v>
      </c>
      <c r="H113" s="99">
        <f>G113+'12'!H113</f>
        <v>6119.1100000000006</v>
      </c>
      <c r="I113" s="165"/>
      <c r="J113" s="328">
        <f>H113/DAY(B2)</f>
        <v>470.70076923076925</v>
      </c>
    </row>
    <row r="114" spans="1:18" ht="27.75" customHeight="1" x14ac:dyDescent="0.5">
      <c r="A114" s="863" t="s">
        <v>254</v>
      </c>
      <c r="B114" s="864"/>
      <c r="C114" s="865"/>
      <c r="D114" s="146" t="s">
        <v>183</v>
      </c>
      <c r="E114" s="95">
        <f>'12'!F114</f>
        <v>37020</v>
      </c>
      <c r="F114" s="237">
        <v>37526</v>
      </c>
      <c r="G114" s="112">
        <f t="shared" si="9"/>
        <v>506</v>
      </c>
      <c r="H114" s="99">
        <f>G114+'12'!H114</f>
        <v>4366</v>
      </c>
      <c r="I114" s="165"/>
      <c r="J114" s="328">
        <f>H114/DAY(B2)</f>
        <v>335.84615384615387</v>
      </c>
    </row>
    <row r="115" spans="1:18" ht="27.75" customHeight="1" x14ac:dyDescent="0.5">
      <c r="A115" s="863" t="s">
        <v>255</v>
      </c>
      <c r="B115" s="864"/>
      <c r="C115" s="865"/>
      <c r="D115" s="146" t="s">
        <v>183</v>
      </c>
      <c r="E115" s="95">
        <f>'12'!F115</f>
        <v>9221</v>
      </c>
      <c r="F115" s="237">
        <v>9229</v>
      </c>
      <c r="G115" s="112">
        <f t="shared" si="9"/>
        <v>8</v>
      </c>
      <c r="H115" s="99">
        <f>G115+'12'!H115</f>
        <v>134.35000000000036</v>
      </c>
      <c r="I115" s="165"/>
      <c r="J115" s="328">
        <f>H115/DAY(B2)</f>
        <v>10.334615384615413</v>
      </c>
    </row>
    <row r="116" spans="1:18" ht="27.75" customHeight="1" x14ac:dyDescent="0.5">
      <c r="A116" s="870" t="s">
        <v>96</v>
      </c>
      <c r="B116" s="871"/>
      <c r="C116" s="872"/>
      <c r="D116" s="146" t="s">
        <v>183</v>
      </c>
      <c r="E116" s="95">
        <f>'12'!F116</f>
        <v>2405</v>
      </c>
      <c r="F116" s="237">
        <v>2851</v>
      </c>
      <c r="G116" s="112">
        <f t="shared" si="9"/>
        <v>446</v>
      </c>
      <c r="H116" s="99">
        <f>G116+'12'!H116</f>
        <v>2851</v>
      </c>
      <c r="I116" s="165"/>
      <c r="J116" s="328">
        <f>H116/DAY(B2)</f>
        <v>219.30769230769232</v>
      </c>
      <c r="Q116" s="863"/>
      <c r="R116" s="865"/>
    </row>
    <row r="117" spans="1:18" ht="27.75" customHeight="1" x14ac:dyDescent="0.5">
      <c r="A117" s="870" t="s">
        <v>184</v>
      </c>
      <c r="B117" s="871"/>
      <c r="C117" s="872"/>
      <c r="D117" s="146" t="s">
        <v>183</v>
      </c>
      <c r="E117" s="95">
        <f>'12'!F117</f>
        <v>4862</v>
      </c>
      <c r="F117" s="237">
        <v>5081</v>
      </c>
      <c r="G117" s="112">
        <f t="shared" si="9"/>
        <v>219</v>
      </c>
      <c r="H117" s="99">
        <f>G117+'12'!H117</f>
        <v>1743.0500000000002</v>
      </c>
      <c r="I117" s="165"/>
      <c r="J117" s="328">
        <f>H117/DAY(B2)</f>
        <v>134.08076923076925</v>
      </c>
      <c r="Q117" s="863"/>
      <c r="R117" s="865"/>
    </row>
    <row r="118" spans="1:18" ht="27.75" customHeight="1" x14ac:dyDescent="0.5">
      <c r="A118" s="862" t="s">
        <v>97</v>
      </c>
      <c r="B118" s="862"/>
      <c r="C118" s="862"/>
      <c r="D118" s="151" t="s">
        <v>183</v>
      </c>
      <c r="E118" s="95">
        <f>'12'!F118</f>
        <v>256755</v>
      </c>
      <c r="F118" s="237">
        <v>257167</v>
      </c>
      <c r="G118" s="112">
        <f t="shared" si="9"/>
        <v>412</v>
      </c>
      <c r="H118" s="99">
        <f>G118+'12'!H118</f>
        <v>4714.6900000000023</v>
      </c>
      <c r="I118" s="165"/>
      <c r="J118" s="328">
        <f>H118/DAY(B2)</f>
        <v>362.66846153846171</v>
      </c>
      <c r="Q118" s="863"/>
      <c r="R118" s="865"/>
    </row>
    <row r="119" spans="1:18" ht="27.75" customHeight="1" x14ac:dyDescent="0.5">
      <c r="A119" s="862" t="s">
        <v>98</v>
      </c>
      <c r="B119" s="862"/>
      <c r="C119" s="862"/>
      <c r="D119" s="151" t="s">
        <v>183</v>
      </c>
      <c r="E119" s="95">
        <f>'12'!F119</f>
        <v>263141</v>
      </c>
      <c r="F119" s="237">
        <v>263567</v>
      </c>
      <c r="G119" s="112">
        <f t="shared" si="9"/>
        <v>426</v>
      </c>
      <c r="H119" s="99">
        <f>G119+'12'!H119</f>
        <v>5418.4500000000116</v>
      </c>
      <c r="I119" s="165"/>
      <c r="J119" s="328">
        <f>H119/DAY(B2)</f>
        <v>416.80384615384708</v>
      </c>
    </row>
    <row r="120" spans="1:18" ht="27.75" customHeight="1" x14ac:dyDescent="0.5">
      <c r="A120" s="862" t="s">
        <v>99</v>
      </c>
      <c r="B120" s="862"/>
      <c r="C120" s="862"/>
      <c r="D120" s="151" t="s">
        <v>183</v>
      </c>
      <c r="E120" s="95">
        <f>'12'!F120</f>
        <v>48046</v>
      </c>
      <c r="F120" s="237">
        <v>48455</v>
      </c>
      <c r="G120" s="112">
        <f t="shared" si="9"/>
        <v>409</v>
      </c>
      <c r="H120" s="99">
        <f>G120+'12'!H120</f>
        <v>5495.3899999999994</v>
      </c>
      <c r="I120" s="165"/>
      <c r="J120" s="328">
        <f>H120/DAY(B2)</f>
        <v>422.72230769230765</v>
      </c>
    </row>
    <row r="121" spans="1:18" ht="27.75" customHeight="1" x14ac:dyDescent="0.5">
      <c r="A121" s="862" t="s">
        <v>100</v>
      </c>
      <c r="B121" s="862"/>
      <c r="C121" s="862"/>
      <c r="D121" s="151" t="s">
        <v>183</v>
      </c>
      <c r="E121" s="95">
        <f>'12'!F121</f>
        <v>406805</v>
      </c>
      <c r="F121" s="237">
        <v>407562</v>
      </c>
      <c r="G121" s="112">
        <f t="shared" si="9"/>
        <v>757</v>
      </c>
      <c r="H121" s="99">
        <f>G121+'12'!H121</f>
        <v>9527.570000000007</v>
      </c>
      <c r="I121" s="165"/>
      <c r="J121" s="328">
        <f>H121/DAY(B2)</f>
        <v>732.89000000000055</v>
      </c>
    </row>
    <row r="122" spans="1:18" ht="27.75" customHeight="1" x14ac:dyDescent="0.5">
      <c r="A122" s="862" t="s">
        <v>101</v>
      </c>
      <c r="B122" s="862"/>
      <c r="C122" s="862"/>
      <c r="D122" s="151" t="s">
        <v>183</v>
      </c>
      <c r="E122" s="95">
        <f>'12'!F122</f>
        <v>128805</v>
      </c>
      <c r="F122" s="237">
        <v>129065</v>
      </c>
      <c r="G122" s="112">
        <f t="shared" si="9"/>
        <v>260</v>
      </c>
      <c r="H122" s="99">
        <f>G122+'12'!H122</f>
        <v>2878.820000000007</v>
      </c>
      <c r="I122" s="165"/>
      <c r="J122" s="328">
        <f>H122/DAY(B2)</f>
        <v>221.44769230769285</v>
      </c>
    </row>
    <row r="123" spans="1:18" ht="27.75" customHeight="1" x14ac:dyDescent="0.5">
      <c r="A123" s="862" t="s">
        <v>102</v>
      </c>
      <c r="B123" s="862"/>
      <c r="C123" s="862"/>
      <c r="D123" s="151" t="s">
        <v>183</v>
      </c>
      <c r="E123" s="95">
        <f>'12'!F123</f>
        <v>157104</v>
      </c>
      <c r="F123" s="237">
        <v>157363</v>
      </c>
      <c r="G123" s="112">
        <f t="shared" si="9"/>
        <v>259</v>
      </c>
      <c r="H123" s="99">
        <f>G123+'12'!H123</f>
        <v>3316.0499999999884</v>
      </c>
      <c r="I123" s="165"/>
      <c r="J123" s="328">
        <f>H123/DAY(B2)</f>
        <v>255.08076923076834</v>
      </c>
    </row>
    <row r="124" spans="1:18" ht="27.75" customHeight="1" x14ac:dyDescent="0.5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27.75" customHeight="1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4257</v>
      </c>
      <c r="H125" s="156"/>
      <c r="I125" s="327">
        <f>G125-(G39+G53)</f>
        <v>978</v>
      </c>
      <c r="J125" s="327"/>
    </row>
    <row r="126" spans="1:18" ht="27.75" customHeight="1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customHeight="1" x14ac:dyDescent="0.5">
      <c r="A127" s="852"/>
      <c r="B127" s="852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 x14ac:dyDescent="0.5">
      <c r="A128" s="863" t="s">
        <v>318</v>
      </c>
      <c r="B128" s="864"/>
      <c r="C128" s="865"/>
      <c r="D128" s="151" t="s">
        <v>183</v>
      </c>
      <c r="E128" s="95">
        <f>'12'!F128</f>
        <v>51543</v>
      </c>
      <c r="F128" s="165">
        <v>51864</v>
      </c>
      <c r="G128" s="112">
        <f t="shared" ref="G128:G134" si="10">F128-E128</f>
        <v>321</v>
      </c>
      <c r="H128" s="99">
        <f>G128+'12'!H128</f>
        <v>4118</v>
      </c>
      <c r="I128" s="165"/>
      <c r="J128" s="328">
        <f>H128/DAY(B2)</f>
        <v>316.76923076923077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'12'!F129</f>
        <v>29490</v>
      </c>
      <c r="F129" s="165">
        <v>29691</v>
      </c>
      <c r="G129" s="112">
        <f t="shared" si="10"/>
        <v>201</v>
      </c>
      <c r="H129" s="99">
        <f>G129+'12'!H129</f>
        <v>2780.130000000001</v>
      </c>
      <c r="I129" s="165"/>
      <c r="J129" s="328">
        <f>H129/DAY(B2)</f>
        <v>213.85615384615392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'12'!F130</f>
        <v>42771</v>
      </c>
      <c r="F130" s="165">
        <v>43414</v>
      </c>
      <c r="G130" s="112">
        <f t="shared" si="10"/>
        <v>643</v>
      </c>
      <c r="H130" s="99">
        <f>G130+'12'!H130</f>
        <v>7720</v>
      </c>
      <c r="I130" s="165"/>
      <c r="J130" s="328">
        <f>H130/DAY(B2)</f>
        <v>593.84615384615381</v>
      </c>
      <c r="N130" s="240"/>
      <c r="O130" s="241"/>
    </row>
    <row r="131" spans="1:15" ht="27.75" customHeight="1" x14ac:dyDescent="0.5">
      <c r="A131" s="863" t="s">
        <v>321</v>
      </c>
      <c r="B131" s="864"/>
      <c r="C131" s="865"/>
      <c r="D131" s="151" t="s">
        <v>183</v>
      </c>
      <c r="E131" s="95">
        <f>'12'!F131</f>
        <v>16488</v>
      </c>
      <c r="F131" s="165">
        <v>16612</v>
      </c>
      <c r="G131" s="112">
        <f t="shared" si="10"/>
        <v>124</v>
      </c>
      <c r="H131" s="99">
        <f>G131+'12'!H131</f>
        <v>1304.3199999999997</v>
      </c>
      <c r="I131" s="165"/>
      <c r="J131" s="328">
        <f>H131/DAY(B2)</f>
        <v>100.33230769230767</v>
      </c>
      <c r="N131" s="240"/>
      <c r="O131" s="241"/>
    </row>
    <row r="132" spans="1:15" ht="27.75" customHeight="1" x14ac:dyDescent="0.5">
      <c r="A132" s="863" t="s">
        <v>322</v>
      </c>
      <c r="B132" s="864"/>
      <c r="C132" s="865"/>
      <c r="D132" s="151" t="s">
        <v>183</v>
      </c>
      <c r="E132" s="95">
        <f>'12'!F132</f>
        <v>56306</v>
      </c>
      <c r="F132" s="165">
        <v>56739</v>
      </c>
      <c r="G132" s="112">
        <f t="shared" si="10"/>
        <v>433</v>
      </c>
      <c r="H132" s="99">
        <f>G132+'12'!H132</f>
        <v>4890.6999999999971</v>
      </c>
      <c r="I132" s="165"/>
      <c r="J132" s="328">
        <f>H132/DAY(B2)</f>
        <v>376.20769230769207</v>
      </c>
    </row>
    <row r="133" spans="1:15" ht="27.75" customHeight="1" x14ac:dyDescent="0.5">
      <c r="A133" s="863" t="s">
        <v>362</v>
      </c>
      <c r="B133" s="864"/>
      <c r="C133" s="865"/>
      <c r="D133" s="151" t="s">
        <v>183</v>
      </c>
      <c r="E133" s="95">
        <f>'12'!F133</f>
        <v>112672</v>
      </c>
      <c r="F133" s="165">
        <v>113348</v>
      </c>
      <c r="G133" s="112">
        <f t="shared" si="10"/>
        <v>676</v>
      </c>
      <c r="H133" s="99">
        <f>G133+'12'!H133</f>
        <v>8004.3000000000029</v>
      </c>
      <c r="I133" s="165"/>
      <c r="J133" s="328">
        <f>H133/DAY(B2)</f>
        <v>615.71538461538489</v>
      </c>
    </row>
    <row r="134" spans="1:15" ht="27.75" customHeight="1" x14ac:dyDescent="0.5">
      <c r="A134" s="863" t="s">
        <v>340</v>
      </c>
      <c r="B134" s="864"/>
      <c r="C134" s="865"/>
      <c r="D134" s="151" t="s">
        <v>183</v>
      </c>
      <c r="E134" s="155">
        <v>10844</v>
      </c>
      <c r="F134" s="165">
        <v>11016</v>
      </c>
      <c r="G134" s="112">
        <f t="shared" si="10"/>
        <v>172</v>
      </c>
      <c r="H134" s="99">
        <f>G134+'12'!H134</f>
        <v>2414.7700000000004</v>
      </c>
      <c r="I134" s="165"/>
      <c r="J134" s="328">
        <f>H134/DAY(B2)</f>
        <v>185.7515384615385</v>
      </c>
    </row>
    <row r="135" spans="1:15" ht="27.75" customHeight="1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2570</v>
      </c>
      <c r="H135" s="99">
        <f>G135+'12'!H135</f>
        <v>28819.22</v>
      </c>
      <c r="I135" s="327">
        <f>G135-(G35+G49)</f>
        <v>-411</v>
      </c>
      <c r="J135" s="328">
        <f>H135/DAY(B2)</f>
        <v>2216.8630769230772</v>
      </c>
    </row>
    <row r="136" spans="1:15" ht="27.75" customHeight="1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862" t="s">
        <v>185</v>
      </c>
      <c r="B138" s="862"/>
      <c r="C138" s="862"/>
      <c r="D138" s="151" t="s">
        <v>183</v>
      </c>
      <c r="E138" s="95">
        <f>'12'!F138</f>
        <v>867174</v>
      </c>
      <c r="F138" s="147">
        <v>867322</v>
      </c>
      <c r="G138" s="112">
        <f t="shared" ref="G138:G152" si="11">F138-E138</f>
        <v>148</v>
      </c>
      <c r="H138" s="99">
        <f>G138+'12'!H138</f>
        <v>1149</v>
      </c>
      <c r="I138" s="118"/>
      <c r="J138" s="328">
        <f>H138/DAY(B2)</f>
        <v>88.384615384615387</v>
      </c>
    </row>
    <row r="139" spans="1:15" ht="27.75" customHeight="1" x14ac:dyDescent="0.5">
      <c r="A139" s="862" t="s">
        <v>186</v>
      </c>
      <c r="B139" s="862"/>
      <c r="C139" s="862"/>
      <c r="D139" s="151" t="s">
        <v>183</v>
      </c>
      <c r="E139" s="95">
        <f>'12'!F139</f>
        <v>886654</v>
      </c>
      <c r="F139" s="148">
        <v>886674</v>
      </c>
      <c r="G139" s="112">
        <f t="shared" si="11"/>
        <v>20</v>
      </c>
      <c r="H139" s="99">
        <f>G139+'12'!H139</f>
        <v>101</v>
      </c>
      <c r="I139" s="118"/>
      <c r="J139" s="328">
        <f>H139/DAY(B2)</f>
        <v>7.7692307692307692</v>
      </c>
    </row>
    <row r="140" spans="1:15" ht="27.75" customHeight="1" x14ac:dyDescent="0.5">
      <c r="A140" s="862" t="s">
        <v>187</v>
      </c>
      <c r="B140" s="862"/>
      <c r="C140" s="862"/>
      <c r="D140" s="151" t="s">
        <v>183</v>
      </c>
      <c r="E140" s="95">
        <f>'12'!F140</f>
        <v>88948</v>
      </c>
      <c r="F140" s="149">
        <v>88948</v>
      </c>
      <c r="G140" s="112">
        <f t="shared" si="11"/>
        <v>0</v>
      </c>
      <c r="H140" s="99">
        <f>G140+'12'!H140</f>
        <v>26</v>
      </c>
      <c r="I140" s="118"/>
      <c r="J140" s="328">
        <f>H140/DAY(B2)</f>
        <v>2</v>
      </c>
    </row>
    <row r="141" spans="1:15" ht="27.75" customHeight="1" x14ac:dyDescent="0.5">
      <c r="A141" s="843" t="s">
        <v>188</v>
      </c>
      <c r="B141" s="843"/>
      <c r="C141" s="843"/>
      <c r="D141" s="151" t="s">
        <v>183</v>
      </c>
      <c r="E141" s="95">
        <f>'12'!F141</f>
        <v>56810</v>
      </c>
      <c r="F141" s="149">
        <v>56989</v>
      </c>
      <c r="G141" s="112">
        <f t="shared" si="11"/>
        <v>179</v>
      </c>
      <c r="H141" s="99">
        <f>G141+'12'!H141</f>
        <v>2303.4199999999983</v>
      </c>
      <c r="I141" s="118"/>
      <c r="J141" s="328">
        <f>H141/DAY(B2)</f>
        <v>177.1861538461537</v>
      </c>
    </row>
    <row r="142" spans="1:15" ht="27.75" customHeight="1" x14ac:dyDescent="0.5">
      <c r="A142" s="843" t="s">
        <v>189</v>
      </c>
      <c r="B142" s="843"/>
      <c r="C142" s="843"/>
      <c r="D142" s="151" t="s">
        <v>183</v>
      </c>
      <c r="E142" s="95">
        <f>'12'!F142</f>
        <v>22114</v>
      </c>
      <c r="F142" s="148">
        <v>22184</v>
      </c>
      <c r="G142" s="112">
        <f t="shared" si="11"/>
        <v>70</v>
      </c>
      <c r="H142" s="99">
        <f>G142+'12'!H142</f>
        <v>899.90000000000146</v>
      </c>
      <c r="I142" s="140"/>
      <c r="J142" s="328">
        <f>H142/DAY(B2)</f>
        <v>69.223076923077031</v>
      </c>
    </row>
    <row r="143" spans="1:15" ht="27.75" customHeight="1" x14ac:dyDescent="0.5">
      <c r="A143" s="862" t="s">
        <v>91</v>
      </c>
      <c r="B143" s="862"/>
      <c r="C143" s="862"/>
      <c r="D143" s="151" t="s">
        <v>183</v>
      </c>
      <c r="E143" s="95">
        <f>'12'!F143</f>
        <v>4168</v>
      </c>
      <c r="F143" s="149">
        <v>4198</v>
      </c>
      <c r="G143" s="112">
        <f t="shared" si="11"/>
        <v>30</v>
      </c>
      <c r="H143" s="99">
        <f>G143+'12'!H143</f>
        <v>362.61000000000013</v>
      </c>
      <c r="I143" s="140"/>
      <c r="J143" s="328">
        <f>H143/DAY(B2)</f>
        <v>27.893076923076933</v>
      </c>
    </row>
    <row r="144" spans="1:15" ht="27.75" customHeight="1" x14ac:dyDescent="0.5">
      <c r="A144" s="843" t="s">
        <v>90</v>
      </c>
      <c r="B144" s="843"/>
      <c r="C144" s="843"/>
      <c r="D144" s="151" t="s">
        <v>183</v>
      </c>
      <c r="E144" s="95">
        <f>'12'!F144</f>
        <v>879025</v>
      </c>
      <c r="F144" s="149">
        <v>879233</v>
      </c>
      <c r="G144" s="112">
        <f t="shared" si="11"/>
        <v>208</v>
      </c>
      <c r="H144" s="99">
        <f>G144+'12'!H144</f>
        <v>2746</v>
      </c>
      <c r="I144" s="140"/>
      <c r="J144" s="328">
        <f>H144/DAY(B2)</f>
        <v>211.23076923076923</v>
      </c>
    </row>
    <row r="145" spans="1:10" ht="27.75" customHeight="1" x14ac:dyDescent="0.5">
      <c r="A145" s="862" t="s">
        <v>190</v>
      </c>
      <c r="B145" s="862"/>
      <c r="C145" s="862"/>
      <c r="D145" s="152" t="s">
        <v>183</v>
      </c>
      <c r="E145" s="95">
        <f>'12'!F145</f>
        <v>5110</v>
      </c>
      <c r="F145" s="149">
        <v>5120</v>
      </c>
      <c r="G145" s="112">
        <f t="shared" si="11"/>
        <v>10</v>
      </c>
      <c r="H145" s="99">
        <f>G145+'12'!H145</f>
        <v>161.15999999999985</v>
      </c>
      <c r="I145" s="140"/>
      <c r="J145" s="328">
        <f>H145/DAY(B2)</f>
        <v>12.396923076923066</v>
      </c>
    </row>
    <row r="146" spans="1:10" ht="27.75" customHeight="1" x14ac:dyDescent="0.5">
      <c r="A146" s="897" t="s">
        <v>191</v>
      </c>
      <c r="B146" s="882"/>
      <c r="C146" s="883"/>
      <c r="D146" s="152" t="s">
        <v>183</v>
      </c>
      <c r="E146" s="95">
        <f>'12'!F146</f>
        <v>742402</v>
      </c>
      <c r="F146" s="148">
        <v>742874</v>
      </c>
      <c r="G146" s="112">
        <f t="shared" si="11"/>
        <v>472</v>
      </c>
      <c r="H146" s="99">
        <f>G146+'12'!H146</f>
        <v>5541</v>
      </c>
      <c r="I146" s="140"/>
      <c r="J146" s="328">
        <f>H146/DAY(B2)</f>
        <v>426.23076923076923</v>
      </c>
    </row>
    <row r="147" spans="1:10" ht="27.75" customHeight="1" x14ac:dyDescent="0.5">
      <c r="A147" s="843" t="s">
        <v>192</v>
      </c>
      <c r="B147" s="843"/>
      <c r="C147" s="843"/>
      <c r="D147" s="152" t="s">
        <v>183</v>
      </c>
      <c r="E147" s="95">
        <f>'12'!F147</f>
        <v>631441</v>
      </c>
      <c r="F147" s="148">
        <v>631884</v>
      </c>
      <c r="G147" s="112">
        <f t="shared" si="11"/>
        <v>443</v>
      </c>
      <c r="H147" s="99">
        <f>G147+'12'!H147</f>
        <v>5271.4799999999814</v>
      </c>
      <c r="I147" s="140"/>
      <c r="J147" s="328">
        <f>H147/DAY(B2)</f>
        <v>405.49846153846011</v>
      </c>
    </row>
    <row r="148" spans="1:10" ht="27.75" customHeight="1" x14ac:dyDescent="0.5">
      <c r="A148" s="844" t="s">
        <v>193</v>
      </c>
      <c r="B148" s="845"/>
      <c r="C148" s="846"/>
      <c r="D148" s="123" t="s">
        <v>130</v>
      </c>
      <c r="E148" s="95">
        <f>'12'!F148</f>
        <v>693071</v>
      </c>
      <c r="F148" s="150">
        <v>693435</v>
      </c>
      <c r="G148" s="112">
        <f t="shared" si="11"/>
        <v>364</v>
      </c>
      <c r="H148" s="99">
        <f>G148+'12'!H148</f>
        <v>3992.0400000000373</v>
      </c>
      <c r="I148" s="124"/>
      <c r="J148" s="328">
        <f>H148/DAY(B2)</f>
        <v>307.08000000000288</v>
      </c>
    </row>
    <row r="149" spans="1:10" ht="27.75" customHeight="1" x14ac:dyDescent="0.5">
      <c r="A149" s="844" t="s">
        <v>336</v>
      </c>
      <c r="B149" s="845"/>
      <c r="C149" s="846"/>
      <c r="D149" s="227" t="s">
        <v>130</v>
      </c>
      <c r="E149" s="146">
        <v>31427</v>
      </c>
      <c r="F149" s="146">
        <v>32010</v>
      </c>
      <c r="G149" s="112">
        <f t="shared" si="11"/>
        <v>583</v>
      </c>
      <c r="H149" s="99">
        <f>G149+'12'!H149</f>
        <v>7331.7999999999993</v>
      </c>
      <c r="I149" s="119"/>
      <c r="J149" s="328">
        <f>H149/DAY(B2)</f>
        <v>563.98461538461538</v>
      </c>
    </row>
    <row r="150" spans="1:10" ht="27.75" customHeight="1" x14ac:dyDescent="0.5">
      <c r="A150" s="844" t="s">
        <v>337</v>
      </c>
      <c r="B150" s="845"/>
      <c r="C150" s="846"/>
      <c r="D150" s="117" t="s">
        <v>130</v>
      </c>
      <c r="E150" s="95">
        <f>'12'!F150</f>
        <v>13549</v>
      </c>
      <c r="F150" s="233">
        <v>13779</v>
      </c>
      <c r="G150" s="112">
        <f t="shared" si="11"/>
        <v>230</v>
      </c>
      <c r="H150" s="99">
        <f>G150+'12'!H150</f>
        <v>2928.17</v>
      </c>
      <c r="I150" s="119"/>
      <c r="J150" s="328">
        <f>H150/DAY(B2)</f>
        <v>225.24384615384616</v>
      </c>
    </row>
    <row r="151" spans="1:10" ht="27.75" customHeight="1" x14ac:dyDescent="0.5">
      <c r="A151" s="844" t="s">
        <v>338</v>
      </c>
      <c r="B151" s="845"/>
      <c r="C151" s="846"/>
      <c r="D151" s="117" t="s">
        <v>130</v>
      </c>
      <c r="E151" s="95">
        <f>'12'!F151</f>
        <v>88393</v>
      </c>
      <c r="F151" s="233">
        <v>88623</v>
      </c>
      <c r="G151" s="112">
        <f t="shared" si="11"/>
        <v>230</v>
      </c>
      <c r="H151" s="99">
        <f>G151+'12'!H151</f>
        <v>3143</v>
      </c>
      <c r="I151" s="119"/>
      <c r="J151" s="328">
        <f>H151/DAY(B2)</f>
        <v>241.76923076923077</v>
      </c>
    </row>
    <row r="152" spans="1:10" ht="27.75" customHeight="1" x14ac:dyDescent="0.5">
      <c r="A152" s="844" t="s">
        <v>339</v>
      </c>
      <c r="B152" s="845"/>
      <c r="C152" s="846"/>
      <c r="D152" s="117" t="s">
        <v>130</v>
      </c>
      <c r="E152" s="95">
        <f>'12'!F152</f>
        <v>2303</v>
      </c>
      <c r="F152" s="233">
        <v>2364</v>
      </c>
      <c r="G152" s="112">
        <f t="shared" si="11"/>
        <v>61</v>
      </c>
      <c r="H152" s="99">
        <f>G152+'12'!H152</f>
        <v>704</v>
      </c>
      <c r="I152" s="119"/>
      <c r="J152" s="328">
        <f>H152/DAY(B2)</f>
        <v>54.153846153846153</v>
      </c>
    </row>
    <row r="153" spans="1:10" ht="27.75" customHeight="1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3048</v>
      </c>
      <c r="H153" s="363"/>
      <c r="I153" s="119">
        <f>G153-(G38+G52)</f>
        <v>1019</v>
      </c>
      <c r="J153" s="366"/>
    </row>
    <row r="154" spans="1:10" ht="27.75" customHeight="1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27.75" customHeight="1" x14ac:dyDescent="0.55000000000000004">
      <c r="A155" s="843" t="s">
        <v>345</v>
      </c>
      <c r="B155" s="843"/>
      <c r="C155" s="843"/>
      <c r="D155" s="117" t="s">
        <v>130</v>
      </c>
      <c r="E155" s="374">
        <v>40653</v>
      </c>
      <c r="F155" s="374">
        <v>41381</v>
      </c>
      <c r="G155" s="112">
        <f t="shared" ref="G155:G158" si="12">F155-E155</f>
        <v>728</v>
      </c>
      <c r="H155" s="99">
        <f>G155+'12'!H155</f>
        <v>8436</v>
      </c>
      <c r="I155" s="364"/>
      <c r="J155" s="328">
        <f>H155/DAY(B2)</f>
        <v>648.92307692307691</v>
      </c>
    </row>
    <row r="156" spans="1:10" ht="27.75" customHeight="1" x14ac:dyDescent="0.5">
      <c r="A156" s="843" t="s">
        <v>347</v>
      </c>
      <c r="B156" s="843"/>
      <c r="C156" s="843"/>
      <c r="D156" s="117" t="s">
        <v>130</v>
      </c>
      <c r="E156" s="155">
        <v>1667</v>
      </c>
      <c r="F156" s="155">
        <v>1723</v>
      </c>
      <c r="G156" s="112">
        <f t="shared" si="12"/>
        <v>56</v>
      </c>
      <c r="H156" s="99">
        <f>G156+'12'!H156</f>
        <v>621</v>
      </c>
      <c r="I156" s="165"/>
      <c r="J156" s="328">
        <f>H156/DAY(B2)</f>
        <v>47.769230769230766</v>
      </c>
    </row>
    <row r="157" spans="1:10" ht="27.75" customHeight="1" x14ac:dyDescent="0.5">
      <c r="A157" s="844" t="s">
        <v>363</v>
      </c>
      <c r="B157" s="845"/>
      <c r="C157" s="846"/>
      <c r="D157" s="117" t="s">
        <v>130</v>
      </c>
      <c r="E157" s="155">
        <v>5301</v>
      </c>
      <c r="F157" s="155">
        <v>5421</v>
      </c>
      <c r="G157" s="112">
        <f t="shared" si="12"/>
        <v>120</v>
      </c>
      <c r="H157" s="99">
        <f>G157+'12'!H157</f>
        <v>141</v>
      </c>
      <c r="I157" s="165"/>
      <c r="J157" s="328">
        <f>H157/DAY(B2)</f>
        <v>10.846153846153847</v>
      </c>
    </row>
    <row r="158" spans="1:10" ht="27.75" customHeight="1" x14ac:dyDescent="0.5">
      <c r="A158" s="844" t="s">
        <v>364</v>
      </c>
      <c r="B158" s="845"/>
      <c r="C158" s="846"/>
      <c r="D158" s="117" t="s">
        <v>130</v>
      </c>
      <c r="E158" s="155">
        <v>70</v>
      </c>
      <c r="F158" s="155">
        <v>70</v>
      </c>
      <c r="G158" s="112">
        <f t="shared" si="12"/>
        <v>0</v>
      </c>
      <c r="H158" s="99">
        <f>G158+'12'!H158</f>
        <v>1</v>
      </c>
      <c r="I158" s="165"/>
      <c r="J158" s="328">
        <f>H158/DAY(B2)</f>
        <v>7.6923076923076927E-2</v>
      </c>
    </row>
    <row r="159" spans="1:10" ht="27.75" customHeight="1" x14ac:dyDescent="0.5">
      <c r="A159" s="927"/>
      <c r="B159" s="928"/>
      <c r="C159" s="929"/>
      <c r="D159" s="117"/>
      <c r="E159" s="95"/>
      <c r="F159" s="165"/>
      <c r="G159" s="362">
        <f>SUM(G155:G158)</f>
        <v>904</v>
      </c>
      <c r="H159" s="99"/>
      <c r="I159" s="165"/>
      <c r="J159" s="328"/>
    </row>
    <row r="160" spans="1:10" ht="27.75" customHeight="1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'12'!F161</f>
        <v>472508</v>
      </c>
      <c r="F161" s="235">
        <v>472525</v>
      </c>
      <c r="G161" s="238">
        <f t="shared" ref="G161:G165" si="13">F161-E161</f>
        <v>17</v>
      </c>
      <c r="H161" s="99">
        <f>G161+'12'!H161</f>
        <v>471.44000000000233</v>
      </c>
      <c r="I161" s="236"/>
      <c r="J161" s="239">
        <f>H161/DAY(B2)</f>
        <v>36.264615384615567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'12'!F162</f>
        <v>88941</v>
      </c>
      <c r="F162" s="235">
        <v>88961</v>
      </c>
      <c r="G162" s="238">
        <f t="shared" si="13"/>
        <v>20</v>
      </c>
      <c r="H162" s="99">
        <f>G162+'12'!H162</f>
        <v>444.60000000000582</v>
      </c>
      <c r="I162" s="236"/>
      <c r="J162" s="239">
        <f>H162/DAY(B2)</f>
        <v>34.20000000000045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'12'!F163</f>
        <v>79835</v>
      </c>
      <c r="F163" s="235">
        <v>79918</v>
      </c>
      <c r="G163" s="238">
        <f t="shared" si="13"/>
        <v>83</v>
      </c>
      <c r="H163" s="99">
        <f>G163+'12'!H163</f>
        <v>697.89999999999418</v>
      </c>
      <c r="I163" s="236"/>
      <c r="J163" s="239">
        <f>H163/DAY(B2)</f>
        <v>53.684615384614936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'12'!F164</f>
        <v>4330</v>
      </c>
      <c r="F164" s="235">
        <v>4330</v>
      </c>
      <c r="G164" s="238">
        <f t="shared" si="13"/>
        <v>0</v>
      </c>
      <c r="H164" s="99">
        <f>G164+'12'!H164</f>
        <v>10</v>
      </c>
      <c r="I164" s="236"/>
      <c r="J164" s="239">
        <f>H164/DAY(B2)</f>
        <v>0.76923076923076927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'12'!F165</f>
        <v>29962</v>
      </c>
      <c r="F165" s="235">
        <v>29967</v>
      </c>
      <c r="G165" s="238">
        <f t="shared" si="13"/>
        <v>5</v>
      </c>
      <c r="H165" s="99">
        <f>G165+'12'!H165</f>
        <v>109.75</v>
      </c>
      <c r="I165" s="236"/>
      <c r="J165" s="239">
        <f>H165/DAY(B2)</f>
        <v>8.4423076923076916</v>
      </c>
    </row>
    <row r="166" spans="1:10" ht="27.75" customHeight="1" x14ac:dyDescent="0.5">
      <c r="A166" s="852"/>
      <c r="B166" s="852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 x14ac:dyDescent="0.5">
      <c r="A167" s="852"/>
      <c r="B167" s="852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 x14ac:dyDescent="0.5">
      <c r="A168" s="852"/>
      <c r="B168" s="852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customHeight="1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56" t="s">
        <v>209</v>
      </c>
      <c r="B173" s="857"/>
      <c r="C173" s="333"/>
      <c r="D173" s="228" t="s">
        <v>142</v>
      </c>
      <c r="E173" s="95">
        <f>'12'!F173</f>
        <v>8132</v>
      </c>
      <c r="F173" s="155">
        <v>8132</v>
      </c>
      <c r="G173" s="155">
        <f>F173-E173</f>
        <v>0</v>
      </c>
      <c r="H173" s="99">
        <f>G173+'12'!H173</f>
        <v>6</v>
      </c>
      <c r="I173" s="155"/>
      <c r="J173" s="178">
        <f>H173/DAY(B2)</f>
        <v>0.46153846153846156</v>
      </c>
    </row>
    <row r="174" spans="1:10" ht="27.75" customHeight="1" x14ac:dyDescent="0.5">
      <c r="A174" s="856" t="s">
        <v>75</v>
      </c>
      <c r="B174" s="857"/>
      <c r="C174" s="333"/>
      <c r="D174" s="228" t="s">
        <v>142</v>
      </c>
      <c r="E174" s="95">
        <f>'12'!F174</f>
        <v>38778</v>
      </c>
      <c r="F174" s="157">
        <v>38790</v>
      </c>
      <c r="G174" s="155">
        <f t="shared" ref="G174:G175" si="14">F174-E174</f>
        <v>12</v>
      </c>
      <c r="H174" s="99">
        <f>G174+'12'!H174</f>
        <v>175</v>
      </c>
      <c r="I174" s="155"/>
      <c r="J174" s="178">
        <f>H174/DAY(B2)</f>
        <v>13.461538461538462</v>
      </c>
    </row>
    <row r="175" spans="1:10" ht="27.75" customHeight="1" x14ac:dyDescent="0.5">
      <c r="A175" s="856" t="s">
        <v>76</v>
      </c>
      <c r="B175" s="896"/>
      <c r="C175" s="857"/>
      <c r="D175" s="228" t="s">
        <v>142</v>
      </c>
      <c r="E175" s="95">
        <f>'12'!F175</f>
        <v>21945</v>
      </c>
      <c r="F175" s="155">
        <v>21958</v>
      </c>
      <c r="G175" s="155">
        <f t="shared" si="14"/>
        <v>13</v>
      </c>
      <c r="H175" s="99">
        <f>G175+'12'!H175</f>
        <v>145</v>
      </c>
      <c r="I175" s="155"/>
      <c r="J175" s="178">
        <f>H175/DAY(B2)</f>
        <v>11.153846153846153</v>
      </c>
    </row>
    <row r="176" spans="1:10" ht="27.75" customHeight="1" x14ac:dyDescent="0.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25</v>
      </c>
      <c r="H176" s="99">
        <f>G176+'12'!H176</f>
        <v>326</v>
      </c>
      <c r="I176" s="155"/>
      <c r="J176" s="178">
        <f>H176/DAY(B2)</f>
        <v>25.076923076923077</v>
      </c>
    </row>
    <row r="177" spans="1:15" ht="27.75" customHeight="1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 x14ac:dyDescent="0.5">
      <c r="A178" s="856" t="s">
        <v>210</v>
      </c>
      <c r="B178" s="857"/>
      <c r="C178" s="333"/>
      <c r="D178" s="228" t="s">
        <v>142</v>
      </c>
      <c r="E178" s="95">
        <f>'12'!F178</f>
        <v>81973</v>
      </c>
      <c r="F178" s="155">
        <v>82015</v>
      </c>
      <c r="G178" s="155">
        <f>F178-E178</f>
        <v>42</v>
      </c>
      <c r="H178" s="99">
        <f>G178+'12'!H178</f>
        <v>700</v>
      </c>
      <c r="I178" s="155"/>
      <c r="J178" s="178">
        <f>H178/DAY(B2)</f>
        <v>53.846153846153847</v>
      </c>
    </row>
    <row r="179" spans="1:15" ht="27.75" customHeight="1" x14ac:dyDescent="0.5">
      <c r="A179" s="856" t="s">
        <v>211</v>
      </c>
      <c r="B179" s="857"/>
      <c r="C179" s="333"/>
      <c r="D179" s="228" t="s">
        <v>142</v>
      </c>
      <c r="E179" s="95">
        <f>'12'!F179</f>
        <v>35177</v>
      </c>
      <c r="F179" s="155">
        <v>35208</v>
      </c>
      <c r="G179" s="155">
        <f t="shared" ref="G179:G180" si="15">F179-E179</f>
        <v>31</v>
      </c>
      <c r="H179" s="99">
        <f>G179+'12'!H179</f>
        <v>405</v>
      </c>
      <c r="I179" s="155"/>
      <c r="J179" s="178">
        <f>H179/DAY(B2)</f>
        <v>31.153846153846153</v>
      </c>
    </row>
    <row r="180" spans="1:15" ht="27.75" customHeight="1" x14ac:dyDescent="0.5">
      <c r="A180" s="856" t="s">
        <v>212</v>
      </c>
      <c r="B180" s="857"/>
      <c r="C180" s="333"/>
      <c r="D180" s="228" t="s">
        <v>142</v>
      </c>
      <c r="E180" s="95">
        <f>'12'!F180</f>
        <v>5782</v>
      </c>
      <c r="F180" s="155">
        <v>5782</v>
      </c>
      <c r="G180" s="155">
        <f t="shared" si="15"/>
        <v>0</v>
      </c>
      <c r="H180" s="99">
        <f>G180+'12'!H180</f>
        <v>80</v>
      </c>
      <c r="I180" s="155"/>
      <c r="J180" s="178">
        <f>H180/DAY(B2)</f>
        <v>6.1538461538461542</v>
      </c>
    </row>
    <row r="181" spans="1:15" ht="27.75" customHeight="1" x14ac:dyDescent="0.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73</v>
      </c>
      <c r="H181" s="99">
        <f>G181+'12'!H181</f>
        <v>1185</v>
      </c>
      <c r="I181" s="155"/>
      <c r="J181" s="178">
        <f>H181/DAY(B2)</f>
        <v>91.15384615384616</v>
      </c>
    </row>
    <row r="182" spans="1:15" ht="27.75" customHeight="1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 x14ac:dyDescent="0.5">
      <c r="A183" s="856" t="s">
        <v>214</v>
      </c>
      <c r="B183" s="857"/>
      <c r="C183" s="334"/>
      <c r="D183" s="228" t="s">
        <v>142</v>
      </c>
      <c r="E183" s="95">
        <f>'12'!F183</f>
        <v>15537</v>
      </c>
      <c r="F183" s="157">
        <v>15549</v>
      </c>
      <c r="G183" s="157">
        <f>F183-E183</f>
        <v>12</v>
      </c>
      <c r="H183" s="99">
        <f>G183+'12'!H183</f>
        <v>204</v>
      </c>
      <c r="I183" s="155"/>
      <c r="J183" s="178">
        <f>H183/DAY(B2)</f>
        <v>15.692307692307692</v>
      </c>
    </row>
    <row r="184" spans="1:15" ht="27.75" customHeight="1" x14ac:dyDescent="0.5">
      <c r="A184" s="856" t="s">
        <v>215</v>
      </c>
      <c r="B184" s="857"/>
      <c r="C184" s="334"/>
      <c r="D184" s="228" t="s">
        <v>142</v>
      </c>
      <c r="E184" s="95">
        <f>'12'!F184</f>
        <v>10665</v>
      </c>
      <c r="F184" s="157">
        <v>10673</v>
      </c>
      <c r="G184" s="157">
        <f t="shared" ref="G184:G185" si="16">F184-E184</f>
        <v>8</v>
      </c>
      <c r="H184" s="99">
        <f>G184+'12'!H184</f>
        <v>155</v>
      </c>
      <c r="I184" s="155"/>
      <c r="J184" s="178">
        <f>H184/DAY(B2)</f>
        <v>11.923076923076923</v>
      </c>
      <c r="O184" s="65" t="s">
        <v>365</v>
      </c>
    </row>
    <row r="185" spans="1:15" ht="27.75" customHeight="1" x14ac:dyDescent="0.5">
      <c r="A185" s="856" t="s">
        <v>216</v>
      </c>
      <c r="B185" s="857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20</v>
      </c>
      <c r="H186" s="99">
        <f>G186+'12'!H186</f>
        <v>359</v>
      </c>
      <c r="I186" s="157"/>
      <c r="J186" s="178">
        <f>H186/DAY(B2)</f>
        <v>27.615384615384617</v>
      </c>
    </row>
    <row r="187" spans="1:15" ht="27.75" customHeight="1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233</v>
      </c>
      <c r="H187" s="99">
        <f>G187+'12'!H187</f>
        <v>2436</v>
      </c>
      <c r="I187" s="158"/>
      <c r="J187" s="179">
        <f>H187/DAY(B2)</f>
        <v>187.38461538461539</v>
      </c>
    </row>
    <row r="188" spans="1:15" ht="27.75" customHeight="1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229</v>
      </c>
      <c r="H188" s="99">
        <f>G188+'12'!H188</f>
        <v>2447</v>
      </c>
      <c r="I188" s="158"/>
      <c r="J188" s="179">
        <f>H188/DAY(B2)</f>
        <v>188.23076923076923</v>
      </c>
    </row>
    <row r="189" spans="1:15" ht="27.75" customHeight="1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73</v>
      </c>
      <c r="H189" s="99">
        <f>G189+'12'!H189</f>
        <v>1185</v>
      </c>
      <c r="I189" s="158"/>
      <c r="J189" s="179">
        <f>H189/DAY(B2)</f>
        <v>91.15384615384616</v>
      </c>
    </row>
    <row r="190" spans="1:15" ht="27.75" customHeight="1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zoomScale="55" zoomScaleSheetLayoutView="55" workbookViewId="0">
      <selection activeCell="F27" sqref="F27:F31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.75" customHeight="1" x14ac:dyDescent="0.5">
      <c r="A2" s="191" t="s">
        <v>303</v>
      </c>
      <c r="B2" s="262">
        <v>44575</v>
      </c>
      <c r="C2" s="348" t="s">
        <v>67</v>
      </c>
      <c r="D2" s="218">
        <v>0.25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21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'13'!F7</f>
        <v>911144</v>
      </c>
      <c r="F7" s="95">
        <v>354423</v>
      </c>
      <c r="G7" s="112">
        <f>F7-E7</f>
        <v>-556721</v>
      </c>
      <c r="H7" s="99">
        <f>G7+'13'!H7</f>
        <v>-296757.23</v>
      </c>
      <c r="I7" s="113">
        <f>'1'!I7</f>
        <v>12000</v>
      </c>
      <c r="J7" s="175">
        <f>H7/DAY(B2)</f>
        <v>-21196.945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'13'!F8</f>
        <v>970453</v>
      </c>
      <c r="F8" s="95">
        <v>405455</v>
      </c>
      <c r="G8" s="115">
        <f>F8-E8</f>
        <v>-564998</v>
      </c>
      <c r="H8" s="99">
        <f>G8+'13'!H8</f>
        <v>-303093.15000000002</v>
      </c>
      <c r="I8" s="116"/>
      <c r="J8" s="175">
        <f>H8/DAY(B2)</f>
        <v>-21649.510714285716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'13'!F9</f>
        <v>479386</v>
      </c>
      <c r="F9" s="598">
        <v>65618</v>
      </c>
      <c r="G9" s="112">
        <f>F9-E9</f>
        <v>-413768</v>
      </c>
      <c r="H9" s="99">
        <f>G9+'13'!H9</f>
        <v>-216635.84999999998</v>
      </c>
      <c r="I9" s="124">
        <f>I7-J7</f>
        <v>33196.945</v>
      </c>
      <c r="J9" s="175">
        <f>H9/DAY(B2)</f>
        <v>-15473.989285714284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'13'!F10</f>
        <v>160802</v>
      </c>
      <c r="F10" s="353">
        <v>33645</v>
      </c>
      <c r="G10" s="112">
        <f t="shared" ref="G10:G12" si="0">F10-E10</f>
        <v>-127157</v>
      </c>
      <c r="H10" s="99">
        <f>G10+'13'!H10</f>
        <v>-71613.97</v>
      </c>
      <c r="I10" s="282"/>
      <c r="J10" s="175">
        <f>H10/DAY(B2)</f>
        <v>-5115.2835714285711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'13'!F11</f>
        <v>37170</v>
      </c>
      <c r="F11" s="95">
        <v>37000</v>
      </c>
      <c r="G11" s="112">
        <f t="shared" si="0"/>
        <v>-170</v>
      </c>
      <c r="H11" s="99">
        <f>G11+'13'!H11</f>
        <v>-170</v>
      </c>
      <c r="I11" s="282"/>
      <c r="J11" s="175">
        <f>H11/DAY(B2)</f>
        <v>-12.142857142857142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-541095</v>
      </c>
      <c r="H13" s="99">
        <f>G13+'13'!H13</f>
        <v>-305174.25</v>
      </c>
      <c r="I13" s="120">
        <f>G7-G13</f>
        <v>-15626</v>
      </c>
      <c r="J13" s="175">
        <f>H13/DAY(B2)</f>
        <v>-21798.160714285714</v>
      </c>
      <c r="K13" s="79"/>
      <c r="L13" s="66"/>
      <c r="N13" s="87"/>
      <c r="O13" s="71"/>
    </row>
    <row r="14" spans="1:15" ht="27.75" customHeight="1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123">
        <v>1889890</v>
      </c>
      <c r="F15" s="123">
        <v>1890635</v>
      </c>
      <c r="G15" s="112">
        <f>(F15-E15)</f>
        <v>745</v>
      </c>
      <c r="H15" s="99">
        <f>G15+'13'!H15</f>
        <v>14578.233000000007</v>
      </c>
      <c r="I15" s="113">
        <f>'1'!I15</f>
        <v>800</v>
      </c>
      <c r="J15" s="175">
        <f>H15/DAY(B2)</f>
        <v>1041.3023571428578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-241.30235714285777</v>
      </c>
      <c r="J16" s="176"/>
      <c r="K16" s="79"/>
      <c r="L16" s="66"/>
      <c r="N16" s="87"/>
      <c r="O16" s="71"/>
    </row>
    <row r="17" spans="1:15" ht="27.75" customHeight="1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84" t="s">
        <v>141</v>
      </c>
      <c r="B18" s="885"/>
      <c r="C18" s="886"/>
      <c r="D18" s="151" t="s">
        <v>142</v>
      </c>
      <c r="E18" s="95">
        <f>'13'!F18</f>
        <v>24</v>
      </c>
      <c r="F18" s="122">
        <v>6</v>
      </c>
      <c r="G18" s="119">
        <f>F18*10</f>
        <v>60</v>
      </c>
      <c r="H18" s="99">
        <f>G18+'13'!H18</f>
        <v>2850</v>
      </c>
      <c r="I18" s="113">
        <f>'1'!I18</f>
        <v>65</v>
      </c>
      <c r="J18" s="175">
        <f>H18/DAY(B2)</f>
        <v>203.57142857142858</v>
      </c>
      <c r="K18" s="79"/>
      <c r="L18" s="66"/>
      <c r="N18" s="87"/>
      <c r="O18" s="71"/>
    </row>
    <row r="19" spans="1:15" ht="27.75" customHeight="1" x14ac:dyDescent="0.5">
      <c r="A19" s="884" t="s">
        <v>69</v>
      </c>
      <c r="B19" s="885"/>
      <c r="C19" s="886"/>
      <c r="D19" s="151" t="s">
        <v>142</v>
      </c>
      <c r="E19" s="95">
        <f>'13'!F19</f>
        <v>154580</v>
      </c>
      <c r="F19" s="122">
        <v>152962</v>
      </c>
      <c r="G19" s="112">
        <f t="shared" ref="G19" si="1">F19-E19</f>
        <v>-1618</v>
      </c>
      <c r="H19" s="99">
        <f>G19+'13'!H19</f>
        <v>-929</v>
      </c>
      <c r="I19" s="335"/>
      <c r="J19" s="175">
        <f>H19/DAY(B2)</f>
        <v>-66.357142857142861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-1558</v>
      </c>
      <c r="H20" s="99">
        <f>G20+'13'!H20</f>
        <v>1921</v>
      </c>
      <c r="I20" s="336">
        <f>I18-J20</f>
        <v>-72.214285714285722</v>
      </c>
      <c r="J20" s="175">
        <f>H20/DAY(B2)</f>
        <v>137.21428571428572</v>
      </c>
      <c r="K20" s="79"/>
      <c r="L20" s="66"/>
      <c r="N20" s="87"/>
      <c r="O20" s="71"/>
    </row>
    <row r="21" spans="1:15" ht="27.75" customHeight="1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-564998</v>
      </c>
      <c r="F27" s="136">
        <v>9</v>
      </c>
      <c r="G27" s="137">
        <f>E27*F27</f>
        <v>-5084982</v>
      </c>
      <c r="H27" s="99">
        <f>G27+'13'!H27</f>
        <v>-2727838.35</v>
      </c>
      <c r="I27" s="138"/>
      <c r="J27" s="175">
        <f>H27/DAY(B2)</f>
        <v>-194845.59642857144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745</v>
      </c>
      <c r="F28" s="136">
        <v>70</v>
      </c>
      <c r="G28" s="137">
        <f>E28*F28</f>
        <v>52150</v>
      </c>
      <c r="H28" s="99">
        <f>G28+'13'!H28</f>
        <v>791422.11600000039</v>
      </c>
      <c r="I28" s="140"/>
      <c r="J28" s="175">
        <f>H28/DAY(B2)</f>
        <v>56530.151142857168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-1618</v>
      </c>
      <c r="F30" s="136">
        <v>151</v>
      </c>
      <c r="G30" s="137">
        <f>E30*F30</f>
        <v>-244318</v>
      </c>
      <c r="H30" s="99">
        <f>G30+'13'!H30</f>
        <v>-143444</v>
      </c>
      <c r="I30" s="140"/>
      <c r="J30" s="175">
        <f>H30/DAY(B2)</f>
        <v>-10246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60</v>
      </c>
      <c r="F31" s="136">
        <v>80</v>
      </c>
      <c r="G31" s="137">
        <f>E31*F31</f>
        <v>4800</v>
      </c>
      <c r="H31" s="99">
        <f>G31+'13'!H31</f>
        <v>228000</v>
      </c>
      <c r="I31" s="140"/>
      <c r="J31" s="175">
        <f>H31/DAY(B2)</f>
        <v>16285.714285714286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-5272350</v>
      </c>
      <c r="H32" s="99">
        <f>G32+'13'!H32</f>
        <v>-1851860.2339999997</v>
      </c>
      <c r="I32" s="144"/>
      <c r="J32" s="175">
        <f>H32/DAY(B2)</f>
        <v>-132275.73099999997</v>
      </c>
      <c r="K32" s="63"/>
      <c r="L32" s="89"/>
      <c r="N32" s="87"/>
      <c r="O32" s="71"/>
    </row>
    <row r="33" spans="1:15" ht="27.7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'13'!F35</f>
        <v>51594</v>
      </c>
      <c r="F35" s="145">
        <v>9204</v>
      </c>
      <c r="G35" s="112">
        <f t="shared" ref="G35:G46" si="3">F35-E35</f>
        <v>-42390</v>
      </c>
      <c r="H35" s="99">
        <f>G35+'13'!H35</f>
        <v>-22800.98</v>
      </c>
      <c r="I35" s="95"/>
      <c r="J35" s="175">
        <f>H35/DAY(B2)</f>
        <v>-1628.6414285714286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'13'!F36</f>
        <v>55877</v>
      </c>
      <c r="F36" s="145">
        <v>31721</v>
      </c>
      <c r="G36" s="112">
        <f t="shared" si="3"/>
        <v>-24156</v>
      </c>
      <c r="H36" s="99">
        <f>G36+'13'!H36</f>
        <v>-11737.739999999998</v>
      </c>
      <c r="I36" s="95"/>
      <c r="J36" s="175">
        <f>H36/DAY(B2)</f>
        <v>-838.40999999999985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'13'!F37</f>
        <v>56823</v>
      </c>
      <c r="F37" s="145">
        <v>8830</v>
      </c>
      <c r="G37" s="112">
        <f t="shared" si="3"/>
        <v>-47993</v>
      </c>
      <c r="H37" s="99">
        <f>G37+'13'!H37</f>
        <v>-26595.089999999997</v>
      </c>
      <c r="I37" s="95"/>
      <c r="J37" s="175">
        <f>H37/DAY(B2)</f>
        <v>-1899.6492857142855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'13'!F38</f>
        <v>63214</v>
      </c>
      <c r="F38" s="108">
        <v>9552</v>
      </c>
      <c r="G38" s="112">
        <f t="shared" si="3"/>
        <v>-53662</v>
      </c>
      <c r="H38" s="99">
        <f>G38+'13'!H38</f>
        <v>-28824.43</v>
      </c>
      <c r="I38" s="95"/>
      <c r="J38" s="175">
        <f>H38/DAY(B2)</f>
        <v>-2058.8878571428572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'13'!F39</f>
        <v>96952</v>
      </c>
      <c r="F39" s="145">
        <v>15015</v>
      </c>
      <c r="G39" s="112">
        <f t="shared" si="3"/>
        <v>-81937</v>
      </c>
      <c r="H39" s="99">
        <f>G39+'13'!H39</f>
        <v>-44158.29</v>
      </c>
      <c r="I39" s="95"/>
      <c r="J39" s="175">
        <f>H39/DAY(B2)</f>
        <v>-3154.1635714285717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'13'!F40</f>
        <v>26453</v>
      </c>
      <c r="F40" s="145">
        <v>12011</v>
      </c>
      <c r="G40" s="112">
        <f t="shared" si="3"/>
        <v>-14442</v>
      </c>
      <c r="H40" s="99">
        <f>G40+'13'!H40</f>
        <v>-10105.990000000002</v>
      </c>
      <c r="I40" s="95"/>
      <c r="J40" s="175">
        <f>H40/DAY(B2)</f>
        <v>-721.85642857142864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'13'!F41</f>
        <v>63</v>
      </c>
      <c r="F41" s="145">
        <v>0</v>
      </c>
      <c r="G41" s="112">
        <f t="shared" si="3"/>
        <v>-63</v>
      </c>
      <c r="H41" s="99">
        <f>G41+'13'!H41</f>
        <v>-62.73</v>
      </c>
      <c r="I41" s="95"/>
      <c r="J41" s="175">
        <f>H41/DAY(B2)</f>
        <v>-4.4807142857142859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145">
        <v>73809</v>
      </c>
      <c r="F42" s="145">
        <v>73809</v>
      </c>
      <c r="G42" s="112">
        <f t="shared" si="3"/>
        <v>0</v>
      </c>
      <c r="H42" s="99">
        <f>G42+'13'!H42</f>
        <v>35731.259999999995</v>
      </c>
      <c r="I42" s="95"/>
      <c r="J42" s="175">
        <f>H42/DAY(B2)</f>
        <v>2552.2328571428566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145">
        <v>76729</v>
      </c>
      <c r="F43" s="145">
        <v>78740</v>
      </c>
      <c r="G43" s="112">
        <f t="shared" si="3"/>
        <v>2011</v>
      </c>
      <c r="H43" s="99">
        <f>G43+'13'!H43</f>
        <v>29917.399999999994</v>
      </c>
      <c r="I43" s="95"/>
      <c r="J43" s="175">
        <f>H43/DAY(B2)</f>
        <v>2136.9571428571426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-262632</v>
      </c>
      <c r="H47" s="99">
        <f>G47+'13'!H47</f>
        <v>-78636.59</v>
      </c>
      <c r="I47" s="95"/>
      <c r="J47" s="175">
        <f>H47/DAY(B2)</f>
        <v>-5616.8992857142857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'13'!F49</f>
        <v>41944</v>
      </c>
      <c r="F49" s="145">
        <v>7406</v>
      </c>
      <c r="G49" s="112">
        <f t="shared" ref="G49:G58" si="4">F49-E49</f>
        <v>-34538</v>
      </c>
      <c r="H49" s="99">
        <f>G49+'13'!H49</f>
        <v>-17590.189999999999</v>
      </c>
      <c r="I49" s="95"/>
      <c r="J49" s="175">
        <f>H49/DAY(B2)</f>
        <v>-1256.4421428571427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'13'!F50</f>
        <v>72291</v>
      </c>
      <c r="F50" s="145">
        <v>38515</v>
      </c>
      <c r="G50" s="112">
        <f t="shared" si="4"/>
        <v>-33776</v>
      </c>
      <c r="H50" s="99">
        <f>G50+'13'!H50</f>
        <v>-17871.629999999997</v>
      </c>
      <c r="I50" s="95"/>
      <c r="J50" s="175">
        <f>H50/DAY(B2)</f>
        <v>-1276.5449999999998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'13'!F51</f>
        <v>0</v>
      </c>
      <c r="F51" s="145">
        <v>0</v>
      </c>
      <c r="G51" s="112">
        <f t="shared" si="4"/>
        <v>0</v>
      </c>
      <c r="H51" s="99">
        <f>G51+'13'!H51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'13'!F52</f>
        <v>0</v>
      </c>
      <c r="F52" s="145">
        <v>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'13'!F54</f>
        <v>11228</v>
      </c>
      <c r="F54" s="145">
        <v>3141</v>
      </c>
      <c r="G54" s="112">
        <f t="shared" si="4"/>
        <v>-8087</v>
      </c>
      <c r="H54" s="99">
        <f>G54+'13'!H54</f>
        <v>-2006.42</v>
      </c>
      <c r="I54" s="95"/>
      <c r="J54" s="175">
        <f>H54/DAY(B2)</f>
        <v>-143.31571428571428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'13'!F55</f>
        <v>90579</v>
      </c>
      <c r="F55" s="145">
        <v>45702</v>
      </c>
      <c r="G55" s="112">
        <f t="shared" si="4"/>
        <v>-44877</v>
      </c>
      <c r="H55" s="99">
        <f>G55+'13'!H55</f>
        <v>-28664.11</v>
      </c>
      <c r="I55" s="95"/>
      <c r="J55" s="175">
        <f>H55/DAY(B2)</f>
        <v>-2047.4364285714287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'13'!F56</f>
        <v>8724</v>
      </c>
      <c r="F56" s="145">
        <v>8611</v>
      </c>
      <c r="G56" s="112">
        <f t="shared" si="4"/>
        <v>-113</v>
      </c>
      <c r="H56" s="99">
        <f>G56+'13'!H56</f>
        <v>0.45999999999912689</v>
      </c>
      <c r="I56" s="95"/>
      <c r="J56" s="175">
        <f>H56/DAY(B2)</f>
        <v>3.2857142857080489E-2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'13'!F58</f>
        <v>7565</v>
      </c>
      <c r="F58" s="145">
        <v>1632</v>
      </c>
      <c r="G58" s="112">
        <f t="shared" si="4"/>
        <v>-5933</v>
      </c>
      <c r="H58" s="99">
        <f>G58+'13'!H58</f>
        <v>-3164.21</v>
      </c>
      <c r="I58" s="95"/>
      <c r="J58" s="175">
        <f>H58/DAY(B2)</f>
        <v>-226.01500000000001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-127324</v>
      </c>
      <c r="H59" s="99">
        <f>G59+'13'!H59</f>
        <v>-69296.100000000006</v>
      </c>
      <c r="I59" s="95">
        <f>G7-G60</f>
        <v>-166765</v>
      </c>
      <c r="J59" s="175">
        <f>H59/DAY(B2)</f>
        <v>-4949.721428571429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-389956</v>
      </c>
      <c r="H60" s="99">
        <f>G60+'13'!H60</f>
        <v>-147932.69</v>
      </c>
      <c r="I60" s="95">
        <f>G13-G60</f>
        <v>-151139</v>
      </c>
      <c r="J60" s="175">
        <f>H60/DAY(B2)</f>
        <v>-10566.620714285715</v>
      </c>
      <c r="K60" s="79"/>
      <c r="L60" s="66"/>
      <c r="N60" s="87"/>
      <c r="O60" s="71"/>
    </row>
    <row r="61" spans="1:15" s="68" customFormat="1" ht="27.75" customHeight="1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84" t="s">
        <v>198</v>
      </c>
      <c r="B62" s="885"/>
      <c r="C62" s="886"/>
      <c r="D62" s="151" t="s">
        <v>142</v>
      </c>
      <c r="E62" s="95">
        <f>'13'!F62</f>
        <v>271263</v>
      </c>
      <c r="F62" s="122">
        <v>268028</v>
      </c>
      <c r="G62" s="112">
        <f t="shared" ref="G62:G63" si="5">F62-E62</f>
        <v>-3235</v>
      </c>
      <c r="H62" s="99">
        <f>G62+'13'!H62</f>
        <v>-1488</v>
      </c>
      <c r="I62" s="118"/>
      <c r="J62" s="175">
        <f>H62/DAY(B2)</f>
        <v>-106.28571428571429</v>
      </c>
      <c r="K62" s="80"/>
      <c r="L62" s="66"/>
      <c r="N62" s="87"/>
      <c r="O62" s="71"/>
    </row>
    <row r="63" spans="1:15" ht="27.75" customHeight="1" x14ac:dyDescent="0.5">
      <c r="A63" s="884" t="s">
        <v>199</v>
      </c>
      <c r="B63" s="885"/>
      <c r="C63" s="886"/>
      <c r="D63" s="151" t="s">
        <v>142</v>
      </c>
      <c r="E63" s="122">
        <v>213799</v>
      </c>
      <c r="F63" s="122">
        <v>213848</v>
      </c>
      <c r="G63" s="112">
        <f t="shared" si="5"/>
        <v>49</v>
      </c>
      <c r="H63" s="99">
        <f>G63+'13'!H63</f>
        <v>1772</v>
      </c>
      <c r="I63" s="118"/>
      <c r="J63" s="175">
        <f>H63/DAY(B2)</f>
        <v>126.57142857142857</v>
      </c>
      <c r="K63" s="69"/>
      <c r="L63" s="66"/>
      <c r="N63" s="87"/>
      <c r="O63" s="71"/>
    </row>
    <row r="64" spans="1:15" ht="27.75" customHeight="1" x14ac:dyDescent="0.5">
      <c r="A64" s="893" t="s">
        <v>200</v>
      </c>
      <c r="B64" s="894"/>
      <c r="C64" s="895"/>
      <c r="D64" s="151"/>
      <c r="E64" s="95">
        <f>'13'!F64</f>
        <v>0</v>
      </c>
      <c r="F64" s="122"/>
      <c r="G64" s="112">
        <f>G62+G63</f>
        <v>-3186</v>
      </c>
      <c r="H64" s="99">
        <f>G64+'13'!H64</f>
        <v>284</v>
      </c>
      <c r="I64" s="118"/>
      <c r="J64" s="175">
        <f>H64/DAY(B2)</f>
        <v>20.285714285714285</v>
      </c>
      <c r="K64" s="69"/>
      <c r="L64" s="66"/>
      <c r="N64" s="87"/>
      <c r="O64" s="71"/>
    </row>
    <row r="65" spans="1:15" ht="27.75" customHeight="1" x14ac:dyDescent="0.5">
      <c r="A65" s="884" t="s">
        <v>201</v>
      </c>
      <c r="B65" s="885"/>
      <c r="C65" s="886"/>
      <c r="D65" s="151" t="s">
        <v>142</v>
      </c>
      <c r="E65" s="95">
        <f>'13'!F65</f>
        <v>436208</v>
      </c>
      <c r="F65" s="122">
        <v>433595</v>
      </c>
      <c r="G65" s="112">
        <f t="shared" ref="G65:G70" si="6">F65-E65</f>
        <v>-2613</v>
      </c>
      <c r="H65" s="99">
        <f>G65+'13'!H65</f>
        <v>-1328</v>
      </c>
      <c r="I65" s="118"/>
      <c r="J65" s="175">
        <f>H65/DAY(B2)</f>
        <v>-94.857142857142861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'13'!F66</f>
        <v>108072</v>
      </c>
      <c r="F66" s="122">
        <v>107455</v>
      </c>
      <c r="G66" s="112">
        <f t="shared" si="6"/>
        <v>-617</v>
      </c>
      <c r="H66" s="99">
        <f>G66+'13'!H66</f>
        <v>-288</v>
      </c>
      <c r="I66" s="118"/>
      <c r="J66" s="175">
        <f>H66/DAY(B2)</f>
        <v>-20.571428571428573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'13'!F67</f>
        <v>105152</v>
      </c>
      <c r="F67" s="122">
        <v>104254</v>
      </c>
      <c r="G67" s="112">
        <f t="shared" si="6"/>
        <v>-898</v>
      </c>
      <c r="H67" s="99">
        <f>G67+'13'!H67</f>
        <v>-394</v>
      </c>
      <c r="I67" s="118"/>
      <c r="J67" s="175">
        <f>H67/DAY(B2)</f>
        <v>-28.142857142857142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'13'!F68</f>
        <v>158198</v>
      </c>
      <c r="F68" s="122">
        <v>156983</v>
      </c>
      <c r="G68" s="112">
        <f t="shared" si="6"/>
        <v>-1215</v>
      </c>
      <c r="H68" s="99">
        <f>G68+'13'!H68</f>
        <v>-714</v>
      </c>
      <c r="I68" s="118"/>
      <c r="J68" s="175">
        <f>H68/DAY(B2)</f>
        <v>-51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'13'!F69</f>
        <v>10713</v>
      </c>
      <c r="F69" s="122">
        <v>10352</v>
      </c>
      <c r="G69" s="112">
        <f t="shared" si="6"/>
        <v>-361</v>
      </c>
      <c r="H69" s="99">
        <f>G69+'13'!H69</f>
        <v>-189</v>
      </c>
      <c r="I69" s="118"/>
      <c r="J69" s="175">
        <f>H69/DAY(B2)</f>
        <v>-13.5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'13'!F70</f>
        <v>8277</v>
      </c>
      <c r="F70" s="122">
        <v>7970</v>
      </c>
      <c r="G70" s="112">
        <f t="shared" si="6"/>
        <v>-307</v>
      </c>
      <c r="H70" s="99">
        <f>G70+'13'!H70</f>
        <v>-150</v>
      </c>
      <c r="I70" s="118"/>
      <c r="J70" s="175">
        <f>H70/DAY(B2)</f>
        <v>-10.714285714285714</v>
      </c>
      <c r="K70" s="69"/>
      <c r="L70" s="66"/>
      <c r="N70" s="87"/>
      <c r="O70" s="71"/>
    </row>
    <row r="71" spans="1:15" ht="27.75" customHeight="1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-6011</v>
      </c>
      <c r="H71" s="99">
        <f>G71+'13'!H71</f>
        <v>-3063</v>
      </c>
      <c r="I71" s="154"/>
      <c r="J71" s="175">
        <f>H71/DAY(B2)</f>
        <v>-218.78571428571428</v>
      </c>
      <c r="K71" s="69"/>
      <c r="L71" s="66"/>
      <c r="N71" s="87"/>
      <c r="O71" s="71"/>
    </row>
    <row r="72" spans="1:15" s="88" customFormat="1" ht="27.75" customHeight="1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84" t="s">
        <v>220</v>
      </c>
      <c r="B74" s="885"/>
      <c r="C74" s="886"/>
      <c r="D74" s="151" t="s">
        <v>139</v>
      </c>
      <c r="E74" s="95">
        <f>'13'!F74</f>
        <v>905301</v>
      </c>
      <c r="F74" s="117">
        <v>896156</v>
      </c>
      <c r="G74" s="112">
        <f t="shared" ref="G74:G78" si="7">F74-E74</f>
        <v>-9145</v>
      </c>
      <c r="H74" s="99">
        <f>G74+'13'!H74</f>
        <v>-5150.1489999999758</v>
      </c>
      <c r="I74" s="154"/>
      <c r="J74" s="175">
        <f>H74/DAY(B2)</f>
        <v>-367.86778571428397</v>
      </c>
      <c r="K74" s="69"/>
      <c r="L74" s="66"/>
      <c r="N74" s="87"/>
      <c r="O74" s="71"/>
    </row>
    <row r="75" spans="1:15" ht="27.75" customHeight="1" x14ac:dyDescent="0.5">
      <c r="A75" s="884" t="s">
        <v>221</v>
      </c>
      <c r="B75" s="885"/>
      <c r="C75" s="886"/>
      <c r="D75" s="151" t="s">
        <v>139</v>
      </c>
      <c r="E75" s="95">
        <f>'13'!F75</f>
        <v>73587</v>
      </c>
      <c r="F75" s="123">
        <v>73587</v>
      </c>
      <c r="G75" s="112">
        <f t="shared" si="7"/>
        <v>0</v>
      </c>
      <c r="H75" s="99">
        <f>G75+'13'!H75</f>
        <v>0.19999999999708962</v>
      </c>
      <c r="I75" s="154"/>
      <c r="J75" s="175">
        <f>H75/DAY(B2)</f>
        <v>1.4285714285506401E-2</v>
      </c>
      <c r="K75" s="69"/>
      <c r="L75" s="66"/>
      <c r="N75" s="87"/>
      <c r="O75" s="71"/>
    </row>
    <row r="76" spans="1:15" ht="27.75" customHeight="1" x14ac:dyDescent="0.5">
      <c r="A76" s="881" t="s">
        <v>222</v>
      </c>
      <c r="B76" s="882"/>
      <c r="C76" s="883"/>
      <c r="D76" s="151" t="s">
        <v>139</v>
      </c>
      <c r="E76" s="95">
        <f>'13'!F76</f>
        <v>171523</v>
      </c>
      <c r="F76" s="123">
        <v>168392</v>
      </c>
      <c r="G76" s="112">
        <f t="shared" si="7"/>
        <v>-3131</v>
      </c>
      <c r="H76" s="99">
        <f>G76+'13'!H76</f>
        <v>-1583</v>
      </c>
      <c r="I76" s="154"/>
      <c r="J76" s="175">
        <f>H76/DAY(B2)</f>
        <v>-113.07142857142857</v>
      </c>
      <c r="K76" s="69"/>
      <c r="L76" s="66"/>
      <c r="N76" s="87"/>
      <c r="O76" s="71"/>
    </row>
    <row r="77" spans="1:15" ht="27.75" customHeight="1" x14ac:dyDescent="0.5">
      <c r="A77" s="881" t="s">
        <v>223</v>
      </c>
      <c r="B77" s="882"/>
      <c r="C77" s="883"/>
      <c r="D77" s="151" t="s">
        <v>139</v>
      </c>
      <c r="E77" s="95">
        <f>'13'!F77</f>
        <v>41936</v>
      </c>
      <c r="F77" s="123">
        <v>40745</v>
      </c>
      <c r="G77" s="112">
        <f t="shared" si="7"/>
        <v>-1191</v>
      </c>
      <c r="H77" s="99">
        <f>G77+'13'!H77</f>
        <v>-557.19999999999709</v>
      </c>
      <c r="I77" s="154"/>
      <c r="J77" s="175">
        <f>H77/DAY(B2)</f>
        <v>-39.799999999999791</v>
      </c>
      <c r="K77" s="69"/>
      <c r="L77" s="66"/>
      <c r="N77" s="87"/>
      <c r="O77" s="71"/>
    </row>
    <row r="78" spans="1:15" ht="27.75" customHeight="1" x14ac:dyDescent="0.5">
      <c r="A78" s="881" t="s">
        <v>224</v>
      </c>
      <c r="B78" s="882"/>
      <c r="C78" s="883"/>
      <c r="D78" s="151" t="s">
        <v>139</v>
      </c>
      <c r="E78" s="95">
        <f>'13'!F78</f>
        <v>9541</v>
      </c>
      <c r="F78" s="123">
        <v>9497</v>
      </c>
      <c r="G78" s="112">
        <f t="shared" si="7"/>
        <v>-44</v>
      </c>
      <c r="H78" s="99">
        <f>G78+'13'!H78</f>
        <v>-19</v>
      </c>
      <c r="I78" s="118"/>
      <c r="J78" s="175">
        <f>H78/DAY(B2)</f>
        <v>-1.3571428571428572</v>
      </c>
      <c r="K78" s="69"/>
      <c r="L78" s="66"/>
      <c r="N78" s="87"/>
      <c r="O78" s="71"/>
    </row>
    <row r="79" spans="1:15" s="57" customFormat="1" ht="27.75" customHeight="1" x14ac:dyDescent="0.5">
      <c r="A79" s="881" t="s">
        <v>225</v>
      </c>
      <c r="B79" s="882"/>
      <c r="C79" s="883"/>
      <c r="D79" s="151"/>
      <c r="E79" s="95">
        <f>'13'!F79</f>
        <v>0</v>
      </c>
      <c r="F79" s="117"/>
      <c r="G79" s="112">
        <f>G15-SUM(G74:G78)</f>
        <v>14256</v>
      </c>
      <c r="H79" s="99">
        <f>G79+'13'!H79</f>
        <v>21887.381999999983</v>
      </c>
      <c r="I79" s="118"/>
      <c r="J79" s="175">
        <f>H79/DAY(B2)</f>
        <v>1563.3844285714274</v>
      </c>
      <c r="K79" s="59"/>
      <c r="L79" s="58"/>
      <c r="N79" s="87"/>
      <c r="O79" s="71"/>
    </row>
    <row r="80" spans="1:15" s="57" customFormat="1" ht="27.75" customHeight="1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745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'13'!F84</f>
        <v>41675</v>
      </c>
      <c r="F84" s="164">
        <v>41675</v>
      </c>
      <c r="G84" s="112">
        <f t="shared" si="8"/>
        <v>0</v>
      </c>
      <c r="H84" s="99">
        <f>G84+'13'!H84</f>
        <v>0</v>
      </c>
      <c r="I84" s="118"/>
      <c r="J84" s="175">
        <f>H84/DAY(B2)</f>
        <v>0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'13'!F85</f>
        <v>2456</v>
      </c>
      <c r="F85" s="164">
        <v>2096.5500000000002</v>
      </c>
      <c r="G85" s="112">
        <f t="shared" si="8"/>
        <v>-359.44999999999982</v>
      </c>
      <c r="H85" s="99">
        <f>G85+'13'!H85</f>
        <v>-163.86999999999989</v>
      </c>
      <c r="I85" s="118">
        <f>G82+G83+G84+G85</f>
        <v>-359.44999999999982</v>
      </c>
      <c r="J85" s="175">
        <f>H85/DAY(B2)</f>
        <v>-11.704999999999993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'13'!F86</f>
        <v>43564</v>
      </c>
      <c r="F86" s="164">
        <v>43200</v>
      </c>
      <c r="G86" s="112">
        <f t="shared" si="8"/>
        <v>-364</v>
      </c>
      <c r="H86" s="99">
        <f>G86+'13'!H86</f>
        <v>-242</v>
      </c>
      <c r="I86" s="118"/>
      <c r="J86" s="175">
        <f>H86/DAY(B2)</f>
        <v>-17.285714285714285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'13'!F87</f>
        <v>34598.550000000003</v>
      </c>
      <c r="F87" s="164">
        <v>34598.550000000003</v>
      </c>
      <c r="G87" s="112">
        <f t="shared" si="8"/>
        <v>0</v>
      </c>
      <c r="H87" s="99">
        <f>G87+'13'!H87</f>
        <v>5.0000000002910383E-2</v>
      </c>
      <c r="I87" s="118"/>
      <c r="J87" s="175">
        <f>H87/DAY(B2)</f>
        <v>3.5714285716364558E-3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'13'!F88</f>
        <v>24066.77</v>
      </c>
      <c r="F88" s="164">
        <v>24059.27</v>
      </c>
      <c r="G88" s="112">
        <f t="shared" si="8"/>
        <v>-7.5</v>
      </c>
      <c r="H88" s="99">
        <f>G88+'13'!H88</f>
        <v>-4.1599999999998545</v>
      </c>
      <c r="I88" s="118">
        <f>G86+G87+G88</f>
        <v>-371.5</v>
      </c>
      <c r="J88" s="175">
        <f>H88/DAY(B2)</f>
        <v>-0.29714285714284677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'13'!F89</f>
        <v>26022.66</v>
      </c>
      <c r="F89" s="164">
        <v>25742.99</v>
      </c>
      <c r="G89" s="112">
        <f t="shared" si="8"/>
        <v>-279.66999999999825</v>
      </c>
      <c r="H89" s="99">
        <f>G89+'13'!H89</f>
        <v>-148.12999999999738</v>
      </c>
      <c r="I89" s="118"/>
      <c r="J89" s="175">
        <f>H89/DAY(B2)</f>
        <v>-10.580714285714098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'13'!F90</f>
        <v>71209.78</v>
      </c>
      <c r="F90" s="164">
        <v>71113.53</v>
      </c>
      <c r="G90" s="112">
        <f t="shared" si="8"/>
        <v>-96.25</v>
      </c>
      <c r="H90" s="99">
        <f>G90+'13'!H90</f>
        <v>-49.790000000008149</v>
      </c>
      <c r="I90" s="118">
        <f>G89+G90</f>
        <v>-375.91999999999825</v>
      </c>
      <c r="J90" s="175">
        <f>H90/DAY(B2)</f>
        <v>-3.5564285714291537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'13'!F91</f>
        <v>3398.46</v>
      </c>
      <c r="F91" s="122">
        <v>3226.32</v>
      </c>
      <c r="G91" s="112">
        <f t="shared" si="8"/>
        <v>-172.13999999999987</v>
      </c>
      <c r="H91" s="99">
        <f>G91+'13'!H91</f>
        <v>-24.769999999999982</v>
      </c>
      <c r="I91" s="165"/>
      <c r="J91" s="175">
        <f>H91/DAY(B2)</f>
        <v>-1.769285714285713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'13'!F92</f>
        <v>5741</v>
      </c>
      <c r="F92" s="122">
        <v>5582.77</v>
      </c>
      <c r="G92" s="112">
        <f t="shared" si="8"/>
        <v>-158.22999999999956</v>
      </c>
      <c r="H92" s="99">
        <f>G92+'13'!H92</f>
        <v>-158.29999999999927</v>
      </c>
      <c r="I92" s="165"/>
      <c r="J92" s="175">
        <f>H92/DAY(B2)</f>
        <v>-11.307142857142805</v>
      </c>
      <c r="O92" s="71"/>
    </row>
    <row r="93" spans="1:15" ht="27.75" customHeight="1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-74917</v>
      </c>
      <c r="H94" s="99">
        <f>G94+'13'!H94</f>
        <v>-10473.770000000004</v>
      </c>
      <c r="I94" s="118"/>
      <c r="J94" s="175">
        <f>H94/DAY(B2)</f>
        <v>-748.12642857142885</v>
      </c>
      <c r="K94" s="69"/>
      <c r="L94" s="66"/>
      <c r="O94" s="71"/>
    </row>
    <row r="95" spans="1:15" ht="27.75" customHeight="1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0.13456830261477473</v>
      </c>
      <c r="H95" s="99">
        <f>G95+'13'!H95</f>
        <v>3.3607817341217676</v>
      </c>
      <c r="I95" s="167"/>
      <c r="J95" s="175">
        <f>H95/DAY(B2)</f>
        <v>0.24005583815155482</v>
      </c>
      <c r="K95" s="69"/>
      <c r="L95" s="66"/>
      <c r="O95" s="71"/>
    </row>
    <row r="96" spans="1:15" ht="27.75" customHeight="1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-45053</v>
      </c>
      <c r="H96" s="99">
        <f>G96+'13'!H96</f>
        <v>7004.8799999999901</v>
      </c>
      <c r="I96" s="118"/>
      <c r="J96" s="175">
        <f>H96/DAY(B2)</f>
        <v>500.34857142857072</v>
      </c>
      <c r="K96" s="69"/>
      <c r="L96" s="66"/>
      <c r="O96" s="71"/>
    </row>
    <row r="97" spans="1:15" ht="27.75" customHeight="1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8.0925634204565666E-2</v>
      </c>
      <c r="H97" s="99">
        <f>G97+'13'!H97</f>
        <v>2.677991799178729</v>
      </c>
      <c r="I97" s="167"/>
      <c r="J97" s="175">
        <f>H97/DAY(B2)</f>
        <v>0.19128512851276636</v>
      </c>
      <c r="K97" s="69"/>
      <c r="L97" s="66"/>
      <c r="O97" s="71"/>
    </row>
    <row r="98" spans="1:15" ht="27.75" customHeight="1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-81937</v>
      </c>
      <c r="H98" s="99">
        <f>G98+'13'!H98</f>
        <v>-44158.29</v>
      </c>
      <c r="I98" s="168"/>
      <c r="J98" s="175">
        <f>H98/DAY(B2)</f>
        <v>-3154.1635714285717</v>
      </c>
      <c r="K98" s="69"/>
      <c r="L98" s="66"/>
      <c r="O98" s="71"/>
    </row>
    <row r="99" spans="1:15" ht="27.75" customHeight="1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0.14717785030562885</v>
      </c>
      <c r="H99" s="99">
        <f>G99+'13'!H99</f>
        <v>2.0372112044048452</v>
      </c>
      <c r="I99" s="168"/>
      <c r="J99" s="175">
        <f>H99/DAY(B2)</f>
        <v>0.14551508602891752</v>
      </c>
      <c r="O99" s="71"/>
    </row>
    <row r="100" spans="1:15" ht="27.75" customHeight="1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-53662</v>
      </c>
      <c r="H100" s="99">
        <f>G100+'13'!H100</f>
        <v>-28824.43</v>
      </c>
      <c r="I100" s="118"/>
      <c r="J100" s="175">
        <f>H100/DAY(B2)</f>
        <v>-2058.8878571428572</v>
      </c>
      <c r="K100" s="70"/>
      <c r="O100" s="71"/>
    </row>
    <row r="101" spans="1:15" ht="27.75" customHeight="1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9.6389394328577516E-2</v>
      </c>
      <c r="H101" s="99">
        <f>G101+'13'!H101</f>
        <v>1.3387786048902308</v>
      </c>
      <c r="I101" s="168"/>
      <c r="J101" s="175">
        <f>H101/DAY(B2)</f>
        <v>9.5627043206445064E-2</v>
      </c>
      <c r="O101" s="71"/>
    </row>
    <row r="102" spans="1:15" ht="27.75" customHeight="1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-57932</v>
      </c>
      <c r="H102" s="99">
        <f>G102+'13'!H102</f>
        <v>-29609.369999999995</v>
      </c>
      <c r="I102" s="168"/>
      <c r="J102" s="175">
        <f>H102/DAY(B2)</f>
        <v>-2114.9549999999995</v>
      </c>
      <c r="O102" s="71"/>
    </row>
    <row r="103" spans="1:15" ht="27.75" customHeight="1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0.10405930439124804</v>
      </c>
      <c r="H103" s="99">
        <f>G103+'13'!H103</f>
        <v>1.5147557822761901</v>
      </c>
      <c r="I103" s="118"/>
      <c r="J103" s="175">
        <f>H103/DAY(B2)</f>
        <v>0.10819684159115643</v>
      </c>
      <c r="O103" s="71"/>
    </row>
    <row r="104" spans="1:15" ht="27.75" customHeight="1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-47993</v>
      </c>
      <c r="H104" s="99">
        <f>G104+'13'!H104</f>
        <v>-26595.089999999997</v>
      </c>
      <c r="I104" s="118"/>
      <c r="J104" s="175">
        <f>H104/DAY(B2)</f>
        <v>-1899.6492857142855</v>
      </c>
      <c r="O104" s="71"/>
    </row>
    <row r="105" spans="1:15" ht="27.75" customHeight="1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8.6206555887060124E-2</v>
      </c>
      <c r="H105" s="99">
        <f>G105+'13'!H105</f>
        <v>1.1590040730121387</v>
      </c>
      <c r="I105" s="187"/>
      <c r="J105" s="188">
        <f>H105/DAY(B2)</f>
        <v>8.2786005215152766E-2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7.75" customHeight="1" x14ac:dyDescent="0.5">
      <c r="A109" s="901"/>
      <c r="B109" s="901"/>
    </row>
    <row r="110" spans="1:15" ht="27.75" customHeight="1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customHeight="1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863" t="s">
        <v>252</v>
      </c>
      <c r="B112" s="864"/>
      <c r="C112" s="865"/>
      <c r="D112" s="146" t="s">
        <v>183</v>
      </c>
      <c r="E112" s="95">
        <f>'13'!F112</f>
        <v>59004</v>
      </c>
      <c r="F112" s="237">
        <v>56733</v>
      </c>
      <c r="G112" s="112">
        <f t="shared" ref="G112:G123" si="9">F112-E112</f>
        <v>-2271</v>
      </c>
      <c r="H112" s="99">
        <f>G112+'13'!H112</f>
        <v>-1321</v>
      </c>
      <c r="I112" s="165"/>
      <c r="J112" s="328">
        <f>H112/DAY(B2)</f>
        <v>-94.357142857142861</v>
      </c>
    </row>
    <row r="113" spans="1:18" ht="27.75" customHeight="1" x14ac:dyDescent="0.5">
      <c r="A113" s="863" t="s">
        <v>253</v>
      </c>
      <c r="B113" s="864"/>
      <c r="C113" s="865"/>
      <c r="D113" s="146" t="s">
        <v>183</v>
      </c>
      <c r="E113" s="95">
        <f>'13'!F113</f>
        <v>52520</v>
      </c>
      <c r="F113" s="237">
        <v>38500</v>
      </c>
      <c r="G113" s="112">
        <f t="shared" si="9"/>
        <v>-14020</v>
      </c>
      <c r="H113" s="99">
        <f>G113+'13'!H113</f>
        <v>-7900.8899999999994</v>
      </c>
      <c r="I113" s="165"/>
      <c r="J113" s="328">
        <f>H113/DAY(B2)</f>
        <v>-564.34928571428566</v>
      </c>
    </row>
    <row r="114" spans="1:18" ht="27.75" customHeight="1" x14ac:dyDescent="0.5">
      <c r="A114" s="863" t="s">
        <v>254</v>
      </c>
      <c r="B114" s="864"/>
      <c r="C114" s="865"/>
      <c r="D114" s="146" t="s">
        <v>183</v>
      </c>
      <c r="E114" s="95">
        <f>'13'!F114</f>
        <v>37526</v>
      </c>
      <c r="F114" s="237">
        <v>28585</v>
      </c>
      <c r="G114" s="112">
        <f t="shared" si="9"/>
        <v>-8941</v>
      </c>
      <c r="H114" s="99">
        <f>G114+'13'!H114</f>
        <v>-4575</v>
      </c>
      <c r="I114" s="165"/>
      <c r="J114" s="328">
        <f>H114/DAY(B2)</f>
        <v>-326.78571428571428</v>
      </c>
    </row>
    <row r="115" spans="1:18" ht="27.75" customHeight="1" x14ac:dyDescent="0.5">
      <c r="A115" s="863" t="s">
        <v>255</v>
      </c>
      <c r="B115" s="864"/>
      <c r="C115" s="865"/>
      <c r="D115" s="146" t="s">
        <v>183</v>
      </c>
      <c r="E115" s="95">
        <f>'13'!F115</f>
        <v>9229</v>
      </c>
      <c r="F115" s="237">
        <v>8926</v>
      </c>
      <c r="G115" s="112">
        <f t="shared" si="9"/>
        <v>-303</v>
      </c>
      <c r="H115" s="99">
        <f>G115+'13'!H115</f>
        <v>-168.64999999999964</v>
      </c>
      <c r="I115" s="165"/>
      <c r="J115" s="328">
        <f>H115/DAY(B2)</f>
        <v>-12.046428571428546</v>
      </c>
    </row>
    <row r="116" spans="1:18" ht="27.75" customHeight="1" x14ac:dyDescent="0.5">
      <c r="A116" s="870" t="s">
        <v>96</v>
      </c>
      <c r="B116" s="871"/>
      <c r="C116" s="872"/>
      <c r="D116" s="146" t="s">
        <v>183</v>
      </c>
      <c r="E116" s="95">
        <f>'13'!F116</f>
        <v>2851</v>
      </c>
      <c r="F116" s="237">
        <v>0</v>
      </c>
      <c r="G116" s="112">
        <f t="shared" si="9"/>
        <v>-2851</v>
      </c>
      <c r="H116" s="99">
        <f>G116+'13'!H116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27.75" customHeight="1" x14ac:dyDescent="0.5">
      <c r="A117" s="870" t="s">
        <v>184</v>
      </c>
      <c r="B117" s="871"/>
      <c r="C117" s="872"/>
      <c r="D117" s="146" t="s">
        <v>183</v>
      </c>
      <c r="E117" s="95">
        <f>'13'!F117</f>
        <v>5081</v>
      </c>
      <c r="F117" s="237">
        <v>2930</v>
      </c>
      <c r="G117" s="112">
        <f t="shared" si="9"/>
        <v>-2151</v>
      </c>
      <c r="H117" s="99">
        <f>G117+'13'!H117</f>
        <v>-407.94999999999982</v>
      </c>
      <c r="I117" s="165"/>
      <c r="J117" s="328">
        <f>H117/DAY(B2)</f>
        <v>-29.139285714285702</v>
      </c>
      <c r="Q117" s="863" t="s">
        <v>312</v>
      </c>
      <c r="R117" s="865"/>
    </row>
    <row r="118" spans="1:18" ht="27.75" customHeight="1" x14ac:dyDescent="0.5">
      <c r="A118" s="862" t="s">
        <v>97</v>
      </c>
      <c r="B118" s="862"/>
      <c r="C118" s="862"/>
      <c r="D118" s="151" t="s">
        <v>183</v>
      </c>
      <c r="E118" s="95">
        <f>'13'!F118</f>
        <v>257167</v>
      </c>
      <c r="F118" s="237">
        <v>246716</v>
      </c>
      <c r="G118" s="112">
        <f t="shared" si="9"/>
        <v>-10451</v>
      </c>
      <c r="H118" s="99">
        <f>G118+'13'!H118</f>
        <v>-5736.3099999999977</v>
      </c>
      <c r="I118" s="165"/>
      <c r="J118" s="328">
        <f>H118/DAY(B2)</f>
        <v>-409.73642857142841</v>
      </c>
      <c r="Q118" s="863" t="s">
        <v>311</v>
      </c>
      <c r="R118" s="865"/>
    </row>
    <row r="119" spans="1:18" ht="27.75" customHeight="1" x14ac:dyDescent="0.5">
      <c r="A119" s="862" t="s">
        <v>98</v>
      </c>
      <c r="B119" s="862"/>
      <c r="C119" s="862"/>
      <c r="D119" s="151" t="s">
        <v>183</v>
      </c>
      <c r="E119" s="95">
        <f>'13'!F119</f>
        <v>263567</v>
      </c>
      <c r="F119" s="237">
        <v>250981</v>
      </c>
      <c r="G119" s="112">
        <f t="shared" si="9"/>
        <v>-12586</v>
      </c>
      <c r="H119" s="99">
        <f>G119+'13'!H119</f>
        <v>-7167.5499999999884</v>
      </c>
      <c r="I119" s="165"/>
      <c r="J119" s="328">
        <f>H119/DAY(B2)</f>
        <v>-511.9678571428563</v>
      </c>
    </row>
    <row r="120" spans="1:18" ht="27.75" customHeight="1" x14ac:dyDescent="0.5">
      <c r="A120" s="862" t="s">
        <v>99</v>
      </c>
      <c r="B120" s="862"/>
      <c r="C120" s="862"/>
      <c r="D120" s="151" t="s">
        <v>183</v>
      </c>
      <c r="E120" s="95">
        <f>'13'!F120</f>
        <v>48455</v>
      </c>
      <c r="F120" s="237">
        <v>35858</v>
      </c>
      <c r="G120" s="112">
        <f t="shared" si="9"/>
        <v>-12597</v>
      </c>
      <c r="H120" s="99">
        <f>G120+'13'!H120</f>
        <v>-7101.6100000000006</v>
      </c>
      <c r="I120" s="165"/>
      <c r="J120" s="328">
        <f>H120/DAY(B2)</f>
        <v>-507.25785714285718</v>
      </c>
    </row>
    <row r="121" spans="1:18" ht="27.75" customHeight="1" x14ac:dyDescent="0.5">
      <c r="A121" s="862" t="s">
        <v>100</v>
      </c>
      <c r="B121" s="862"/>
      <c r="C121" s="862"/>
      <c r="D121" s="151" t="s">
        <v>183</v>
      </c>
      <c r="E121" s="95">
        <f>'13'!F121</f>
        <v>407562</v>
      </c>
      <c r="F121" s="237">
        <v>386422</v>
      </c>
      <c r="G121" s="112">
        <f t="shared" si="9"/>
        <v>-21140</v>
      </c>
      <c r="H121" s="99">
        <f>G121+'13'!H121</f>
        <v>-11612.429999999993</v>
      </c>
      <c r="I121" s="165"/>
      <c r="J121" s="328">
        <f>H121/DAY(B2)</f>
        <v>-829.45928571428522</v>
      </c>
    </row>
    <row r="122" spans="1:18" ht="27.75" customHeight="1" x14ac:dyDescent="0.5">
      <c r="A122" s="862" t="s">
        <v>101</v>
      </c>
      <c r="B122" s="862"/>
      <c r="C122" s="862"/>
      <c r="D122" s="151" t="s">
        <v>183</v>
      </c>
      <c r="E122" s="95">
        <f>'13'!F122</f>
        <v>129065</v>
      </c>
      <c r="F122" s="237">
        <v>122996</v>
      </c>
      <c r="G122" s="112">
        <f t="shared" si="9"/>
        <v>-6069</v>
      </c>
      <c r="H122" s="99">
        <f>G122+'13'!H122</f>
        <v>-3190.179999999993</v>
      </c>
      <c r="I122" s="165"/>
      <c r="J122" s="328">
        <f>H122/DAY(B2)</f>
        <v>-227.86999999999949</v>
      </c>
    </row>
    <row r="123" spans="1:18" ht="27.75" customHeight="1" x14ac:dyDescent="0.5">
      <c r="A123" s="862" t="s">
        <v>102</v>
      </c>
      <c r="B123" s="862"/>
      <c r="C123" s="862"/>
      <c r="D123" s="151" t="s">
        <v>183</v>
      </c>
      <c r="E123" s="95">
        <f>'13'!F123</f>
        <v>157363</v>
      </c>
      <c r="F123" s="237">
        <v>149480</v>
      </c>
      <c r="G123" s="112">
        <f t="shared" si="9"/>
        <v>-7883</v>
      </c>
      <c r="H123" s="99">
        <f>G123+'13'!H123</f>
        <v>-4566.9500000000116</v>
      </c>
      <c r="I123" s="165"/>
      <c r="J123" s="328">
        <f>H123/DAY(B2)</f>
        <v>-326.21071428571514</v>
      </c>
    </row>
    <row r="124" spans="1:18" ht="27.75" customHeight="1" x14ac:dyDescent="0.5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27.75" customHeight="1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-101263</v>
      </c>
      <c r="H125" s="156"/>
      <c r="I125" s="327">
        <f>G125-(G39+G53)</f>
        <v>-19326</v>
      </c>
      <c r="J125" s="327"/>
    </row>
    <row r="126" spans="1:18" ht="27.75" customHeight="1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customHeight="1" x14ac:dyDescent="0.5">
      <c r="A127" s="852"/>
      <c r="B127" s="852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 x14ac:dyDescent="0.5">
      <c r="A128" s="863" t="s">
        <v>318</v>
      </c>
      <c r="B128" s="864"/>
      <c r="C128" s="865"/>
      <c r="D128" s="151" t="s">
        <v>183</v>
      </c>
      <c r="E128" s="95">
        <f>'13'!F128</f>
        <v>51864</v>
      </c>
      <c r="F128" s="165">
        <v>42485</v>
      </c>
      <c r="G128" s="112">
        <f t="shared" ref="G128:G134" si="10">F128-E128</f>
        <v>-9379</v>
      </c>
      <c r="H128" s="99">
        <f>G128+'13'!H128</f>
        <v>-5261</v>
      </c>
      <c r="I128" s="165"/>
      <c r="J128" s="328">
        <f>H128/DAY(B2)</f>
        <v>-375.78571428571428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'13'!F129</f>
        <v>29691</v>
      </c>
      <c r="F129" s="165">
        <v>23362</v>
      </c>
      <c r="G129" s="112">
        <f t="shared" si="10"/>
        <v>-6329</v>
      </c>
      <c r="H129" s="99">
        <f>G129+'13'!H129</f>
        <v>-3548.869999999999</v>
      </c>
      <c r="I129" s="165"/>
      <c r="J129" s="328">
        <f>H129/DAY(B2)</f>
        <v>-253.4907142857142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'13'!F130</f>
        <v>43414</v>
      </c>
      <c r="F130" s="165">
        <v>26885</v>
      </c>
      <c r="G130" s="112">
        <f t="shared" si="10"/>
        <v>-16529</v>
      </c>
      <c r="H130" s="99">
        <f>G130+'13'!H130</f>
        <v>-8809</v>
      </c>
      <c r="I130" s="165"/>
      <c r="J130" s="328">
        <f>H130/DAY(B2)</f>
        <v>-629.21428571428567</v>
      </c>
      <c r="N130" s="240"/>
      <c r="O130" s="241"/>
    </row>
    <row r="131" spans="1:15" ht="27.75" customHeight="1" x14ac:dyDescent="0.5">
      <c r="A131" s="863" t="s">
        <v>321</v>
      </c>
      <c r="B131" s="864"/>
      <c r="C131" s="865"/>
      <c r="D131" s="151" t="s">
        <v>183</v>
      </c>
      <c r="E131" s="95">
        <f>'13'!F131</f>
        <v>16612</v>
      </c>
      <c r="F131" s="165">
        <v>14167</v>
      </c>
      <c r="G131" s="112">
        <f t="shared" si="10"/>
        <v>-2445</v>
      </c>
      <c r="H131" s="99">
        <f>G131+'13'!H131</f>
        <v>-1140.6800000000003</v>
      </c>
      <c r="I131" s="165"/>
      <c r="J131" s="328">
        <f>H131/DAY(B2)</f>
        <v>-81.47714285714288</v>
      </c>
      <c r="N131" s="240"/>
      <c r="O131" s="241"/>
    </row>
    <row r="132" spans="1:15" ht="27.75" customHeight="1" x14ac:dyDescent="0.5">
      <c r="A132" s="863" t="s">
        <v>322</v>
      </c>
      <c r="B132" s="864"/>
      <c r="C132" s="865"/>
      <c r="D132" s="151" t="s">
        <v>183</v>
      </c>
      <c r="E132" s="95">
        <f>'13'!F132</f>
        <v>56739</v>
      </c>
      <c r="F132" s="165">
        <v>47795</v>
      </c>
      <c r="G132" s="112">
        <f t="shared" si="10"/>
        <v>-8944</v>
      </c>
      <c r="H132" s="99">
        <f>G132+'13'!H132</f>
        <v>-4053.3000000000029</v>
      </c>
      <c r="I132" s="165"/>
      <c r="J132" s="328">
        <f>H132/DAY(B2)</f>
        <v>-289.52142857142877</v>
      </c>
    </row>
    <row r="133" spans="1:15" ht="27.75" customHeight="1" x14ac:dyDescent="0.5">
      <c r="A133" s="863" t="s">
        <v>341</v>
      </c>
      <c r="B133" s="864"/>
      <c r="C133" s="865"/>
      <c r="D133" s="151" t="s">
        <v>183</v>
      </c>
      <c r="E133" s="95">
        <f>'13'!F133</f>
        <v>113348</v>
      </c>
      <c r="F133" s="165">
        <v>96727</v>
      </c>
      <c r="G133" s="112">
        <f t="shared" si="10"/>
        <v>-16621</v>
      </c>
      <c r="H133" s="99">
        <f>G133+'13'!H133</f>
        <v>-8616.6999999999971</v>
      </c>
      <c r="I133" s="165"/>
      <c r="J133" s="328">
        <f>H133/DAY(B2)</f>
        <v>-615.47857142857117</v>
      </c>
    </row>
    <row r="134" spans="1:15" ht="27.75" customHeight="1" x14ac:dyDescent="0.5">
      <c r="A134" s="863" t="s">
        <v>340</v>
      </c>
      <c r="B134" s="864"/>
      <c r="C134" s="865"/>
      <c r="D134" s="151" t="s">
        <v>183</v>
      </c>
      <c r="E134" s="95">
        <f>'13'!F134</f>
        <v>11016</v>
      </c>
      <c r="F134" s="165">
        <v>5719</v>
      </c>
      <c r="G134" s="112">
        <f t="shared" si="10"/>
        <v>-5297</v>
      </c>
      <c r="H134" s="99">
        <f>G134+'13'!H134</f>
        <v>-2882.2299999999996</v>
      </c>
      <c r="I134" s="165"/>
      <c r="J134" s="328">
        <f>H134/DAY(B2)</f>
        <v>-205.87357142857141</v>
      </c>
    </row>
    <row r="135" spans="1:15" ht="27.75" customHeight="1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-65544</v>
      </c>
      <c r="H135" s="119">
        <f>H128+H134</f>
        <v>-8143.23</v>
      </c>
      <c r="I135" s="327">
        <f>G135-(G35+G49)</f>
        <v>11384</v>
      </c>
      <c r="J135" s="328">
        <f>H135/DAY(B2)</f>
        <v>-581.65928571428572</v>
      </c>
    </row>
    <row r="136" spans="1:15" ht="27.75" customHeight="1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862" t="s">
        <v>185</v>
      </c>
      <c r="B138" s="862"/>
      <c r="C138" s="862"/>
      <c r="D138" s="151" t="s">
        <v>183</v>
      </c>
      <c r="E138" s="95">
        <f>'13'!F138</f>
        <v>867322</v>
      </c>
      <c r="F138" s="147">
        <v>865054</v>
      </c>
      <c r="G138" s="112">
        <f t="shared" ref="G138:G152" si="11">F138-E138</f>
        <v>-2268</v>
      </c>
      <c r="H138" s="99">
        <f>G138+'13'!H138</f>
        <v>-1119</v>
      </c>
      <c r="I138" s="118"/>
      <c r="J138" s="328">
        <f>H138/DAY(B2)</f>
        <v>-79.928571428571431</v>
      </c>
    </row>
    <row r="139" spans="1:15" ht="27.75" customHeight="1" x14ac:dyDescent="0.5">
      <c r="A139" s="862" t="s">
        <v>186</v>
      </c>
      <c r="B139" s="862"/>
      <c r="C139" s="862"/>
      <c r="D139" s="151" t="s">
        <v>183</v>
      </c>
      <c r="E139" s="95">
        <f>'13'!F139</f>
        <v>886674</v>
      </c>
      <c r="F139" s="148">
        <v>886549</v>
      </c>
      <c r="G139" s="112">
        <f t="shared" si="11"/>
        <v>-125</v>
      </c>
      <c r="H139" s="99">
        <f>G139+'13'!H139</f>
        <v>-24</v>
      </c>
      <c r="I139" s="118"/>
      <c r="J139" s="328">
        <f>H139/DAY(B2)</f>
        <v>-1.7142857142857142</v>
      </c>
    </row>
    <row r="140" spans="1:15" ht="27.75" customHeight="1" x14ac:dyDescent="0.5">
      <c r="A140" s="862" t="s">
        <v>187</v>
      </c>
      <c r="B140" s="862"/>
      <c r="C140" s="862"/>
      <c r="D140" s="151" t="s">
        <v>183</v>
      </c>
      <c r="E140" s="95">
        <f>'13'!F140</f>
        <v>88948</v>
      </c>
      <c r="F140" s="149">
        <v>88898</v>
      </c>
      <c r="G140" s="112">
        <f t="shared" si="11"/>
        <v>-50</v>
      </c>
      <c r="H140" s="99">
        <f>G140+'13'!H140</f>
        <v>-24</v>
      </c>
      <c r="I140" s="118"/>
      <c r="J140" s="328">
        <f>H140/DAY(B2)</f>
        <v>-1.7142857142857142</v>
      </c>
    </row>
    <row r="141" spans="1:15" ht="27.75" customHeight="1" x14ac:dyDescent="0.5">
      <c r="A141" s="843" t="s">
        <v>188</v>
      </c>
      <c r="B141" s="843"/>
      <c r="C141" s="843"/>
      <c r="D141" s="151" t="s">
        <v>183</v>
      </c>
      <c r="E141" s="95">
        <f>'13'!F141</f>
        <v>56989</v>
      </c>
      <c r="F141" s="149">
        <v>51735</v>
      </c>
      <c r="G141" s="112">
        <f t="shared" si="11"/>
        <v>-5254</v>
      </c>
      <c r="H141" s="99">
        <f>G141+'13'!H141</f>
        <v>-2950.5800000000017</v>
      </c>
      <c r="I141" s="118"/>
      <c r="J141" s="328">
        <f>H141/DAY(B2)</f>
        <v>-210.75571428571442</v>
      </c>
    </row>
    <row r="142" spans="1:15" ht="27.75" customHeight="1" x14ac:dyDescent="0.5">
      <c r="A142" s="843" t="s">
        <v>189</v>
      </c>
      <c r="B142" s="843"/>
      <c r="C142" s="843"/>
      <c r="D142" s="151" t="s">
        <v>183</v>
      </c>
      <c r="E142" s="95">
        <f>'13'!F142</f>
        <v>22184</v>
      </c>
      <c r="F142" s="148">
        <v>19971</v>
      </c>
      <c r="G142" s="112">
        <f t="shared" si="11"/>
        <v>-2213</v>
      </c>
      <c r="H142" s="99">
        <f>G142+'13'!H142</f>
        <v>-1313.0999999999985</v>
      </c>
      <c r="I142" s="140"/>
      <c r="J142" s="328">
        <f>H142/DAY(B2)</f>
        <v>-93.792857142857045</v>
      </c>
    </row>
    <row r="143" spans="1:15" ht="27.75" customHeight="1" x14ac:dyDescent="0.5">
      <c r="A143" s="862" t="s">
        <v>91</v>
      </c>
      <c r="B143" s="862"/>
      <c r="C143" s="862"/>
      <c r="D143" s="151" t="s">
        <v>183</v>
      </c>
      <c r="E143" s="95">
        <f>'13'!F143</f>
        <v>4198</v>
      </c>
      <c r="F143" s="149">
        <v>3390</v>
      </c>
      <c r="G143" s="112">
        <f t="shared" si="11"/>
        <v>-808</v>
      </c>
      <c r="H143" s="99">
        <f>G143+'13'!H143</f>
        <v>-445.38999999999987</v>
      </c>
      <c r="I143" s="140"/>
      <c r="J143" s="328">
        <f>H143/DAY(B2)</f>
        <v>-31.813571428571418</v>
      </c>
    </row>
    <row r="144" spans="1:15" ht="27.75" customHeight="1" x14ac:dyDescent="0.5">
      <c r="A144" s="843" t="s">
        <v>90</v>
      </c>
      <c r="B144" s="843"/>
      <c r="C144" s="843"/>
      <c r="D144" s="151" t="s">
        <v>183</v>
      </c>
      <c r="E144" s="95">
        <f>'13'!F144</f>
        <v>879233</v>
      </c>
      <c r="F144" s="149">
        <v>872833</v>
      </c>
      <c r="G144" s="112">
        <f t="shared" si="11"/>
        <v>-6400</v>
      </c>
      <c r="H144" s="99">
        <f>G144+'13'!H144</f>
        <v>-3654</v>
      </c>
      <c r="I144" s="140"/>
      <c r="J144" s="328">
        <f>H144/DAY(B2)</f>
        <v>-261</v>
      </c>
    </row>
    <row r="145" spans="1:10" ht="27.75" customHeight="1" x14ac:dyDescent="0.5">
      <c r="A145" s="862" t="s">
        <v>190</v>
      </c>
      <c r="B145" s="862"/>
      <c r="C145" s="862"/>
      <c r="D145" s="152" t="s">
        <v>183</v>
      </c>
      <c r="E145" s="95">
        <f>'13'!F145</f>
        <v>5120</v>
      </c>
      <c r="F145" s="149">
        <v>4768</v>
      </c>
      <c r="G145" s="112">
        <f t="shared" si="11"/>
        <v>-352</v>
      </c>
      <c r="H145" s="99">
        <f>G145+'13'!H145</f>
        <v>-190.84000000000015</v>
      </c>
      <c r="I145" s="140"/>
      <c r="J145" s="328">
        <f>H145/DAY(B2)</f>
        <v>-13.631428571428582</v>
      </c>
    </row>
    <row r="146" spans="1:10" ht="27.75" customHeight="1" x14ac:dyDescent="0.5">
      <c r="A146" s="897" t="s">
        <v>191</v>
      </c>
      <c r="B146" s="882"/>
      <c r="C146" s="883"/>
      <c r="D146" s="152" t="s">
        <v>183</v>
      </c>
      <c r="E146" s="95">
        <f>'13'!F146</f>
        <v>742874</v>
      </c>
      <c r="F146" s="148">
        <v>730506</v>
      </c>
      <c r="G146" s="112">
        <f t="shared" si="11"/>
        <v>-12368</v>
      </c>
      <c r="H146" s="99">
        <f>G146+'13'!H146</f>
        <v>-6827</v>
      </c>
      <c r="I146" s="140"/>
      <c r="J146" s="328">
        <f>H146/DAY(B2)</f>
        <v>-487.64285714285717</v>
      </c>
    </row>
    <row r="147" spans="1:10" ht="27.75" customHeight="1" x14ac:dyDescent="0.5">
      <c r="A147" s="843" t="s">
        <v>192</v>
      </c>
      <c r="B147" s="843"/>
      <c r="C147" s="843"/>
      <c r="D147" s="152" t="s">
        <v>183</v>
      </c>
      <c r="E147" s="95">
        <f>'13'!F147</f>
        <v>631884</v>
      </c>
      <c r="F147" s="148">
        <v>620452</v>
      </c>
      <c r="G147" s="112">
        <f t="shared" si="11"/>
        <v>-11432</v>
      </c>
      <c r="H147" s="99">
        <f>G147+'13'!H147</f>
        <v>-6160.5200000000186</v>
      </c>
      <c r="I147" s="140"/>
      <c r="J147" s="328">
        <f>H147/DAY(B2)</f>
        <v>-440.0371428571442</v>
      </c>
    </row>
    <row r="148" spans="1:10" ht="27.75" customHeight="1" x14ac:dyDescent="0.5">
      <c r="A148" s="844" t="s">
        <v>193</v>
      </c>
      <c r="B148" s="845"/>
      <c r="C148" s="846"/>
      <c r="D148" s="123" t="s">
        <v>130</v>
      </c>
      <c r="E148" s="95">
        <f>'13'!F148</f>
        <v>693435</v>
      </c>
      <c r="F148" s="150">
        <v>686351</v>
      </c>
      <c r="G148" s="112">
        <f t="shared" si="11"/>
        <v>-7084</v>
      </c>
      <c r="H148" s="99">
        <f>G148+'13'!H148</f>
        <v>-3091.9599999999627</v>
      </c>
      <c r="I148" s="124"/>
      <c r="J148" s="328">
        <f>H148/DAY(B2)</f>
        <v>-220.85428571428307</v>
      </c>
    </row>
    <row r="149" spans="1:10" ht="27.75" customHeight="1" x14ac:dyDescent="0.5">
      <c r="A149" s="844" t="s">
        <v>336</v>
      </c>
      <c r="B149" s="845"/>
      <c r="C149" s="846"/>
      <c r="D149" s="227" t="s">
        <v>130</v>
      </c>
      <c r="E149" s="95">
        <f>'13'!F149</f>
        <v>32010</v>
      </c>
      <c r="F149" s="146">
        <v>16465</v>
      </c>
      <c r="G149" s="112">
        <f t="shared" si="11"/>
        <v>-15545</v>
      </c>
      <c r="H149" s="99">
        <f>G149+'13'!H149</f>
        <v>-8213.2000000000007</v>
      </c>
      <c r="I149" s="119"/>
      <c r="J149" s="328">
        <f>H149/DAY(B2)</f>
        <v>-586.65714285714296</v>
      </c>
    </row>
    <row r="150" spans="1:10" ht="27.75" customHeight="1" x14ac:dyDescent="0.5">
      <c r="A150" s="844" t="s">
        <v>337</v>
      </c>
      <c r="B150" s="845"/>
      <c r="C150" s="846"/>
      <c r="D150" s="117" t="s">
        <v>130</v>
      </c>
      <c r="E150" s="95">
        <f>'13'!F150</f>
        <v>13779</v>
      </c>
      <c r="F150" s="233">
        <v>7104</v>
      </c>
      <c r="G150" s="112">
        <f t="shared" si="11"/>
        <v>-6675</v>
      </c>
      <c r="H150" s="99">
        <f>G150+'13'!H150</f>
        <v>-3746.83</v>
      </c>
      <c r="I150" s="119"/>
      <c r="J150" s="328">
        <f>H150/DAY(B2)</f>
        <v>-267.6307142857143</v>
      </c>
    </row>
    <row r="151" spans="1:10" ht="27.75" customHeight="1" x14ac:dyDescent="0.5">
      <c r="A151" s="844" t="s">
        <v>338</v>
      </c>
      <c r="B151" s="845"/>
      <c r="C151" s="846"/>
      <c r="D151" s="117" t="s">
        <v>130</v>
      </c>
      <c r="E151" s="95">
        <f>'13'!F151</f>
        <v>88623</v>
      </c>
      <c r="F151" s="233">
        <v>81481</v>
      </c>
      <c r="G151" s="112">
        <f t="shared" si="11"/>
        <v>-7142</v>
      </c>
      <c r="H151" s="99">
        <f>G151+'13'!H151</f>
        <v>-3999</v>
      </c>
      <c r="I151" s="119"/>
      <c r="J151" s="328">
        <f>H151/DAY(B2)</f>
        <v>-285.64285714285717</v>
      </c>
    </row>
    <row r="152" spans="1:10" ht="27.75" customHeight="1" x14ac:dyDescent="0.5">
      <c r="A152" s="844" t="s">
        <v>339</v>
      </c>
      <c r="B152" s="845"/>
      <c r="C152" s="846"/>
      <c r="D152" s="117" t="s">
        <v>130</v>
      </c>
      <c r="E152" s="95">
        <f>'13'!F152</f>
        <v>2364</v>
      </c>
      <c r="F152" s="233">
        <v>1376</v>
      </c>
      <c r="G152" s="112">
        <f t="shared" si="11"/>
        <v>-988</v>
      </c>
      <c r="H152" s="99">
        <f>G152+'13'!H152</f>
        <v>-284</v>
      </c>
      <c r="I152" s="119"/>
      <c r="J152" s="328">
        <f>H152/DAY(B2)</f>
        <v>-20.285714285714285</v>
      </c>
    </row>
    <row r="153" spans="1:10" ht="27.75" customHeight="1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-78704</v>
      </c>
      <c r="H153" s="363"/>
      <c r="I153" s="119">
        <f>G153-(G38+G52)</f>
        <v>-25042</v>
      </c>
      <c r="J153" s="366"/>
    </row>
    <row r="154" spans="1:10" ht="27.75" customHeight="1" x14ac:dyDescent="0.55000000000000004">
      <c r="A154" s="851"/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27.75" customHeight="1" x14ac:dyDescent="0.55000000000000004">
      <c r="A155" s="843" t="s">
        <v>345</v>
      </c>
      <c r="B155" s="843"/>
      <c r="C155" s="843"/>
      <c r="D155" s="117" t="s">
        <v>130</v>
      </c>
      <c r="E155" s="95">
        <f>'13'!F155</f>
        <v>41381</v>
      </c>
      <c r="F155" s="374">
        <v>21350</v>
      </c>
      <c r="G155" s="112">
        <f t="shared" ref="G155:G158" si="12">F155-E155</f>
        <v>-20031</v>
      </c>
      <c r="H155" s="99">
        <f>G155+'13'!H155</f>
        <v>-11595</v>
      </c>
      <c r="I155" s="364"/>
      <c r="J155" s="328">
        <f>H155/DAY(B2)</f>
        <v>-828.21428571428567</v>
      </c>
    </row>
    <row r="156" spans="1:10" ht="27.75" customHeight="1" x14ac:dyDescent="0.5">
      <c r="A156" s="843" t="s">
        <v>347</v>
      </c>
      <c r="B156" s="843"/>
      <c r="C156" s="843"/>
      <c r="D156" s="117" t="s">
        <v>130</v>
      </c>
      <c r="E156" s="95">
        <f>'13'!F156</f>
        <v>1723</v>
      </c>
      <c r="F156" s="155">
        <v>1785</v>
      </c>
      <c r="G156" s="112">
        <f t="shared" si="12"/>
        <v>62</v>
      </c>
      <c r="H156" s="99">
        <f>G156+'13'!H156</f>
        <v>683</v>
      </c>
      <c r="I156" s="165"/>
      <c r="J156" s="328">
        <f>H156/DAY(B2)</f>
        <v>48.785714285714285</v>
      </c>
    </row>
    <row r="157" spans="1:10" ht="27.75" customHeight="1" x14ac:dyDescent="0.5">
      <c r="A157" s="844" t="s">
        <v>363</v>
      </c>
      <c r="B157" s="845"/>
      <c r="C157" s="846"/>
      <c r="D157" s="117" t="s">
        <v>130</v>
      </c>
      <c r="E157" s="155">
        <v>2176</v>
      </c>
      <c r="F157" s="155">
        <v>2280</v>
      </c>
      <c r="G157" s="112">
        <f t="shared" si="12"/>
        <v>104</v>
      </c>
      <c r="H157" s="99">
        <f>G157+'13'!H157</f>
        <v>245</v>
      </c>
      <c r="I157" s="165"/>
      <c r="J157" s="328">
        <f>H157/DAY(B2)</f>
        <v>17.5</v>
      </c>
    </row>
    <row r="158" spans="1:10" ht="27.75" customHeight="1" x14ac:dyDescent="0.5">
      <c r="A158" s="844" t="s">
        <v>364</v>
      </c>
      <c r="B158" s="845"/>
      <c r="C158" s="846"/>
      <c r="D158" s="117" t="s">
        <v>130</v>
      </c>
      <c r="E158" s="155">
        <v>23</v>
      </c>
      <c r="F158" s="155">
        <v>23</v>
      </c>
      <c r="G158" s="112">
        <f t="shared" si="12"/>
        <v>0</v>
      </c>
      <c r="H158" s="99">
        <f>G158+'13'!H158</f>
        <v>1</v>
      </c>
      <c r="I158" s="165"/>
      <c r="J158" s="328">
        <f>H158/DAY(B2)</f>
        <v>7.1428571428571425E-2</v>
      </c>
    </row>
    <row r="159" spans="1:10" ht="27.75" customHeight="1" x14ac:dyDescent="0.5">
      <c r="A159" s="927"/>
      <c r="B159" s="928"/>
      <c r="C159" s="929"/>
      <c r="D159" s="117"/>
      <c r="E159" s="95"/>
      <c r="F159" s="165"/>
      <c r="G159" s="362">
        <f>SUM(G155:G158)</f>
        <v>-19865</v>
      </c>
      <c r="H159" s="99"/>
      <c r="I159" s="165"/>
      <c r="J159" s="328"/>
    </row>
    <row r="160" spans="1:10" ht="27.75" customHeight="1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'13'!F161</f>
        <v>472525</v>
      </c>
      <c r="F161" s="235">
        <v>471424</v>
      </c>
      <c r="G161" s="238">
        <f t="shared" ref="G161:G165" si="13">F161-E161</f>
        <v>-1101</v>
      </c>
      <c r="H161" s="99">
        <f>G161+'13'!H161</f>
        <v>-629.55999999999767</v>
      </c>
      <c r="I161" s="236"/>
      <c r="J161" s="239">
        <f>H161/DAY(B2)</f>
        <v>-44.968571428571259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'13'!F162</f>
        <v>88961</v>
      </c>
      <c r="F162" s="235">
        <v>87964</v>
      </c>
      <c r="G162" s="238">
        <f t="shared" si="13"/>
        <v>-997</v>
      </c>
      <c r="H162" s="99">
        <f>G162+'13'!H162</f>
        <v>-552.39999999999418</v>
      </c>
      <c r="I162" s="236"/>
      <c r="J162" s="239">
        <f>H162/DAY(B2)</f>
        <v>-39.457142857142443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'13'!F163</f>
        <v>79918</v>
      </c>
      <c r="F163" s="235">
        <v>78422</v>
      </c>
      <c r="G163" s="238">
        <f t="shared" si="13"/>
        <v>-1496</v>
      </c>
      <c r="H163" s="99">
        <f>G163+'13'!H163</f>
        <v>-798.10000000000582</v>
      </c>
      <c r="I163" s="236"/>
      <c r="J163" s="239">
        <f>H163/DAY(B2)</f>
        <v>-57.007142857143272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'13'!F164</f>
        <v>4330</v>
      </c>
      <c r="F164" s="235">
        <v>4263</v>
      </c>
      <c r="G164" s="238">
        <f t="shared" si="13"/>
        <v>-67</v>
      </c>
      <c r="H164" s="99">
        <f>G164+'13'!H164</f>
        <v>-57</v>
      </c>
      <c r="I164" s="236"/>
      <c r="J164" s="239">
        <f>H164/DAY(B2)</f>
        <v>-4.0714285714285712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'13'!F165</f>
        <v>29967</v>
      </c>
      <c r="F165" s="235">
        <v>29737</v>
      </c>
      <c r="G165" s="238">
        <f t="shared" si="13"/>
        <v>-230</v>
      </c>
      <c r="H165" s="99">
        <f>G165+'13'!H165</f>
        <v>-120.25</v>
      </c>
      <c r="I165" s="236"/>
      <c r="J165" s="239">
        <f>H165/DAY(B2)</f>
        <v>-8.5892857142857135</v>
      </c>
    </row>
    <row r="166" spans="1:10" ht="27.75" customHeight="1" x14ac:dyDescent="0.5">
      <c r="A166" s="852"/>
      <c r="B166" s="852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 x14ac:dyDescent="0.5">
      <c r="A167" s="852"/>
      <c r="B167" s="852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 x14ac:dyDescent="0.5">
      <c r="A168" s="852"/>
      <c r="B168" s="852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customHeight="1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56" t="s">
        <v>209</v>
      </c>
      <c r="B173" s="857"/>
      <c r="C173" s="333"/>
      <c r="D173" s="228" t="s">
        <v>142</v>
      </c>
      <c r="E173" s="95">
        <f>'13'!F173</f>
        <v>8132</v>
      </c>
      <c r="F173" s="155">
        <v>8126</v>
      </c>
      <c r="G173" s="155">
        <f>F173-E173</f>
        <v>-6</v>
      </c>
      <c r="H173" s="99">
        <f>G173+'13'!H173</f>
        <v>0</v>
      </c>
      <c r="I173" s="155"/>
      <c r="J173" s="178">
        <f>H173/DAY(B2)</f>
        <v>0</v>
      </c>
    </row>
    <row r="174" spans="1:10" ht="27.75" customHeight="1" x14ac:dyDescent="0.5">
      <c r="A174" s="856" t="s">
        <v>75</v>
      </c>
      <c r="B174" s="857"/>
      <c r="C174" s="333"/>
      <c r="D174" s="228" t="s">
        <v>142</v>
      </c>
      <c r="E174" s="157">
        <v>38416</v>
      </c>
      <c r="F174" s="157">
        <v>38421</v>
      </c>
      <c r="G174" s="155">
        <f t="shared" ref="G174:G175" si="14">F174-E174</f>
        <v>5</v>
      </c>
      <c r="H174" s="99">
        <f>G174+'13'!H174</f>
        <v>180</v>
      </c>
      <c r="I174" s="155"/>
      <c r="J174" s="178">
        <f>H174/DAY(B2)</f>
        <v>12.857142857142858</v>
      </c>
    </row>
    <row r="175" spans="1:10" ht="27.75" customHeight="1" x14ac:dyDescent="0.5">
      <c r="A175" s="856" t="s">
        <v>76</v>
      </c>
      <c r="B175" s="896"/>
      <c r="C175" s="857"/>
      <c r="D175" s="228" t="s">
        <v>142</v>
      </c>
      <c r="E175" s="95">
        <f>'13'!F175</f>
        <v>21958</v>
      </c>
      <c r="F175" s="155">
        <v>21643</v>
      </c>
      <c r="G175" s="155">
        <f t="shared" si="14"/>
        <v>-315</v>
      </c>
      <c r="H175" s="99">
        <f>G175+'13'!H175</f>
        <v>-170</v>
      </c>
      <c r="I175" s="155"/>
      <c r="J175" s="178">
        <f>H175/DAY(B2)</f>
        <v>-12.142857142857142</v>
      </c>
    </row>
    <row r="176" spans="1:10" ht="27.75" customHeight="1" x14ac:dyDescent="0.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-316</v>
      </c>
      <c r="H176" s="99">
        <f>G176+'13'!H176</f>
        <v>10</v>
      </c>
      <c r="I176" s="155"/>
      <c r="J176" s="178">
        <f>H176/DAY(B2)</f>
        <v>0.7142857142857143</v>
      </c>
    </row>
    <row r="177" spans="1:10" ht="27.75" customHeight="1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 x14ac:dyDescent="0.5">
      <c r="A178" s="856" t="s">
        <v>210</v>
      </c>
      <c r="B178" s="857"/>
      <c r="C178" s="333"/>
      <c r="D178" s="228" t="s">
        <v>142</v>
      </c>
      <c r="E178" s="95">
        <f>'13'!F178</f>
        <v>82015</v>
      </c>
      <c r="F178" s="155">
        <v>80397</v>
      </c>
      <c r="G178" s="155">
        <f>F178-E178</f>
        <v>-1618</v>
      </c>
      <c r="H178" s="99">
        <f>G178+'13'!H178</f>
        <v>-918</v>
      </c>
      <c r="I178" s="155"/>
      <c r="J178" s="178">
        <f>H178/DAY(B2)</f>
        <v>-65.571428571428569</v>
      </c>
    </row>
    <row r="179" spans="1:10" ht="27.75" customHeight="1" x14ac:dyDescent="0.5">
      <c r="A179" s="856" t="s">
        <v>211</v>
      </c>
      <c r="B179" s="857"/>
      <c r="C179" s="333"/>
      <c r="D179" s="228" t="s">
        <v>142</v>
      </c>
      <c r="E179" s="95">
        <f>'13'!F179</f>
        <v>35208</v>
      </c>
      <c r="F179" s="155">
        <v>34203</v>
      </c>
      <c r="G179" s="155">
        <f t="shared" ref="G179:G180" si="15">F179-E179</f>
        <v>-1005</v>
      </c>
      <c r="H179" s="99">
        <f>G179+'13'!H179</f>
        <v>-600</v>
      </c>
      <c r="I179" s="155"/>
      <c r="J179" s="178">
        <f>H179/DAY(B2)</f>
        <v>-42.857142857142854</v>
      </c>
    </row>
    <row r="180" spans="1:10" ht="27.75" customHeight="1" x14ac:dyDescent="0.5">
      <c r="A180" s="856" t="s">
        <v>212</v>
      </c>
      <c r="B180" s="857"/>
      <c r="C180" s="333"/>
      <c r="D180" s="228" t="s">
        <v>142</v>
      </c>
      <c r="E180" s="95">
        <f>'13'!F180</f>
        <v>5782</v>
      </c>
      <c r="F180" s="155">
        <v>5581</v>
      </c>
      <c r="G180" s="155">
        <f t="shared" si="15"/>
        <v>-201</v>
      </c>
      <c r="H180" s="99">
        <f>G180+'13'!H180</f>
        <v>-121</v>
      </c>
      <c r="I180" s="155"/>
      <c r="J180" s="178">
        <f>H180/DAY(B2)</f>
        <v>-8.6428571428571423</v>
      </c>
    </row>
    <row r="181" spans="1:10" ht="27.75" customHeight="1" x14ac:dyDescent="0.5">
      <c r="A181" s="858" t="s">
        <v>108</v>
      </c>
      <c r="B181" s="859"/>
      <c r="C181" s="483"/>
      <c r="D181" s="228" t="s">
        <v>142</v>
      </c>
      <c r="E181" s="95"/>
      <c r="F181" s="155" t="s">
        <v>207</v>
      </c>
      <c r="G181" s="155">
        <f>SUM(G178:G180)</f>
        <v>-2824</v>
      </c>
      <c r="H181" s="99">
        <f>G181+'13'!H181</f>
        <v>-1639</v>
      </c>
      <c r="I181" s="155"/>
      <c r="J181" s="178">
        <f>H181/DAY(B2)</f>
        <v>-117.07142857142857</v>
      </c>
    </row>
    <row r="182" spans="1:10" ht="27.75" customHeight="1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 x14ac:dyDescent="0.5">
      <c r="A183" s="856" t="s">
        <v>214</v>
      </c>
      <c r="B183" s="857"/>
      <c r="C183" s="334"/>
      <c r="D183" s="228" t="s">
        <v>142</v>
      </c>
      <c r="E183" s="95">
        <f>'13'!F183</f>
        <v>15549</v>
      </c>
      <c r="F183" s="157">
        <v>15121</v>
      </c>
      <c r="G183" s="157">
        <f>F183-E183</f>
        <v>-428</v>
      </c>
      <c r="H183" s="99">
        <f>G183+'13'!H183</f>
        <v>-224</v>
      </c>
      <c r="I183" s="155"/>
      <c r="J183" s="178">
        <f>H183/DAY(B2)</f>
        <v>-16</v>
      </c>
    </row>
    <row r="184" spans="1:10" ht="27.75" customHeight="1" x14ac:dyDescent="0.5">
      <c r="A184" s="856" t="s">
        <v>215</v>
      </c>
      <c r="B184" s="857"/>
      <c r="C184" s="334"/>
      <c r="D184" s="228" t="s">
        <v>142</v>
      </c>
      <c r="E184" s="95">
        <f>'13'!F184</f>
        <v>10673</v>
      </c>
      <c r="F184" s="157">
        <v>10393</v>
      </c>
      <c r="G184" s="157">
        <f t="shared" ref="G184:G185" si="16">F184-E184</f>
        <v>-280</v>
      </c>
      <c r="H184" s="99">
        <f>G184+'13'!H184</f>
        <v>-125</v>
      </c>
      <c r="I184" s="155"/>
      <c r="J184" s="178">
        <f>H184/DAY(B2)</f>
        <v>-8.9285714285714288</v>
      </c>
    </row>
    <row r="185" spans="1:10" ht="27.75" customHeight="1" x14ac:dyDescent="0.5">
      <c r="A185" s="856" t="s">
        <v>216</v>
      </c>
      <c r="B185" s="857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-708</v>
      </c>
      <c r="H186" s="99">
        <f>G186+'13'!H186</f>
        <v>-349</v>
      </c>
      <c r="I186" s="157"/>
      <c r="J186" s="178">
        <f>H186/DAY(B2)</f>
        <v>-24.928571428571427</v>
      </c>
    </row>
    <row r="187" spans="1:10" ht="27.75" customHeight="1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-4853</v>
      </c>
      <c r="H187" s="99">
        <f>G187+'13'!H187</f>
        <v>-2417</v>
      </c>
      <c r="I187" s="158"/>
      <c r="J187" s="179">
        <f>H187/DAY(B2)</f>
        <v>-172.64285714285714</v>
      </c>
    </row>
    <row r="188" spans="1:10" ht="27.75" customHeight="1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-4796</v>
      </c>
      <c r="H188" s="99"/>
      <c r="I188" s="158"/>
      <c r="J188" s="487">
        <f>H188/DAY(B2)</f>
        <v>0</v>
      </c>
    </row>
    <row r="189" spans="1:10" ht="27.75" customHeight="1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-2824</v>
      </c>
      <c r="H189" s="99">
        <f>G189+'13'!H189</f>
        <v>-1639</v>
      </c>
      <c r="I189" s="158"/>
      <c r="J189" s="179">
        <f>H189/DAY(B2)</f>
        <v>-117.07142857142857</v>
      </c>
    </row>
    <row r="190" spans="1:10" ht="27.75" customHeight="1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zoomScale="55" zoomScaleNormal="80" zoomScaleSheetLayoutView="55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350</v>
      </c>
      <c r="B2" s="262">
        <v>44576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26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'14'!F7</f>
        <v>354423</v>
      </c>
      <c r="F7" s="95">
        <v>371639.75</v>
      </c>
      <c r="G7" s="236">
        <f>F7-E7</f>
        <v>17216.75</v>
      </c>
      <c r="H7" s="99">
        <f>G7+'14'!H7</f>
        <v>-279540.47999999998</v>
      </c>
      <c r="I7" s="113">
        <f>'1'!I7</f>
        <v>12000</v>
      </c>
      <c r="J7" s="175">
        <f>H7/DAY(B2)</f>
        <v>-18636.031999999999</v>
      </c>
      <c r="K7" s="172">
        <v>1375467</v>
      </c>
      <c r="L7" s="66"/>
      <c r="N7" s="87">
        <f>E7-1000000</f>
        <v>-645577</v>
      </c>
      <c r="O7" s="71">
        <f>6359+17763</f>
        <v>24122</v>
      </c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'14'!F8</f>
        <v>405455</v>
      </c>
      <c r="F8" s="95">
        <v>422783.71</v>
      </c>
      <c r="G8" s="682">
        <f>F8-E8</f>
        <v>17328.710000000021</v>
      </c>
      <c r="H8" s="99">
        <f>G8+'14'!H8</f>
        <v>-285764.44</v>
      </c>
      <c r="I8" s="116"/>
      <c r="J8" s="175">
        <f>H8/DAY(B2)</f>
        <v>-19050.962666666666</v>
      </c>
      <c r="K8" s="172">
        <v>1715917</v>
      </c>
      <c r="L8" s="76">
        <v>1728480</v>
      </c>
      <c r="M8" s="87">
        <f>L8-K8</f>
        <v>12563</v>
      </c>
      <c r="N8" s="87">
        <f>E8-1100000</f>
        <v>-694545</v>
      </c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'14'!F9</f>
        <v>65618</v>
      </c>
      <c r="F9" s="598">
        <v>76355.41</v>
      </c>
      <c r="G9" s="112">
        <f>F9-E9</f>
        <v>10737.410000000003</v>
      </c>
      <c r="H9" s="99">
        <f>G9+'14'!H9</f>
        <v>-205898.43999999997</v>
      </c>
      <c r="I9" s="124">
        <f>I7-J7</f>
        <v>30636.031999999999</v>
      </c>
      <c r="J9" s="175">
        <f>H9/DAY(B2)</f>
        <v>-13726.562666666665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'14'!F10</f>
        <v>33645</v>
      </c>
      <c r="F10" s="353">
        <v>39677.22</v>
      </c>
      <c r="G10" s="112">
        <f>F10-E10</f>
        <v>6032.2200000000012</v>
      </c>
      <c r="H10" s="99">
        <f>G10+'14'!H10</f>
        <v>-65581.75</v>
      </c>
      <c r="I10" s="282"/>
      <c r="J10" s="175">
        <f>H10/DAY(B2)</f>
        <v>-4372.1166666666668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'14'!F11</f>
        <v>37000</v>
      </c>
      <c r="F11" s="95">
        <v>37000</v>
      </c>
      <c r="G11" s="112">
        <f t="shared" ref="G11:G12" si="0">F11-E11</f>
        <v>0</v>
      </c>
      <c r="H11" s="99">
        <f>G11+'14'!H11</f>
        <v>-170</v>
      </c>
      <c r="I11" s="282"/>
      <c r="J11" s="175">
        <f>H11/DAY(B2)</f>
        <v>-11.333333333333334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16769.630000000005</v>
      </c>
      <c r="H13" s="99">
        <f>G13+'14'!H13</f>
        <v>-288404.62</v>
      </c>
      <c r="I13" s="120">
        <f>G7-G13</f>
        <v>447.11999999999534</v>
      </c>
      <c r="J13" s="175">
        <f>H13/DAY(B2)</f>
        <v>-19226.974666666665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'14'!F15</f>
        <v>1890635</v>
      </c>
      <c r="F15" s="123">
        <v>1891600</v>
      </c>
      <c r="G15" s="112">
        <f>(F15-E15)</f>
        <v>965</v>
      </c>
      <c r="H15" s="99">
        <f>G15+'14'!H15</f>
        <v>15543.233000000007</v>
      </c>
      <c r="I15" s="113">
        <f>'1'!I15</f>
        <v>800</v>
      </c>
      <c r="J15" s="175">
        <f>H15/DAY(B2)</f>
        <v>1036.2155333333337</v>
      </c>
      <c r="K15" s="79"/>
      <c r="L15" s="66"/>
      <c r="N15" s="87">
        <v>720584</v>
      </c>
      <c r="O15" s="71">
        <f>N15-F15</f>
        <v>-1171016</v>
      </c>
    </row>
    <row r="16" spans="1:15" ht="29.25" x14ac:dyDescent="0.4">
      <c r="A16" s="203"/>
      <c r="B16" s="204"/>
      <c r="C16" s="204"/>
      <c r="D16" s="152"/>
      <c r="E16" s="123"/>
      <c r="G16" s="112"/>
      <c r="H16" s="124"/>
      <c r="I16" s="120">
        <f>I15-J15</f>
        <v>-236.21553333333372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'14'!F18</f>
        <v>6</v>
      </c>
      <c r="F18" s="122">
        <v>10</v>
      </c>
      <c r="G18" s="119">
        <f>F18*10</f>
        <v>100</v>
      </c>
      <c r="H18" s="99">
        <f>G18+'14'!H18</f>
        <v>2950</v>
      </c>
      <c r="I18" s="113">
        <f>'1'!I18</f>
        <v>65</v>
      </c>
      <c r="J18" s="175">
        <f>H18/DAY(B2)</f>
        <v>196.66666666666666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'14'!F19</f>
        <v>152962</v>
      </c>
      <c r="F19" s="122">
        <f>E19+55</f>
        <v>153017</v>
      </c>
      <c r="G19" s="112">
        <f t="shared" ref="G19" si="1">F19-E19</f>
        <v>55</v>
      </c>
      <c r="H19" s="99">
        <f>G19+'14'!H19</f>
        <v>-874</v>
      </c>
      <c r="I19" s="335"/>
      <c r="J19" s="175">
        <f>H19/DAY(B2)</f>
        <v>-58.266666666666666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155</v>
      </c>
      <c r="H20" s="99">
        <f>G20+'14'!H20</f>
        <v>2076</v>
      </c>
      <c r="I20" s="336">
        <f>I18-J20</f>
        <v>-73.400000000000006</v>
      </c>
      <c r="J20" s="175">
        <f>H20/DAY(B2)</f>
        <v>138.4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'14'!F23</f>
        <v>1500</v>
      </c>
      <c r="F23" s="122">
        <v>1500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17328.710000000021</v>
      </c>
      <c r="F27" s="136">
        <v>9</v>
      </c>
      <c r="G27" s="137">
        <f>E27*F27</f>
        <v>155958.39000000019</v>
      </c>
      <c r="H27" s="99">
        <f>G27+'14'!H27</f>
        <v>-2571879.96</v>
      </c>
      <c r="I27" s="138"/>
      <c r="J27" s="175">
        <f>H27/DAY(B2)</f>
        <v>-171458.66399999999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965</v>
      </c>
      <c r="F28" s="136">
        <v>52</v>
      </c>
      <c r="G28" s="137">
        <f>E28*F28</f>
        <v>50180</v>
      </c>
      <c r="H28" s="99">
        <f>G28+'14'!H28</f>
        <v>841602.11600000039</v>
      </c>
      <c r="I28" s="140"/>
      <c r="J28" s="175">
        <f>H28/DAY(B2)</f>
        <v>56106.807733333357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G30+'14'!H30</f>
        <v>-135414</v>
      </c>
      <c r="I30" s="140"/>
      <c r="J30" s="175">
        <f>H30/DAY(B2)</f>
        <v>-9027.6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137">
        <f>E31*F31</f>
        <v>8000</v>
      </c>
      <c r="H31" s="99">
        <f>G31+'14'!H31</f>
        <v>236000</v>
      </c>
      <c r="I31" s="140"/>
      <c r="J31" s="175">
        <f>H31/DAY(B2)</f>
        <v>15733.333333333334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222168.39000000019</v>
      </c>
      <c r="H32" s="99">
        <f>G32+'14'!H32</f>
        <v>-1629691.8439999996</v>
      </c>
      <c r="I32" s="144"/>
      <c r="J32" s="175">
        <f>H32/DAY(B2)</f>
        <v>-108646.1229333333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'14'!F35</f>
        <v>9204</v>
      </c>
      <c r="F35" s="145">
        <v>10505.84</v>
      </c>
      <c r="G35" s="112">
        <f t="shared" ref="G35:G46" si="3">F35-E35</f>
        <v>1301.8400000000001</v>
      </c>
      <c r="H35" s="99">
        <f>G35+'14'!H35</f>
        <v>-21499.14</v>
      </c>
      <c r="I35" s="95"/>
      <c r="J35" s="175">
        <f>H35/DAY(B2)</f>
        <v>-1433.2760000000001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'14'!F36</f>
        <v>31721</v>
      </c>
      <c r="F36" s="145">
        <v>32294.69</v>
      </c>
      <c r="G36" s="112">
        <f t="shared" si="3"/>
        <v>573.68999999999869</v>
      </c>
      <c r="H36" s="99">
        <f>G36+'14'!H36</f>
        <v>-11164.05</v>
      </c>
      <c r="I36" s="95"/>
      <c r="J36" s="175">
        <f>H36/DAY(B2)</f>
        <v>-744.27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'14'!F37</f>
        <v>8830</v>
      </c>
      <c r="F37" s="145">
        <v>10327.74</v>
      </c>
      <c r="G37" s="112">
        <f t="shared" si="3"/>
        <v>1497.7399999999998</v>
      </c>
      <c r="H37" s="99">
        <f>G37+'14'!H37</f>
        <v>-25097.35</v>
      </c>
      <c r="I37" s="95"/>
      <c r="J37" s="175">
        <f>H37/DAY(B2)</f>
        <v>-1673.1566666666665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'14'!F38</f>
        <v>9552</v>
      </c>
      <c r="F38" s="108">
        <v>10938.95</v>
      </c>
      <c r="G38" s="112">
        <f t="shared" si="3"/>
        <v>1386.9500000000007</v>
      </c>
      <c r="H38" s="99">
        <f>G38+'14'!H38</f>
        <v>-27437.48</v>
      </c>
      <c r="I38" s="95"/>
      <c r="J38" s="175">
        <f>H38/DAY(B2)</f>
        <v>-1829.1653333333334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'14'!F39</f>
        <v>15015</v>
      </c>
      <c r="F39" s="145">
        <v>17509.900000000001</v>
      </c>
      <c r="G39" s="112">
        <f t="shared" si="3"/>
        <v>2494.9000000000015</v>
      </c>
      <c r="H39" s="99">
        <f>G39+'14'!H39</f>
        <v>-41663.39</v>
      </c>
      <c r="I39" s="95"/>
      <c r="J39" s="175">
        <f>H39/DAY(B2)</f>
        <v>-2777.5593333333331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'14'!F40</f>
        <v>12011</v>
      </c>
      <c r="F40" s="145">
        <v>12504</v>
      </c>
      <c r="G40" s="112">
        <f t="shared" si="3"/>
        <v>493</v>
      </c>
      <c r="H40" s="99">
        <f>G40+'14'!H40</f>
        <v>-9612.9900000000016</v>
      </c>
      <c r="I40" s="95"/>
      <c r="J40" s="175">
        <f>H40/DAY(B2)</f>
        <v>-640.8660000000001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'14'!F41</f>
        <v>0</v>
      </c>
      <c r="F41" s="145">
        <v>0</v>
      </c>
      <c r="G41" s="112">
        <f t="shared" si="3"/>
        <v>0</v>
      </c>
      <c r="H41" s="99">
        <f>G41+'14'!H41</f>
        <v>-62.73</v>
      </c>
      <c r="I41" s="95"/>
      <c r="J41" s="175">
        <f>H41/DAY(B2)</f>
        <v>-4.1819999999999995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'14'!F42</f>
        <v>73809</v>
      </c>
      <c r="F42" s="145">
        <v>73808.600000000006</v>
      </c>
      <c r="G42" s="112">
        <f t="shared" si="3"/>
        <v>-0.39999999999417923</v>
      </c>
      <c r="H42" s="99">
        <f>G42+'14'!H42</f>
        <v>35730.86</v>
      </c>
      <c r="I42" s="95"/>
      <c r="J42" s="175">
        <f>H42/DAY(B2)</f>
        <v>2382.0573333333332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'14'!F43</f>
        <v>78740</v>
      </c>
      <c r="F43" s="145">
        <v>80752.710000000006</v>
      </c>
      <c r="G43" s="112">
        <f t="shared" si="3"/>
        <v>2012.7100000000064</v>
      </c>
      <c r="H43" s="99">
        <f>G43+'14'!H43</f>
        <v>31930.11</v>
      </c>
      <c r="I43" s="95"/>
      <c r="J43" s="175">
        <f>H43/DAY(B2)</f>
        <v>2128.674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9760.430000000013</v>
      </c>
      <c r="H47" s="99">
        <f>G47+'14'!H47</f>
        <v>-68876.159999999989</v>
      </c>
      <c r="I47" s="95"/>
      <c r="J47" s="175">
        <f>H47/DAY(B2)</f>
        <v>-4591.7439999999997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'14'!F49</f>
        <v>7406</v>
      </c>
      <c r="F49" s="145">
        <v>8656.59</v>
      </c>
      <c r="G49" s="112">
        <f t="shared" ref="G49:G58" si="4">F49-E49</f>
        <v>1250.5900000000001</v>
      </c>
      <c r="H49" s="99">
        <f>G49+'14'!H49</f>
        <v>-16339.599999999999</v>
      </c>
      <c r="I49" s="95"/>
      <c r="J49" s="175">
        <f>H49/DAY(B2)</f>
        <v>-1089.3066666666666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'14'!F50</f>
        <v>38515</v>
      </c>
      <c r="F50" s="145">
        <v>39417.730000000003</v>
      </c>
      <c r="G50" s="112">
        <f t="shared" si="4"/>
        <v>902.7300000000032</v>
      </c>
      <c r="H50" s="99">
        <f>G50+'14'!H50</f>
        <v>-16968.899999999994</v>
      </c>
      <c r="I50" s="95"/>
      <c r="J50" s="175">
        <f>H50/DAY(B2)</f>
        <v>-1131.2599999999995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'14'!F51</f>
        <v>0</v>
      </c>
      <c r="F51" s="145">
        <v>0</v>
      </c>
      <c r="G51" s="112">
        <f t="shared" si="4"/>
        <v>0</v>
      </c>
      <c r="H51" s="99">
        <f>G51+'14'!H51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'14'!F52</f>
        <v>0</v>
      </c>
      <c r="F52" s="145">
        <v>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'14'!F54</f>
        <v>3141</v>
      </c>
      <c r="F54" s="145">
        <v>3661.51</v>
      </c>
      <c r="G54" s="112">
        <f t="shared" si="4"/>
        <v>520.51000000000022</v>
      </c>
      <c r="H54" s="99">
        <f>G54+'14'!H54</f>
        <v>-1485.9099999999999</v>
      </c>
      <c r="I54" s="95"/>
      <c r="J54" s="175">
        <f>H54/DAY(B2)</f>
        <v>-99.060666666666663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'14'!F55</f>
        <v>45702</v>
      </c>
      <c r="F55" s="145">
        <v>48711.23</v>
      </c>
      <c r="G55" s="112">
        <f t="shared" si="4"/>
        <v>3009.2300000000032</v>
      </c>
      <c r="H55" s="99">
        <f>G55+'14'!H55</f>
        <v>-25654.879999999997</v>
      </c>
      <c r="I55" s="95"/>
      <c r="J55" s="175">
        <f>H55/DAY(B2)</f>
        <v>-1710.3253333333332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'14'!F56</f>
        <v>8611</v>
      </c>
      <c r="F56" s="145">
        <v>8610.5400000000009</v>
      </c>
      <c r="G56" s="112">
        <f t="shared" si="4"/>
        <v>-0.45999999999912689</v>
      </c>
      <c r="H56" s="99">
        <f>G56+'14'!H56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'14'!F58</f>
        <v>1632</v>
      </c>
      <c r="F58" s="145">
        <v>1811.04</v>
      </c>
      <c r="G58" s="112">
        <f t="shared" si="4"/>
        <v>179.03999999999996</v>
      </c>
      <c r="H58" s="99">
        <f>G58+'14'!H58</f>
        <v>-2985.17</v>
      </c>
      <c r="I58" s="95"/>
      <c r="J58" s="175">
        <f>H58/DAY(B2)</f>
        <v>-199.01133333333334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5861.6400000000076</v>
      </c>
      <c r="H59" s="99">
        <f>G59+'14'!H59</f>
        <v>-63434.46</v>
      </c>
      <c r="I59" s="95">
        <f>G7-G60</f>
        <v>1594.6799999999785</v>
      </c>
      <c r="J59" s="175">
        <f>H59/DAY(B2)</f>
        <v>-4228.9639999999999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15622.070000000022</v>
      </c>
      <c r="H60" s="99">
        <f>G60+'14'!H60</f>
        <v>-132310.62</v>
      </c>
      <c r="I60" s="95">
        <f>G13-G60</f>
        <v>1147.5599999999831</v>
      </c>
      <c r="J60" s="175">
        <f>H60/DAY(B2)</f>
        <v>-8820.7080000000005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'14'!F62</f>
        <v>268028</v>
      </c>
      <c r="F62" s="122">
        <v>268107</v>
      </c>
      <c r="G62" s="112">
        <f t="shared" ref="G62:G63" si="5">F62-E62</f>
        <v>79</v>
      </c>
      <c r="H62" s="99">
        <f>G62+'14'!H62</f>
        <v>-1409</v>
      </c>
      <c r="I62" s="118"/>
      <c r="J62" s="175">
        <f>H62/DAY(B2)</f>
        <v>-93.933333333333337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'14'!F63</f>
        <v>213848</v>
      </c>
      <c r="F63" s="122">
        <v>213943</v>
      </c>
      <c r="G63" s="112">
        <f t="shared" si="5"/>
        <v>95</v>
      </c>
      <c r="H63" s="99">
        <f>G63+'14'!H63</f>
        <v>1867</v>
      </c>
      <c r="I63" s="118"/>
      <c r="J63" s="175">
        <f>H63/DAY(B2)</f>
        <v>124.46666666666667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'14'!F64</f>
        <v>0</v>
      </c>
      <c r="F64" s="122"/>
      <c r="G64" s="112">
        <f>G62+G63</f>
        <v>174</v>
      </c>
      <c r="H64" s="99">
        <f>G64+'14'!H64</f>
        <v>458</v>
      </c>
      <c r="I64" s="118"/>
      <c r="J64" s="175">
        <f>H64/DAY(B2)</f>
        <v>30.533333333333335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'14'!F65</f>
        <v>433595</v>
      </c>
      <c r="F65" s="122">
        <v>433665</v>
      </c>
      <c r="G65" s="112">
        <f t="shared" ref="G65:G70" si="6">F65-E65</f>
        <v>70</v>
      </c>
      <c r="H65" s="99">
        <f>G65+'14'!H65</f>
        <v>-1258</v>
      </c>
      <c r="I65" s="118"/>
      <c r="J65" s="175">
        <f>H65/DAY(B2)</f>
        <v>-83.86666666666666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'14'!F66</f>
        <v>107455</v>
      </c>
      <c r="F66" s="122">
        <v>107472</v>
      </c>
      <c r="G66" s="112">
        <f t="shared" si="6"/>
        <v>17</v>
      </c>
      <c r="H66" s="99">
        <f>G66+'14'!H66</f>
        <v>-271</v>
      </c>
      <c r="I66" s="118"/>
      <c r="J66" s="175">
        <f>H66/DAY(B2)</f>
        <v>-18.066666666666666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'14'!F67</f>
        <v>104254</v>
      </c>
      <c r="F67" s="122">
        <v>104277</v>
      </c>
      <c r="G67" s="112">
        <f t="shared" si="6"/>
        <v>23</v>
      </c>
      <c r="H67" s="99">
        <f>G67+'14'!H67</f>
        <v>-371</v>
      </c>
      <c r="I67" s="118"/>
      <c r="J67" s="175">
        <f>H67/DAY(B2)</f>
        <v>-24.733333333333334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'14'!F68</f>
        <v>156983</v>
      </c>
      <c r="F68" s="122">
        <v>157006</v>
      </c>
      <c r="G68" s="112">
        <f t="shared" si="6"/>
        <v>23</v>
      </c>
      <c r="H68" s="99">
        <f>G68+'14'!H68</f>
        <v>-691</v>
      </c>
      <c r="I68" s="118"/>
      <c r="J68" s="175">
        <f>H68/DAY(B2)</f>
        <v>-46.06666666666667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'14'!F69</f>
        <v>10352</v>
      </c>
      <c r="F69" s="122">
        <v>10363</v>
      </c>
      <c r="G69" s="112">
        <f t="shared" si="6"/>
        <v>11</v>
      </c>
      <c r="H69" s="99">
        <f>G69+'14'!H69</f>
        <v>-178</v>
      </c>
      <c r="I69" s="118"/>
      <c r="J69" s="175">
        <f>H69/DAY(B2)</f>
        <v>-11.866666666666667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'14'!F70</f>
        <v>7970</v>
      </c>
      <c r="F70" s="122">
        <v>7977</v>
      </c>
      <c r="G70" s="112">
        <f t="shared" si="6"/>
        <v>7</v>
      </c>
      <c r="H70" s="99">
        <f>G70+'14'!H70</f>
        <v>-143</v>
      </c>
      <c r="I70" s="118"/>
      <c r="J70" s="175">
        <f>H70/DAY(B2)</f>
        <v>-9.5333333333333332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151</v>
      </c>
      <c r="H71" s="99">
        <f>G71+'14'!H71</f>
        <v>-2912</v>
      </c>
      <c r="I71" s="154"/>
      <c r="J71" s="175">
        <f>H71/DAY(B2)</f>
        <v>-194.13333333333333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'14'!F74</f>
        <v>896156</v>
      </c>
      <c r="F74" s="123">
        <v>896469</v>
      </c>
      <c r="G74" s="112">
        <f t="shared" ref="G74:G78" si="7">F74-E74</f>
        <v>313</v>
      </c>
      <c r="H74" s="99">
        <f>G74+'14'!H74</f>
        <v>-4837.1489999999758</v>
      </c>
      <c r="I74" s="154"/>
      <c r="J74" s="175">
        <f>H74/DAY(B2)</f>
        <v>-322.47659999999837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'14'!F75</f>
        <v>73587</v>
      </c>
      <c r="F75" s="123">
        <v>73587</v>
      </c>
      <c r="G75" s="112">
        <f t="shared" si="7"/>
        <v>0</v>
      </c>
      <c r="H75" s="99">
        <f>G75+'14'!H75</f>
        <v>0.19999999999708962</v>
      </c>
      <c r="I75" s="154"/>
      <c r="J75" s="175">
        <f>H75/DAY(B2)</f>
        <v>1.3333333333139307E-2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'14'!F76</f>
        <v>168392</v>
      </c>
      <c r="F76" s="123">
        <v>168467</v>
      </c>
      <c r="G76" s="112">
        <f t="shared" si="7"/>
        <v>75</v>
      </c>
      <c r="H76" s="99">
        <f>G76+'14'!H76</f>
        <v>-1508</v>
      </c>
      <c r="I76" s="154"/>
      <c r="J76" s="175">
        <f>H76/DAY(B2)</f>
        <v>-100.53333333333333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'14'!F77</f>
        <v>40745</v>
      </c>
      <c r="F77" s="123">
        <v>40771.4</v>
      </c>
      <c r="G77" s="112">
        <f t="shared" si="7"/>
        <v>26.400000000001455</v>
      </c>
      <c r="H77" s="99">
        <f>G77+'14'!H77</f>
        <v>-530.79999999999563</v>
      </c>
      <c r="I77" s="154"/>
      <c r="J77" s="175">
        <f>H77/DAY(B2)</f>
        <v>-35.386666666666379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'14'!F78</f>
        <v>9497</v>
      </c>
      <c r="F78" s="123">
        <v>9498</v>
      </c>
      <c r="G78" s="112">
        <f t="shared" si="7"/>
        <v>1</v>
      </c>
      <c r="H78" s="99">
        <f>G78+'14'!H78</f>
        <v>-18</v>
      </c>
      <c r="I78" s="118"/>
      <c r="J78" s="175">
        <f>H78/DAY(B2)</f>
        <v>-1.2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'14'!F79</f>
        <v>0</v>
      </c>
      <c r="F79" s="123"/>
      <c r="G79" s="112">
        <f>G15-SUM(G74:G78)</f>
        <v>549.59999999999854</v>
      </c>
      <c r="H79" s="99">
        <f>G79+'14'!H79</f>
        <v>22436.981999999982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965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'14'!F84</f>
        <v>41675</v>
      </c>
      <c r="F84" s="164">
        <v>41675</v>
      </c>
      <c r="G84" s="112">
        <f t="shared" si="8"/>
        <v>0</v>
      </c>
      <c r="H84" s="99">
        <f>G84+'14'!H84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'14'!F85</f>
        <v>2096.5500000000002</v>
      </c>
      <c r="F85" s="164">
        <v>2096.5500000000002</v>
      </c>
      <c r="G85" s="112">
        <f t="shared" si="8"/>
        <v>0</v>
      </c>
      <c r="H85" s="99">
        <f>G85+'14'!H85</f>
        <v>-163.86999999999989</v>
      </c>
      <c r="I85" s="118">
        <f>G82+G83+G84+G85</f>
        <v>0</v>
      </c>
      <c r="J85" s="175">
        <f>H85/DAY(B2)</f>
        <v>-10.92466666666666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'14'!F86</f>
        <v>43200</v>
      </c>
      <c r="F86" s="164">
        <v>43224.49</v>
      </c>
      <c r="G86" s="112">
        <f t="shared" si="8"/>
        <v>24.489999999997963</v>
      </c>
      <c r="H86" s="99">
        <f>G86+'14'!H86</f>
        <v>-217.51000000000204</v>
      </c>
      <c r="I86" s="118"/>
      <c r="J86" s="175">
        <f>H86/DAY(B2)</f>
        <v>-14.500666666666802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'14'!F87</f>
        <v>34598.550000000003</v>
      </c>
      <c r="F87" s="164">
        <v>34598.550000000003</v>
      </c>
      <c r="G87" s="112">
        <f t="shared" si="8"/>
        <v>0</v>
      </c>
      <c r="H87" s="99">
        <f>G87+'14'!H87</f>
        <v>5.0000000002910383E-2</v>
      </c>
      <c r="I87" s="118"/>
      <c r="J87" s="175">
        <f>H87/DAY(B2)</f>
        <v>3.3333333335273589E-3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'14'!F88</f>
        <v>24059.27</v>
      </c>
      <c r="F88" s="164">
        <v>24059.29</v>
      </c>
      <c r="G88" s="112">
        <f t="shared" si="8"/>
        <v>2.0000000000436557E-2</v>
      </c>
      <c r="H88" s="99">
        <f>G88+'14'!H88</f>
        <v>-4.1399999999994179</v>
      </c>
      <c r="I88" s="118">
        <f>G86+G87+G88</f>
        <v>24.509999999998399</v>
      </c>
      <c r="J88" s="175">
        <f>H88/DAY(B2)</f>
        <v>-0.27599999999996122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'14'!F89</f>
        <v>25742.99</v>
      </c>
      <c r="F89" s="164">
        <v>25752.95</v>
      </c>
      <c r="G89" s="112">
        <f t="shared" si="8"/>
        <v>9.9599999999991269</v>
      </c>
      <c r="H89" s="99">
        <f>G89+'14'!H89</f>
        <v>-138.16999999999825</v>
      </c>
      <c r="I89" s="118"/>
      <c r="J89" s="175">
        <f>H89/DAY(B2)</f>
        <v>-9.2113333333332168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'14'!F90</f>
        <v>71113.53</v>
      </c>
      <c r="F90" s="164">
        <v>71116.47</v>
      </c>
      <c r="G90" s="112">
        <f t="shared" si="8"/>
        <v>2.9400000000023283</v>
      </c>
      <c r="H90" s="99">
        <f>G90+'14'!H90</f>
        <v>-46.850000000005821</v>
      </c>
      <c r="I90" s="118">
        <f>G89+G90</f>
        <v>12.900000000001455</v>
      </c>
      <c r="J90" s="175">
        <f>H90/DAY(B2)</f>
        <v>-3.1233333333337212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'14'!F91</f>
        <v>3226.32</v>
      </c>
      <c r="F91" s="122">
        <v>3226.32</v>
      </c>
      <c r="G91" s="112">
        <f t="shared" si="8"/>
        <v>0</v>
      </c>
      <c r="H91" s="99">
        <f>G91+'14'!H91</f>
        <v>-24.769999999999982</v>
      </c>
      <c r="I91" s="165"/>
      <c r="J91" s="175">
        <f>H91/DAY(B2)</f>
        <v>-1.6513333333333322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'14'!F92</f>
        <v>5582.77</v>
      </c>
      <c r="F92" s="122">
        <v>5593.79</v>
      </c>
      <c r="G92" s="112">
        <f t="shared" si="8"/>
        <v>11.019999999999527</v>
      </c>
      <c r="H92" s="99">
        <f>G92+'14'!H92</f>
        <v>-147.27999999999975</v>
      </c>
      <c r="I92" s="165"/>
      <c r="J92" s="175">
        <f>H92/DAY(B2)</f>
        <v>-9.8186666666666493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4565.1400000000067</v>
      </c>
      <c r="H94" s="99">
        <f>G94+'14'!H94</f>
        <v>-5908.6299999999974</v>
      </c>
      <c r="I94" s="118"/>
      <c r="J94" s="175">
        <f>H94/DAY(B2)</f>
        <v>-393.90866666666648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0.26515689662683184</v>
      </c>
      <c r="H95" s="99">
        <f>G95+'14'!H95</f>
        <v>3.6259386307485997</v>
      </c>
      <c r="I95" s="167"/>
      <c r="J95" s="175">
        <f>H95/DAY(B2)</f>
        <v>0.24172924204990665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3008.3700000000099</v>
      </c>
      <c r="H96" s="99">
        <f>G96+'14'!H96</f>
        <v>10013.25</v>
      </c>
      <c r="I96" s="118"/>
      <c r="J96" s="175">
        <f>H96/DAY(B2)</f>
        <v>667.55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0.17473506904613298</v>
      </c>
      <c r="H97" s="99">
        <f>G97+'14'!H97</f>
        <v>2.8527268682248619</v>
      </c>
      <c r="I97" s="167"/>
      <c r="J97" s="175">
        <f>H97/DAY(B2)</f>
        <v>0.19018179121499079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2494.9000000000015</v>
      </c>
      <c r="H98" s="99">
        <f>G98+'14'!H98</f>
        <v>-41663.39</v>
      </c>
      <c r="I98" s="168"/>
      <c r="J98" s="175">
        <f>H98/DAY(B2)</f>
        <v>-2777.5593333333331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0.14491120565728152</v>
      </c>
      <c r="H99" s="99">
        <f>G99+'14'!H99</f>
        <v>2.1821224100621266</v>
      </c>
      <c r="I99" s="168"/>
      <c r="J99" s="175">
        <f>H99/DAY(B2)</f>
        <v>0.1454748273374751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1386.9500000000007</v>
      </c>
      <c r="H100" s="99">
        <f>G100+'14'!H100</f>
        <v>-27437.48</v>
      </c>
      <c r="I100" s="118"/>
      <c r="J100" s="175">
        <f>H100/DAY(B2)</f>
        <v>-1829.1653333333334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8.0558177356353594E-2</v>
      </c>
      <c r="H101" s="99">
        <f>G101+'14'!H101</f>
        <v>1.4193367822465843</v>
      </c>
      <c r="I101" s="168"/>
      <c r="J101" s="175">
        <f>H101/DAY(B2)</f>
        <v>9.4622452149772288E-2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1476.4200000000019</v>
      </c>
      <c r="H102" s="99">
        <f>G102+'14'!H102</f>
        <v>-28132.949999999993</v>
      </c>
      <c r="I102" s="168"/>
      <c r="J102" s="175">
        <f>H102/DAY(B2)</f>
        <v>-1875.5299999999995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8.5754860818679599E-2</v>
      </c>
      <c r="H103" s="99">
        <f>G103+'14'!H103</f>
        <v>1.6005106430948697</v>
      </c>
      <c r="I103" s="118"/>
      <c r="J103" s="175">
        <f>H103/DAY(B2)</f>
        <v>0.10670070953965798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1497.7399999999998</v>
      </c>
      <c r="H104" s="99">
        <f>G104+'14'!H104</f>
        <v>-25097.35</v>
      </c>
      <c r="I104" s="118"/>
      <c r="J104" s="175">
        <f>H104/DAY(B2)</f>
        <v>-1673.1566666666665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8.6993189771588708E-2</v>
      </c>
      <c r="H105" s="99">
        <f>G105+'14'!H105</f>
        <v>1.2459972627837275</v>
      </c>
      <c r="I105" s="187"/>
      <c r="J105" s="188">
        <f>H105/DAY(B2)</f>
        <v>8.3066484185581838E-2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'14'!F112</f>
        <v>56733</v>
      </c>
      <c r="F112" s="237">
        <v>56809.7</v>
      </c>
      <c r="G112" s="112">
        <f t="shared" ref="G112:G123" si="9">F112-E112</f>
        <v>76.69999999999709</v>
      </c>
      <c r="H112" s="99">
        <f>G112+'14'!H112</f>
        <v>-1244.3000000000029</v>
      </c>
      <c r="I112" s="165"/>
      <c r="J112" s="328">
        <f>H112/DAY(B2)</f>
        <v>-82.953333333333532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'14'!F113</f>
        <v>38500</v>
      </c>
      <c r="F113" s="237">
        <v>38954.32</v>
      </c>
      <c r="G113" s="112">
        <f t="shared" si="9"/>
        <v>454.31999999999971</v>
      </c>
      <c r="H113" s="99">
        <f>G113+'14'!H113</f>
        <v>-7446.57</v>
      </c>
      <c r="I113" s="165"/>
      <c r="J113" s="328">
        <f>H113/DAY(B2)</f>
        <v>-496.43799999999999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'14'!F114</f>
        <v>28585</v>
      </c>
      <c r="F114" s="237">
        <v>28847.5</v>
      </c>
      <c r="G114" s="112">
        <f t="shared" si="9"/>
        <v>262.5</v>
      </c>
      <c r="H114" s="99">
        <f>G114+'14'!H114</f>
        <v>-4312.5</v>
      </c>
      <c r="I114" s="165"/>
      <c r="J114" s="328">
        <f>H114/DAY(B2)</f>
        <v>-287.5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'14'!F115</f>
        <v>8926</v>
      </c>
      <c r="F115" s="237">
        <v>8936.6299999999992</v>
      </c>
      <c r="G115" s="112">
        <f t="shared" si="9"/>
        <v>10.6299999999992</v>
      </c>
      <c r="H115" s="99">
        <f>G115+'14'!H115</f>
        <v>-158.02000000000044</v>
      </c>
      <c r="I115" s="165"/>
      <c r="J115" s="328">
        <f>H115/DAY(B2)</f>
        <v>-10.534666666666697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'14'!F116</f>
        <v>0</v>
      </c>
      <c r="F116" s="237">
        <v>0</v>
      </c>
      <c r="G116" s="112">
        <f t="shared" si="9"/>
        <v>0</v>
      </c>
      <c r="H116" s="99">
        <f>G116+'14'!H116</f>
        <v>0</v>
      </c>
      <c r="I116" s="165"/>
      <c r="J116" s="328">
        <f>H116/DAY(B2)</f>
        <v>0</v>
      </c>
      <c r="Q116" s="863"/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'14'!F117</f>
        <v>2930</v>
      </c>
      <c r="F117" s="237">
        <v>2953.8739999999998</v>
      </c>
      <c r="G117" s="112">
        <f t="shared" si="9"/>
        <v>23.873999999999796</v>
      </c>
      <c r="H117" s="99">
        <f>G117+'14'!H117</f>
        <v>-384.07600000000002</v>
      </c>
      <c r="I117" s="165"/>
      <c r="J117" s="328">
        <f>H117/DAY(B2)</f>
        <v>-25.605066666666669</v>
      </c>
      <c r="Q117" s="863"/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'14'!F118</f>
        <v>246716</v>
      </c>
      <c r="F118" s="237">
        <v>247040.19</v>
      </c>
      <c r="G118" s="112">
        <f t="shared" si="9"/>
        <v>324.19000000000233</v>
      </c>
      <c r="H118" s="99">
        <f>G118+'14'!H118</f>
        <v>-5412.1199999999953</v>
      </c>
      <c r="I118" s="165"/>
      <c r="J118" s="328">
        <f>H118/DAY(B2)</f>
        <v>-360.80799999999971</v>
      </c>
      <c r="Q118" s="863"/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'14'!F119</f>
        <v>250981</v>
      </c>
      <c r="F119" s="237">
        <v>251326.27</v>
      </c>
      <c r="G119" s="112">
        <f t="shared" si="9"/>
        <v>345.26999999998952</v>
      </c>
      <c r="H119" s="99">
        <f>G119+'14'!H119</f>
        <v>-6822.2799999999988</v>
      </c>
      <c r="I119" s="165"/>
      <c r="J119" s="328">
        <f>H119/DAY(B2)</f>
        <v>-454.81866666666662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'14'!F120</f>
        <v>35858</v>
      </c>
      <c r="F120" s="237">
        <v>36276</v>
      </c>
      <c r="G120" s="112">
        <f t="shared" si="9"/>
        <v>418</v>
      </c>
      <c r="H120" s="99">
        <f>G120+'14'!H120</f>
        <v>-6683.6100000000006</v>
      </c>
      <c r="I120" s="165"/>
      <c r="J120" s="328">
        <f>H120/DAY(B2)</f>
        <v>-445.57400000000001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'14'!F121</f>
        <v>386422</v>
      </c>
      <c r="F121" s="237">
        <v>387067.19</v>
      </c>
      <c r="G121" s="112">
        <f t="shared" si="9"/>
        <v>645.19000000000233</v>
      </c>
      <c r="H121" s="99">
        <f>G121+'14'!H121</f>
        <v>-10967.239999999991</v>
      </c>
      <c r="I121" s="165"/>
      <c r="J121" s="328">
        <f>H121/DAY(B2)</f>
        <v>-731.14933333333272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'14'!F122</f>
        <v>122996</v>
      </c>
      <c r="F122" s="237">
        <v>123179.84</v>
      </c>
      <c r="G122" s="112">
        <f t="shared" si="9"/>
        <v>183.83999999999651</v>
      </c>
      <c r="H122" s="99">
        <f>G122+'14'!H122</f>
        <v>-3006.3399999999965</v>
      </c>
      <c r="I122" s="165"/>
      <c r="J122" s="328">
        <f>H122/DAY(B2)</f>
        <v>-200.42266666666643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'14'!F123</f>
        <v>149480</v>
      </c>
      <c r="F123" s="237">
        <v>149710.64000000001</v>
      </c>
      <c r="G123" s="112">
        <f t="shared" si="9"/>
        <v>230.64000000001397</v>
      </c>
      <c r="H123" s="99">
        <f>G123+'14'!H123</f>
        <v>-4336.3099999999977</v>
      </c>
      <c r="I123" s="165"/>
      <c r="J123" s="328">
        <f>H123/DAY(B2)</f>
        <v>-289.08733333333316</v>
      </c>
    </row>
    <row r="124" spans="1:18" ht="29.25" customHeight="1" x14ac:dyDescent="0.5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2975.1540000000005</v>
      </c>
      <c r="H125" s="156"/>
      <c r="I125" s="327">
        <f>G125-(G39+G53)</f>
        <v>480.253999999999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'14'!F128</f>
        <v>42485</v>
      </c>
      <c r="F128" s="165">
        <v>42785.57</v>
      </c>
      <c r="G128" s="112">
        <f t="shared" ref="G128:G134" si="10">F128-E128</f>
        <v>300.56999999999971</v>
      </c>
      <c r="H128" s="99">
        <f>G128+'14'!H128</f>
        <v>-4960.43</v>
      </c>
      <c r="I128" s="165"/>
      <c r="J128" s="328">
        <f>H128/DAY(B2)</f>
        <v>-330.69533333333334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'14'!F129</f>
        <v>23362</v>
      </c>
      <c r="F129" s="165">
        <v>23631.14</v>
      </c>
      <c r="G129" s="112">
        <f t="shared" si="10"/>
        <v>269.13999999999942</v>
      </c>
      <c r="H129" s="99">
        <f>G129+'14'!H129</f>
        <v>-3279.7299999999996</v>
      </c>
      <c r="I129" s="165"/>
      <c r="J129" s="328">
        <f>H129/DAY(B2)</f>
        <v>-218.64866666666663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'14'!F130</f>
        <v>26885</v>
      </c>
      <c r="F130" s="165">
        <v>27414.32</v>
      </c>
      <c r="G130" s="112">
        <f t="shared" si="10"/>
        <v>529.31999999999971</v>
      </c>
      <c r="H130" s="99">
        <f>G130+'14'!H130</f>
        <v>-8279.68</v>
      </c>
      <c r="I130" s="165"/>
      <c r="J130" s="328">
        <f>H130/DAY(B2)</f>
        <v>-551.97866666666664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'14'!F131</f>
        <v>14167</v>
      </c>
      <c r="F131" s="165">
        <v>14237.01</v>
      </c>
      <c r="G131" s="112">
        <f t="shared" si="10"/>
        <v>70.010000000000218</v>
      </c>
      <c r="H131" s="99">
        <f>G131+'14'!H131</f>
        <v>-1070.67</v>
      </c>
      <c r="I131" s="165"/>
      <c r="J131" s="328">
        <f>H131/DAY(B2)</f>
        <v>-71.378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'14'!F132</f>
        <v>47795</v>
      </c>
      <c r="F132" s="165">
        <v>48296.4</v>
      </c>
      <c r="G132" s="112">
        <f t="shared" si="10"/>
        <v>501.40000000000146</v>
      </c>
      <c r="H132" s="99">
        <f>G132+'14'!H132</f>
        <v>-3551.9000000000015</v>
      </c>
      <c r="I132" s="165"/>
      <c r="J132" s="328">
        <f>H132/DAY(B2)</f>
        <v>-236.79333333333344</v>
      </c>
    </row>
    <row r="133" spans="1:15" ht="27.75" x14ac:dyDescent="0.5">
      <c r="A133" s="863" t="s">
        <v>362</v>
      </c>
      <c r="B133" s="864"/>
      <c r="C133" s="865"/>
      <c r="D133" s="151" t="s">
        <v>183</v>
      </c>
      <c r="E133" s="95">
        <f>'14'!F133</f>
        <v>96727</v>
      </c>
      <c r="F133" s="165">
        <v>97125.27</v>
      </c>
      <c r="G133" s="112">
        <f t="shared" si="10"/>
        <v>398.27000000000407</v>
      </c>
      <c r="H133" s="99">
        <f>G133+'14'!H133</f>
        <v>-8218.429999999993</v>
      </c>
      <c r="I133" s="165"/>
      <c r="J133" s="328">
        <f>H133/DAY(B2)</f>
        <v>-547.89533333333281</v>
      </c>
    </row>
    <row r="134" spans="1:15" s="491" customFormat="1" ht="27.75" x14ac:dyDescent="0.5">
      <c r="A134" s="937" t="s">
        <v>340</v>
      </c>
      <c r="B134" s="938"/>
      <c r="C134" s="939"/>
      <c r="D134" s="233" t="s">
        <v>183</v>
      </c>
      <c r="E134" s="488">
        <f>'14'!F134</f>
        <v>5719</v>
      </c>
      <c r="F134" s="158">
        <v>5870.57</v>
      </c>
      <c r="G134" s="236">
        <f t="shared" si="10"/>
        <v>151.56999999999971</v>
      </c>
      <c r="H134" s="238">
        <f>G134+'14'!H134</f>
        <v>-2730.66</v>
      </c>
      <c r="I134" s="158"/>
      <c r="J134" s="490">
        <f>H134/DAY(B2)</f>
        <v>-182.04399999999998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2220.2800000000043</v>
      </c>
      <c r="H135" s="99">
        <f>G135+'10'!H135</f>
        <v>25676.500000000007</v>
      </c>
      <c r="I135" s="327">
        <f>G135-(G35+G49)</f>
        <v>-332.149999999996</v>
      </c>
      <c r="J135" s="328"/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'14'!F138</f>
        <v>865054</v>
      </c>
      <c r="F138" s="147">
        <v>865110</v>
      </c>
      <c r="G138" s="112">
        <f t="shared" ref="G138:G152" si="11">F138-E138</f>
        <v>56</v>
      </c>
      <c r="H138" s="99">
        <f>G138+'14'!H138</f>
        <v>-1063</v>
      </c>
      <c r="I138" s="118"/>
      <c r="J138" s="328">
        <f>H138/DAY(B2)</f>
        <v>-70.86666666666666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'14'!F139</f>
        <v>886549</v>
      </c>
      <c r="F139" s="148">
        <v>886550</v>
      </c>
      <c r="G139" s="112">
        <f t="shared" si="11"/>
        <v>1</v>
      </c>
      <c r="H139" s="99">
        <f>G139+'14'!H139</f>
        <v>-23</v>
      </c>
      <c r="I139" s="118"/>
      <c r="J139" s="328">
        <f>H139/DAY(B2)</f>
        <v>-1.5333333333333334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'14'!F140</f>
        <v>88898</v>
      </c>
      <c r="F140" s="149">
        <v>88898</v>
      </c>
      <c r="G140" s="112">
        <f t="shared" si="11"/>
        <v>0</v>
      </c>
      <c r="H140" s="99">
        <f>G140+'14'!H140</f>
        <v>-24</v>
      </c>
      <c r="I140" s="118"/>
      <c r="J140" s="328">
        <f>H140/DAY(B2)</f>
        <v>-1.6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'14'!F141</f>
        <v>51735</v>
      </c>
      <c r="F141" s="149">
        <v>51910.98</v>
      </c>
      <c r="G141" s="112">
        <f t="shared" si="11"/>
        <v>175.9800000000032</v>
      </c>
      <c r="H141" s="99">
        <f>G141+'14'!H141</f>
        <v>-2774.5999999999985</v>
      </c>
      <c r="I141" s="118"/>
      <c r="J141" s="328">
        <f>H141/DAY(B2)</f>
        <v>-184.97333333333324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'14'!F142</f>
        <v>19971</v>
      </c>
      <c r="F142" s="148">
        <v>20042.919999999998</v>
      </c>
      <c r="G142" s="112">
        <f t="shared" si="11"/>
        <v>71.919999999998254</v>
      </c>
      <c r="H142" s="99">
        <f>G142+'14'!H142</f>
        <v>-1241.1800000000003</v>
      </c>
      <c r="I142" s="140"/>
      <c r="J142" s="328">
        <f>H142/DAY(B2)</f>
        <v>-82.745333333333349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'14'!F143</f>
        <v>3390</v>
      </c>
      <c r="F143" s="149">
        <v>3416.07</v>
      </c>
      <c r="G143" s="112">
        <f t="shared" si="11"/>
        <v>26.070000000000164</v>
      </c>
      <c r="H143" s="99">
        <f>G143+'14'!H143</f>
        <v>-419.31999999999971</v>
      </c>
      <c r="I143" s="140"/>
      <c r="J143" s="328">
        <f>H143/DAY(B2)</f>
        <v>-27.954666666666647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'14'!F144</f>
        <v>872833</v>
      </c>
      <c r="F144" s="149">
        <v>873064</v>
      </c>
      <c r="G144" s="112">
        <f t="shared" si="11"/>
        <v>231</v>
      </c>
      <c r="H144" s="99">
        <f>G144+'14'!H144</f>
        <v>-3423</v>
      </c>
      <c r="I144" s="140"/>
      <c r="J144" s="328">
        <f>H144/DAY(B2)</f>
        <v>-228.2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'14'!F145</f>
        <v>4768</v>
      </c>
      <c r="F145" s="149">
        <v>4782.42</v>
      </c>
      <c r="G145" s="112">
        <f t="shared" si="11"/>
        <v>14.420000000000073</v>
      </c>
      <c r="H145" s="99">
        <f>G145+'14'!H145</f>
        <v>-176.42000000000007</v>
      </c>
      <c r="I145" s="140"/>
      <c r="J145" s="328">
        <f>H145/DAY(B2)</f>
        <v>-11.761333333333338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'14'!F146</f>
        <v>730506</v>
      </c>
      <c r="F146" s="148">
        <v>730887</v>
      </c>
      <c r="G146" s="112">
        <f t="shared" si="11"/>
        <v>381</v>
      </c>
      <c r="H146" s="99">
        <f>G146+'14'!H146</f>
        <v>-6446</v>
      </c>
      <c r="I146" s="140"/>
      <c r="J146" s="328">
        <f>H146/DAY(B2)</f>
        <v>-429.73333333333335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'14'!F147</f>
        <v>620452</v>
      </c>
      <c r="F147" s="148">
        <v>620842.84</v>
      </c>
      <c r="G147" s="112">
        <f t="shared" si="11"/>
        <v>390.8399999999674</v>
      </c>
      <c r="H147" s="99">
        <f>G147+'14'!H147</f>
        <v>-5769.6800000000512</v>
      </c>
      <c r="I147" s="140"/>
      <c r="J147" s="328">
        <f>H147/DAY(B2)</f>
        <v>-384.64533333333674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'14'!F148</f>
        <v>686351</v>
      </c>
      <c r="F148" s="150">
        <v>686532.56</v>
      </c>
      <c r="G148" s="112">
        <f t="shared" si="11"/>
        <v>181.56000000005588</v>
      </c>
      <c r="H148" s="99">
        <f>G148+'14'!H148</f>
        <v>-2910.3999999999069</v>
      </c>
      <c r="I148" s="124"/>
      <c r="J148" s="328">
        <f>H148/DAY(B2)</f>
        <v>-194.02666666666045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'14'!F149</f>
        <v>16465</v>
      </c>
      <c r="F149" s="146">
        <v>16915.34</v>
      </c>
      <c r="G149" s="112">
        <f t="shared" si="11"/>
        <v>450.34000000000015</v>
      </c>
      <c r="H149" s="99">
        <f>G149+'14'!H149</f>
        <v>-7762.8600000000006</v>
      </c>
      <c r="I149" s="119"/>
      <c r="J149" s="328">
        <f>H149/DAY(B2)</f>
        <v>-517.524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'14'!F150</f>
        <v>7104</v>
      </c>
      <c r="F150" s="233">
        <v>7322.12</v>
      </c>
      <c r="G150" s="112">
        <f t="shared" si="11"/>
        <v>218.11999999999989</v>
      </c>
      <c r="H150" s="99">
        <f>G150+'14'!H150</f>
        <v>-3528.71</v>
      </c>
      <c r="I150" s="119"/>
      <c r="J150" s="328">
        <f>H150/DAY(B2)</f>
        <v>-235.24733333333333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'14'!F151</f>
        <v>81481</v>
      </c>
      <c r="F151" s="233">
        <v>81719</v>
      </c>
      <c r="G151" s="112">
        <f t="shared" si="11"/>
        <v>238</v>
      </c>
      <c r="H151" s="99">
        <f>G151+'14'!H151</f>
        <v>-3761</v>
      </c>
      <c r="I151" s="119"/>
      <c r="J151" s="328">
        <f>H151/DAY(B2)</f>
        <v>-250.73333333333332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'14'!F152</f>
        <v>1376</v>
      </c>
      <c r="F152" s="233">
        <v>1390.19</v>
      </c>
      <c r="G152" s="112">
        <f t="shared" si="11"/>
        <v>14.190000000000055</v>
      </c>
      <c r="H152" s="99">
        <f>G152+'14'!H152</f>
        <v>-269.80999999999995</v>
      </c>
      <c r="I152" s="119"/>
      <c r="J152" s="328">
        <f>H152/DAY(B2)</f>
        <v>-17.987333333333329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2450.4400000000251</v>
      </c>
      <c r="H153" s="363"/>
      <c r="I153" s="119">
        <f>G153-(G38+G52)</f>
        <v>1063.4900000000243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'14'!F155</f>
        <v>21350</v>
      </c>
      <c r="F155" s="374">
        <v>22084.26</v>
      </c>
      <c r="G155" s="112">
        <f t="shared" ref="G155:G158" si="12">F155-E155</f>
        <v>734.2599999999984</v>
      </c>
      <c r="H155" s="99">
        <f>G155+'14'!H155</f>
        <v>-10860.740000000002</v>
      </c>
      <c r="I155" s="364"/>
      <c r="J155" s="328">
        <f>H155/DAY(B2)</f>
        <v>-724.04933333333349</v>
      </c>
    </row>
    <row r="156" spans="1:10" ht="27.75" x14ac:dyDescent="0.5">
      <c r="A156" s="843" t="s">
        <v>347</v>
      </c>
      <c r="B156" s="843"/>
      <c r="C156" s="843"/>
      <c r="D156" s="117" t="s">
        <v>130</v>
      </c>
      <c r="E156" s="95">
        <f>'14'!F156</f>
        <v>1785</v>
      </c>
      <c r="F156" s="155">
        <v>1841.25</v>
      </c>
      <c r="G156" s="112">
        <f t="shared" si="12"/>
        <v>56.25</v>
      </c>
      <c r="H156" s="99">
        <f>G156+'14'!H156</f>
        <v>739.25</v>
      </c>
      <c r="I156" s="165"/>
      <c r="J156" s="328">
        <f>H156/DAY(B2)</f>
        <v>49.283333333333331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>
        <f>'14'!F157</f>
        <v>2280</v>
      </c>
      <c r="F157" s="155">
        <v>2352.2600000000002</v>
      </c>
      <c r="G157" s="112">
        <f t="shared" si="12"/>
        <v>72.260000000000218</v>
      </c>
      <c r="H157" s="99">
        <f>G157+'14'!H157</f>
        <v>317.26000000000022</v>
      </c>
      <c r="I157" s="165"/>
      <c r="J157" s="328">
        <f>H157/DAY(B2)</f>
        <v>21.15066666666668</v>
      </c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>
        <f>'14'!F158</f>
        <v>23</v>
      </c>
      <c r="F158" s="155">
        <v>23.32</v>
      </c>
      <c r="G158" s="112">
        <f t="shared" si="12"/>
        <v>0.32000000000000028</v>
      </c>
      <c r="H158" s="99">
        <f>G158+'14'!H158</f>
        <v>1.3200000000000003</v>
      </c>
      <c r="I158" s="165"/>
      <c r="J158" s="328">
        <f>H158/DAY(B2)</f>
        <v>8.8000000000000023E-2</v>
      </c>
    </row>
    <row r="159" spans="1:10" ht="27.75" x14ac:dyDescent="0.5">
      <c r="A159" s="927"/>
      <c r="B159" s="928"/>
      <c r="C159" s="929"/>
      <c r="D159" s="117"/>
      <c r="E159" s="95"/>
      <c r="F159" s="165"/>
      <c r="G159" s="362">
        <f>SUM(G155:G158)</f>
        <v>863.08999999999867</v>
      </c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'14'!F161</f>
        <v>471424</v>
      </c>
      <c r="F161" s="235">
        <v>471432.04</v>
      </c>
      <c r="G161" s="238">
        <f t="shared" ref="G161:G165" si="13">F161-E161</f>
        <v>8.0399999999790452</v>
      </c>
      <c r="H161" s="99">
        <f>G161+'14'!H161</f>
        <v>-621.52000000001863</v>
      </c>
      <c r="I161" s="236"/>
      <c r="J161" s="239">
        <f>H161/DAY(B2)</f>
        <v>-41.434666666667908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'14'!F162</f>
        <v>87964</v>
      </c>
      <c r="F162" s="235">
        <v>88002.3</v>
      </c>
      <c r="G162" s="238">
        <f t="shared" si="13"/>
        <v>38.30000000000291</v>
      </c>
      <c r="H162" s="99">
        <f>G162+'14'!H162</f>
        <v>-514.09999999999127</v>
      </c>
      <c r="I162" s="236"/>
      <c r="J162" s="239">
        <f>H162/DAY(B2)</f>
        <v>-34.273333333332751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'14'!F163</f>
        <v>78422</v>
      </c>
      <c r="F163" s="235">
        <v>78479.100000000006</v>
      </c>
      <c r="G163" s="238">
        <f t="shared" si="13"/>
        <v>57.100000000005821</v>
      </c>
      <c r="H163" s="99">
        <f>G163+'14'!H163</f>
        <v>-741</v>
      </c>
      <c r="I163" s="236"/>
      <c r="J163" s="239">
        <f>H163/DAY(B2)</f>
        <v>-49.4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'14'!F164</f>
        <v>4263</v>
      </c>
      <c r="F164" s="235">
        <v>4265.5</v>
      </c>
      <c r="G164" s="238">
        <f t="shared" si="13"/>
        <v>2.5</v>
      </c>
      <c r="H164" s="99">
        <f>G164+'14'!H164</f>
        <v>-54.5</v>
      </c>
      <c r="I164" s="236"/>
      <c r="J164" s="239">
        <f>H164/DAY(B2)</f>
        <v>-3.6333333333333333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'14'!F165</f>
        <v>29737</v>
      </c>
      <c r="F165" s="235">
        <v>29743.53</v>
      </c>
      <c r="G165" s="238">
        <f t="shared" si="13"/>
        <v>6.5299999999988358</v>
      </c>
      <c r="H165" s="99">
        <f>G165+'14'!H165</f>
        <v>-113.72000000000116</v>
      </c>
      <c r="I165" s="236"/>
      <c r="J165" s="239">
        <f>H165/DAY(B2)</f>
        <v>-7.5813333333334105</v>
      </c>
    </row>
    <row r="166" spans="1:10" ht="29.25" x14ac:dyDescent="0.5">
      <c r="A166" s="852"/>
      <c r="B166" s="852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1.75" customHeight="1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 x14ac:dyDescent="0.5">
      <c r="A173" s="856" t="s">
        <v>209</v>
      </c>
      <c r="B173" s="857"/>
      <c r="C173" s="333"/>
      <c r="D173" s="228" t="s">
        <v>142</v>
      </c>
      <c r="E173" s="95">
        <f>'14'!F173</f>
        <v>8126</v>
      </c>
      <c r="F173" s="155">
        <v>8126</v>
      </c>
      <c r="G173" s="155">
        <f>F173-E173</f>
        <v>0</v>
      </c>
      <c r="H173" s="99">
        <f>G173+'14'!H173</f>
        <v>0</v>
      </c>
      <c r="I173" s="155"/>
      <c r="J173" s="178">
        <f>H173/DAY(B2)</f>
        <v>0</v>
      </c>
    </row>
    <row r="174" spans="1:10" ht="21.75" customHeight="1" x14ac:dyDescent="0.5">
      <c r="A174" s="856" t="s">
        <v>75</v>
      </c>
      <c r="B174" s="857"/>
      <c r="C174" s="333"/>
      <c r="D174" s="228" t="s">
        <v>142</v>
      </c>
      <c r="E174" s="95">
        <f>'14'!F174</f>
        <v>38421</v>
      </c>
      <c r="F174" s="157">
        <v>38431</v>
      </c>
      <c r="G174" s="155">
        <f t="shared" ref="G174:G175" si="14">F174-E174</f>
        <v>10</v>
      </c>
      <c r="H174" s="99">
        <f>G174+'14'!H174</f>
        <v>190</v>
      </c>
      <c r="I174" s="155"/>
      <c r="J174" s="178">
        <f>H174/DAY(B2)</f>
        <v>12.666666666666666</v>
      </c>
    </row>
    <row r="175" spans="1:10" ht="21.75" customHeight="1" x14ac:dyDescent="0.5">
      <c r="A175" s="856" t="s">
        <v>76</v>
      </c>
      <c r="B175" s="896"/>
      <c r="C175" s="857"/>
      <c r="D175" s="228" t="s">
        <v>142</v>
      </c>
      <c r="E175" s="95">
        <f>'14'!F175</f>
        <v>21643</v>
      </c>
      <c r="F175" s="155">
        <v>21656</v>
      </c>
      <c r="G175" s="155">
        <f t="shared" si="14"/>
        <v>13</v>
      </c>
      <c r="H175" s="99">
        <f>G175+'14'!H175</f>
        <v>-157</v>
      </c>
      <c r="I175" s="155"/>
      <c r="J175" s="178">
        <f>H175/DAY(B2)</f>
        <v>-10.466666666666667</v>
      </c>
    </row>
    <row r="176" spans="1:10" ht="21.75" customHeight="1" x14ac:dyDescent="0.5">
      <c r="A176" s="847" t="s">
        <v>196</v>
      </c>
      <c r="B176" s="848"/>
      <c r="C176" s="333"/>
      <c r="D176" s="228" t="s">
        <v>142</v>
      </c>
      <c r="E176" s="95"/>
      <c r="F176" s="155"/>
      <c r="G176" s="155">
        <f>SUM(G173:G175)</f>
        <v>23</v>
      </c>
      <c r="H176" s="99">
        <f>G176+'14'!H176</f>
        <v>33</v>
      </c>
      <c r="I176" s="155"/>
      <c r="J176" s="178">
        <f>H176/DAY(B2)</f>
        <v>2.2000000000000002</v>
      </c>
    </row>
    <row r="177" spans="1:10" ht="21.75" customHeight="1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 x14ac:dyDescent="0.5">
      <c r="A178" s="856" t="s">
        <v>210</v>
      </c>
      <c r="B178" s="857"/>
      <c r="C178" s="333"/>
      <c r="D178" s="228" t="s">
        <v>142</v>
      </c>
      <c r="E178" s="95">
        <f>'14'!F178</f>
        <v>80397</v>
      </c>
      <c r="F178" s="155">
        <v>80469</v>
      </c>
      <c r="G178" s="155">
        <f>F178-E178</f>
        <v>72</v>
      </c>
      <c r="H178" s="99">
        <f>G178+'14'!H178</f>
        <v>-846</v>
      </c>
      <c r="I178" s="155"/>
      <c r="J178" s="178">
        <f>H178/DAY(B2)</f>
        <v>-56.4</v>
      </c>
    </row>
    <row r="179" spans="1:10" ht="24" customHeight="1" x14ac:dyDescent="0.5">
      <c r="A179" s="856" t="s">
        <v>211</v>
      </c>
      <c r="B179" s="857"/>
      <c r="C179" s="333"/>
      <c r="D179" s="228" t="s">
        <v>142</v>
      </c>
      <c r="E179" s="95">
        <f>'14'!F179</f>
        <v>34203</v>
      </c>
      <c r="F179" s="155">
        <v>34223</v>
      </c>
      <c r="G179" s="155">
        <f t="shared" ref="G179:G180" si="15">F179-E179</f>
        <v>20</v>
      </c>
      <c r="H179" s="99">
        <f>G179+'14'!H179</f>
        <v>-580</v>
      </c>
      <c r="I179" s="155"/>
      <c r="J179" s="178">
        <f>H179/DAY(B2)</f>
        <v>-38.666666666666664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'14'!F180</f>
        <v>5581</v>
      </c>
      <c r="F180" s="155">
        <v>5592</v>
      </c>
      <c r="G180" s="155">
        <f t="shared" si="15"/>
        <v>11</v>
      </c>
      <c r="H180" s="99">
        <f>G180+'14'!H180</f>
        <v>-110</v>
      </c>
      <c r="I180" s="155"/>
      <c r="J180" s="178">
        <f>H180/DAY(B2)</f>
        <v>-7.333333333333333</v>
      </c>
    </row>
    <row r="181" spans="1:10" ht="27.75" x14ac:dyDescent="0.5">
      <c r="A181" s="858" t="s">
        <v>108</v>
      </c>
      <c r="B181" s="859"/>
      <c r="C181" s="333"/>
      <c r="D181" s="228" t="s">
        <v>142</v>
      </c>
      <c r="E181" s="95"/>
      <c r="F181" s="155"/>
      <c r="G181" s="155">
        <f>SUM(G178:G180)</f>
        <v>103</v>
      </c>
      <c r="H181" s="99">
        <f>G181+'14'!H181</f>
        <v>-1536</v>
      </c>
      <c r="I181" s="155"/>
      <c r="J181" s="178">
        <f>H181/DAY(B2)</f>
        <v>-102.4</v>
      </c>
    </row>
    <row r="182" spans="1:10" ht="27.75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'14'!F183</f>
        <v>15121</v>
      </c>
      <c r="F183" s="157">
        <v>15129</v>
      </c>
      <c r="G183" s="157">
        <f>F183-E183</f>
        <v>8</v>
      </c>
      <c r="H183" s="99">
        <f>G183+'14'!H183</f>
        <v>-216</v>
      </c>
      <c r="I183" s="155"/>
      <c r="J183" s="178">
        <f>H183/DAY(B2)</f>
        <v>-14.4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'14'!F184</f>
        <v>10393</v>
      </c>
      <c r="F184" s="157">
        <v>10398</v>
      </c>
      <c r="G184" s="157">
        <f t="shared" ref="G184:G185" si="16">F184-E184</f>
        <v>5</v>
      </c>
      <c r="H184" s="99">
        <f>G184+'14'!H184</f>
        <v>-120</v>
      </c>
      <c r="I184" s="155"/>
      <c r="J184" s="178">
        <f>H184/DAY(B2)</f>
        <v>-8</v>
      </c>
    </row>
    <row r="185" spans="1:10" ht="32.25" customHeight="1" x14ac:dyDescent="0.5">
      <c r="A185" s="856" t="s">
        <v>216</v>
      </c>
      <c r="B185" s="857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7.75" x14ac:dyDescent="0.5">
      <c r="A186" s="847" t="s">
        <v>196</v>
      </c>
      <c r="B186" s="848"/>
      <c r="C186" s="334"/>
      <c r="D186" s="228" t="s">
        <v>142</v>
      </c>
      <c r="E186" s="95"/>
      <c r="F186" s="157"/>
      <c r="G186" s="157">
        <f>SUM(G183:G185)</f>
        <v>13</v>
      </c>
      <c r="H186" s="99">
        <f>G186+'14'!H186</f>
        <v>-336</v>
      </c>
      <c r="I186" s="157"/>
      <c r="J186" s="178">
        <f>H186/DAY(B2)</f>
        <v>-22.4</v>
      </c>
    </row>
    <row r="187" spans="1:10" ht="27.75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134</v>
      </c>
      <c r="H187" s="99">
        <f>G187+'14'!H187</f>
        <v>-2283</v>
      </c>
      <c r="I187" s="158"/>
      <c r="J187" s="179">
        <f>H187/DAY(B2)</f>
        <v>-152.19999999999999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128</v>
      </c>
      <c r="H188" s="99">
        <f>G188+'14'!H188</f>
        <v>128</v>
      </c>
      <c r="I188" s="158"/>
      <c r="J188" s="179">
        <f>H188/DAY(B2)</f>
        <v>8.5333333333333332</v>
      </c>
    </row>
    <row r="189" spans="1:10" ht="27" customHeight="1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103</v>
      </c>
      <c r="H189" s="99">
        <f>G189+'14'!H189</f>
        <v>-1536</v>
      </c>
      <c r="I189" s="158"/>
      <c r="J189" s="179">
        <f>H189/DAY(B2)</f>
        <v>-102.4</v>
      </c>
    </row>
    <row r="190" spans="1:10" ht="27" customHeight="1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7" customHeight="1" x14ac:dyDescent="0.5"/>
    <row r="192" spans="1:10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7" customHeight="1" x14ac:dyDescent="0.5"/>
    <row r="248" ht="27" customHeight="1" x14ac:dyDescent="0.5"/>
    <row r="249" ht="27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zoomScale="55" zoomScaleNormal="90" zoomScaleSheetLayoutView="55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96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6" s="57" customFormat="1" ht="27" x14ac:dyDescent="0.5">
      <c r="A2" s="191" t="s">
        <v>303</v>
      </c>
      <c r="B2" s="262">
        <v>44577</v>
      </c>
      <c r="C2" s="348" t="s">
        <v>67</v>
      </c>
      <c r="D2" s="218">
        <v>0.25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48" t="s">
        <v>118</v>
      </c>
      <c r="D3" s="219">
        <v>21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905" t="s">
        <v>128</v>
      </c>
      <c r="B6" s="906"/>
      <c r="C6" s="907"/>
      <c r="D6" s="110"/>
      <c r="E6" s="110"/>
      <c r="F6" s="111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'15'!F7</f>
        <v>371639.75</v>
      </c>
      <c r="F7" s="95">
        <v>388954</v>
      </c>
      <c r="G7" s="112">
        <f>F7-E7</f>
        <v>17314.25</v>
      </c>
      <c r="H7" s="99">
        <f>G7+'15'!H7</f>
        <v>-262226.23</v>
      </c>
      <c r="I7" s="113">
        <f>'1'!I7</f>
        <v>12000</v>
      </c>
      <c r="J7" s="175">
        <f>H7/DAY(B2)</f>
        <v>-16389.139374999999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'15'!F8</f>
        <v>422783.71</v>
      </c>
      <c r="F8" s="95">
        <v>440190</v>
      </c>
      <c r="G8" s="115">
        <f>F8-E8</f>
        <v>17406.289999999979</v>
      </c>
      <c r="H8" s="99">
        <f>G8+'15'!H8</f>
        <v>-268358.15000000002</v>
      </c>
      <c r="I8" s="116"/>
      <c r="J8" s="175">
        <f>H8/DAY(B2)</f>
        <v>-16772.384375000001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'15'!F9</f>
        <v>76355.41</v>
      </c>
      <c r="F9" s="598">
        <v>87159</v>
      </c>
      <c r="G9" s="112">
        <f>F9-E9</f>
        <v>10803.589999999997</v>
      </c>
      <c r="H9" s="99">
        <f>G9+'15'!H9</f>
        <v>-195094.84999999998</v>
      </c>
      <c r="I9" s="124">
        <f>I7-J7</f>
        <v>28389.139374999999</v>
      </c>
      <c r="J9" s="175">
        <f>H9/DAY(B2)</f>
        <v>-12193.428124999999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'15'!F10</f>
        <v>39677.22</v>
      </c>
      <c r="F10" s="353">
        <v>45649</v>
      </c>
      <c r="G10" s="112">
        <f t="shared" ref="G10:G12" si="0">F10-E10</f>
        <v>5971.7799999999988</v>
      </c>
      <c r="H10" s="99">
        <f>G10+'15'!H10</f>
        <v>-59609.97</v>
      </c>
      <c r="I10" s="282"/>
      <c r="J10" s="175">
        <f>H10/DAY(B2)</f>
        <v>-3725.6231250000001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'15'!F11</f>
        <v>37000</v>
      </c>
      <c r="F11" s="95">
        <v>37000</v>
      </c>
      <c r="G11" s="112">
        <f t="shared" si="0"/>
        <v>0</v>
      </c>
      <c r="H11" s="99">
        <f>G11+'15'!H11</f>
        <v>-170</v>
      </c>
      <c r="I11" s="282"/>
      <c r="J11" s="175">
        <f>H11/DAY(B2)</f>
        <v>-10.625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16775.369999999995</v>
      </c>
      <c r="H13" s="99">
        <f>G13+'15'!H13</f>
        <v>-271629.25</v>
      </c>
      <c r="I13" s="120">
        <f>G7-G13</f>
        <v>538.88000000000466</v>
      </c>
      <c r="J13" s="175">
        <f>H13/DAY(B2)</f>
        <v>-16976.828125</v>
      </c>
      <c r="K13" s="79"/>
      <c r="L13" s="66"/>
      <c r="N13" s="87"/>
      <c r="O13" s="71"/>
    </row>
    <row r="14" spans="1:16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123">
        <f>'15'!F15</f>
        <v>1891600</v>
      </c>
      <c r="F15" s="123">
        <v>1892606</v>
      </c>
      <c r="G15" s="112">
        <f>(F15-E15)</f>
        <v>1006</v>
      </c>
      <c r="H15" s="99">
        <f>G15+'15'!H15</f>
        <v>16549.233000000007</v>
      </c>
      <c r="I15" s="113">
        <f>'1'!I15</f>
        <v>800</v>
      </c>
      <c r="J15" s="175">
        <f>H15/DAY(B2)</f>
        <v>1034.3270625000005</v>
      </c>
      <c r="K15" s="79"/>
      <c r="L15" s="66"/>
      <c r="N15" s="87">
        <v>735868</v>
      </c>
      <c r="O15" s="71">
        <v>719798</v>
      </c>
      <c r="P15" s="552">
        <f>O15-N15</f>
        <v>-16070</v>
      </c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-234.32706250000047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'15'!F18</f>
        <v>10</v>
      </c>
      <c r="F18" s="122">
        <v>8</v>
      </c>
      <c r="G18" s="119">
        <f>F18*10</f>
        <v>80</v>
      </c>
      <c r="H18" s="99">
        <f>G18+'15'!H18</f>
        <v>3030</v>
      </c>
      <c r="I18" s="113">
        <f>'1'!I18</f>
        <v>65</v>
      </c>
      <c r="J18" s="175">
        <f>H18/DAY(B2)</f>
        <v>189.375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'15'!F19</f>
        <v>153017</v>
      </c>
      <c r="F19" s="122">
        <f>E19+55</f>
        <v>153072</v>
      </c>
      <c r="G19" s="112">
        <f t="shared" ref="G19" si="1">F19-E19</f>
        <v>55</v>
      </c>
      <c r="H19" s="99">
        <f>G19+'15'!H19</f>
        <v>-819</v>
      </c>
      <c r="I19" s="335"/>
      <c r="J19" s="175">
        <f>H19/DAY(B2)</f>
        <v>-51.1875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135</v>
      </c>
      <c r="H20" s="99">
        <f>G20+'15'!H20</f>
        <v>2211</v>
      </c>
      <c r="I20" s="336">
        <f>I18-J20</f>
        <v>-73.1875</v>
      </c>
      <c r="J20" s="175">
        <f>H20/DAY(B2)</f>
        <v>138.1875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'15'!F23</f>
        <v>1500</v>
      </c>
      <c r="F23" s="122">
        <v>1500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4">
      <c r="A25" s="913" t="s">
        <v>149</v>
      </c>
      <c r="B25" s="914"/>
      <c r="C25" s="915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17406.289999999979</v>
      </c>
      <c r="F27" s="136">
        <v>9</v>
      </c>
      <c r="G27" s="137">
        <f>E27*F27</f>
        <v>156656.60999999981</v>
      </c>
      <c r="H27" s="99">
        <f>G27+'15'!H27</f>
        <v>-2415223.35</v>
      </c>
      <c r="I27" s="138"/>
      <c r="J27" s="175">
        <f>H27/DAY(B2)</f>
        <v>-150951.45937500001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1006</v>
      </c>
      <c r="F28" s="136">
        <v>52</v>
      </c>
      <c r="G28" s="137">
        <f>E28*F28</f>
        <v>52312</v>
      </c>
      <c r="H28" s="99">
        <f>G28+'15'!H28</f>
        <v>893914.11600000039</v>
      </c>
      <c r="I28" s="140"/>
      <c r="J28" s="175">
        <f>H28/DAY(B2)</f>
        <v>55869.632250000024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G30+'15'!H30</f>
        <v>-127384</v>
      </c>
      <c r="I30" s="140"/>
      <c r="J30" s="175">
        <f>H30/DAY(B2)</f>
        <v>-7961.5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G31+'15'!H31</f>
        <v>242400</v>
      </c>
      <c r="I31" s="140"/>
      <c r="J31" s="175">
        <f>H31/DAY(B2)</f>
        <v>15150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223398.60999999981</v>
      </c>
      <c r="H32" s="99">
        <f>G32+'15'!H32</f>
        <v>-1406293.2339999997</v>
      </c>
      <c r="I32" s="144"/>
      <c r="J32" s="175">
        <f>H32/DAY(B2)</f>
        <v>-87893.327124999982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493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'15'!F35</f>
        <v>10505.84</v>
      </c>
      <c r="F35" s="117">
        <v>11775</v>
      </c>
      <c r="G35" s="112">
        <f t="shared" ref="G35:G46" si="3">F35-E35</f>
        <v>1269.1599999999999</v>
      </c>
      <c r="H35" s="99">
        <f>G35+'15'!H35</f>
        <v>-20229.98</v>
      </c>
      <c r="I35" s="95"/>
      <c r="J35" s="175">
        <f>H35/DAY(B2)</f>
        <v>-1264.37375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'15'!F36</f>
        <v>32294.69</v>
      </c>
      <c r="F36" s="117">
        <v>32882</v>
      </c>
      <c r="G36" s="112">
        <f t="shared" si="3"/>
        <v>587.31000000000131</v>
      </c>
      <c r="H36" s="99">
        <f>G36+'15'!H36</f>
        <v>-10576.739999999998</v>
      </c>
      <c r="I36" s="95"/>
      <c r="J36" s="175">
        <f>H36/DAY(B2)</f>
        <v>-661.04624999999987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'15'!F37</f>
        <v>10327.74</v>
      </c>
      <c r="F37" s="117">
        <v>11811</v>
      </c>
      <c r="G37" s="112">
        <f t="shared" si="3"/>
        <v>1483.2600000000002</v>
      </c>
      <c r="H37" s="99">
        <f>G37+'15'!H37</f>
        <v>-23614.089999999997</v>
      </c>
      <c r="I37" s="95"/>
      <c r="J37" s="175">
        <f>H37/DAY(B2)</f>
        <v>-1475.8806249999998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'15'!F38</f>
        <v>10938.95</v>
      </c>
      <c r="F38" s="95">
        <v>12564</v>
      </c>
      <c r="G38" s="112">
        <f t="shared" si="3"/>
        <v>1625.0499999999993</v>
      </c>
      <c r="H38" s="99">
        <f>G38+'15'!H38</f>
        <v>-25812.43</v>
      </c>
      <c r="I38" s="95"/>
      <c r="J38" s="175">
        <f>H38/DAY(B2)</f>
        <v>-1613.276875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'15'!F39</f>
        <v>17509.900000000001</v>
      </c>
      <c r="F39" s="117">
        <v>20110</v>
      </c>
      <c r="G39" s="112">
        <f t="shared" si="3"/>
        <v>2600.0999999999985</v>
      </c>
      <c r="H39" s="99">
        <f>G39+'15'!H39</f>
        <v>-39063.29</v>
      </c>
      <c r="I39" s="95"/>
      <c r="J39" s="175">
        <f>H39/DAY(B2)</f>
        <v>-2441.4556250000001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'15'!F40</f>
        <v>12504</v>
      </c>
      <c r="F40" s="117">
        <v>12911</v>
      </c>
      <c r="G40" s="112">
        <f t="shared" si="3"/>
        <v>407</v>
      </c>
      <c r="H40" s="99">
        <f>G40+'15'!H40</f>
        <v>-9205.9900000000016</v>
      </c>
      <c r="I40" s="95"/>
      <c r="J40" s="175">
        <f>H40/DAY(B2)</f>
        <v>-575.3743750000001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'15'!F41</f>
        <v>0</v>
      </c>
      <c r="F41" s="117">
        <v>0</v>
      </c>
      <c r="G41" s="112">
        <f t="shared" si="3"/>
        <v>0</v>
      </c>
      <c r="H41" s="99">
        <f>G41+'15'!H41</f>
        <v>-62.73</v>
      </c>
      <c r="I41" s="95"/>
      <c r="J41" s="175">
        <f>H41/DAY(B2)</f>
        <v>-3.9206249999999998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'15'!F42</f>
        <v>73808.600000000006</v>
      </c>
      <c r="F42" s="117">
        <v>73808.600000000006</v>
      </c>
      <c r="G42" s="112">
        <f t="shared" si="3"/>
        <v>0</v>
      </c>
      <c r="H42" s="99">
        <f>G42+'15'!H42</f>
        <v>35730.86</v>
      </c>
      <c r="I42" s="95"/>
      <c r="J42" s="175">
        <f>H42/DAY(B2)</f>
        <v>2233.17875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80752.710000000006</v>
      </c>
      <c r="F43" s="117">
        <v>82824</v>
      </c>
      <c r="G43" s="112">
        <f t="shared" si="3"/>
        <v>2071.2899999999936</v>
      </c>
      <c r="H43" s="99">
        <f>G43+'15'!H43</f>
        <v>34001.399999999994</v>
      </c>
      <c r="I43" s="95"/>
      <c r="J43" s="175">
        <f>H43/DAY(B2)</f>
        <v>2125.0874999999996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10043.169999999993</v>
      </c>
      <c r="H47" s="99">
        <f>G47+'15'!H47</f>
        <v>-58832.99</v>
      </c>
      <c r="I47" s="95"/>
      <c r="J47" s="175">
        <f>H47/DAY(B2)</f>
        <v>-3677.0618749999999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'15'!F49</f>
        <v>8656.59</v>
      </c>
      <c r="F49" s="117">
        <v>9977</v>
      </c>
      <c r="G49" s="112">
        <f t="shared" ref="G49:G58" si="4">F49-E49</f>
        <v>1320.4099999999999</v>
      </c>
      <c r="H49" s="99">
        <f>G49+'15'!H49</f>
        <v>-15019.189999999999</v>
      </c>
      <c r="I49" s="95"/>
      <c r="J49" s="175">
        <f>H49/DAY(B2)</f>
        <v>-938.69937499999992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'15'!F50</f>
        <v>39417.730000000003</v>
      </c>
      <c r="F50" s="117">
        <v>40286</v>
      </c>
      <c r="G50" s="112">
        <f t="shared" si="4"/>
        <v>868.2699999999968</v>
      </c>
      <c r="H50" s="99">
        <f>G50+'15'!H50</f>
        <v>-16100.629999999997</v>
      </c>
      <c r="I50" s="95"/>
      <c r="J50" s="175">
        <f>H50/DAY(B2)</f>
        <v>-1006.2893749999998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'15'!F51</f>
        <v>0</v>
      </c>
      <c r="F51" s="117">
        <v>0</v>
      </c>
      <c r="G51" s="112">
        <f t="shared" si="4"/>
        <v>0</v>
      </c>
      <c r="H51" s="99">
        <f>G51+'15'!H51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'15'!F52</f>
        <v>0</v>
      </c>
      <c r="F52" s="117">
        <v>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'15'!F53</f>
        <v>0</v>
      </c>
      <c r="F53" s="492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488">
        <f>'15'!F54</f>
        <v>3661.51</v>
      </c>
      <c r="F54" s="600">
        <v>4227</v>
      </c>
      <c r="G54" s="236">
        <f t="shared" si="4"/>
        <v>565.48999999999978</v>
      </c>
      <c r="H54" s="99">
        <f>G54+'15'!H54</f>
        <v>-920.42000000000007</v>
      </c>
      <c r="I54" s="95"/>
      <c r="J54" s="175">
        <f>H54/DAY(B2)</f>
        <v>-57.526250000000005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488">
        <f>'15'!F55</f>
        <v>48711.23</v>
      </c>
      <c r="F55" s="492">
        <v>51744</v>
      </c>
      <c r="G55" s="236">
        <f t="shared" si="4"/>
        <v>3032.7699999999968</v>
      </c>
      <c r="H55" s="99">
        <f>G55+'15'!H55</f>
        <v>-22622.11</v>
      </c>
      <c r="I55" s="95"/>
      <c r="J55" s="175">
        <f>H55/DAY(B2)</f>
        <v>-1413.881875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'15'!F56</f>
        <v>8610.5400000000009</v>
      </c>
      <c r="F56" s="117">
        <v>8610.5400000000009</v>
      </c>
      <c r="G56" s="112">
        <f t="shared" si="4"/>
        <v>0</v>
      </c>
      <c r="H56" s="99">
        <f>G56+'15'!H56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'15'!F58</f>
        <v>1811.04</v>
      </c>
      <c r="F58" s="117">
        <v>1999</v>
      </c>
      <c r="G58" s="112">
        <f t="shared" si="4"/>
        <v>187.96000000000004</v>
      </c>
      <c r="H58" s="99">
        <f>G58+'15'!H58</f>
        <v>-2797.21</v>
      </c>
      <c r="I58" s="95"/>
      <c r="J58" s="175">
        <f>H58/DAY(B2)</f>
        <v>-174.825625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5974.8999999999933</v>
      </c>
      <c r="H59" s="99">
        <f>G59+'15'!H59</f>
        <v>-57459.560000000005</v>
      </c>
      <c r="I59" s="95">
        <f>G7-G60</f>
        <v>1296.1800000000148</v>
      </c>
      <c r="J59" s="175">
        <f>H59/DAY(B2)</f>
        <v>-3591.2225000000003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51"/>
      <c r="G60" s="119">
        <f>G47+G59</f>
        <v>16018.069999999985</v>
      </c>
      <c r="H60" s="99">
        <f>G60+'15'!H60</f>
        <v>-116292.55000000002</v>
      </c>
      <c r="I60" s="95">
        <f>G13-G60</f>
        <v>757.30000000001019</v>
      </c>
      <c r="J60" s="175">
        <f>H60/DAY(B2)</f>
        <v>-7268.2843750000011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'15'!F62</f>
        <v>268107</v>
      </c>
      <c r="F62" s="122">
        <v>268173</v>
      </c>
      <c r="G62" s="112">
        <f t="shared" ref="G62:G63" si="5">F62-E62</f>
        <v>66</v>
      </c>
      <c r="H62" s="99">
        <f>G62+'15'!H62</f>
        <v>-1343</v>
      </c>
      <c r="I62" s="118"/>
      <c r="J62" s="175">
        <f>H62/DAY(B2)</f>
        <v>-83.9375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'15'!F63</f>
        <v>213943</v>
      </c>
      <c r="F63" s="122">
        <v>214034</v>
      </c>
      <c r="G63" s="112">
        <f t="shared" si="5"/>
        <v>91</v>
      </c>
      <c r="H63" s="99">
        <f>G63+'15'!H63</f>
        <v>1958</v>
      </c>
      <c r="I63" s="118"/>
      <c r="J63" s="175">
        <f>H63/DAY(B2)</f>
        <v>122.375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v>0</v>
      </c>
      <c r="F64" s="122"/>
      <c r="G64" s="112">
        <f>G62+G63</f>
        <v>157</v>
      </c>
      <c r="H64" s="99">
        <f>G64+'15'!H64</f>
        <v>615</v>
      </c>
      <c r="I64" s="118"/>
      <c r="J64" s="175">
        <f>H64/DAY(B2)</f>
        <v>38.4375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'15'!F65</f>
        <v>433665</v>
      </c>
      <c r="F65" s="122">
        <v>433727</v>
      </c>
      <c r="G65" s="112">
        <f t="shared" ref="G65:G70" si="6">F65-E65</f>
        <v>62</v>
      </c>
      <c r="H65" s="99">
        <f>G65+'15'!H65</f>
        <v>-1196</v>
      </c>
      <c r="I65" s="118"/>
      <c r="J65" s="175">
        <f>H65/DAY(B2)</f>
        <v>-74.75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'15'!F66</f>
        <v>107472</v>
      </c>
      <c r="F66" s="122">
        <v>107493</v>
      </c>
      <c r="G66" s="112">
        <f t="shared" si="6"/>
        <v>21</v>
      </c>
      <c r="H66" s="99">
        <f>G66+'15'!H66</f>
        <v>-250</v>
      </c>
      <c r="I66" s="118"/>
      <c r="J66" s="175">
        <f>H66/DAY(B2)</f>
        <v>-15.625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'15'!F67</f>
        <v>104277</v>
      </c>
      <c r="F67" s="122">
        <v>104303</v>
      </c>
      <c r="G67" s="112">
        <f t="shared" si="6"/>
        <v>26</v>
      </c>
      <c r="H67" s="99">
        <f>G67+'15'!H67</f>
        <v>-345</v>
      </c>
      <c r="I67" s="118"/>
      <c r="J67" s="175">
        <f>H67/DAY(B2)</f>
        <v>-21.5625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'15'!F68</f>
        <v>157006</v>
      </c>
      <c r="F68" s="122">
        <v>157037</v>
      </c>
      <c r="G68" s="112">
        <f t="shared" si="6"/>
        <v>31</v>
      </c>
      <c r="H68" s="99">
        <f>G68+'15'!H68</f>
        <v>-660</v>
      </c>
      <c r="I68" s="118"/>
      <c r="J68" s="175">
        <f>H68/DAY(B2)</f>
        <v>-41.25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'15'!F69</f>
        <v>10363</v>
      </c>
      <c r="F69" s="122">
        <v>10369</v>
      </c>
      <c r="G69" s="112">
        <f t="shared" si="6"/>
        <v>6</v>
      </c>
      <c r="H69" s="99">
        <f>G69+'15'!H69</f>
        <v>-172</v>
      </c>
      <c r="I69" s="118"/>
      <c r="J69" s="175">
        <f>H69/DAY(B2)</f>
        <v>-10.75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'15'!F70</f>
        <v>7977</v>
      </c>
      <c r="F70" s="122">
        <v>7984</v>
      </c>
      <c r="G70" s="112">
        <f t="shared" si="6"/>
        <v>7</v>
      </c>
      <c r="H70" s="99">
        <f>G70+'15'!H70</f>
        <v>-136</v>
      </c>
      <c r="I70" s="118"/>
      <c r="J70" s="175">
        <f>H70/DAY(B2)</f>
        <v>-8.5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153</v>
      </c>
      <c r="H71" s="99">
        <f>G71+'15'!H71</f>
        <v>-2759</v>
      </c>
      <c r="I71" s="154"/>
      <c r="J71" s="175">
        <f>H71/DAY(B2)</f>
        <v>-172.4375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494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'15'!F74</f>
        <v>896469</v>
      </c>
      <c r="F74" s="117">
        <v>896773</v>
      </c>
      <c r="G74" s="112">
        <f t="shared" ref="G74:G78" si="7">F74-E74</f>
        <v>304</v>
      </c>
      <c r="H74" s="99">
        <f>G74+'15'!H74</f>
        <v>-4533.1489999999758</v>
      </c>
      <c r="I74" s="154"/>
      <c r="J74" s="175">
        <f>H74/DAY(B2)</f>
        <v>-283.32181249999849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'15'!F75</f>
        <v>73587</v>
      </c>
      <c r="F75" s="123">
        <v>73587</v>
      </c>
      <c r="G75" s="112">
        <f t="shared" si="7"/>
        <v>0</v>
      </c>
      <c r="H75" s="99">
        <f>G75+'15'!H75</f>
        <v>0.19999999999708962</v>
      </c>
      <c r="I75" s="154"/>
      <c r="J75" s="175">
        <f>H75/DAY(B2)</f>
        <v>1.2499999999818101E-2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'15'!F76</f>
        <v>168467</v>
      </c>
      <c r="F76" s="123">
        <v>168557</v>
      </c>
      <c r="G76" s="112">
        <f t="shared" si="7"/>
        <v>90</v>
      </c>
      <c r="H76" s="99">
        <f>G76+'15'!H76</f>
        <v>-1418</v>
      </c>
      <c r="I76" s="154"/>
      <c r="J76" s="175">
        <f>H76/DAY(B2)</f>
        <v>-88.625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'15'!F77</f>
        <v>40771.4</v>
      </c>
      <c r="F77" s="123">
        <v>40798</v>
      </c>
      <c r="G77" s="112">
        <f t="shared" si="7"/>
        <v>26.599999999998545</v>
      </c>
      <c r="H77" s="99">
        <f>G77+'15'!H77</f>
        <v>-504.19999999999709</v>
      </c>
      <c r="I77" s="154"/>
      <c r="J77" s="175">
        <f>H77/DAY(B2)</f>
        <v>-31.512499999999818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'15'!F78</f>
        <v>9498</v>
      </c>
      <c r="F78" s="123">
        <v>9499</v>
      </c>
      <c r="G78" s="112">
        <f t="shared" si="7"/>
        <v>1</v>
      </c>
      <c r="H78" s="99">
        <f>G78+'15'!H78</f>
        <v>-17</v>
      </c>
      <c r="I78" s="118"/>
      <c r="J78" s="175">
        <f>H78/DAY(B2)</f>
        <v>-1.0625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'15'!F79</f>
        <v>0</v>
      </c>
      <c r="F79" s="123"/>
      <c r="G79" s="112">
        <f>G15-SUM(G74:G78)</f>
        <v>584.40000000000146</v>
      </c>
      <c r="H79" s="99">
        <f>G79+'15'!H79</f>
        <v>23021.381999999983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1006</v>
      </c>
      <c r="H80" s="99">
        <f>G80+'15'!H80</f>
        <v>1006</v>
      </c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1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'15'!F84</f>
        <v>41675</v>
      </c>
      <c r="F84" s="164">
        <v>41675</v>
      </c>
      <c r="G84" s="112">
        <f t="shared" si="8"/>
        <v>0</v>
      </c>
      <c r="H84" s="99">
        <f>G84+'15'!H84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'15'!F85</f>
        <v>2096.5500000000002</v>
      </c>
      <c r="F85" s="164">
        <v>2096.5500000000002</v>
      </c>
      <c r="G85" s="112">
        <f t="shared" si="8"/>
        <v>0</v>
      </c>
      <c r="H85" s="99">
        <f>G85+'15'!H85</f>
        <v>-163.86999999999989</v>
      </c>
      <c r="I85" s="118">
        <f>G82+G83+G84+G85</f>
        <v>0</v>
      </c>
      <c r="J85" s="175">
        <f>H85/DAY(B2)</f>
        <v>-10.241874999999993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'15'!F86</f>
        <v>43224.49</v>
      </c>
      <c r="F86" s="164">
        <v>43248</v>
      </c>
      <c r="G86" s="112">
        <f t="shared" si="8"/>
        <v>23.510000000002037</v>
      </c>
      <c r="H86" s="99">
        <f>G86+'15'!H86</f>
        <v>-194</v>
      </c>
      <c r="I86" s="118"/>
      <c r="J86" s="175">
        <f>H86/DAY(B2)</f>
        <v>-12.125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'15'!F87</f>
        <v>34598.550000000003</v>
      </c>
      <c r="F87" s="164">
        <v>34598.550000000003</v>
      </c>
      <c r="G87" s="112">
        <f t="shared" si="8"/>
        <v>0</v>
      </c>
      <c r="H87" s="99">
        <f>G87+'15'!H87</f>
        <v>5.0000000002910383E-2</v>
      </c>
      <c r="I87" s="118"/>
      <c r="J87" s="175">
        <f>H87/DAY(B2)</f>
        <v>3.1250000001818989E-3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'15'!F88</f>
        <v>24059.29</v>
      </c>
      <c r="F88" s="164">
        <v>24059.29</v>
      </c>
      <c r="G88" s="112">
        <f t="shared" si="8"/>
        <v>0</v>
      </c>
      <c r="H88" s="99">
        <f>G88+'15'!H88</f>
        <v>-4.1399999999994179</v>
      </c>
      <c r="I88" s="118">
        <f>G86+G87+G88</f>
        <v>23.510000000002037</v>
      </c>
      <c r="J88" s="175">
        <f>H88/DAY(B2)</f>
        <v>-0.25874999999996362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'15'!F89</f>
        <v>25752.95</v>
      </c>
      <c r="F89" s="164">
        <v>25761.09</v>
      </c>
      <c r="G89" s="112">
        <f t="shared" si="8"/>
        <v>8.1399999999994179</v>
      </c>
      <c r="H89" s="99">
        <f>G89+'15'!H89</f>
        <v>-130.02999999999884</v>
      </c>
      <c r="I89" s="118"/>
      <c r="J89" s="175">
        <f>H89/DAY(B2)</f>
        <v>-8.1268749999999272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'15'!F90</f>
        <v>71116.47</v>
      </c>
      <c r="F90" s="164">
        <v>71126.16</v>
      </c>
      <c r="G90" s="112">
        <f t="shared" si="8"/>
        <v>9.6900000000023283</v>
      </c>
      <c r="H90" s="99">
        <f>G90+'15'!H90</f>
        <v>-37.160000000003492</v>
      </c>
      <c r="I90" s="118">
        <f>G89+G90</f>
        <v>17.830000000001746</v>
      </c>
      <c r="J90" s="175">
        <f>H90/DAY(B2)</f>
        <v>-2.3225000000002183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'15'!F91</f>
        <v>3226.32</v>
      </c>
      <c r="F91" s="122">
        <v>3226.32</v>
      </c>
      <c r="G91" s="112">
        <f t="shared" si="8"/>
        <v>0</v>
      </c>
      <c r="H91" s="99">
        <f>G91+'15'!H91</f>
        <v>-24.769999999999982</v>
      </c>
      <c r="I91" s="165"/>
      <c r="J91" s="175">
        <f>H91/DAY(B2)</f>
        <v>-1.5481249999999989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'15'!F92</f>
        <v>5593.79</v>
      </c>
      <c r="F92" s="122">
        <v>5604.41</v>
      </c>
      <c r="G92" s="112">
        <f t="shared" si="8"/>
        <v>10.619999999999891</v>
      </c>
      <c r="H92" s="99">
        <f>G92+'15'!H92</f>
        <v>-136.65999999999985</v>
      </c>
      <c r="I92" s="165"/>
      <c r="J92" s="175">
        <f>H92/DAY(B2)</f>
        <v>-8.5412499999999909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4660.8599999999933</v>
      </c>
      <c r="H94" s="99">
        <f>G94+'15'!H94</f>
        <v>-1247.7700000000041</v>
      </c>
      <c r="I94" s="118"/>
      <c r="J94" s="175">
        <f>H94/DAY(B2)</f>
        <v>-77.985625000000255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51"/>
      <c r="G95" s="166">
        <f>G94/G7</f>
        <v>0.26919213942272946</v>
      </c>
      <c r="H95" s="99">
        <f>G95+'15'!H95</f>
        <v>3.8951307701713294</v>
      </c>
      <c r="I95" s="167"/>
      <c r="J95" s="175">
        <f>H95/DAY(B2)</f>
        <v>0.24344567313570808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3032.7699999999968</v>
      </c>
      <c r="H96" s="99">
        <f>G96+'15'!H96</f>
        <v>13046.019999999997</v>
      </c>
      <c r="I96" s="118"/>
      <c r="J96" s="175">
        <f>H96/DAY(B2)</f>
        <v>815.3762499999998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0.17516034480269124</v>
      </c>
      <c r="H97" s="99">
        <f>G97+'15'!H97</f>
        <v>3.0278872130275531</v>
      </c>
      <c r="I97" s="167"/>
      <c r="J97" s="175">
        <f>H97/DAY(B2)</f>
        <v>0.18924295081422207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2600.0999999999985</v>
      </c>
      <c r="H98" s="99">
        <f>G98+'15'!H98</f>
        <v>-39063.29</v>
      </c>
      <c r="I98" s="168"/>
      <c r="J98" s="175">
        <f>H98/DAY(B2)</f>
        <v>-2441.4556250000001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0.15017110183808127</v>
      </c>
      <c r="H99" s="99">
        <f>G99+'15'!H99</f>
        <v>2.3322935119002079</v>
      </c>
      <c r="I99" s="168"/>
      <c r="J99" s="175">
        <f>H99/DAY(B2)</f>
        <v>0.145768344493763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1625.0499999999993</v>
      </c>
      <c r="H100" s="99">
        <f>G100+'15'!H100</f>
        <v>-25812.43</v>
      </c>
      <c r="I100" s="118"/>
      <c r="J100" s="175">
        <f>H100/DAY(B2)</f>
        <v>-1613.276875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9.3856216700116915E-2</v>
      </c>
      <c r="H101" s="99">
        <f>G101+'15'!H101</f>
        <v>1.5131929989467012</v>
      </c>
      <c r="I101" s="168"/>
      <c r="J101" s="175">
        <f>H101/DAY(B2)</f>
        <v>9.4574562434168827E-2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1455.5799999999981</v>
      </c>
      <c r="H102" s="99">
        <f>G102+'15'!H102</f>
        <v>-26677.369999999995</v>
      </c>
      <c r="I102" s="168"/>
      <c r="J102" s="175">
        <f>H102/DAY(B2)</f>
        <v>-1667.3356249999997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8.4068325223443013E-2</v>
      </c>
      <c r="H103" s="99">
        <f>G103+'15'!H103</f>
        <v>1.6845789683183128</v>
      </c>
      <c r="I103" s="118"/>
      <c r="J103" s="175">
        <f>H103/DAY(B2)</f>
        <v>0.10528618551989455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1483.2600000000002</v>
      </c>
      <c r="H104" s="99">
        <f>G104+'15'!H104</f>
        <v>-23614.089999999997</v>
      </c>
      <c r="I104" s="118"/>
      <c r="J104" s="175">
        <f>H104/DAY(B2)</f>
        <v>-1475.8806249999998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8.5667008389043717E-2</v>
      </c>
      <c r="H105" s="99">
        <f>G105+'15'!H105</f>
        <v>1.3316642711727711</v>
      </c>
      <c r="I105" s="187"/>
      <c r="J105" s="188">
        <f>H105/DAY(B2)</f>
        <v>8.3229016948298193E-2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495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5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'15'!F112</f>
        <v>56809.7</v>
      </c>
      <c r="F112" s="237">
        <v>56886</v>
      </c>
      <c r="G112" s="112">
        <f t="shared" ref="G112:G123" si="9">F112-E112</f>
        <v>76.30000000000291</v>
      </c>
      <c r="H112" s="99">
        <f>G112+'15'!H112</f>
        <v>-1168</v>
      </c>
      <c r="I112" s="165"/>
      <c r="J112" s="328">
        <f>H112/DAY(B2)</f>
        <v>-73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'15'!F113</f>
        <v>38954.32</v>
      </c>
      <c r="F113" s="237">
        <v>39409</v>
      </c>
      <c r="G113" s="112">
        <f t="shared" si="9"/>
        <v>454.68000000000029</v>
      </c>
      <c r="H113" s="99">
        <f>G113+'15'!H113</f>
        <v>-6991.8899999999994</v>
      </c>
      <c r="I113" s="165"/>
      <c r="J113" s="328">
        <f>H113/DAY(B2)</f>
        <v>-436.99312499999996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488">
        <f>'15'!F114</f>
        <v>28847.5</v>
      </c>
      <c r="F114" s="499">
        <v>29108</v>
      </c>
      <c r="G114" s="236">
        <v>126.9</v>
      </c>
      <c r="H114" s="99">
        <f>G114+'15'!H114</f>
        <v>-4185.6000000000004</v>
      </c>
      <c r="I114" s="165"/>
      <c r="J114" s="328">
        <f>H114/DAY(B2)</f>
        <v>-261.60000000000002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488">
        <f>'15'!F115</f>
        <v>8936.6299999999992</v>
      </c>
      <c r="F115" s="499">
        <v>8944</v>
      </c>
      <c r="G115" s="236">
        <f t="shared" si="9"/>
        <v>7.3700000000008004</v>
      </c>
      <c r="H115" s="99">
        <f>G115+'15'!H115</f>
        <v>-150.64999999999964</v>
      </c>
      <c r="I115" s="165"/>
      <c r="J115" s="328">
        <f>H115/DAY(B2)</f>
        <v>-9.4156249999999773</v>
      </c>
      <c r="N115" s="599" t="s">
        <v>366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'15'!F116</f>
        <v>0</v>
      </c>
      <c r="F116" s="237">
        <v>0</v>
      </c>
      <c r="G116" s="112">
        <f t="shared" si="9"/>
        <v>0</v>
      </c>
      <c r="H116" s="99">
        <f>G116+'15'!H116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'15'!F117</f>
        <v>2953.8739999999998</v>
      </c>
      <c r="F117" s="237">
        <v>2977</v>
      </c>
      <c r="G117" s="112">
        <f t="shared" si="9"/>
        <v>23.126000000000204</v>
      </c>
      <c r="H117" s="99">
        <f>G117+'15'!H117</f>
        <v>-360.94999999999982</v>
      </c>
      <c r="I117" s="165"/>
      <c r="J117" s="328">
        <f>H117/DAY(B2)</f>
        <v>-22.559374999999989</v>
      </c>
      <c r="Q117" s="863" t="s">
        <v>312</v>
      </c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'15'!F118</f>
        <v>247040.19</v>
      </c>
      <c r="F118" s="237">
        <v>247347</v>
      </c>
      <c r="G118" s="112">
        <f t="shared" si="9"/>
        <v>306.80999999999767</v>
      </c>
      <c r="H118" s="99">
        <f>G118+'15'!H118</f>
        <v>-5105.3099999999977</v>
      </c>
      <c r="I118" s="165"/>
      <c r="J118" s="328">
        <f>H118/DAY(B2)</f>
        <v>-319.08187499999985</v>
      </c>
      <c r="Q118" s="863" t="s">
        <v>311</v>
      </c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488">
        <f>'15'!F119</f>
        <v>251326.27</v>
      </c>
      <c r="F119" s="499">
        <v>251784</v>
      </c>
      <c r="G119" s="112">
        <f t="shared" si="9"/>
        <v>457.73000000001048</v>
      </c>
      <c r="H119" s="99">
        <f>G119+'15'!H119</f>
        <v>-6364.5499999999884</v>
      </c>
      <c r="I119" s="165"/>
      <c r="J119" s="328">
        <f>H119/DAY(B2)</f>
        <v>-397.78437499999927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'15'!F120</f>
        <v>36276</v>
      </c>
      <c r="F120" s="237">
        <v>36711</v>
      </c>
      <c r="G120" s="112">
        <f t="shared" si="9"/>
        <v>435</v>
      </c>
      <c r="H120" s="99">
        <f>G120+'15'!H120</f>
        <v>-6248.6100000000006</v>
      </c>
      <c r="I120" s="165"/>
      <c r="J120" s="328">
        <f>H120/DAY(B2)</f>
        <v>-390.53812500000004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'15'!F121</f>
        <v>387067.19</v>
      </c>
      <c r="F121" s="237">
        <v>387737</v>
      </c>
      <c r="G121" s="112">
        <f t="shared" si="9"/>
        <v>669.80999999999767</v>
      </c>
      <c r="H121" s="99">
        <f>G121+'15'!H121</f>
        <v>-10297.429999999993</v>
      </c>
      <c r="I121" s="165"/>
      <c r="J121" s="328">
        <f>H121/DAY(B2)</f>
        <v>-643.58937499999956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'15'!F122</f>
        <v>123179.84</v>
      </c>
      <c r="F122" s="237">
        <v>123348</v>
      </c>
      <c r="G122" s="112">
        <f t="shared" si="9"/>
        <v>168.16000000000349</v>
      </c>
      <c r="H122" s="99">
        <f>G122+'15'!H122</f>
        <v>-2838.179999999993</v>
      </c>
      <c r="I122" s="165"/>
      <c r="J122" s="328">
        <f>H122/DAY(B2)</f>
        <v>-177.38624999999956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'15'!F123</f>
        <v>149710.64000000001</v>
      </c>
      <c r="F123" s="237">
        <v>149981</v>
      </c>
      <c r="G123" s="112">
        <f t="shared" si="9"/>
        <v>270.35999999998603</v>
      </c>
      <c r="H123" s="99">
        <f>G123+'15'!H123</f>
        <v>-4065.9500000000116</v>
      </c>
      <c r="I123" s="165"/>
      <c r="J123" s="328">
        <f>H123/DAY(B2)</f>
        <v>-254.12187500000073</v>
      </c>
    </row>
    <row r="124" spans="1:18" ht="29.25" customHeight="1" x14ac:dyDescent="0.5">
      <c r="A124" s="867"/>
      <c r="B124" s="868"/>
      <c r="C124" s="869"/>
      <c r="D124" s="165"/>
      <c r="E124" s="165"/>
      <c r="F124" s="155"/>
      <c r="G124" s="327"/>
      <c r="H124" s="156"/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2996.2459999999996</v>
      </c>
      <c r="H125" s="156"/>
      <c r="I125" s="327">
        <f>G125-(G39+G53)</f>
        <v>396.1460000000011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'15'!F128</f>
        <v>42785.57</v>
      </c>
      <c r="F128" s="155">
        <v>43107</v>
      </c>
      <c r="G128" s="112">
        <f t="shared" ref="G128:G134" si="10">F128-E128</f>
        <v>321.43000000000029</v>
      </c>
      <c r="H128" s="99">
        <f>G128+'15'!H128</f>
        <v>-4639</v>
      </c>
      <c r="I128" s="165"/>
      <c r="J128" s="328">
        <f>H128/DAY(B2)</f>
        <v>-289.9375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'15'!F129</f>
        <v>23631.14</v>
      </c>
      <c r="F129" s="155">
        <v>23830</v>
      </c>
      <c r="G129" s="112">
        <f t="shared" si="10"/>
        <v>198.86000000000058</v>
      </c>
      <c r="H129" s="99">
        <f>G129+'15'!H129</f>
        <v>-3080.869999999999</v>
      </c>
      <c r="I129" s="165"/>
      <c r="J129" s="328">
        <f>H129/DAY(B2)</f>
        <v>-192.55437499999994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'15'!F130</f>
        <v>27414.32</v>
      </c>
      <c r="F130" s="155">
        <v>27905</v>
      </c>
      <c r="G130" s="112">
        <f t="shared" si="10"/>
        <v>490.68000000000029</v>
      </c>
      <c r="H130" s="99">
        <f>G130+'15'!H130</f>
        <v>-7789</v>
      </c>
      <c r="I130" s="165"/>
      <c r="J130" s="328">
        <f>H130/DAY(B2)</f>
        <v>-486.8125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'15'!F131</f>
        <v>14237.01</v>
      </c>
      <c r="F131" s="155">
        <v>14295</v>
      </c>
      <c r="G131" s="112">
        <f t="shared" si="10"/>
        <v>57.989999999999782</v>
      </c>
      <c r="H131" s="99">
        <f>G131+'15'!H131</f>
        <v>-1012.6800000000003</v>
      </c>
      <c r="I131" s="165"/>
      <c r="J131" s="328">
        <f>H131/DAY(B2)</f>
        <v>-63.292500000000018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'15'!F132</f>
        <v>48296.4</v>
      </c>
      <c r="F132" s="155">
        <v>48804</v>
      </c>
      <c r="G132" s="112">
        <f t="shared" si="10"/>
        <v>507.59999999999854</v>
      </c>
      <c r="H132" s="99">
        <f>G132+'15'!H132</f>
        <v>-3044.3000000000029</v>
      </c>
      <c r="I132" s="165"/>
      <c r="J132" s="328">
        <f>H132/DAY(B2)</f>
        <v>-190.26875000000018</v>
      </c>
    </row>
    <row r="133" spans="1:15" ht="27.75" x14ac:dyDescent="0.5">
      <c r="A133" s="863" t="s">
        <v>362</v>
      </c>
      <c r="B133" s="864"/>
      <c r="C133" s="865"/>
      <c r="D133" s="151" t="s">
        <v>183</v>
      </c>
      <c r="E133" s="95">
        <f>'15'!F133</f>
        <v>97125.27</v>
      </c>
      <c r="F133" s="155">
        <v>97594</v>
      </c>
      <c r="G133" s="112">
        <f t="shared" si="10"/>
        <v>468.72999999999593</v>
      </c>
      <c r="H133" s="99">
        <f>G133+'15'!H133</f>
        <v>-7749.6999999999971</v>
      </c>
      <c r="I133" s="165"/>
      <c r="J133" s="328">
        <f>H133/DAY(B2)</f>
        <v>-484.35624999999982</v>
      </c>
    </row>
    <row r="134" spans="1:15" s="491" customFormat="1" ht="27.75" x14ac:dyDescent="0.5">
      <c r="A134" s="937" t="s">
        <v>340</v>
      </c>
      <c r="B134" s="938"/>
      <c r="C134" s="939"/>
      <c r="D134" s="233" t="s">
        <v>183</v>
      </c>
      <c r="E134" s="488">
        <f>'15'!F134</f>
        <v>5870.57</v>
      </c>
      <c r="F134" s="157">
        <v>6027</v>
      </c>
      <c r="G134" s="236">
        <f t="shared" si="10"/>
        <v>156.43000000000029</v>
      </c>
      <c r="H134" s="238">
        <f>G134+'15'!H134</f>
        <v>-2574.2299999999996</v>
      </c>
      <c r="I134" s="158"/>
      <c r="J134" s="490">
        <f>H134/DAY(B2)</f>
        <v>-160.88937499999997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55"/>
      <c r="G135" s="112">
        <f>SUM(G128:G134)</f>
        <v>2201.7199999999957</v>
      </c>
      <c r="H135" s="99">
        <f>G135+'10'!H135</f>
        <v>25657.939999999995</v>
      </c>
      <c r="I135" s="327">
        <f>G135-(G35+G49)</f>
        <v>-387.850000000004</v>
      </c>
      <c r="J135" s="328"/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91" customFormat="1" ht="27.75" x14ac:dyDescent="0.5">
      <c r="A138" s="942" t="s">
        <v>185</v>
      </c>
      <c r="B138" s="942"/>
      <c r="C138" s="942"/>
      <c r="D138" s="233" t="s">
        <v>183</v>
      </c>
      <c r="E138" s="488">
        <f>'15'!F138</f>
        <v>865110</v>
      </c>
      <c r="F138" s="148">
        <v>865169</v>
      </c>
      <c r="G138" s="236">
        <f t="shared" ref="G138:G152" si="11">F138-E138</f>
        <v>59</v>
      </c>
      <c r="H138" s="238">
        <f>G138+'15'!H138</f>
        <v>-1004</v>
      </c>
      <c r="I138" s="489"/>
      <c r="J138" s="490">
        <f>H138/DAY(B2)</f>
        <v>-62.75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'15'!F139</f>
        <v>886550</v>
      </c>
      <c r="F139" s="148">
        <v>886550</v>
      </c>
      <c r="G139" s="112">
        <f t="shared" si="11"/>
        <v>0</v>
      </c>
      <c r="H139" s="99">
        <f>G139+'15'!H139</f>
        <v>-23</v>
      </c>
      <c r="I139" s="118"/>
      <c r="J139" s="328">
        <f>H139/DAY(B2)</f>
        <v>-1.4375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'15'!F140</f>
        <v>88898</v>
      </c>
      <c r="F140" s="149">
        <v>88898</v>
      </c>
      <c r="G140" s="112">
        <f t="shared" si="11"/>
        <v>0</v>
      </c>
      <c r="H140" s="99">
        <f>G140+'15'!H140</f>
        <v>-24</v>
      </c>
      <c r="I140" s="118"/>
      <c r="J140" s="328">
        <f>H140/DAY(B2)</f>
        <v>-1.5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'15'!F141</f>
        <v>51910.98</v>
      </c>
      <c r="F141" s="149">
        <v>52076</v>
      </c>
      <c r="G141" s="112">
        <f t="shared" si="11"/>
        <v>165.0199999999968</v>
      </c>
      <c r="H141" s="99">
        <f>G141+'15'!H141</f>
        <v>-2609.5800000000017</v>
      </c>
      <c r="I141" s="118"/>
      <c r="J141" s="328">
        <f>H141/DAY(B2)</f>
        <v>-163.09875000000011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'15'!F142</f>
        <v>20042.919999999998</v>
      </c>
      <c r="F142" s="148">
        <v>20119</v>
      </c>
      <c r="G142" s="112">
        <f t="shared" si="11"/>
        <v>76.080000000001746</v>
      </c>
      <c r="H142" s="99">
        <f>G142+'15'!H142</f>
        <v>-1165.0999999999985</v>
      </c>
      <c r="I142" s="140"/>
      <c r="J142" s="328">
        <f>H142/DAY(B2)</f>
        <v>-72.818749999999909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'15'!F143</f>
        <v>3416.07</v>
      </c>
      <c r="F143" s="149">
        <v>3439</v>
      </c>
      <c r="G143" s="112">
        <f t="shared" si="11"/>
        <v>22.929999999999836</v>
      </c>
      <c r="H143" s="99">
        <f>G143+'15'!H143</f>
        <v>-396.38999999999987</v>
      </c>
      <c r="I143" s="140"/>
      <c r="J143" s="328">
        <f>H143/DAY(B2)</f>
        <v>-24.774374999999992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'15'!F144</f>
        <v>873064</v>
      </c>
      <c r="F144" s="149">
        <v>873290</v>
      </c>
      <c r="G144" s="112">
        <f t="shared" si="11"/>
        <v>226</v>
      </c>
      <c r="H144" s="99">
        <f>G144+'15'!H144</f>
        <v>-3197</v>
      </c>
      <c r="I144" s="140"/>
      <c r="J144" s="328">
        <f>H144/DAY(B2)</f>
        <v>-199.8125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'15'!F145</f>
        <v>4782.42</v>
      </c>
      <c r="F145" s="148">
        <v>4798</v>
      </c>
      <c r="G145" s="112">
        <f t="shared" si="11"/>
        <v>15.579999999999927</v>
      </c>
      <c r="H145" s="99">
        <f>G145+'15'!H145</f>
        <v>-160.84000000000015</v>
      </c>
      <c r="I145" s="140"/>
      <c r="J145" s="328">
        <f>H145/DAY(B2)</f>
        <v>-10.052500000000009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'15'!F146</f>
        <v>730887</v>
      </c>
      <c r="F146" s="148">
        <v>731328</v>
      </c>
      <c r="G146" s="112">
        <f t="shared" si="11"/>
        <v>441</v>
      </c>
      <c r="H146" s="99">
        <f>G146+'15'!H146</f>
        <v>-6005</v>
      </c>
      <c r="I146" s="140"/>
      <c r="J146" s="328">
        <f>H146/DAY(B2)</f>
        <v>-375.3125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'15'!F147</f>
        <v>620842.84</v>
      </c>
      <c r="F147" s="148">
        <v>621179</v>
      </c>
      <c r="G147" s="112">
        <f t="shared" si="11"/>
        <v>336.1600000000326</v>
      </c>
      <c r="H147" s="99">
        <f>G147+'15'!H147</f>
        <v>-5433.5200000000186</v>
      </c>
      <c r="I147" s="140"/>
      <c r="J147" s="328">
        <f>H147/DAY(B2)</f>
        <v>-339.59500000000116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'15'!F148</f>
        <v>686532.56</v>
      </c>
      <c r="F148" s="164">
        <v>686696</v>
      </c>
      <c r="G148" s="112">
        <f t="shared" si="11"/>
        <v>163.43999999994412</v>
      </c>
      <c r="H148" s="99">
        <f>G148+'15'!H148</f>
        <v>-2746.9599999999627</v>
      </c>
      <c r="I148" s="124"/>
      <c r="J148" s="328">
        <f>H148/DAY(B2)</f>
        <v>-171.68499999999767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'15'!F149</f>
        <v>16915.34</v>
      </c>
      <c r="F149" s="233">
        <v>17345</v>
      </c>
      <c r="G149" s="112">
        <f t="shared" si="11"/>
        <v>429.65999999999985</v>
      </c>
      <c r="H149" s="99">
        <f>G149+'15'!H149</f>
        <v>-7333.2000000000007</v>
      </c>
      <c r="I149" s="119"/>
      <c r="J149" s="328">
        <f>H149/DAY(B2)</f>
        <v>-458.32500000000005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'15'!F150</f>
        <v>7322.12</v>
      </c>
      <c r="F150" s="233">
        <v>7545</v>
      </c>
      <c r="G150" s="112">
        <f t="shared" si="11"/>
        <v>222.88000000000011</v>
      </c>
      <c r="H150" s="99">
        <f>G150+'15'!H150</f>
        <v>-3305.83</v>
      </c>
      <c r="I150" s="119"/>
      <c r="J150" s="328">
        <f>H150/DAY(B2)</f>
        <v>-206.614375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'15'!F151</f>
        <v>81719</v>
      </c>
      <c r="F151" s="233">
        <v>81943</v>
      </c>
      <c r="G151" s="112">
        <f t="shared" si="11"/>
        <v>224</v>
      </c>
      <c r="H151" s="99">
        <f>G151+'15'!H151</f>
        <v>-3537</v>
      </c>
      <c r="I151" s="119"/>
      <c r="J151" s="328">
        <f>H151/DAY(B2)</f>
        <v>-221.0625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'15'!F152</f>
        <v>1390.19</v>
      </c>
      <c r="F152" s="233">
        <v>1405</v>
      </c>
      <c r="G152" s="112">
        <f t="shared" si="11"/>
        <v>14.809999999999945</v>
      </c>
      <c r="H152" s="99">
        <f>G152+'15'!H152</f>
        <v>-255</v>
      </c>
      <c r="I152" s="119"/>
      <c r="J152" s="328">
        <f>H152/DAY(B2)</f>
        <v>-15.9375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2396.5599999999749</v>
      </c>
      <c r="H153" s="363"/>
      <c r="I153" s="119">
        <f>G153-(G38+G52)</f>
        <v>771.50999999997566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488">
        <f>'15'!F155</f>
        <v>22084.26</v>
      </c>
      <c r="F155" s="530">
        <v>22693</v>
      </c>
      <c r="G155" s="236">
        <f>F155-E155</f>
        <v>608.7400000000016</v>
      </c>
      <c r="H155" s="99">
        <f>G155+'15'!H155</f>
        <v>-10252</v>
      </c>
      <c r="I155" s="364"/>
      <c r="J155" s="328">
        <f>H155/DAY(B2)</f>
        <v>-640.75</v>
      </c>
    </row>
    <row r="156" spans="1:10" ht="27.75" x14ac:dyDescent="0.5">
      <c r="A156" s="843" t="s">
        <v>347</v>
      </c>
      <c r="B156" s="843"/>
      <c r="C156" s="843"/>
      <c r="D156" s="117" t="s">
        <v>130</v>
      </c>
      <c r="E156" s="488">
        <f>'15'!F156</f>
        <v>1841.25</v>
      </c>
      <c r="F156" s="157">
        <v>1898</v>
      </c>
      <c r="G156" s="236">
        <f t="shared" ref="G156:G158" si="12">F156-E156</f>
        <v>56.75</v>
      </c>
      <c r="H156" s="99">
        <f>G156+'15'!H156</f>
        <v>796</v>
      </c>
      <c r="I156" s="165"/>
      <c r="J156" s="328">
        <f>H156/DAY(B2)</f>
        <v>49.75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488">
        <f>'15'!F157</f>
        <v>2352.2600000000002</v>
      </c>
      <c r="F157" s="157">
        <v>2430</v>
      </c>
      <c r="G157" s="236">
        <f t="shared" si="12"/>
        <v>77.739999999999782</v>
      </c>
      <c r="H157" s="99">
        <f>G157+'15'!H157</f>
        <v>395</v>
      </c>
      <c r="I157" s="165"/>
      <c r="J157" s="328">
        <f>H157/DAY(B2)</f>
        <v>24.6875</v>
      </c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488">
        <f>'15'!F158</f>
        <v>23.32</v>
      </c>
      <c r="F158" s="157">
        <v>23.34</v>
      </c>
      <c r="G158" s="236">
        <f t="shared" si="12"/>
        <v>1.9999999999999574E-2</v>
      </c>
      <c r="H158" s="99">
        <f>G158+'15'!H158</f>
        <v>1.3399999999999999</v>
      </c>
      <c r="I158" s="165"/>
      <c r="J158" s="328">
        <f>H158/DAY(B2)</f>
        <v>8.3749999999999991E-2</v>
      </c>
    </row>
    <row r="159" spans="1:10" ht="27.75" x14ac:dyDescent="0.5">
      <c r="A159" s="927"/>
      <c r="B159" s="928"/>
      <c r="C159" s="929"/>
      <c r="D159" s="117"/>
      <c r="E159" s="95"/>
      <c r="F159" s="155"/>
      <c r="G159" s="362">
        <f>SUM(G155:G158)</f>
        <v>743.25000000000136</v>
      </c>
      <c r="H159" s="99">
        <f>G159+'15'!H159</f>
        <v>743.25000000000136</v>
      </c>
      <c r="I159" s="165"/>
      <c r="J159" s="328">
        <f>H159/DAY(B2)</f>
        <v>46.453125000000085</v>
      </c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'15'!F161</f>
        <v>471432.04</v>
      </c>
      <c r="F161" s="235">
        <v>471439</v>
      </c>
      <c r="G161" s="238">
        <f t="shared" ref="G161:G165" si="13">F161-E161</f>
        <v>6.9600000000209548</v>
      </c>
      <c r="H161" s="99">
        <f>G161+'15'!H161</f>
        <v>-614.55999999999767</v>
      </c>
      <c r="I161" s="236"/>
      <c r="J161" s="239">
        <f>H161/DAY(B2)</f>
        <v>-38.409999999999854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'15'!F162</f>
        <v>88002.3</v>
      </c>
      <c r="F162" s="235">
        <v>88016</v>
      </c>
      <c r="G162" s="238">
        <f t="shared" si="13"/>
        <v>13.69999999999709</v>
      </c>
      <c r="H162" s="99">
        <f>G162+'15'!H162</f>
        <v>-500.39999999999418</v>
      </c>
      <c r="I162" s="236"/>
      <c r="J162" s="239">
        <f>H162/DAY(B2)</f>
        <v>-31.274999999999636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'15'!F163</f>
        <v>78479.100000000006</v>
      </c>
      <c r="F163" s="235">
        <v>78515</v>
      </c>
      <c r="G163" s="238">
        <f t="shared" si="13"/>
        <v>35.899999999994179</v>
      </c>
      <c r="H163" s="99">
        <f>G163+'15'!H163</f>
        <v>-705.10000000000582</v>
      </c>
      <c r="I163" s="236"/>
      <c r="J163" s="239">
        <f>H163/DAY(B2)</f>
        <v>-44.068750000000364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'15'!F164</f>
        <v>4265.5</v>
      </c>
      <c r="F164" s="235">
        <v>4266</v>
      </c>
      <c r="G164" s="238">
        <f t="shared" si="13"/>
        <v>0.5</v>
      </c>
      <c r="H164" s="99">
        <f>G164+'15'!H164</f>
        <v>-54</v>
      </c>
      <c r="I164" s="236"/>
      <c r="J164" s="239">
        <f>H164/DAY(B2)</f>
        <v>-3.375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'15'!F165</f>
        <v>29743.53</v>
      </c>
      <c r="F165" s="235">
        <v>29746</v>
      </c>
      <c r="G165" s="238">
        <f t="shared" si="13"/>
        <v>2.4700000000011642</v>
      </c>
      <c r="H165" s="99">
        <f>G165+'15'!H165</f>
        <v>-111.25</v>
      </c>
      <c r="I165" s="236"/>
      <c r="J165" s="239">
        <f>H165/DAY(B2)</f>
        <v>-6.953125</v>
      </c>
    </row>
    <row r="166" spans="1:10" ht="29.25" x14ac:dyDescent="0.5">
      <c r="A166" s="852"/>
      <c r="B166" s="852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'15'!F173</f>
        <v>8126</v>
      </c>
      <c r="F173" s="155">
        <v>8126</v>
      </c>
      <c r="G173" s="155">
        <f>F173-E173</f>
        <v>0</v>
      </c>
      <c r="H173" s="99">
        <f>G173+'15'!H173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'15'!F174</f>
        <v>38431</v>
      </c>
      <c r="F174" s="157">
        <v>38444</v>
      </c>
      <c r="G174" s="155">
        <f t="shared" ref="G174:G175" si="14">F174-E174</f>
        <v>13</v>
      </c>
      <c r="H174" s="99">
        <f>G174+'15'!H174</f>
        <v>203</v>
      </c>
      <c r="I174" s="155"/>
      <c r="J174" s="178">
        <f>H174/DAY(B2)</f>
        <v>12.6875</v>
      </c>
    </row>
    <row r="175" spans="1:10" ht="27.75" x14ac:dyDescent="0.5">
      <c r="A175" s="856" t="s">
        <v>76</v>
      </c>
      <c r="B175" s="896"/>
      <c r="C175" s="857"/>
      <c r="D175" s="228" t="s">
        <v>142</v>
      </c>
      <c r="E175" s="95">
        <f>'15'!F175</f>
        <v>21656</v>
      </c>
      <c r="F175" s="155">
        <v>21666</v>
      </c>
      <c r="G175" s="155">
        <f t="shared" si="14"/>
        <v>10</v>
      </c>
      <c r="H175" s="99">
        <f>G175+'15'!H175</f>
        <v>-147</v>
      </c>
      <c r="I175" s="155"/>
      <c r="J175" s="178">
        <f>H175/DAY(B2)</f>
        <v>-9.1875</v>
      </c>
    </row>
    <row r="176" spans="1:10" ht="27.75" x14ac:dyDescent="0.5">
      <c r="A176" s="847" t="s">
        <v>196</v>
      </c>
      <c r="B176" s="848"/>
      <c r="C176" s="333"/>
      <c r="D176" s="228" t="s">
        <v>142</v>
      </c>
      <c r="E176" s="95">
        <f>'15'!F176</f>
        <v>0</v>
      </c>
      <c r="F176" s="155"/>
      <c r="G176" s="155">
        <f>SUM(G173:G175)</f>
        <v>23</v>
      </c>
      <c r="H176" s="99">
        <f>G176+'15'!H176</f>
        <v>56</v>
      </c>
      <c r="I176" s="155"/>
      <c r="J176" s="178">
        <f>H176/DAY(B2)</f>
        <v>3.5</v>
      </c>
    </row>
    <row r="177" spans="1:11" ht="27.75" x14ac:dyDescent="0.5">
      <c r="A177" s="856" t="s">
        <v>77</v>
      </c>
      <c r="B177" s="857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7.75" x14ac:dyDescent="0.5">
      <c r="A178" s="856" t="s">
        <v>210</v>
      </c>
      <c r="B178" s="857"/>
      <c r="C178" s="333"/>
      <c r="D178" s="228" t="s">
        <v>142</v>
      </c>
      <c r="E178" s="95">
        <f>'15'!F178</f>
        <v>80469</v>
      </c>
      <c r="F178" s="155">
        <v>80529</v>
      </c>
      <c r="G178" s="155">
        <f>F178-E178</f>
        <v>60</v>
      </c>
      <c r="H178" s="99">
        <f>G178+'15'!H178</f>
        <v>-786</v>
      </c>
      <c r="I178" s="155"/>
      <c r="J178" s="178">
        <f>H178/DAY(B2)</f>
        <v>-49.125</v>
      </c>
    </row>
    <row r="179" spans="1:11" ht="27.75" x14ac:dyDescent="0.5">
      <c r="A179" s="856" t="s">
        <v>211</v>
      </c>
      <c r="B179" s="857"/>
      <c r="C179" s="333"/>
      <c r="D179" s="228" t="s">
        <v>142</v>
      </c>
      <c r="E179" s="95">
        <f>'15'!F179</f>
        <v>34223</v>
      </c>
      <c r="F179" s="155">
        <v>34251</v>
      </c>
      <c r="G179" s="155">
        <f t="shared" ref="G179:G180" si="15">F179-E179</f>
        <v>28</v>
      </c>
      <c r="H179" s="99">
        <f>G179+'15'!H179</f>
        <v>-552</v>
      </c>
      <c r="I179" s="155"/>
      <c r="J179" s="178">
        <f>H179/DAY(B2)</f>
        <v>-34.5</v>
      </c>
    </row>
    <row r="180" spans="1:11" ht="27.75" x14ac:dyDescent="0.5">
      <c r="A180" s="856" t="s">
        <v>212</v>
      </c>
      <c r="B180" s="857"/>
      <c r="C180" s="333"/>
      <c r="D180" s="228" t="s">
        <v>142</v>
      </c>
      <c r="E180" s="95">
        <f>'15'!F180</f>
        <v>5592</v>
      </c>
      <c r="F180" s="155">
        <v>5595</v>
      </c>
      <c r="G180" s="155">
        <f t="shared" si="15"/>
        <v>3</v>
      </c>
      <c r="H180" s="99">
        <f>G180+'15'!H180</f>
        <v>-107</v>
      </c>
      <c r="I180" s="155"/>
      <c r="J180" s="178">
        <f>H180/DAY(B2)</f>
        <v>-6.6875</v>
      </c>
    </row>
    <row r="181" spans="1:11" ht="27.75" x14ac:dyDescent="0.5">
      <c r="A181" s="858" t="s">
        <v>108</v>
      </c>
      <c r="B181" s="859"/>
      <c r="C181" s="333"/>
      <c r="D181" s="228" t="s">
        <v>142</v>
      </c>
      <c r="E181" s="95">
        <f>'15'!F181</f>
        <v>0</v>
      </c>
      <c r="F181" s="155"/>
      <c r="G181" s="155">
        <f>SUM(G178:G180)</f>
        <v>91</v>
      </c>
      <c r="H181" s="99">
        <f>G181+'15'!H181</f>
        <v>-1445</v>
      </c>
      <c r="I181" s="155"/>
      <c r="J181" s="178">
        <f>H181/DAY(B2)</f>
        <v>-90.3125</v>
      </c>
    </row>
    <row r="182" spans="1:11" ht="27.75" x14ac:dyDescent="0.5">
      <c r="A182" s="856" t="s">
        <v>213</v>
      </c>
      <c r="B182" s="857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7.75" x14ac:dyDescent="0.5">
      <c r="A183" s="856" t="s">
        <v>214</v>
      </c>
      <c r="B183" s="857"/>
      <c r="C183" s="334"/>
      <c r="D183" s="228" t="s">
        <v>142</v>
      </c>
      <c r="E183" s="95">
        <f>'15'!F183</f>
        <v>15129</v>
      </c>
      <c r="F183" s="157">
        <v>15137</v>
      </c>
      <c r="G183" s="157">
        <f>F183-E183</f>
        <v>8</v>
      </c>
      <c r="H183" s="99">
        <f>G183+'15'!H183</f>
        <v>-208</v>
      </c>
      <c r="I183" s="155"/>
      <c r="J183" s="178">
        <f>H183/DAY(B2)</f>
        <v>-13</v>
      </c>
    </row>
    <row r="184" spans="1:11" ht="27.75" x14ac:dyDescent="0.5">
      <c r="A184" s="856" t="s">
        <v>215</v>
      </c>
      <c r="B184" s="857"/>
      <c r="C184" s="334"/>
      <c r="D184" s="228" t="s">
        <v>142</v>
      </c>
      <c r="E184" s="95">
        <f>'15'!F184</f>
        <v>10398</v>
      </c>
      <c r="F184" s="157">
        <v>10404</v>
      </c>
      <c r="G184" s="157">
        <f t="shared" ref="G184:G185" si="16">F184-E184</f>
        <v>6</v>
      </c>
      <c r="H184" s="99">
        <f>G184+'15'!H184</f>
        <v>-114</v>
      </c>
      <c r="I184" s="155"/>
      <c r="J184" s="178">
        <f>H184/DAY(B2)</f>
        <v>-7.125</v>
      </c>
    </row>
    <row r="185" spans="1:11" ht="32.25" customHeight="1" x14ac:dyDescent="0.5">
      <c r="A185" s="856" t="s">
        <v>216</v>
      </c>
      <c r="B185" s="857"/>
      <c r="C185" s="334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7.75" x14ac:dyDescent="0.5">
      <c r="A186" s="847" t="s">
        <v>196</v>
      </c>
      <c r="B186" s="848"/>
      <c r="C186" s="334"/>
      <c r="D186" s="228" t="s">
        <v>142</v>
      </c>
      <c r="E186" s="95">
        <f>'15'!F186</f>
        <v>0</v>
      </c>
      <c r="F186" s="157"/>
      <c r="G186" s="157">
        <f>SUM(G183:G185)</f>
        <v>14</v>
      </c>
      <c r="H186" s="99">
        <f>G186+'15'!H186</f>
        <v>-322</v>
      </c>
      <c r="I186" s="157"/>
      <c r="J186" s="178">
        <f>H186/DAY(B2)</f>
        <v>-20.125</v>
      </c>
    </row>
    <row r="187" spans="1:11" ht="27.75" x14ac:dyDescent="0.5">
      <c r="A187" s="849" t="s">
        <v>217</v>
      </c>
      <c r="B187" s="850"/>
      <c r="C187" s="333"/>
      <c r="D187" s="230" t="s">
        <v>142</v>
      </c>
      <c r="E187" s="95">
        <f>'15'!F187</f>
        <v>0</v>
      </c>
      <c r="F187" s="159"/>
      <c r="G187" s="460">
        <f>G62+G19</f>
        <v>121</v>
      </c>
      <c r="H187" s="99">
        <f>G187+'15'!H187</f>
        <v>-2162</v>
      </c>
      <c r="I187" s="158"/>
      <c r="J187" s="179">
        <f>H187/DAY(B2)</f>
        <v>-135.125</v>
      </c>
    </row>
    <row r="188" spans="1:11" ht="27.75" x14ac:dyDescent="0.5">
      <c r="A188" s="849" t="s">
        <v>218</v>
      </c>
      <c r="B188" s="850"/>
      <c r="C188" s="333"/>
      <c r="D188" s="230" t="s">
        <v>142</v>
      </c>
      <c r="E188" s="95">
        <f>'15'!F188</f>
        <v>0</v>
      </c>
      <c r="F188" s="159"/>
      <c r="G188" s="460">
        <f>G65+G66+G67+G69+G70</f>
        <v>122</v>
      </c>
      <c r="H188" s="99">
        <f>G188+'15'!H188</f>
        <v>250</v>
      </c>
      <c r="I188" s="158"/>
      <c r="J188" s="179">
        <f>H188/DAY(B2)</f>
        <v>15.625</v>
      </c>
    </row>
    <row r="189" spans="1:11" ht="23.25" customHeight="1" x14ac:dyDescent="0.5">
      <c r="A189" s="849" t="s">
        <v>219</v>
      </c>
      <c r="B189" s="850"/>
      <c r="C189" s="333"/>
      <c r="D189" s="230" t="s">
        <v>142</v>
      </c>
      <c r="E189" s="95">
        <f>'15'!F189</f>
        <v>0</v>
      </c>
      <c r="F189" s="157"/>
      <c r="G189" s="457">
        <f>G181</f>
        <v>91</v>
      </c>
      <c r="H189" s="99">
        <f>G189+'15'!H189</f>
        <v>-1445</v>
      </c>
      <c r="I189" s="158"/>
      <c r="J189" s="179">
        <f>H189/DAY(B2)</f>
        <v>-90.3125</v>
      </c>
    </row>
    <row r="190" spans="1:11" ht="23.25" customHeight="1" x14ac:dyDescent="0.5">
      <c r="A190" s="940"/>
      <c r="B190" s="941"/>
      <c r="C190" s="553"/>
      <c r="D190" s="478"/>
      <c r="E190" s="478" t="s">
        <v>207</v>
      </c>
      <c r="F190" s="497"/>
      <c r="G190" s="478"/>
      <c r="H190" s="479"/>
      <c r="I190" s="478"/>
      <c r="J190" s="480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v>53090</v>
      </c>
      <c r="G191" s="165">
        <v>53289</v>
      </c>
      <c r="H191" s="238">
        <f>G191-F191</f>
        <v>199</v>
      </c>
      <c r="I191" s="99">
        <f>H191+'15'!I191</f>
        <v>199</v>
      </c>
      <c r="J191" s="236"/>
      <c r="K191" s="239" t="e">
        <f>I191/DAY(C28)</f>
        <v>#DIV/0!</v>
      </c>
    </row>
    <row r="192" spans="1:11" ht="23.25" customHeight="1" x14ac:dyDescent="0.5">
      <c r="F192" s="496">
        <v>0</v>
      </c>
      <c r="G192" s="160" t="s">
        <v>369</v>
      </c>
    </row>
    <row r="193" ht="23.25" customHeight="1" x14ac:dyDescent="0.5"/>
    <row r="194" ht="23.25" customHeight="1" x14ac:dyDescent="0.5"/>
    <row r="195" ht="23.25" customHeight="1" x14ac:dyDescent="0.5"/>
    <row r="196" ht="23.25" customHeight="1" x14ac:dyDescent="0.5"/>
    <row r="197" ht="23.25" customHeight="1" x14ac:dyDescent="0.5"/>
    <row r="198" ht="23.25" customHeight="1" x14ac:dyDescent="0.5"/>
    <row r="199" ht="23.25" customHeight="1" x14ac:dyDescent="0.5"/>
    <row r="200" ht="23.25" customHeight="1" x14ac:dyDescent="0.5"/>
    <row r="201" ht="23.25" customHeight="1" x14ac:dyDescent="0.5"/>
    <row r="202" ht="23.25" customHeight="1" x14ac:dyDescent="0.5"/>
    <row r="203" ht="23.25" customHeight="1" x14ac:dyDescent="0.5"/>
    <row r="204" ht="23.25" customHeight="1" x14ac:dyDescent="0.5"/>
    <row r="205" ht="23.25" customHeight="1" x14ac:dyDescent="0.5"/>
    <row r="206" ht="23.25" customHeight="1" x14ac:dyDescent="0.5"/>
    <row r="207" ht="23.25" customHeight="1" x14ac:dyDescent="0.5"/>
    <row r="208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  <row r="242" ht="23.25" customHeight="1" x14ac:dyDescent="0.5"/>
    <row r="243" ht="23.25" customHeight="1" x14ac:dyDescent="0.5"/>
    <row r="244" ht="23.25" customHeight="1" x14ac:dyDescent="0.5"/>
    <row r="245" ht="23.25" customHeight="1" x14ac:dyDescent="0.5"/>
    <row r="246" ht="23.25" customHeight="1" x14ac:dyDescent="0.5"/>
    <row r="247" ht="23.25" customHeight="1" x14ac:dyDescent="0.5"/>
    <row r="248" ht="23.25" customHeight="1" x14ac:dyDescent="0.5"/>
    <row r="249" ht="23.25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</mergeCells>
  <pageMargins left="0.22" right="0.17" top="0.14000000000000001" bottom="0.2" header="0.2" footer="0.2"/>
  <pageSetup paperSize="5" scale="1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zoomScale="55" zoomScaleSheetLayoutView="55" zoomScalePageLayoutView="60" workbookViewId="0">
      <selection activeCell="G166" sqref="G166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.75" customHeight="1" x14ac:dyDescent="0.5">
      <c r="A2" s="191" t="s">
        <v>350</v>
      </c>
      <c r="B2" s="262">
        <v>44578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28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'16'!F7</f>
        <v>388954</v>
      </c>
      <c r="F7" s="95">
        <v>406408</v>
      </c>
      <c r="G7" s="112">
        <f>F7-E7</f>
        <v>17454</v>
      </c>
      <c r="H7" s="99">
        <f>G7+'16'!H7</f>
        <v>-244772.22999999998</v>
      </c>
      <c r="I7" s="113">
        <f>'1'!I7</f>
        <v>12000</v>
      </c>
      <c r="J7" s="175">
        <f>H7/DAY(B2)</f>
        <v>-14398.366470588235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'16'!F8</f>
        <v>440190</v>
      </c>
      <c r="F8" s="95">
        <v>457733</v>
      </c>
      <c r="G8" s="115">
        <f>F8-E8</f>
        <v>17543</v>
      </c>
      <c r="H8" s="99">
        <f>G8+'16'!H8</f>
        <v>-250815.15000000002</v>
      </c>
      <c r="I8" s="116"/>
      <c r="J8" s="175">
        <f>H8/DAY(B2)</f>
        <v>-14753.832352941177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'16'!F9</f>
        <v>87159</v>
      </c>
      <c r="F9" s="598">
        <v>98294.9</v>
      </c>
      <c r="G9" s="112">
        <f>F9-E9</f>
        <v>11135.899999999994</v>
      </c>
      <c r="H9" s="99">
        <f>G9+'16'!H9</f>
        <v>-183958.94999999998</v>
      </c>
      <c r="I9" s="124">
        <f>I7-J7</f>
        <v>26398.366470588233</v>
      </c>
      <c r="J9" s="175">
        <f>H9/DAY(B2)</f>
        <v>-10821.114705882352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'16'!F10</f>
        <v>45649</v>
      </c>
      <c r="F10" s="353">
        <v>51481.74</v>
      </c>
      <c r="G10" s="112">
        <f t="shared" ref="G10:G12" si="0">F10-E10</f>
        <v>5832.739999999998</v>
      </c>
      <c r="H10" s="99">
        <f>G10+'16'!H10</f>
        <v>-53777.23</v>
      </c>
      <c r="I10" s="282"/>
      <c r="J10" s="175">
        <f>H10/DAY(B2)</f>
        <v>-3163.3664705882356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'16'!F11</f>
        <v>37000</v>
      </c>
      <c r="F11" s="95">
        <v>37000</v>
      </c>
      <c r="G11" s="112">
        <f t="shared" si="0"/>
        <v>0</v>
      </c>
      <c r="H11" s="99">
        <f>G11+'16'!H11</f>
        <v>-170</v>
      </c>
      <c r="I11" s="282"/>
      <c r="J11" s="175">
        <f>H11/DAY(B2)</f>
        <v>-10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112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16968.639999999992</v>
      </c>
      <c r="H13" s="99">
        <f>G13+'16'!H13</f>
        <v>-254660.61000000002</v>
      </c>
      <c r="I13" s="120">
        <f>G7-G13</f>
        <v>485.36000000000786</v>
      </c>
      <c r="J13" s="175">
        <f>H13/DAY(B2)</f>
        <v>-14980.035882352942</v>
      </c>
      <c r="K13" s="79"/>
      <c r="L13" s="66"/>
      <c r="N13" s="87"/>
      <c r="O13" s="71"/>
    </row>
    <row r="14" spans="1:15" ht="27.75" customHeight="1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'16'!F15</f>
        <v>1892606</v>
      </c>
      <c r="F15" s="123">
        <v>1893340.273</v>
      </c>
      <c r="G15" s="112">
        <f>(F15-E15)</f>
        <v>734.2730000000447</v>
      </c>
      <c r="H15" s="99">
        <f>G15+'16'!H15</f>
        <v>17283.506000000052</v>
      </c>
      <c r="I15" s="113">
        <f>'1'!I15</f>
        <v>800</v>
      </c>
      <c r="J15" s="175">
        <f>H15/DAY(B2)</f>
        <v>1016.6768235294148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-216.67682352941483</v>
      </c>
      <c r="J16" s="176"/>
      <c r="K16" s="79"/>
      <c r="L16" s="66"/>
      <c r="N16" s="87"/>
      <c r="O16" s="71"/>
    </row>
    <row r="17" spans="1:15" ht="27.75" customHeight="1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84" t="s">
        <v>141</v>
      </c>
      <c r="B18" s="885"/>
      <c r="C18" s="886"/>
      <c r="D18" s="151" t="s">
        <v>142</v>
      </c>
      <c r="E18" s="95">
        <f>'16'!F18</f>
        <v>8</v>
      </c>
      <c r="F18" s="122">
        <v>8</v>
      </c>
      <c r="G18" s="119">
        <f>F18*10</f>
        <v>80</v>
      </c>
      <c r="H18" s="99">
        <f>G18+'16'!H18</f>
        <v>3110</v>
      </c>
      <c r="I18" s="113">
        <f>'1'!I18</f>
        <v>65</v>
      </c>
      <c r="J18" s="175">
        <f>H18/DAY(B2)</f>
        <v>182.94117647058823</v>
      </c>
      <c r="K18" s="79"/>
      <c r="L18" s="66"/>
      <c r="N18" s="87"/>
      <c r="O18" s="71"/>
    </row>
    <row r="19" spans="1:15" ht="27.75" customHeight="1" x14ac:dyDescent="0.5">
      <c r="A19" s="884" t="s">
        <v>69</v>
      </c>
      <c r="B19" s="885"/>
      <c r="C19" s="886"/>
      <c r="D19" s="151" t="s">
        <v>142</v>
      </c>
      <c r="E19" s="95">
        <f>'16'!F19</f>
        <v>153072</v>
      </c>
      <c r="F19" s="122">
        <v>153125</v>
      </c>
      <c r="G19" s="112">
        <f t="shared" ref="G19" si="1">F19-E19</f>
        <v>53</v>
      </c>
      <c r="H19" s="99">
        <f>G19+'16'!H19</f>
        <v>-766</v>
      </c>
      <c r="I19" s="335"/>
      <c r="J19" s="175">
        <f>H19/DAY(B2)</f>
        <v>-45.058823529411768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133</v>
      </c>
      <c r="H20" s="99">
        <f>G20+'16'!H20</f>
        <v>2344</v>
      </c>
      <c r="I20" s="336">
        <f>I18-J20</f>
        <v>-72.882352941176464</v>
      </c>
      <c r="J20" s="175">
        <f>H20/DAY(B2)</f>
        <v>137.88235294117646</v>
      </c>
      <c r="K20" s="79"/>
      <c r="L20" s="66"/>
      <c r="N20" s="87"/>
      <c r="O20" s="71"/>
    </row>
    <row r="21" spans="1:15" ht="27.75" customHeight="1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119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119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119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17543</v>
      </c>
      <c r="F27" s="136">
        <v>9</v>
      </c>
      <c r="G27" s="137">
        <f>E27*F27</f>
        <v>157887</v>
      </c>
      <c r="H27" s="99">
        <f>G27+'16'!H27</f>
        <v>-2257336.35</v>
      </c>
      <c r="I27" s="138"/>
      <c r="J27" s="175">
        <f>H27/DAY(B2)</f>
        <v>-132784.49117647059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734.2730000000447</v>
      </c>
      <c r="F28" s="136">
        <v>52</v>
      </c>
      <c r="G28" s="137">
        <f>E28*F28</f>
        <v>38182.196000002325</v>
      </c>
      <c r="H28" s="99">
        <f>G28+'16'!H28</f>
        <v>932096.31200000271</v>
      </c>
      <c r="I28" s="140"/>
      <c r="J28" s="175">
        <f>H28/DAY(B2)</f>
        <v>54829.194823529571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G30+'16'!H30</f>
        <v>-119646</v>
      </c>
      <c r="I30" s="140"/>
      <c r="J30" s="175">
        <f>H30/DAY(B2)</f>
        <v>-7038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G31+'16'!H31</f>
        <v>248800</v>
      </c>
      <c r="I31" s="140"/>
      <c r="J31" s="175">
        <f>H31/DAY(B2)</f>
        <v>14635.294117647059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210207.19600000232</v>
      </c>
      <c r="H32" s="99">
        <f>G32+'16'!H32</f>
        <v>-1196086.0379999974</v>
      </c>
      <c r="I32" s="144"/>
      <c r="J32" s="175">
        <f>H32/DAY(B2)</f>
        <v>-70358.00223529397</v>
      </c>
      <c r="K32" s="63"/>
      <c r="L32" s="89"/>
      <c r="N32" s="87"/>
      <c r="O32" s="71"/>
    </row>
    <row r="33" spans="1:15" ht="27.7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'16'!F35</f>
        <v>11775</v>
      </c>
      <c r="F35" s="145">
        <v>13093.6</v>
      </c>
      <c r="G35" s="112">
        <f t="shared" ref="G35:G46" si="3">F35-E35</f>
        <v>1318.6000000000004</v>
      </c>
      <c r="H35" s="99">
        <f>G35+'16'!H35</f>
        <v>-18911.379999999997</v>
      </c>
      <c r="I35" s="95"/>
      <c r="J35" s="175">
        <f>H35/DAY(B2)</f>
        <v>-1112.4341176470587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'16'!F36</f>
        <v>32882</v>
      </c>
      <c r="F36" s="145">
        <v>33474.46</v>
      </c>
      <c r="G36" s="112">
        <f t="shared" si="3"/>
        <v>592.45999999999913</v>
      </c>
      <c r="H36" s="99">
        <f>G36+'16'!H36</f>
        <v>-9984.2799999999988</v>
      </c>
      <c r="I36" s="95"/>
      <c r="J36" s="175">
        <f>H36/DAY(B2)</f>
        <v>-587.31058823529406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'16'!F37</f>
        <v>11811</v>
      </c>
      <c r="F37" s="145">
        <v>13321.42</v>
      </c>
      <c r="G37" s="112">
        <f t="shared" si="3"/>
        <v>1510.42</v>
      </c>
      <c r="H37" s="99">
        <f>G37+'16'!H37</f>
        <v>-22103.67</v>
      </c>
      <c r="I37" s="95"/>
      <c r="J37" s="175">
        <f>H37/DAY(B2)</f>
        <v>-1300.215882352941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'16'!F38</f>
        <v>12564</v>
      </c>
      <c r="F38" s="108">
        <v>14168.16</v>
      </c>
      <c r="G38" s="112">
        <f t="shared" si="3"/>
        <v>1604.1599999999999</v>
      </c>
      <c r="H38" s="99">
        <f>G38+'16'!H38</f>
        <v>-24208.27</v>
      </c>
      <c r="I38" s="95"/>
      <c r="J38" s="175">
        <f>H38/DAY(B2)</f>
        <v>-1424.0158823529412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'16'!F39</f>
        <v>20110</v>
      </c>
      <c r="F39" s="145">
        <v>22808</v>
      </c>
      <c r="G39" s="112">
        <f t="shared" si="3"/>
        <v>2698</v>
      </c>
      <c r="H39" s="99">
        <f>G39+'16'!H39</f>
        <v>-36365.29</v>
      </c>
      <c r="I39" s="95"/>
      <c r="J39" s="175">
        <f>H39/DAY(B2)</f>
        <v>-2139.134705882353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'16'!F40</f>
        <v>12911</v>
      </c>
      <c r="F40" s="549">
        <v>13361</v>
      </c>
      <c r="G40" s="112">
        <f t="shared" si="3"/>
        <v>450</v>
      </c>
      <c r="H40" s="99">
        <f>G40+'16'!H40</f>
        <v>-8755.9900000000016</v>
      </c>
      <c r="I40" s="95"/>
      <c r="J40" s="175">
        <f>H40/DAY(B2)</f>
        <v>-515.05823529411771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'16'!F41</f>
        <v>0</v>
      </c>
      <c r="F41" s="145">
        <v>0</v>
      </c>
      <c r="G41" s="112">
        <f t="shared" si="3"/>
        <v>0</v>
      </c>
      <c r="H41" s="99">
        <f>G41+'16'!H41</f>
        <v>-62.73</v>
      </c>
      <c r="I41" s="95"/>
      <c r="J41" s="175">
        <f>H41/DAY(B2)</f>
        <v>-3.69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'16'!F42</f>
        <v>73808.600000000006</v>
      </c>
      <c r="F42" s="145">
        <v>73808.600000000006</v>
      </c>
      <c r="G42" s="112">
        <f t="shared" si="3"/>
        <v>0</v>
      </c>
      <c r="H42" s="99">
        <f>G42+'16'!H42</f>
        <v>35730.86</v>
      </c>
      <c r="I42" s="95"/>
      <c r="J42" s="175">
        <f>H42/DAY(B2)</f>
        <v>2101.8152941176472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'16'!F43</f>
        <v>82824</v>
      </c>
      <c r="F43" s="145">
        <v>85043.15</v>
      </c>
      <c r="G43" s="112">
        <f t="shared" si="3"/>
        <v>2219.1499999999942</v>
      </c>
      <c r="H43" s="99">
        <f>G43+'16'!H43</f>
        <v>36220.549999999988</v>
      </c>
      <c r="I43" s="95"/>
      <c r="J43" s="175">
        <f>H43/DAY(B2)</f>
        <v>2130.6205882352933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112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112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112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10392.789999999994</v>
      </c>
      <c r="H47" s="99">
        <f>G47+'16'!H47</f>
        <v>-48440.200000000004</v>
      </c>
      <c r="I47" s="95"/>
      <c r="J47" s="175">
        <f>H47/DAY(B2)</f>
        <v>-2849.4235294117648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'16'!F49</f>
        <v>9977</v>
      </c>
      <c r="F49" s="145">
        <v>11344.61</v>
      </c>
      <c r="G49" s="112">
        <f t="shared" ref="G49:G58" si="4">F49-E49</f>
        <v>1367.6100000000006</v>
      </c>
      <c r="H49" s="99">
        <f>G49+'16'!H49</f>
        <v>-13651.579999999998</v>
      </c>
      <c r="I49" s="95"/>
      <c r="J49" s="175">
        <f>H49/DAY(B2)</f>
        <v>-803.03411764705868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'16'!F50</f>
        <v>40286</v>
      </c>
      <c r="F50" s="145">
        <v>41124.53</v>
      </c>
      <c r="G50" s="112">
        <f t="shared" si="4"/>
        <v>838.52999999999884</v>
      </c>
      <c r="H50" s="99">
        <f>G50+'16'!H50</f>
        <v>-15262.099999999999</v>
      </c>
      <c r="I50" s="95"/>
      <c r="J50" s="175">
        <f>H50/DAY(B2)</f>
        <v>-897.77058823529399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'16'!F51</f>
        <v>0</v>
      </c>
      <c r="F51" s="145">
        <v>0</v>
      </c>
      <c r="G51" s="112">
        <f t="shared" si="4"/>
        <v>0</v>
      </c>
      <c r="H51" s="99">
        <f>G51+'16'!H51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'16'!F52</f>
        <v>0</v>
      </c>
      <c r="F52" s="145">
        <v>0</v>
      </c>
      <c r="G52" s="112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112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'16'!F54</f>
        <v>4227</v>
      </c>
      <c r="F54" s="145">
        <v>4789.7</v>
      </c>
      <c r="G54" s="112">
        <f t="shared" si="4"/>
        <v>562.69999999999982</v>
      </c>
      <c r="H54" s="99">
        <f>G54+'16'!H54</f>
        <v>-357.72000000000025</v>
      </c>
      <c r="I54" s="95"/>
      <c r="J54" s="175">
        <f>H54/DAY(B2)</f>
        <v>-21.042352941176485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'16'!F55</f>
        <v>51744</v>
      </c>
      <c r="F55" s="145">
        <v>54749.17</v>
      </c>
      <c r="G55" s="112">
        <f t="shared" si="4"/>
        <v>3005.1699999999983</v>
      </c>
      <c r="H55" s="99">
        <f>G55+'16'!H55</f>
        <v>-19616.940000000002</v>
      </c>
      <c r="I55" s="95"/>
      <c r="J55" s="175">
        <f>H55/DAY(B2)</f>
        <v>-1153.9376470588236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'16'!F56</f>
        <v>8610.5400000000009</v>
      </c>
      <c r="F56" s="145">
        <v>8610.5400000000009</v>
      </c>
      <c r="G56" s="112">
        <f t="shared" si="4"/>
        <v>0</v>
      </c>
      <c r="H56" s="99">
        <f>G56+'16'!H56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112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'16'!F58</f>
        <v>1999</v>
      </c>
      <c r="F58" s="145">
        <v>2016.6</v>
      </c>
      <c r="G58" s="112">
        <f t="shared" si="4"/>
        <v>17.599999999999909</v>
      </c>
      <c r="H58" s="99">
        <f>G58+'16'!H58</f>
        <v>-2779.61</v>
      </c>
      <c r="I58" s="95"/>
      <c r="J58" s="175">
        <f>H58/DAY(B2)</f>
        <v>-163.50647058823529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5791.6099999999969</v>
      </c>
      <c r="H59" s="99">
        <f>G59+'16'!H59</f>
        <v>-51667.950000000012</v>
      </c>
      <c r="I59" s="95">
        <f>G7-G60</f>
        <v>1269.6000000000095</v>
      </c>
      <c r="J59" s="175">
        <f>H59/DAY(B2)</f>
        <v>-3039.2911764705891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16184.399999999991</v>
      </c>
      <c r="H60" s="99">
        <f>G60+'16'!H60</f>
        <v>-100108.15000000002</v>
      </c>
      <c r="I60" s="95">
        <f>G13-G60</f>
        <v>784.2400000000016</v>
      </c>
      <c r="J60" s="175">
        <f>H60/DAY(B2)</f>
        <v>-5888.7147058823539</v>
      </c>
      <c r="K60" s="79"/>
      <c r="L60" s="66"/>
      <c r="N60" s="87"/>
      <c r="O60" s="71"/>
    </row>
    <row r="61" spans="1:15" s="68" customFormat="1" ht="27.75" customHeight="1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84" t="s">
        <v>198</v>
      </c>
      <c r="B62" s="885"/>
      <c r="C62" s="886"/>
      <c r="D62" s="151" t="s">
        <v>142</v>
      </c>
      <c r="E62" s="95">
        <f>'16'!F62</f>
        <v>268173</v>
      </c>
      <c r="F62" s="122">
        <v>268239</v>
      </c>
      <c r="G62" s="112">
        <f t="shared" ref="G62:G63" si="5">F62-E62</f>
        <v>66</v>
      </c>
      <c r="H62" s="99">
        <f>G62+'16'!H62</f>
        <v>-1277</v>
      </c>
      <c r="I62" s="118"/>
      <c r="J62" s="175">
        <f>H62/DAY(B2)</f>
        <v>-75.117647058823536</v>
      </c>
      <c r="K62" s="80"/>
      <c r="L62" s="66"/>
      <c r="N62" s="87"/>
      <c r="O62" s="71"/>
    </row>
    <row r="63" spans="1:15" ht="27.75" customHeight="1" x14ac:dyDescent="0.5">
      <c r="A63" s="884" t="s">
        <v>199</v>
      </c>
      <c r="B63" s="885"/>
      <c r="C63" s="886"/>
      <c r="D63" s="151" t="s">
        <v>142</v>
      </c>
      <c r="E63" s="95">
        <f>'16'!F63</f>
        <v>214034</v>
      </c>
      <c r="F63" s="122">
        <v>214118</v>
      </c>
      <c r="G63" s="112">
        <f t="shared" si="5"/>
        <v>84</v>
      </c>
      <c r="H63" s="99">
        <f>G63+'16'!H63</f>
        <v>2042</v>
      </c>
      <c r="I63" s="118"/>
      <c r="J63" s="175">
        <f>H63/DAY(B2)</f>
        <v>120.11764705882354</v>
      </c>
      <c r="K63" s="69"/>
      <c r="L63" s="66"/>
      <c r="N63" s="87"/>
      <c r="O63" s="71"/>
    </row>
    <row r="64" spans="1:15" ht="27.75" customHeight="1" x14ac:dyDescent="0.5">
      <c r="A64" s="893" t="s">
        <v>200</v>
      </c>
      <c r="B64" s="894"/>
      <c r="C64" s="895"/>
      <c r="D64" s="151"/>
      <c r="E64" s="95">
        <f>'16'!F64</f>
        <v>0</v>
      </c>
      <c r="F64" s="122"/>
      <c r="G64" s="112">
        <f>G62+G63</f>
        <v>150</v>
      </c>
      <c r="H64" s="99">
        <f>G64+'16'!H64</f>
        <v>765</v>
      </c>
      <c r="I64" s="118"/>
      <c r="J64" s="175">
        <f>H64/DAY(B2)</f>
        <v>45</v>
      </c>
      <c r="K64" s="69"/>
      <c r="L64" s="66"/>
      <c r="N64" s="87"/>
      <c r="O64" s="71"/>
    </row>
    <row r="65" spans="1:15" ht="27.75" customHeight="1" x14ac:dyDescent="0.5">
      <c r="A65" s="884" t="s">
        <v>201</v>
      </c>
      <c r="B65" s="885"/>
      <c r="C65" s="886"/>
      <c r="D65" s="151" t="s">
        <v>142</v>
      </c>
      <c r="E65" s="95">
        <f>'16'!F65</f>
        <v>433727</v>
      </c>
      <c r="F65" s="122">
        <v>433792</v>
      </c>
      <c r="G65" s="112">
        <f t="shared" ref="G65:G70" si="6">F65-E65</f>
        <v>65</v>
      </c>
      <c r="H65" s="99">
        <f>G65+'16'!H65</f>
        <v>-1131</v>
      </c>
      <c r="I65" s="118"/>
      <c r="J65" s="175">
        <f>H65/DAY(B2)</f>
        <v>-66.529411764705884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'16'!F66</f>
        <v>107493</v>
      </c>
      <c r="F66" s="122">
        <v>107508</v>
      </c>
      <c r="G66" s="112">
        <f t="shared" si="6"/>
        <v>15</v>
      </c>
      <c r="H66" s="99">
        <f>G66+'16'!H66</f>
        <v>-235</v>
      </c>
      <c r="I66" s="118"/>
      <c r="J66" s="175">
        <f>H66/DAY(B2)</f>
        <v>-13.823529411764707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'16'!F67</f>
        <v>104303</v>
      </c>
      <c r="F67" s="122">
        <v>104322</v>
      </c>
      <c r="G67" s="112">
        <f t="shared" si="6"/>
        <v>19</v>
      </c>
      <c r="H67" s="99">
        <f>G67+'16'!H67</f>
        <v>-326</v>
      </c>
      <c r="I67" s="118"/>
      <c r="J67" s="175">
        <f>H67/DAY(B2)</f>
        <v>-19.176470588235293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'16'!F68</f>
        <v>157037</v>
      </c>
      <c r="F68" s="122">
        <v>157058</v>
      </c>
      <c r="G68" s="112">
        <f t="shared" si="6"/>
        <v>21</v>
      </c>
      <c r="H68" s="99">
        <f>G68+'16'!H68</f>
        <v>-639</v>
      </c>
      <c r="I68" s="118"/>
      <c r="J68" s="175">
        <f>H68/DAY(B2)</f>
        <v>-37.588235294117645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'16'!F69</f>
        <v>10369</v>
      </c>
      <c r="F69" s="122">
        <v>10377</v>
      </c>
      <c r="G69" s="112">
        <f t="shared" si="6"/>
        <v>8</v>
      </c>
      <c r="H69" s="99">
        <f>G69+'16'!H69</f>
        <v>-164</v>
      </c>
      <c r="I69" s="118"/>
      <c r="J69" s="175">
        <f>H69/DAY(B2)</f>
        <v>-9.6470588235294112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'16'!F70</f>
        <v>7984</v>
      </c>
      <c r="F70" s="122">
        <v>7991</v>
      </c>
      <c r="G70" s="112">
        <f t="shared" si="6"/>
        <v>7</v>
      </c>
      <c r="H70" s="99">
        <f>G70+'16'!H70</f>
        <v>-129</v>
      </c>
      <c r="I70" s="118"/>
      <c r="J70" s="175">
        <f>H70/DAY(B2)</f>
        <v>-7.5882352941176467</v>
      </c>
      <c r="K70" s="69"/>
      <c r="L70" s="66"/>
      <c r="N70" s="87"/>
      <c r="O70" s="71"/>
    </row>
    <row r="71" spans="1:15" ht="27.75" customHeight="1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135</v>
      </c>
      <c r="H71" s="99">
        <f>G71+'16'!H71</f>
        <v>-2624</v>
      </c>
      <c r="I71" s="154"/>
      <c r="J71" s="175">
        <f>H71/DAY(B2)</f>
        <v>-154.35294117647058</v>
      </c>
      <c r="K71" s="69"/>
      <c r="L71" s="66"/>
      <c r="N71" s="87"/>
      <c r="O71" s="71"/>
    </row>
    <row r="72" spans="1:15" s="88" customFormat="1" ht="27.75" customHeight="1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84" t="s">
        <v>220</v>
      </c>
      <c r="B74" s="885"/>
      <c r="C74" s="886"/>
      <c r="D74" s="151" t="s">
        <v>139</v>
      </c>
      <c r="E74" s="95">
        <f>'16'!F74</f>
        <v>896773</v>
      </c>
      <c r="F74" s="117">
        <v>897080.9</v>
      </c>
      <c r="G74" s="112">
        <f t="shared" ref="G74:G78" si="7">F74-E74</f>
        <v>307.90000000002328</v>
      </c>
      <c r="H74" s="99">
        <f>G74+'16'!H74</f>
        <v>-4225.2489999999525</v>
      </c>
      <c r="I74" s="154"/>
      <c r="J74" s="175">
        <f>H74/DAY(B2)</f>
        <v>-248.54405882352663</v>
      </c>
      <c r="K74" s="69"/>
      <c r="L74" s="66"/>
      <c r="N74" s="87"/>
      <c r="O74" s="71"/>
    </row>
    <row r="75" spans="1:15" ht="27.75" customHeight="1" x14ac:dyDescent="0.5">
      <c r="A75" s="884" t="s">
        <v>221</v>
      </c>
      <c r="B75" s="885"/>
      <c r="C75" s="886"/>
      <c r="D75" s="151" t="s">
        <v>139</v>
      </c>
      <c r="E75" s="95">
        <f>'16'!F75</f>
        <v>73587</v>
      </c>
      <c r="F75" s="123">
        <v>73586.8</v>
      </c>
      <c r="G75" s="112">
        <f t="shared" si="7"/>
        <v>-0.19999999999708962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881" t="s">
        <v>222</v>
      </c>
      <c r="B76" s="882"/>
      <c r="C76" s="883"/>
      <c r="D76" s="151" t="s">
        <v>139</v>
      </c>
      <c r="E76" s="95">
        <f>'16'!F76</f>
        <v>168557</v>
      </c>
      <c r="F76" s="123">
        <v>168630.5</v>
      </c>
      <c r="G76" s="112">
        <f t="shared" si="7"/>
        <v>73.5</v>
      </c>
      <c r="H76" s="99">
        <f>G76+'16'!H76</f>
        <v>-1344.5</v>
      </c>
      <c r="I76" s="154"/>
      <c r="J76" s="175">
        <f>H76/DAY(B2)</f>
        <v>-79.088235294117652</v>
      </c>
      <c r="K76" s="69"/>
      <c r="L76" s="66"/>
      <c r="N76" s="87"/>
      <c r="O76" s="71"/>
    </row>
    <row r="77" spans="1:15" ht="27.75" customHeight="1" x14ac:dyDescent="0.5">
      <c r="A77" s="881" t="s">
        <v>223</v>
      </c>
      <c r="B77" s="882"/>
      <c r="C77" s="883"/>
      <c r="D77" s="151" t="s">
        <v>139</v>
      </c>
      <c r="E77" s="95">
        <f>'16'!F77</f>
        <v>40798</v>
      </c>
      <c r="F77" s="123">
        <v>40821.300000000003</v>
      </c>
      <c r="G77" s="112">
        <f t="shared" si="7"/>
        <v>23.30000000000291</v>
      </c>
      <c r="H77" s="99">
        <f>G77+'16'!H77</f>
        <v>-480.89999999999418</v>
      </c>
      <c r="I77" s="154"/>
      <c r="J77" s="175">
        <f>H77/DAY(B2)</f>
        <v>-28.288235294117303</v>
      </c>
      <c r="K77" s="69"/>
      <c r="L77" s="66"/>
      <c r="N77" s="87"/>
      <c r="O77" s="71"/>
    </row>
    <row r="78" spans="1:15" ht="27.75" customHeight="1" x14ac:dyDescent="0.5">
      <c r="A78" s="881" t="s">
        <v>224</v>
      </c>
      <c r="B78" s="882"/>
      <c r="C78" s="883"/>
      <c r="D78" s="151" t="s">
        <v>139</v>
      </c>
      <c r="E78" s="95">
        <f>'16'!F78</f>
        <v>9499</v>
      </c>
      <c r="F78" s="123">
        <v>9499</v>
      </c>
      <c r="G78" s="112">
        <f t="shared" si="7"/>
        <v>0</v>
      </c>
      <c r="H78" s="99">
        <f>G78+'16'!H78</f>
        <v>-17</v>
      </c>
      <c r="I78" s="118"/>
      <c r="J78" s="175">
        <f>H78/DAY(B2)</f>
        <v>-1</v>
      </c>
      <c r="K78" s="69"/>
      <c r="L78" s="66"/>
      <c r="N78" s="87"/>
      <c r="O78" s="71"/>
    </row>
    <row r="79" spans="1:15" s="57" customFormat="1" ht="27.75" customHeight="1" x14ac:dyDescent="0.5">
      <c r="A79" s="881" t="s">
        <v>225</v>
      </c>
      <c r="B79" s="882"/>
      <c r="C79" s="883"/>
      <c r="D79" s="151"/>
      <c r="E79" s="95">
        <f>'16'!F79</f>
        <v>0</v>
      </c>
      <c r="F79" s="123"/>
      <c r="G79" s="112">
        <f>G15-SUM(G74:G78)</f>
        <v>329.7730000000156</v>
      </c>
      <c r="H79" s="99">
        <f>G79+'16'!H79</f>
        <v>23351.154999999999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734.2730000000447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112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112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'16'!F84</f>
        <v>41675</v>
      </c>
      <c r="F84" s="164">
        <v>41675.26</v>
      </c>
      <c r="G84" s="112">
        <f t="shared" si="8"/>
        <v>0.26000000000203727</v>
      </c>
      <c r="H84" s="99">
        <f>G84+'16'!H84</f>
        <v>0.26000000000203727</v>
      </c>
      <c r="I84" s="118"/>
      <c r="J84" s="175">
        <f>H84/DAY(B2)</f>
        <v>1.5294117647178663E-2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'16'!F85</f>
        <v>2096.5500000000002</v>
      </c>
      <c r="F85" s="164">
        <v>2096.5500000000002</v>
      </c>
      <c r="G85" s="112">
        <f t="shared" si="8"/>
        <v>0</v>
      </c>
      <c r="H85" s="99">
        <f>G85+'16'!H85</f>
        <v>-163.86999999999989</v>
      </c>
      <c r="I85" s="118">
        <f>G82+G83+G84+G85</f>
        <v>0.26000000000203727</v>
      </c>
      <c r="J85" s="175">
        <f>H85/DAY(B2)</f>
        <v>-9.6394117647058764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'16'!F86</f>
        <v>43248</v>
      </c>
      <c r="F86" s="164">
        <v>43272.04</v>
      </c>
      <c r="G86" s="112">
        <f t="shared" si="8"/>
        <v>24.040000000000873</v>
      </c>
      <c r="H86" s="99">
        <f>G86+'16'!H86</f>
        <v>-169.95999999999913</v>
      </c>
      <c r="I86" s="118"/>
      <c r="J86" s="175">
        <f>H86/DAY(B2)</f>
        <v>-9.9976470588234783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'16'!F87</f>
        <v>34598.550000000003</v>
      </c>
      <c r="F87" s="164">
        <v>34598.550000000003</v>
      </c>
      <c r="G87" s="112">
        <f t="shared" si="8"/>
        <v>0</v>
      </c>
      <c r="H87" s="99">
        <f>G87+'16'!H87</f>
        <v>5.0000000002910383E-2</v>
      </c>
      <c r="I87" s="118"/>
      <c r="J87" s="175">
        <f>H87/DAY(B2)</f>
        <v>2.9411764707594342E-3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'16'!F88</f>
        <v>24059.29</v>
      </c>
      <c r="F88" s="164">
        <v>24059.29</v>
      </c>
      <c r="G88" s="112">
        <f t="shared" si="8"/>
        <v>0</v>
      </c>
      <c r="H88" s="99">
        <f>G88+'16'!H88</f>
        <v>-4.1399999999994179</v>
      </c>
      <c r="I88" s="118">
        <f>G86+G87+G88</f>
        <v>24.040000000000873</v>
      </c>
      <c r="J88" s="175">
        <f>H88/DAY(B2)</f>
        <v>-0.24352941176467163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'16'!F89</f>
        <v>25761.09</v>
      </c>
      <c r="F89" s="164">
        <v>25764.63</v>
      </c>
      <c r="G89" s="112">
        <f t="shared" si="8"/>
        <v>3.5400000000008731</v>
      </c>
      <c r="H89" s="99">
        <f>G89+'16'!H89</f>
        <v>-126.48999999999796</v>
      </c>
      <c r="I89" s="118"/>
      <c r="J89" s="175">
        <f>H89/DAY(B2)</f>
        <v>-7.4405882352939976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'16'!F90</f>
        <v>71126.16</v>
      </c>
      <c r="F90" s="164">
        <v>71131</v>
      </c>
      <c r="G90" s="112">
        <f t="shared" si="8"/>
        <v>4.8399999999965075</v>
      </c>
      <c r="H90" s="99">
        <f>G90+'16'!H90</f>
        <v>-32.320000000006985</v>
      </c>
      <c r="I90" s="118">
        <f>G89+G90</f>
        <v>8.3799999999973807</v>
      </c>
      <c r="J90" s="175">
        <f>H90/DAY(B2)</f>
        <v>-1.9011764705886463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'16'!F91</f>
        <v>3226.32</v>
      </c>
      <c r="F91" s="122">
        <v>3226.32</v>
      </c>
      <c r="G91" s="112">
        <f t="shared" si="8"/>
        <v>0</v>
      </c>
      <c r="H91" s="99">
        <f>G91+'16'!H91</f>
        <v>-24.769999999999982</v>
      </c>
      <c r="I91" s="165"/>
      <c r="J91" s="175">
        <f>H91/DAY(B2)</f>
        <v>-1.4570588235294106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'16'!F92</f>
        <v>5604.41</v>
      </c>
      <c r="F92" s="122">
        <v>5615.26</v>
      </c>
      <c r="G92" s="112">
        <f t="shared" si="8"/>
        <v>10.850000000000364</v>
      </c>
      <c r="H92" s="99">
        <f>G92+'16'!H92</f>
        <v>-125.80999999999949</v>
      </c>
      <c r="I92" s="165"/>
      <c r="J92" s="175">
        <f>H92/DAY(B2)</f>
        <v>-7.4005882352940873</v>
      </c>
      <c r="O92" s="71"/>
    </row>
    <row r="93" spans="1:15" ht="27.75" customHeight="1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4905.3599999999951</v>
      </c>
      <c r="H94" s="99">
        <f>G94+'16'!H94</f>
        <v>3657.5899999999911</v>
      </c>
      <c r="I94" s="118"/>
      <c r="J94" s="175">
        <f>H94/DAY(B2)</f>
        <v>215.15235294117593</v>
      </c>
      <c r="K94" s="69"/>
      <c r="L94" s="66"/>
      <c r="O94" s="71"/>
    </row>
    <row r="95" spans="1:15" ht="27.75" customHeight="1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0.28104503265727027</v>
      </c>
      <c r="H95" s="99">
        <f>G95+'16'!H95</f>
        <v>4.1761758028285998</v>
      </c>
      <c r="I95" s="167"/>
      <c r="J95" s="175">
        <f>H95/DAY(B2)</f>
        <v>0.24565740016638823</v>
      </c>
      <c r="K95" s="69"/>
      <c r="L95" s="66"/>
      <c r="O95" s="71"/>
    </row>
    <row r="96" spans="1:15" ht="27.75" customHeight="1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3005.1699999999983</v>
      </c>
      <c r="H96" s="99">
        <f>G96+'16'!H96</f>
        <v>16051.189999999995</v>
      </c>
      <c r="I96" s="118"/>
      <c r="J96" s="175">
        <f>H96/DAY(B2)</f>
        <v>944.18764705882325</v>
      </c>
      <c r="K96" s="69"/>
      <c r="L96" s="66"/>
      <c r="O96" s="71"/>
    </row>
    <row r="97" spans="1:15" ht="27.75" customHeight="1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0.17217657843474266</v>
      </c>
      <c r="H97" s="99">
        <f>G97+'16'!H97</f>
        <v>3.2000637914622958</v>
      </c>
      <c r="I97" s="167"/>
      <c r="J97" s="175">
        <f>H97/DAY(B2)</f>
        <v>0.18823904655660564</v>
      </c>
      <c r="K97" s="69"/>
      <c r="L97" s="66"/>
      <c r="O97" s="71"/>
    </row>
    <row r="98" spans="1:15" ht="27.75" customHeight="1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2698</v>
      </c>
      <c r="H98" s="99">
        <f>G98+'16'!H98</f>
        <v>-36365.29</v>
      </c>
      <c r="I98" s="168"/>
      <c r="J98" s="175">
        <f>H98/DAY(B2)</f>
        <v>-2139.134705882353</v>
      </c>
      <c r="K98" s="69"/>
      <c r="L98" s="66"/>
      <c r="O98" s="71"/>
    </row>
    <row r="99" spans="1:15" ht="27.75" customHeight="1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0.15457774722126733</v>
      </c>
      <c r="H99" s="99">
        <f>G99+'16'!H99</f>
        <v>2.4868712591214752</v>
      </c>
      <c r="I99" s="168"/>
      <c r="J99" s="175">
        <f>H99/DAY(B2)</f>
        <v>0.14628654465420443</v>
      </c>
      <c r="O99" s="71"/>
    </row>
    <row r="100" spans="1:15" ht="27.75" customHeight="1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1604.1599999999999</v>
      </c>
      <c r="H100" s="99">
        <f>G100+'16'!H100</f>
        <v>-24208.27</v>
      </c>
      <c r="I100" s="118"/>
      <c r="J100" s="175">
        <f>H100/DAY(B2)</f>
        <v>-1424.0158823529412</v>
      </c>
      <c r="K100" s="70"/>
      <c r="O100" s="71"/>
    </row>
    <row r="101" spans="1:15" ht="27.75" customHeight="1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9.1907872121003778E-2</v>
      </c>
      <c r="H101" s="99">
        <f>G101+'16'!H101</f>
        <v>1.605100871067705</v>
      </c>
      <c r="I101" s="168"/>
      <c r="J101" s="175">
        <f>H101/DAY(B2)</f>
        <v>9.4417698298100303E-2</v>
      </c>
      <c r="O101" s="71"/>
    </row>
    <row r="102" spans="1:15" ht="27.75" customHeight="1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1430.989999999998</v>
      </c>
      <c r="H102" s="99">
        <f>G102+'16'!H102</f>
        <v>-25246.379999999997</v>
      </c>
      <c r="I102" s="168"/>
      <c r="J102" s="175">
        <f>H102/DAY(B2)</f>
        <v>-1485.0811764705882</v>
      </c>
      <c r="O102" s="71"/>
    </row>
    <row r="103" spans="1:15" ht="27.75" customHeight="1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8.1986364157213124E-2</v>
      </c>
      <c r="H103" s="99">
        <f>G103+'16'!H103</f>
        <v>1.7665653324755259</v>
      </c>
      <c r="I103" s="118"/>
      <c r="J103" s="175">
        <f>H103/DAY(B2)</f>
        <v>0.103915607792678</v>
      </c>
      <c r="O103" s="71"/>
    </row>
    <row r="104" spans="1:15" ht="27.75" customHeight="1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1510.42</v>
      </c>
      <c r="H104" s="99">
        <f>G104+'16'!H104</f>
        <v>-22103.67</v>
      </c>
      <c r="I104" s="118"/>
      <c r="J104" s="175">
        <f>H104/DAY(B2)</f>
        <v>-1300.215882352941</v>
      </c>
      <c r="O104" s="71"/>
    </row>
    <row r="105" spans="1:15" ht="27.75" customHeight="1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8.6537183453649594E-2</v>
      </c>
      <c r="H105" s="99">
        <f>G105+'16'!H105</f>
        <v>1.4182014546264208</v>
      </c>
      <c r="I105" s="187"/>
      <c r="J105" s="188">
        <f>H105/DAY(B2)</f>
        <v>8.3423614978024752E-2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7.75" customHeight="1" x14ac:dyDescent="0.5">
      <c r="A109" s="901"/>
      <c r="B109" s="901"/>
    </row>
    <row r="110" spans="1:15" ht="27.75" customHeight="1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customHeight="1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863" t="s">
        <v>252</v>
      </c>
      <c r="B112" s="864"/>
      <c r="C112" s="865"/>
      <c r="D112" s="146" t="s">
        <v>183</v>
      </c>
      <c r="E112" s="95">
        <f>'16'!F112</f>
        <v>56886</v>
      </c>
      <c r="F112" s="237">
        <v>56964</v>
      </c>
      <c r="G112" s="112">
        <f t="shared" ref="G112:G123" si="9">F112-E112</f>
        <v>78</v>
      </c>
      <c r="H112" s="99">
        <f>G112+'16'!H112</f>
        <v>-1090</v>
      </c>
      <c r="I112" s="165"/>
      <c r="J112" s="328">
        <f>H112/DAY(B2)</f>
        <v>-64.117647058823536</v>
      </c>
    </row>
    <row r="113" spans="1:18" ht="27.75" customHeight="1" x14ac:dyDescent="0.5">
      <c r="A113" s="863" t="s">
        <v>253</v>
      </c>
      <c r="B113" s="864"/>
      <c r="C113" s="865"/>
      <c r="D113" s="146" t="s">
        <v>183</v>
      </c>
      <c r="E113" s="95">
        <f>'16'!F113</f>
        <v>39409</v>
      </c>
      <c r="F113" s="237">
        <v>39860.839999999997</v>
      </c>
      <c r="G113" s="112">
        <f t="shared" si="9"/>
        <v>451.83999999999651</v>
      </c>
      <c r="H113" s="99">
        <f>G113+'16'!H113</f>
        <v>-6540.0500000000029</v>
      </c>
      <c r="I113" s="165"/>
      <c r="J113" s="328">
        <f>H113/DAY(B2)</f>
        <v>-384.70882352941192</v>
      </c>
    </row>
    <row r="114" spans="1:18" ht="27.75" customHeight="1" x14ac:dyDescent="0.5">
      <c r="A114" s="863" t="s">
        <v>254</v>
      </c>
      <c r="B114" s="864"/>
      <c r="C114" s="865"/>
      <c r="D114" s="146" t="s">
        <v>183</v>
      </c>
      <c r="E114" s="95">
        <f>'16'!F114</f>
        <v>29108</v>
      </c>
      <c r="F114" s="499">
        <v>29371</v>
      </c>
      <c r="G114" s="112">
        <f t="shared" si="9"/>
        <v>263</v>
      </c>
      <c r="H114" s="99">
        <f>G114+'16'!H114</f>
        <v>-3922.6000000000004</v>
      </c>
      <c r="I114" s="165"/>
      <c r="J114" s="328">
        <f>H114/DAY(B2)</f>
        <v>-230.74117647058824</v>
      </c>
    </row>
    <row r="115" spans="1:18" ht="27.75" customHeight="1" x14ac:dyDescent="0.5">
      <c r="A115" s="863" t="s">
        <v>255</v>
      </c>
      <c r="B115" s="864"/>
      <c r="C115" s="865"/>
      <c r="D115" s="146" t="s">
        <v>183</v>
      </c>
      <c r="E115" s="95">
        <f>'16'!F115</f>
        <v>8944</v>
      </c>
      <c r="F115" s="237">
        <v>8958.2000000000007</v>
      </c>
      <c r="G115" s="112">
        <f t="shared" si="9"/>
        <v>14.200000000000728</v>
      </c>
      <c r="H115" s="99">
        <f>G115+'16'!H115</f>
        <v>-136.44999999999891</v>
      </c>
      <c r="I115" s="165"/>
      <c r="J115" s="328">
        <f>H115/DAY(B2)</f>
        <v>-8.0264705882352292</v>
      </c>
    </row>
    <row r="116" spans="1:18" ht="27.75" customHeight="1" x14ac:dyDescent="0.5">
      <c r="A116" s="870" t="s">
        <v>96</v>
      </c>
      <c r="B116" s="871"/>
      <c r="C116" s="872"/>
      <c r="D116" s="146" t="s">
        <v>183</v>
      </c>
      <c r="E116" s="95">
        <f>'16'!F116</f>
        <v>0</v>
      </c>
      <c r="F116" s="237">
        <v>0</v>
      </c>
      <c r="G116" s="112">
        <f t="shared" si="9"/>
        <v>0</v>
      </c>
      <c r="H116" s="99">
        <f>G116+'16'!H116</f>
        <v>0</v>
      </c>
      <c r="I116" s="165"/>
      <c r="J116" s="328">
        <f>H116/DAY(B2)</f>
        <v>0</v>
      </c>
      <c r="Q116" s="863"/>
      <c r="R116" s="865"/>
    </row>
    <row r="117" spans="1:18" ht="27.75" customHeight="1" x14ac:dyDescent="0.5">
      <c r="A117" s="870" t="s">
        <v>184</v>
      </c>
      <c r="B117" s="871"/>
      <c r="C117" s="872"/>
      <c r="D117" s="146" t="s">
        <v>183</v>
      </c>
      <c r="E117" s="95">
        <f>'16'!F117</f>
        <v>2977</v>
      </c>
      <c r="F117" s="237">
        <v>2999.97</v>
      </c>
      <c r="G117" s="112">
        <f t="shared" si="9"/>
        <v>22.9699999999998</v>
      </c>
      <c r="H117" s="99">
        <f>G117+'16'!H117</f>
        <v>-337.98</v>
      </c>
      <c r="I117" s="165"/>
      <c r="J117" s="328">
        <f>H117/DAY(B2)</f>
        <v>-19.881176470588237</v>
      </c>
      <c r="Q117" s="863"/>
      <c r="R117" s="865"/>
    </row>
    <row r="118" spans="1:18" ht="27.75" customHeight="1" x14ac:dyDescent="0.5">
      <c r="A118" s="862" t="s">
        <v>97</v>
      </c>
      <c r="B118" s="862"/>
      <c r="C118" s="862"/>
      <c r="D118" s="151" t="s">
        <v>183</v>
      </c>
      <c r="E118" s="95">
        <f>'16'!F118</f>
        <v>247347</v>
      </c>
      <c r="F118" s="237">
        <v>247684</v>
      </c>
      <c r="G118" s="112">
        <f t="shared" si="9"/>
        <v>337</v>
      </c>
      <c r="H118" s="99">
        <f>G118+'16'!H118</f>
        <v>-4768.3099999999977</v>
      </c>
      <c r="I118" s="165"/>
      <c r="J118" s="328">
        <f>H118/DAY(B2)</f>
        <v>-280.4888235294116</v>
      </c>
      <c r="Q118" s="863"/>
      <c r="R118" s="865"/>
    </row>
    <row r="119" spans="1:18" ht="27.75" customHeight="1" x14ac:dyDescent="0.5">
      <c r="A119" s="862" t="s">
        <v>98</v>
      </c>
      <c r="B119" s="862"/>
      <c r="C119" s="862"/>
      <c r="D119" s="151" t="s">
        <v>183</v>
      </c>
      <c r="E119" s="95">
        <f>'16'!F119</f>
        <v>251784</v>
      </c>
      <c r="F119" s="237">
        <v>252241</v>
      </c>
      <c r="G119" s="112">
        <f t="shared" si="9"/>
        <v>457</v>
      </c>
      <c r="H119" s="99">
        <f>G119+'16'!H119</f>
        <v>-5907.5499999999884</v>
      </c>
      <c r="I119" s="165"/>
      <c r="J119" s="328">
        <f>H119/DAY(B2)</f>
        <v>-347.5029411764699</v>
      </c>
    </row>
    <row r="120" spans="1:18" ht="27.75" customHeight="1" x14ac:dyDescent="0.5">
      <c r="A120" s="862" t="s">
        <v>99</v>
      </c>
      <c r="B120" s="862"/>
      <c r="C120" s="862"/>
      <c r="D120" s="151" t="s">
        <v>183</v>
      </c>
      <c r="E120" s="95">
        <f>'16'!F120</f>
        <v>36711</v>
      </c>
      <c r="F120" s="237">
        <v>37145.4</v>
      </c>
      <c r="G120" s="112">
        <f t="shared" si="9"/>
        <v>434.40000000000146</v>
      </c>
      <c r="H120" s="99">
        <f>G120+'16'!H120</f>
        <v>-5814.2099999999991</v>
      </c>
      <c r="I120" s="165"/>
      <c r="J120" s="328">
        <f>H120/DAY(B2)</f>
        <v>-342.0123529411764</v>
      </c>
    </row>
    <row r="121" spans="1:18" ht="27.75" customHeight="1" x14ac:dyDescent="0.5">
      <c r="A121" s="862" t="s">
        <v>100</v>
      </c>
      <c r="B121" s="862"/>
      <c r="C121" s="862"/>
      <c r="D121" s="151" t="s">
        <v>183</v>
      </c>
      <c r="E121" s="95">
        <f>'16'!F121</f>
        <v>387737</v>
      </c>
      <c r="F121" s="237">
        <v>388428</v>
      </c>
      <c r="G121" s="112">
        <f t="shared" si="9"/>
        <v>691</v>
      </c>
      <c r="H121" s="99">
        <f>G121+'16'!H121</f>
        <v>-9606.429999999993</v>
      </c>
      <c r="I121" s="165"/>
      <c r="J121" s="328">
        <f>H121/DAY(B2)</f>
        <v>-565.08411764705841</v>
      </c>
    </row>
    <row r="122" spans="1:18" ht="27.75" customHeight="1" x14ac:dyDescent="0.5">
      <c r="A122" s="862" t="s">
        <v>101</v>
      </c>
      <c r="B122" s="862"/>
      <c r="C122" s="862"/>
      <c r="D122" s="151" t="s">
        <v>183</v>
      </c>
      <c r="E122" s="95">
        <f>'16'!F122</f>
        <v>123348</v>
      </c>
      <c r="F122" s="237">
        <v>123533.44</v>
      </c>
      <c r="G122" s="112">
        <f t="shared" si="9"/>
        <v>185.44000000000233</v>
      </c>
      <c r="H122" s="99">
        <f>G122+'16'!H122</f>
        <v>-2652.7399999999907</v>
      </c>
      <c r="I122" s="165"/>
      <c r="J122" s="328">
        <f>H122/DAY(B2)</f>
        <v>-156.04352941176415</v>
      </c>
    </row>
    <row r="123" spans="1:18" ht="27.75" customHeight="1" x14ac:dyDescent="0.5">
      <c r="A123" s="862" t="s">
        <v>102</v>
      </c>
      <c r="B123" s="862"/>
      <c r="C123" s="862"/>
      <c r="D123" s="151" t="s">
        <v>183</v>
      </c>
      <c r="E123" s="95">
        <f>'16'!F123</f>
        <v>149981</v>
      </c>
      <c r="F123" s="237">
        <v>150237.63</v>
      </c>
      <c r="G123" s="112">
        <f t="shared" si="9"/>
        <v>256.63000000000466</v>
      </c>
      <c r="H123" s="99">
        <f>G123+'16'!H123</f>
        <v>-3809.320000000007</v>
      </c>
      <c r="I123" s="165"/>
      <c r="J123" s="328">
        <f>H123/DAY(B2)</f>
        <v>-224.07764705882394</v>
      </c>
    </row>
    <row r="124" spans="1:18" ht="27.75" customHeight="1" x14ac:dyDescent="0.5">
      <c r="A124" s="867"/>
      <c r="B124" s="868"/>
      <c r="C124" s="869"/>
      <c r="D124" s="165"/>
      <c r="E124" s="95">
        <f>'16'!F124</f>
        <v>0</v>
      </c>
      <c r="F124" s="165"/>
      <c r="G124" s="327"/>
      <c r="H124" s="99">
        <f>G124+'16'!H124</f>
        <v>0</v>
      </c>
      <c r="I124" s="165"/>
      <c r="J124" s="327"/>
    </row>
    <row r="125" spans="1:18" ht="27.75" customHeight="1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3191.4800000000055</v>
      </c>
      <c r="H125" s="156"/>
      <c r="I125" s="327">
        <f>G125-(G39+G53)</f>
        <v>493.48000000000548</v>
      </c>
      <c r="J125" s="327"/>
    </row>
    <row r="126" spans="1:18" ht="27.75" customHeight="1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customHeight="1" x14ac:dyDescent="0.5">
      <c r="A127" s="852"/>
      <c r="B127" s="852"/>
      <c r="C127" s="245"/>
      <c r="D127" s="307"/>
      <c r="E127" s="308"/>
      <c r="F127" s="308"/>
      <c r="G127" s="309"/>
      <c r="H127" s="99">
        <f>G127+'16'!H127</f>
        <v>0</v>
      </c>
      <c r="I127" s="165"/>
      <c r="J127" s="328">
        <f>H127/DAY(B2)</f>
        <v>0</v>
      </c>
    </row>
    <row r="128" spans="1:18" ht="27.75" customHeight="1" x14ac:dyDescent="0.5">
      <c r="A128" s="863" t="s">
        <v>318</v>
      </c>
      <c r="B128" s="864"/>
      <c r="C128" s="865"/>
      <c r="D128" s="151" t="s">
        <v>183</v>
      </c>
      <c r="E128" s="95">
        <f>'16'!F128</f>
        <v>43107</v>
      </c>
      <c r="F128" s="165">
        <v>43403.9</v>
      </c>
      <c r="G128" s="112">
        <f t="shared" ref="G128:G133" si="10">F128-E128</f>
        <v>296.90000000000146</v>
      </c>
      <c r="H128" s="99">
        <f>G128+'16'!H128</f>
        <v>-4342.0999999999985</v>
      </c>
      <c r="I128" s="165"/>
      <c r="J128" s="328">
        <f>H128/DAY(B2)</f>
        <v>-255.41764705882343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'16'!F129</f>
        <v>23830</v>
      </c>
      <c r="F129" s="165">
        <v>24083.9</v>
      </c>
      <c r="G129" s="112">
        <f t="shared" si="10"/>
        <v>253.90000000000146</v>
      </c>
      <c r="H129" s="99">
        <f>G129+'16'!H129</f>
        <v>-2826.9699999999975</v>
      </c>
      <c r="I129" s="165"/>
      <c r="J129" s="328">
        <f>H129/DAY(B2)</f>
        <v>-166.29235294117632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'16'!F130</f>
        <v>27905</v>
      </c>
      <c r="F130" s="165">
        <v>28449.45</v>
      </c>
      <c r="G130" s="112">
        <f t="shared" si="10"/>
        <v>544.45000000000073</v>
      </c>
      <c r="H130" s="99">
        <f>G130+'16'!H130</f>
        <v>-7244.5499999999993</v>
      </c>
      <c r="I130" s="165"/>
      <c r="J130" s="328">
        <f>H130/DAY(B2)</f>
        <v>-426.15</v>
      </c>
      <c r="N130" s="240"/>
      <c r="O130" s="241"/>
    </row>
    <row r="131" spans="1:15" ht="27.75" customHeight="1" x14ac:dyDescent="0.5">
      <c r="A131" s="863" t="s">
        <v>321</v>
      </c>
      <c r="B131" s="864"/>
      <c r="C131" s="865"/>
      <c r="D131" s="151" t="s">
        <v>183</v>
      </c>
      <c r="E131" s="95">
        <f>'16'!F131</f>
        <v>14295</v>
      </c>
      <c r="F131" s="165">
        <v>14365.97</v>
      </c>
      <c r="G131" s="112">
        <f t="shared" si="10"/>
        <v>70.969999999999345</v>
      </c>
      <c r="H131" s="99">
        <f>G131+'16'!H131</f>
        <v>-941.71000000000095</v>
      </c>
      <c r="I131" s="165"/>
      <c r="J131" s="328">
        <f>H131/DAY(B2)</f>
        <v>-55.394705882352994</v>
      </c>
      <c r="N131" s="240"/>
      <c r="O131" s="241"/>
    </row>
    <row r="132" spans="1:15" ht="27.75" customHeight="1" x14ac:dyDescent="0.5">
      <c r="A132" s="863" t="s">
        <v>322</v>
      </c>
      <c r="B132" s="864"/>
      <c r="C132" s="865"/>
      <c r="D132" s="151" t="s">
        <v>183</v>
      </c>
      <c r="E132" s="95">
        <f>'16'!F132</f>
        <v>48804</v>
      </c>
      <c r="F132" s="165">
        <v>49304</v>
      </c>
      <c r="G132" s="112">
        <f t="shared" si="10"/>
        <v>500</v>
      </c>
      <c r="H132" s="99">
        <f>G132+'16'!H132</f>
        <v>-2544.3000000000029</v>
      </c>
      <c r="I132" s="165"/>
      <c r="J132" s="328">
        <f>H132/DAY(B2)</f>
        <v>-149.6647058823531</v>
      </c>
    </row>
    <row r="133" spans="1:15" ht="27.75" customHeight="1" x14ac:dyDescent="0.5">
      <c r="A133" s="863" t="s">
        <v>362</v>
      </c>
      <c r="B133" s="864"/>
      <c r="C133" s="865"/>
      <c r="D133" s="151" t="s">
        <v>183</v>
      </c>
      <c r="E133" s="95">
        <f>'16'!F133</f>
        <v>97594</v>
      </c>
      <c r="F133" s="165">
        <v>98082.6</v>
      </c>
      <c r="G133" s="112">
        <f t="shared" si="10"/>
        <v>488.60000000000582</v>
      </c>
      <c r="H133" s="99">
        <f>G133+'16'!H133</f>
        <v>-7261.0999999999913</v>
      </c>
      <c r="I133" s="165"/>
      <c r="J133" s="328">
        <f>H133/DAY(B2)</f>
        <v>-427.1235294117642</v>
      </c>
    </row>
    <row r="134" spans="1:15" ht="27.75" customHeight="1" x14ac:dyDescent="0.5">
      <c r="A134" s="863" t="s">
        <v>340</v>
      </c>
      <c r="B134" s="864"/>
      <c r="C134" s="865"/>
      <c r="D134" s="151" t="s">
        <v>183</v>
      </c>
      <c r="E134" s="95">
        <f>'16'!F134</f>
        <v>6027</v>
      </c>
      <c r="F134" s="165">
        <v>6179</v>
      </c>
      <c r="G134" s="112">
        <f>F134-E134</f>
        <v>152</v>
      </c>
      <c r="H134" s="99">
        <f>G134+'16'!H134</f>
        <v>-2422.2299999999996</v>
      </c>
      <c r="I134" s="165"/>
      <c r="J134" s="328">
        <f>H134/DAY(B2)</f>
        <v>-142.48411764705881</v>
      </c>
    </row>
    <row r="135" spans="1:15" ht="27.75" customHeight="1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2306.8200000000088</v>
      </c>
      <c r="H135" s="99">
        <f>G135+'10'!H135</f>
        <v>25763.040000000008</v>
      </c>
      <c r="I135" s="327">
        <f>G135-(G35+G49)</f>
        <v>-379.38999999999214</v>
      </c>
      <c r="J135" s="328"/>
    </row>
    <row r="136" spans="1:15" ht="27.75" customHeight="1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862" t="s">
        <v>185</v>
      </c>
      <c r="B138" s="862"/>
      <c r="C138" s="862"/>
      <c r="D138" s="151" t="s">
        <v>183</v>
      </c>
      <c r="E138" s="95">
        <f>'16'!F138</f>
        <v>865169</v>
      </c>
      <c r="F138" s="147">
        <v>865229</v>
      </c>
      <c r="G138" s="112">
        <f t="shared" ref="G138:G152" si="11">F138-E138</f>
        <v>60</v>
      </c>
      <c r="H138" s="99">
        <f>G138+'16'!H138</f>
        <v>-944</v>
      </c>
      <c r="I138" s="118"/>
      <c r="J138" s="328">
        <f>H138/DAY(B2)</f>
        <v>-55.529411764705884</v>
      </c>
    </row>
    <row r="139" spans="1:15" ht="27.75" customHeight="1" x14ac:dyDescent="0.5">
      <c r="A139" s="862" t="s">
        <v>186</v>
      </c>
      <c r="B139" s="862"/>
      <c r="C139" s="862"/>
      <c r="D139" s="151" t="s">
        <v>183</v>
      </c>
      <c r="E139" s="95">
        <f>'16'!F139</f>
        <v>886550</v>
      </c>
      <c r="F139" s="148">
        <v>886550</v>
      </c>
      <c r="G139" s="112">
        <f t="shared" si="11"/>
        <v>0</v>
      </c>
      <c r="H139" s="99">
        <f>G139+'16'!H139</f>
        <v>-23</v>
      </c>
      <c r="I139" s="118"/>
      <c r="J139" s="328">
        <f>H139/DAY(B2)</f>
        <v>-1.3529411764705883</v>
      </c>
    </row>
    <row r="140" spans="1:15" ht="27.75" customHeight="1" x14ac:dyDescent="0.5">
      <c r="A140" s="862" t="s">
        <v>187</v>
      </c>
      <c r="B140" s="862"/>
      <c r="C140" s="862"/>
      <c r="D140" s="151" t="s">
        <v>183</v>
      </c>
      <c r="E140" s="95">
        <f>'16'!F140</f>
        <v>88898</v>
      </c>
      <c r="F140" s="149">
        <v>88898</v>
      </c>
      <c r="G140" s="112">
        <f t="shared" si="11"/>
        <v>0</v>
      </c>
      <c r="H140" s="99">
        <f>G140+'16'!H140</f>
        <v>-24</v>
      </c>
      <c r="I140" s="118"/>
      <c r="J140" s="328">
        <f>H140/DAY(B2)</f>
        <v>-1.411764705882353</v>
      </c>
    </row>
    <row r="141" spans="1:15" ht="27.75" customHeight="1" x14ac:dyDescent="0.5">
      <c r="A141" s="843" t="s">
        <v>188</v>
      </c>
      <c r="B141" s="843"/>
      <c r="C141" s="843"/>
      <c r="D141" s="151" t="s">
        <v>183</v>
      </c>
      <c r="E141" s="95">
        <f>'16'!F141</f>
        <v>52076</v>
      </c>
      <c r="F141" s="149">
        <v>52234.8</v>
      </c>
      <c r="G141" s="112">
        <f t="shared" si="11"/>
        <v>158.80000000000291</v>
      </c>
      <c r="H141" s="99">
        <f>G141+'16'!H141</f>
        <v>-2450.7799999999988</v>
      </c>
      <c r="I141" s="118"/>
      <c r="J141" s="328">
        <f>H141/DAY(B2)</f>
        <v>-144.16352941176464</v>
      </c>
    </row>
    <row r="142" spans="1:15" ht="27.75" customHeight="1" x14ac:dyDescent="0.5">
      <c r="A142" s="843" t="s">
        <v>189</v>
      </c>
      <c r="B142" s="843"/>
      <c r="C142" s="843"/>
      <c r="D142" s="151" t="s">
        <v>183</v>
      </c>
      <c r="E142" s="95">
        <f>'16'!F142</f>
        <v>20119</v>
      </c>
      <c r="F142" s="148">
        <v>20197.09</v>
      </c>
      <c r="G142" s="112">
        <f t="shared" si="11"/>
        <v>78.090000000000146</v>
      </c>
      <c r="H142" s="99">
        <f>G142+'16'!H142</f>
        <v>-1087.0099999999984</v>
      </c>
      <c r="I142" s="140"/>
      <c r="J142" s="328">
        <f>H142/DAY(B2)</f>
        <v>-63.941764705882257</v>
      </c>
    </row>
    <row r="143" spans="1:15" ht="27.75" customHeight="1" x14ac:dyDescent="0.5">
      <c r="A143" s="862" t="s">
        <v>91</v>
      </c>
      <c r="B143" s="862"/>
      <c r="C143" s="862"/>
      <c r="D143" s="151" t="s">
        <v>183</v>
      </c>
      <c r="E143" s="95">
        <f>'16'!F143</f>
        <v>3439</v>
      </c>
      <c r="F143" s="149">
        <v>3466.51</v>
      </c>
      <c r="G143" s="112">
        <f t="shared" si="11"/>
        <v>27.510000000000218</v>
      </c>
      <c r="H143" s="99">
        <f>G143+'16'!H143</f>
        <v>-368.87999999999965</v>
      </c>
      <c r="I143" s="140"/>
      <c r="J143" s="328">
        <f>H143/DAY(B2)</f>
        <v>-21.698823529411744</v>
      </c>
    </row>
    <row r="144" spans="1:15" ht="27.75" customHeight="1" x14ac:dyDescent="0.5">
      <c r="A144" s="843" t="s">
        <v>90</v>
      </c>
      <c r="B144" s="843"/>
      <c r="C144" s="843"/>
      <c r="D144" s="151" t="s">
        <v>183</v>
      </c>
      <c r="E144" s="95">
        <f>'16'!F144</f>
        <v>873290</v>
      </c>
      <c r="F144" s="149">
        <v>873523</v>
      </c>
      <c r="G144" s="112">
        <f t="shared" si="11"/>
        <v>233</v>
      </c>
      <c r="H144" s="99">
        <f>G144+'16'!H144</f>
        <v>-2964</v>
      </c>
      <c r="I144" s="140"/>
      <c r="J144" s="328">
        <f>H144/DAY(B2)</f>
        <v>-174.35294117647058</v>
      </c>
    </row>
    <row r="145" spans="1:10" ht="27.75" customHeight="1" x14ac:dyDescent="0.5">
      <c r="A145" s="862" t="s">
        <v>190</v>
      </c>
      <c r="B145" s="862"/>
      <c r="C145" s="862"/>
      <c r="D145" s="152" t="s">
        <v>183</v>
      </c>
      <c r="E145" s="95">
        <f>'16'!F145</f>
        <v>4798</v>
      </c>
      <c r="F145" s="149">
        <v>4812.34</v>
      </c>
      <c r="G145" s="112">
        <f t="shared" si="11"/>
        <v>14.340000000000146</v>
      </c>
      <c r="H145" s="99">
        <f>G145+'16'!H145</f>
        <v>-146.5</v>
      </c>
      <c r="I145" s="140"/>
      <c r="J145" s="328">
        <f>H145/DAY(B2)</f>
        <v>-8.617647058823529</v>
      </c>
    </row>
    <row r="146" spans="1:10" ht="27.75" customHeight="1" x14ac:dyDescent="0.5">
      <c r="A146" s="897" t="s">
        <v>191</v>
      </c>
      <c r="B146" s="882"/>
      <c r="C146" s="883"/>
      <c r="D146" s="152" t="s">
        <v>183</v>
      </c>
      <c r="E146" s="95">
        <f>'16'!F146</f>
        <v>731328</v>
      </c>
      <c r="F146" s="148">
        <v>731756</v>
      </c>
      <c r="G146" s="112">
        <f t="shared" si="11"/>
        <v>428</v>
      </c>
      <c r="H146" s="99">
        <f>G146+'16'!H146</f>
        <v>-5577</v>
      </c>
      <c r="I146" s="140"/>
      <c r="J146" s="328">
        <f>H146/DAY(B2)</f>
        <v>-328.05882352941177</v>
      </c>
    </row>
    <row r="147" spans="1:10" ht="27.75" customHeight="1" x14ac:dyDescent="0.5">
      <c r="A147" s="843" t="s">
        <v>192</v>
      </c>
      <c r="B147" s="843"/>
      <c r="C147" s="843"/>
      <c r="D147" s="152" t="s">
        <v>183</v>
      </c>
      <c r="E147" s="95">
        <f>'16'!F147</f>
        <v>621179</v>
      </c>
      <c r="F147" s="148">
        <v>621509</v>
      </c>
      <c r="G147" s="112">
        <f t="shared" si="11"/>
        <v>330</v>
      </c>
      <c r="H147" s="99">
        <f>G147+'16'!H147</f>
        <v>-5103.5200000000186</v>
      </c>
      <c r="I147" s="140"/>
      <c r="J147" s="328">
        <f>H147/DAY(B2)</f>
        <v>-300.20705882353053</v>
      </c>
    </row>
    <row r="148" spans="1:10" ht="27.75" customHeight="1" x14ac:dyDescent="0.5">
      <c r="A148" s="844" t="s">
        <v>193</v>
      </c>
      <c r="B148" s="845"/>
      <c r="C148" s="846"/>
      <c r="D148" s="123" t="s">
        <v>130</v>
      </c>
      <c r="E148" s="95">
        <f>'16'!F148</f>
        <v>686696</v>
      </c>
      <c r="F148" s="150">
        <v>686860</v>
      </c>
      <c r="G148" s="112">
        <f t="shared" si="11"/>
        <v>164</v>
      </c>
      <c r="H148" s="99">
        <f>G148+'16'!H148</f>
        <v>-2582.9599999999627</v>
      </c>
      <c r="I148" s="124"/>
      <c r="J148" s="328">
        <f>H148/DAY(B2)</f>
        <v>-151.93882352940958</v>
      </c>
    </row>
    <row r="149" spans="1:10" ht="27.75" customHeight="1" x14ac:dyDescent="0.5">
      <c r="A149" s="844" t="s">
        <v>336</v>
      </c>
      <c r="B149" s="845"/>
      <c r="C149" s="846"/>
      <c r="D149" s="227" t="s">
        <v>130</v>
      </c>
      <c r="E149" s="95">
        <f>'16'!F149</f>
        <v>17345</v>
      </c>
      <c r="F149" s="498">
        <v>17791.439999999999</v>
      </c>
      <c r="G149" s="112">
        <f t="shared" si="11"/>
        <v>446.43999999999869</v>
      </c>
      <c r="H149" s="99">
        <f>G149+'16'!H149</f>
        <v>-6886.760000000002</v>
      </c>
      <c r="I149" s="119"/>
      <c r="J149" s="328">
        <f>H149/DAY(B2)</f>
        <v>-405.10352941176484</v>
      </c>
    </row>
    <row r="150" spans="1:10" ht="27.75" customHeight="1" x14ac:dyDescent="0.5">
      <c r="A150" s="844" t="s">
        <v>337</v>
      </c>
      <c r="B150" s="845"/>
      <c r="C150" s="846"/>
      <c r="D150" s="117" t="s">
        <v>130</v>
      </c>
      <c r="E150" s="95">
        <f>'16'!F150</f>
        <v>7545</v>
      </c>
      <c r="F150" s="233">
        <v>7752.4</v>
      </c>
      <c r="G150" s="112">
        <f t="shared" si="11"/>
        <v>207.39999999999964</v>
      </c>
      <c r="H150" s="99">
        <f>G150+'16'!H150</f>
        <v>-3098.4300000000003</v>
      </c>
      <c r="I150" s="119"/>
      <c r="J150" s="328">
        <f>H150/DAY(B2)</f>
        <v>-182.26058823529414</v>
      </c>
    </row>
    <row r="151" spans="1:10" ht="27.75" customHeight="1" x14ac:dyDescent="0.5">
      <c r="A151" s="844" t="s">
        <v>338</v>
      </c>
      <c r="B151" s="845"/>
      <c r="C151" s="846"/>
      <c r="D151" s="117" t="s">
        <v>130</v>
      </c>
      <c r="E151" s="95">
        <f>'16'!F151</f>
        <v>81943</v>
      </c>
      <c r="F151" s="233">
        <v>82156</v>
      </c>
      <c r="G151" s="112">
        <f t="shared" si="11"/>
        <v>213</v>
      </c>
      <c r="H151" s="99">
        <f>G151+'16'!H151</f>
        <v>-3324</v>
      </c>
      <c r="I151" s="119"/>
      <c r="J151" s="328">
        <f>H151/DAY(B2)</f>
        <v>-195.52941176470588</v>
      </c>
    </row>
    <row r="152" spans="1:10" ht="27.75" customHeight="1" x14ac:dyDescent="0.5">
      <c r="A152" s="844" t="s">
        <v>339</v>
      </c>
      <c r="B152" s="845"/>
      <c r="C152" s="846"/>
      <c r="D152" s="117" t="s">
        <v>130</v>
      </c>
      <c r="E152" s="95">
        <f>'16'!F152</f>
        <v>1405</v>
      </c>
      <c r="F152" s="233">
        <v>1419.9</v>
      </c>
      <c r="G152" s="112">
        <f t="shared" si="11"/>
        <v>14.900000000000091</v>
      </c>
      <c r="H152" s="99">
        <f>G152+'16'!H152</f>
        <v>-240.09999999999991</v>
      </c>
      <c r="I152" s="119"/>
      <c r="J152" s="328">
        <f>H152/DAY(B2)</f>
        <v>-14.1235294117647</v>
      </c>
    </row>
    <row r="153" spans="1:10" ht="27.75" customHeight="1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2375.4800000000018</v>
      </c>
      <c r="H153" s="363"/>
      <c r="I153" s="119">
        <f>G153-(G38+G52)</f>
        <v>771.32000000000198</v>
      </c>
      <c r="J153" s="366"/>
    </row>
    <row r="154" spans="1:10" ht="27.75" customHeight="1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27.75" customHeight="1" x14ac:dyDescent="0.55000000000000004">
      <c r="A155" s="843" t="s">
        <v>345</v>
      </c>
      <c r="B155" s="843"/>
      <c r="C155" s="843"/>
      <c r="D155" s="117" t="s">
        <v>130</v>
      </c>
      <c r="E155" s="95">
        <f>'16'!F155</f>
        <v>22693</v>
      </c>
      <c r="F155" s="471">
        <v>23303</v>
      </c>
      <c r="G155" s="112">
        <f t="shared" ref="G155:G156" si="12">F155-E155</f>
        <v>610</v>
      </c>
      <c r="H155" s="99">
        <f>G155+'16'!H155</f>
        <v>-9642</v>
      </c>
      <c r="I155" s="364"/>
      <c r="J155" s="328">
        <f>H155/DAY(B2)</f>
        <v>-567.17647058823525</v>
      </c>
    </row>
    <row r="156" spans="1:10" ht="27.75" customHeight="1" x14ac:dyDescent="0.5">
      <c r="A156" s="843" t="s">
        <v>347</v>
      </c>
      <c r="B156" s="843"/>
      <c r="C156" s="843"/>
      <c r="D156" s="117" t="s">
        <v>130</v>
      </c>
      <c r="E156" s="95">
        <f>'16'!F156</f>
        <v>1898</v>
      </c>
      <c r="F156" s="155">
        <v>1954</v>
      </c>
      <c r="G156" s="112">
        <f t="shared" si="12"/>
        <v>56</v>
      </c>
      <c r="H156" s="99">
        <f>G156+'16'!H156</f>
        <v>852</v>
      </c>
      <c r="I156" s="165"/>
      <c r="J156" s="328">
        <f>H156/DAY(B2)</f>
        <v>50.117647058823529</v>
      </c>
    </row>
    <row r="157" spans="1:10" ht="27.75" customHeight="1" x14ac:dyDescent="0.5">
      <c r="A157" s="844" t="s">
        <v>363</v>
      </c>
      <c r="B157" s="845"/>
      <c r="C157" s="846"/>
      <c r="D157" s="117" t="s">
        <v>130</v>
      </c>
      <c r="E157" s="95">
        <f>'16'!F157</f>
        <v>2430</v>
      </c>
      <c r="F157" s="155">
        <v>2516.1329999999998</v>
      </c>
      <c r="G157" s="112">
        <f>F157-E157</f>
        <v>86.132999999999811</v>
      </c>
      <c r="H157" s="99">
        <f>G157+'16'!H157</f>
        <v>481.13299999999981</v>
      </c>
      <c r="I157" s="165"/>
      <c r="J157" s="328">
        <f>H157/DAY(B2)</f>
        <v>28.301941176470578</v>
      </c>
    </row>
    <row r="158" spans="1:10" ht="27.75" customHeight="1" x14ac:dyDescent="0.5">
      <c r="A158" s="844" t="s">
        <v>364</v>
      </c>
      <c r="B158" s="845"/>
      <c r="C158" s="846"/>
      <c r="D158" s="117" t="s">
        <v>130</v>
      </c>
      <c r="E158" s="95">
        <f>'16'!F158</f>
        <v>23.34</v>
      </c>
      <c r="F158" s="165">
        <v>23.34</v>
      </c>
      <c r="G158" s="112">
        <f>F158-E158</f>
        <v>0</v>
      </c>
      <c r="H158" s="99">
        <f>G158+'16'!H158</f>
        <v>1.3399999999999999</v>
      </c>
      <c r="I158" s="165"/>
      <c r="J158" s="328">
        <f>H158/DAY(B2)</f>
        <v>7.8823529411764695E-2</v>
      </c>
    </row>
    <row r="159" spans="1:10" ht="27.75" customHeight="1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27.75" customHeight="1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'16'!F161</f>
        <v>471439</v>
      </c>
      <c r="F161" s="235">
        <v>471446</v>
      </c>
      <c r="G161" s="238">
        <f t="shared" ref="G161:G165" si="13">F161-E161</f>
        <v>7</v>
      </c>
      <c r="H161" s="99">
        <f>G161+'16'!H161</f>
        <v>-607.55999999999767</v>
      </c>
      <c r="I161" s="236"/>
      <c r="J161" s="239">
        <f>H161/DAY(B2)</f>
        <v>-35.738823529411626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'16'!F162</f>
        <v>88016</v>
      </c>
      <c r="F162" s="235">
        <v>88053</v>
      </c>
      <c r="G162" s="238">
        <f t="shared" si="13"/>
        <v>37</v>
      </c>
      <c r="H162" s="99">
        <f>G162+'16'!H162</f>
        <v>-463.39999999999418</v>
      </c>
      <c r="I162" s="236"/>
      <c r="J162" s="239">
        <f>H162/DAY(B2)</f>
        <v>-27.258823529411423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'16'!F163</f>
        <v>78515</v>
      </c>
      <c r="F163" s="235">
        <v>78572.7</v>
      </c>
      <c r="G163" s="238">
        <f t="shared" si="13"/>
        <v>57.69999999999709</v>
      </c>
      <c r="H163" s="99">
        <f>G163+'16'!H163</f>
        <v>-647.40000000000873</v>
      </c>
      <c r="I163" s="236"/>
      <c r="J163" s="239">
        <f>H163/DAY(B2)</f>
        <v>-38.082352941176985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'16'!F164</f>
        <v>4266</v>
      </c>
      <c r="F164" s="235">
        <v>4270.8999999999996</v>
      </c>
      <c r="G164" s="238">
        <f t="shared" si="13"/>
        <v>4.8999999999996362</v>
      </c>
      <c r="H164" s="99">
        <f>G164+'16'!H164</f>
        <v>-49.100000000000364</v>
      </c>
      <c r="I164" s="236"/>
      <c r="J164" s="239">
        <f>H164/DAY(B2)</f>
        <v>-2.8882352941176683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'16'!F165</f>
        <v>29746</v>
      </c>
      <c r="F165" s="235">
        <v>29754.45</v>
      </c>
      <c r="G165" s="238">
        <f t="shared" si="13"/>
        <v>8.4500000000007276</v>
      </c>
      <c r="H165" s="99">
        <f>G165+'16'!H165</f>
        <v>-102.79999999999927</v>
      </c>
      <c r="I165" s="236"/>
      <c r="J165" s="239">
        <f>H165/DAY(B2)</f>
        <v>-6.047058823529369</v>
      </c>
    </row>
    <row r="166" spans="1:10" ht="27.75" customHeight="1" x14ac:dyDescent="0.5">
      <c r="A166" s="852"/>
      <c r="B166" s="852"/>
      <c r="C166" s="246"/>
      <c r="D166" s="244"/>
      <c r="E166" s="95"/>
      <c r="F166" s="165"/>
      <c r="G166" s="165"/>
      <c r="H166" s="99"/>
      <c r="I166" s="165"/>
      <c r="J166" s="239"/>
    </row>
    <row r="167" spans="1:10" ht="27.75" customHeight="1" x14ac:dyDescent="0.5">
      <c r="A167" s="852"/>
      <c r="B167" s="852"/>
      <c r="C167" s="246"/>
      <c r="D167" s="244"/>
      <c r="E167" s="95"/>
      <c r="F167" s="165"/>
      <c r="G167" s="165"/>
      <c r="H167" s="99"/>
      <c r="I167" s="165"/>
      <c r="J167" s="239"/>
    </row>
    <row r="168" spans="1:10" ht="27.75" customHeight="1" x14ac:dyDescent="0.5">
      <c r="A168" s="852"/>
      <c r="B168" s="852"/>
      <c r="C168" s="246"/>
      <c r="D168" s="244"/>
      <c r="E168" s="95"/>
      <c r="F168" s="165"/>
      <c r="G168" s="165"/>
      <c r="H168" s="99"/>
      <c r="I168" s="165"/>
      <c r="J168" s="239"/>
    </row>
    <row r="171" spans="1:10" ht="27.75" customHeight="1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customHeight="1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56" t="s">
        <v>209</v>
      </c>
      <c r="B173" s="857"/>
      <c r="C173" s="333"/>
      <c r="D173" s="228" t="s">
        <v>142</v>
      </c>
      <c r="E173" s="95">
        <f>'16'!F173</f>
        <v>8126</v>
      </c>
      <c r="F173" s="157">
        <v>8126</v>
      </c>
      <c r="G173" s="155">
        <f>F173-E173</f>
        <v>0</v>
      </c>
      <c r="H173" s="99">
        <f>G173+'16'!H173</f>
        <v>0</v>
      </c>
      <c r="I173" s="155"/>
      <c r="J173" s="178">
        <f>H173/DAY(B2)</f>
        <v>0</v>
      </c>
    </row>
    <row r="174" spans="1:10" ht="27.75" customHeight="1" x14ac:dyDescent="0.5">
      <c r="A174" s="856" t="s">
        <v>75</v>
      </c>
      <c r="B174" s="857"/>
      <c r="C174" s="333"/>
      <c r="D174" s="228" t="s">
        <v>142</v>
      </c>
      <c r="E174" s="95">
        <f>'16'!F174</f>
        <v>38444</v>
      </c>
      <c r="F174" s="157">
        <v>38444</v>
      </c>
      <c r="G174" s="155">
        <f t="shared" ref="G174:G175" si="14">F174-E174</f>
        <v>0</v>
      </c>
      <c r="H174" s="99">
        <f>G174+'16'!H174</f>
        <v>203</v>
      </c>
      <c r="I174" s="155"/>
      <c r="J174" s="178">
        <f>H174/DAY(B2)</f>
        <v>11.941176470588236</v>
      </c>
    </row>
    <row r="175" spans="1:10" ht="27.75" customHeight="1" x14ac:dyDescent="0.5">
      <c r="A175" s="856" t="s">
        <v>76</v>
      </c>
      <c r="B175" s="896"/>
      <c r="C175" s="857"/>
      <c r="D175" s="228" t="s">
        <v>142</v>
      </c>
      <c r="E175" s="95">
        <f>'16'!F175</f>
        <v>21666</v>
      </c>
      <c r="F175" s="155">
        <v>21673</v>
      </c>
      <c r="G175" s="155">
        <f t="shared" si="14"/>
        <v>7</v>
      </c>
      <c r="H175" s="99">
        <f>G175+'16'!H175</f>
        <v>-140</v>
      </c>
      <c r="I175" s="155"/>
      <c r="J175" s="178">
        <f>H175/DAY(B2)</f>
        <v>-8.235294117647058</v>
      </c>
    </row>
    <row r="176" spans="1:10" ht="27.75" customHeight="1" x14ac:dyDescent="0.5">
      <c r="A176" s="847" t="s">
        <v>196</v>
      </c>
      <c r="B176" s="848"/>
      <c r="C176" s="333"/>
      <c r="D176" s="228" t="s">
        <v>142</v>
      </c>
      <c r="E176" s="95"/>
      <c r="F176" s="155"/>
      <c r="G176" s="155">
        <f>SUM(G173:G175)</f>
        <v>7</v>
      </c>
      <c r="H176" s="99">
        <f>G176+'16'!H176</f>
        <v>63</v>
      </c>
      <c r="I176" s="155"/>
      <c r="J176" s="178">
        <f>H176/DAY(B2)</f>
        <v>3.7058823529411766</v>
      </c>
    </row>
    <row r="177" spans="1:11" ht="27.75" customHeight="1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G177+'16'!H177</f>
        <v>0</v>
      </c>
      <c r="I177" s="155"/>
      <c r="J177" s="178">
        <f>H177/DAY(B2)</f>
        <v>0</v>
      </c>
    </row>
    <row r="178" spans="1:11" ht="27.75" customHeight="1" x14ac:dyDescent="0.5">
      <c r="A178" s="856" t="s">
        <v>210</v>
      </c>
      <c r="B178" s="857"/>
      <c r="C178" s="333"/>
      <c r="D178" s="228" t="s">
        <v>142</v>
      </c>
      <c r="E178" s="95">
        <f>'16'!F178</f>
        <v>80529</v>
      </c>
      <c r="F178" s="155">
        <v>80589</v>
      </c>
      <c r="G178" s="155">
        <f>F178-E178</f>
        <v>60</v>
      </c>
      <c r="H178" s="99">
        <f>G178+'16'!H178</f>
        <v>-726</v>
      </c>
      <c r="I178" s="155"/>
      <c r="J178" s="178">
        <f>H178/DAY(B2)</f>
        <v>-42.705882352941174</v>
      </c>
    </row>
    <row r="179" spans="1:11" ht="27.75" customHeight="1" x14ac:dyDescent="0.5">
      <c r="A179" s="856" t="s">
        <v>211</v>
      </c>
      <c r="B179" s="857"/>
      <c r="C179" s="333"/>
      <c r="D179" s="228" t="s">
        <v>142</v>
      </c>
      <c r="E179" s="95">
        <f>'16'!F179</f>
        <v>34251</v>
      </c>
      <c r="F179" s="155">
        <v>34278</v>
      </c>
      <c r="G179" s="155">
        <f t="shared" ref="G179:G180" si="15">F179-E179</f>
        <v>27</v>
      </c>
      <c r="H179" s="99">
        <f>G179+'16'!H179</f>
        <v>-525</v>
      </c>
      <c r="I179" s="155"/>
      <c r="J179" s="178">
        <f>H179/DAY(B2)</f>
        <v>-30.882352941176471</v>
      </c>
    </row>
    <row r="180" spans="1:11" ht="27.75" customHeight="1" x14ac:dyDescent="0.5">
      <c r="A180" s="856" t="s">
        <v>212</v>
      </c>
      <c r="B180" s="857"/>
      <c r="C180" s="333"/>
      <c r="D180" s="228" t="s">
        <v>142</v>
      </c>
      <c r="E180" s="95">
        <f>'16'!F180</f>
        <v>5595</v>
      </c>
      <c r="F180" s="155">
        <v>5596</v>
      </c>
      <c r="G180" s="155">
        <f t="shared" si="15"/>
        <v>1</v>
      </c>
      <c r="H180" s="99">
        <f>G180+'16'!H180</f>
        <v>-106</v>
      </c>
      <c r="I180" s="155"/>
      <c r="J180" s="178">
        <f>H180/DAY(B2)</f>
        <v>-6.2352941176470589</v>
      </c>
    </row>
    <row r="181" spans="1:11" ht="27.75" customHeight="1" x14ac:dyDescent="0.5">
      <c r="A181" s="858" t="s">
        <v>108</v>
      </c>
      <c r="B181" s="859"/>
      <c r="C181" s="333"/>
      <c r="D181" s="228" t="s">
        <v>142</v>
      </c>
      <c r="E181" s="95"/>
      <c r="F181" s="155"/>
      <c r="G181" s="155">
        <f>SUM(G178:G180)</f>
        <v>88</v>
      </c>
      <c r="H181" s="99">
        <f>G181+'16'!H181</f>
        <v>-1357</v>
      </c>
      <c r="I181" s="155"/>
      <c r="J181" s="178">
        <f>H181/DAY(B2)</f>
        <v>-79.82352941176471</v>
      </c>
    </row>
    <row r="182" spans="1:11" ht="27.75" customHeight="1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G182+'16'!H182</f>
        <v>0</v>
      </c>
      <c r="I182" s="155"/>
      <c r="J182" s="178">
        <f>H182/DAY(B2)</f>
        <v>0</v>
      </c>
    </row>
    <row r="183" spans="1:11" ht="27.75" customHeight="1" x14ac:dyDescent="0.5">
      <c r="A183" s="856" t="s">
        <v>214</v>
      </c>
      <c r="B183" s="857"/>
      <c r="C183" s="334"/>
      <c r="D183" s="228" t="s">
        <v>142</v>
      </c>
      <c r="E183" s="95">
        <f>'16'!F183</f>
        <v>15137</v>
      </c>
      <c r="F183" s="157">
        <v>15146</v>
      </c>
      <c r="G183" s="157">
        <f>F183-E183</f>
        <v>9</v>
      </c>
      <c r="H183" s="99">
        <f>G183+'16'!H183</f>
        <v>-199</v>
      </c>
      <c r="I183" s="155"/>
      <c r="J183" s="178">
        <f>H183/DAY(B2)</f>
        <v>-11.705882352941176</v>
      </c>
    </row>
    <row r="184" spans="1:11" ht="27.75" customHeight="1" x14ac:dyDescent="0.5">
      <c r="A184" s="856" t="s">
        <v>215</v>
      </c>
      <c r="B184" s="857"/>
      <c r="C184" s="334"/>
      <c r="D184" s="228" t="s">
        <v>142</v>
      </c>
      <c r="E184" s="95">
        <f>'16'!F184</f>
        <v>10404</v>
      </c>
      <c r="F184" s="157">
        <v>10411</v>
      </c>
      <c r="G184" s="157">
        <f t="shared" ref="G184:G185" si="16">F184-E184</f>
        <v>7</v>
      </c>
      <c r="H184" s="99">
        <f>G184+'16'!H184</f>
        <v>-107</v>
      </c>
      <c r="I184" s="155"/>
      <c r="J184" s="178">
        <f>H184/DAY(B2)</f>
        <v>-6.2941176470588234</v>
      </c>
    </row>
    <row r="185" spans="1:11" ht="27.75" customHeight="1" x14ac:dyDescent="0.5">
      <c r="A185" s="856" t="s">
        <v>216</v>
      </c>
      <c r="B185" s="857"/>
      <c r="C185" s="334"/>
      <c r="D185" s="228" t="s">
        <v>142</v>
      </c>
      <c r="E185" s="95">
        <f>'16'!F185</f>
        <v>0</v>
      </c>
      <c r="F185" s="157"/>
      <c r="G185" s="157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 x14ac:dyDescent="0.5">
      <c r="A186" s="847" t="s">
        <v>196</v>
      </c>
      <c r="B186" s="848"/>
      <c r="C186" s="334"/>
      <c r="D186" s="228" t="s">
        <v>142</v>
      </c>
      <c r="E186" s="95"/>
      <c r="F186" s="157"/>
      <c r="G186" s="157">
        <f>SUM(G183:G185)</f>
        <v>16</v>
      </c>
      <c r="H186" s="99">
        <f>G186+'16'!H186</f>
        <v>-306</v>
      </c>
      <c r="I186" s="157"/>
      <c r="J186" s="178">
        <f>H186/DAY(B2)</f>
        <v>-18</v>
      </c>
    </row>
    <row r="187" spans="1:11" ht="27.75" customHeight="1" x14ac:dyDescent="0.5">
      <c r="A187" s="849" t="s">
        <v>217</v>
      </c>
      <c r="B187" s="850"/>
      <c r="C187" s="333"/>
      <c r="D187" s="228" t="s">
        <v>142</v>
      </c>
      <c r="E187" s="95"/>
      <c r="F187" s="159"/>
      <c r="G187" s="460">
        <f>G62+G19</f>
        <v>119</v>
      </c>
      <c r="H187" s="99">
        <f>G187+'16'!H187</f>
        <v>-2043</v>
      </c>
      <c r="I187" s="158"/>
      <c r="J187" s="179">
        <f>H187/DAY(B2)</f>
        <v>-120.17647058823529</v>
      </c>
    </row>
    <row r="188" spans="1:11" ht="27.75" customHeight="1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114</v>
      </c>
      <c r="H188" s="99">
        <f>G188+'16'!H188</f>
        <v>364</v>
      </c>
      <c r="I188" s="158"/>
      <c r="J188" s="179">
        <f>H188/DAY(B2)</f>
        <v>21.411764705882351</v>
      </c>
    </row>
    <row r="189" spans="1:11" ht="27.75" customHeight="1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88</v>
      </c>
      <c r="H189" s="99">
        <f>G189+'16'!H189</f>
        <v>-1357</v>
      </c>
      <c r="I189" s="158"/>
      <c r="J189" s="179">
        <f>H189/DAY(B2)</f>
        <v>-79.82352941176471</v>
      </c>
    </row>
    <row r="190" spans="1:11" ht="27.75" customHeight="1" x14ac:dyDescent="0.5">
      <c r="A190" s="770"/>
      <c r="B190" s="771"/>
      <c r="C190" s="481"/>
      <c r="D190" s="478"/>
      <c r="E190" s="478"/>
      <c r="F190" s="478"/>
      <c r="G190" s="478"/>
      <c r="H190" s="479"/>
      <c r="I190" s="478"/>
      <c r="J190" s="480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f>'16'!G191</f>
        <v>53289</v>
      </c>
      <c r="G191" s="165">
        <v>53102</v>
      </c>
      <c r="H191" s="238">
        <f>G191-F191</f>
        <v>-187</v>
      </c>
      <c r="I191" s="99">
        <f>H191+'15'!I191</f>
        <v>-187</v>
      </c>
      <c r="J191" s="236"/>
      <c r="K191" s="239" t="e">
        <f>I191/DAY(C28)</f>
        <v>#DIV/0!</v>
      </c>
    </row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zoomScale="55" zoomScaleNormal="68" zoomScaleSheetLayoutView="55" workbookViewId="0">
      <selection activeCell="G156" sqref="G156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577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.75" customHeight="1" x14ac:dyDescent="0.5">
      <c r="A2" s="191" t="s">
        <v>350</v>
      </c>
      <c r="B2" s="262">
        <v>44548</v>
      </c>
      <c r="C2" s="348" t="s">
        <v>67</v>
      </c>
      <c r="D2" s="218">
        <v>0.51</v>
      </c>
      <c r="E2" s="100"/>
      <c r="F2" s="100"/>
      <c r="G2" s="554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28</v>
      </c>
      <c r="E3" s="911" t="s">
        <v>119</v>
      </c>
      <c r="F3" s="912"/>
      <c r="G3" s="555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0.9</v>
      </c>
      <c r="E4" s="103"/>
      <c r="F4" s="103"/>
      <c r="G4" s="555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556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05" t="s">
        <v>128</v>
      </c>
      <c r="B6" s="906"/>
      <c r="C6" s="907"/>
      <c r="D6" s="110"/>
      <c r="E6" s="110"/>
      <c r="F6" s="110"/>
      <c r="G6" s="557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'17'!F7</f>
        <v>406408</v>
      </c>
      <c r="F7" s="95">
        <v>424173</v>
      </c>
      <c r="G7" s="558">
        <f>F7-E7</f>
        <v>17765</v>
      </c>
      <c r="H7" s="99">
        <f>G7+'17'!H7</f>
        <v>-227007.22999999998</v>
      </c>
      <c r="I7" s="113">
        <f>'1'!I7</f>
        <v>12000</v>
      </c>
      <c r="J7" s="175">
        <f>H7/DAY(B2)</f>
        <v>-12611.512777777776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'17'!F8</f>
        <v>457733</v>
      </c>
      <c r="F8" s="95">
        <v>475797.83</v>
      </c>
      <c r="G8" s="559">
        <f>F8-E8</f>
        <v>18064.830000000016</v>
      </c>
      <c r="H8" s="99">
        <f>G8+'17'!H8</f>
        <v>-232750.32</v>
      </c>
      <c r="I8" s="116"/>
      <c r="J8" s="175">
        <f>H8/DAY(B2)</f>
        <v>-12930.573333333334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'17'!F9</f>
        <v>98294.9</v>
      </c>
      <c r="F9" s="598">
        <v>109695.53</v>
      </c>
      <c r="G9" s="558">
        <f>F9-E9</f>
        <v>11400.630000000005</v>
      </c>
      <c r="H9" s="99">
        <f>G9+'17'!H9</f>
        <v>-172558.31999999998</v>
      </c>
      <c r="I9" s="124">
        <f>I7-J7</f>
        <v>24611.512777777774</v>
      </c>
      <c r="J9" s="175">
        <f>H9/DAY(B2)</f>
        <v>-9586.5733333333319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'17'!F10</f>
        <v>51481.74</v>
      </c>
      <c r="F10" s="353">
        <v>57422.18</v>
      </c>
      <c r="G10" s="558">
        <f>F10-E10</f>
        <v>5940.4400000000023</v>
      </c>
      <c r="H10" s="99">
        <f>G10+'17'!H10</f>
        <v>-47836.79</v>
      </c>
      <c r="I10" s="282"/>
      <c r="J10" s="175">
        <f>H10/DAY(B2)</f>
        <v>-2657.5994444444445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'17'!F11</f>
        <v>37000</v>
      </c>
      <c r="F11" s="95">
        <v>37170</v>
      </c>
      <c r="G11" s="558">
        <f t="shared" ref="G11:G12" si="0">F11-E11</f>
        <v>170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'17'!F12</f>
        <v>40010</v>
      </c>
      <c r="F12" s="117">
        <v>40010</v>
      </c>
      <c r="G12" s="558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560">
        <f>G9+G10+G11+G12</f>
        <v>17511.070000000007</v>
      </c>
      <c r="H13" s="99">
        <f>G13+'17'!H13</f>
        <v>-237149.54</v>
      </c>
      <c r="I13" s="120">
        <f>G7-G13</f>
        <v>253.92999999999302</v>
      </c>
      <c r="J13" s="175">
        <f>H13/DAY(B2)</f>
        <v>-13174.974444444444</v>
      </c>
      <c r="K13" s="79"/>
      <c r="L13" s="66"/>
      <c r="N13" s="87"/>
      <c r="O13" s="71"/>
    </row>
    <row r="14" spans="1:15" ht="27.75" customHeight="1" x14ac:dyDescent="0.5">
      <c r="A14" s="908" t="s">
        <v>137</v>
      </c>
      <c r="B14" s="909"/>
      <c r="C14" s="910"/>
      <c r="D14" s="111"/>
      <c r="E14" s="111"/>
      <c r="F14" s="111"/>
      <c r="G14" s="56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'17'!F15</f>
        <v>1893340.273</v>
      </c>
      <c r="F15" s="123">
        <v>1894222</v>
      </c>
      <c r="G15" s="558">
        <f>(F15-E15)</f>
        <v>881.7269999999553</v>
      </c>
      <c r="H15" s="99">
        <f>G15+'17'!H15</f>
        <v>18165.233000000007</v>
      </c>
      <c r="I15" s="113">
        <f>'1'!I15</f>
        <v>800</v>
      </c>
      <c r="J15" s="175">
        <f>H15/DAY(B2)</f>
        <v>1009.1796111111115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558"/>
      <c r="H16" s="124"/>
      <c r="I16" s="120">
        <f>I15-J15</f>
        <v>-209.17961111111151</v>
      </c>
      <c r="J16" s="176"/>
      <c r="K16" s="79"/>
      <c r="L16" s="66"/>
      <c r="N16" s="87"/>
      <c r="O16" s="71"/>
    </row>
    <row r="17" spans="1:15" ht="27.75" customHeight="1" x14ac:dyDescent="0.5">
      <c r="A17" s="908" t="s">
        <v>140</v>
      </c>
      <c r="B17" s="909"/>
      <c r="C17" s="910"/>
      <c r="D17" s="111"/>
      <c r="E17" s="111"/>
      <c r="F17" s="111"/>
      <c r="G17" s="561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84" t="s">
        <v>141</v>
      </c>
      <c r="B18" s="885"/>
      <c r="C18" s="886"/>
      <c r="D18" s="151" t="s">
        <v>142</v>
      </c>
      <c r="E18" s="95">
        <f>'17'!F18</f>
        <v>8</v>
      </c>
      <c r="F18" s="122">
        <v>10</v>
      </c>
      <c r="G18" s="560">
        <f>F18*10</f>
        <v>100</v>
      </c>
      <c r="H18" s="99">
        <f>G18+'17'!H18</f>
        <v>3210</v>
      </c>
      <c r="I18" s="113">
        <f>'1'!I18</f>
        <v>65</v>
      </c>
      <c r="J18" s="175">
        <f>H18/DAY(B2)</f>
        <v>178.33333333333334</v>
      </c>
      <c r="K18" s="79"/>
      <c r="L18" s="66"/>
      <c r="N18" s="87"/>
      <c r="O18" s="71"/>
    </row>
    <row r="19" spans="1:15" ht="27.75" customHeight="1" x14ac:dyDescent="0.5">
      <c r="A19" s="884" t="s">
        <v>69</v>
      </c>
      <c r="B19" s="885"/>
      <c r="C19" s="886"/>
      <c r="D19" s="151" t="s">
        <v>142</v>
      </c>
      <c r="E19" s="95">
        <f>'17'!F19</f>
        <v>153125</v>
      </c>
      <c r="F19" s="122">
        <v>153179</v>
      </c>
      <c r="G19" s="558">
        <f t="shared" ref="G19" si="1">F19-E19</f>
        <v>54</v>
      </c>
      <c r="H19" s="99">
        <f>G19+'17'!H19</f>
        <v>-712</v>
      </c>
      <c r="I19" s="335"/>
      <c r="J19" s="175">
        <f>H19/DAY(B2)</f>
        <v>-39.555555555555557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562">
        <f>G18+G19</f>
        <v>154</v>
      </c>
      <c r="H20" s="99">
        <f>G20+'17'!H20</f>
        <v>2498</v>
      </c>
      <c r="I20" s="336">
        <f>I18-J20</f>
        <v>-73.777777777777771</v>
      </c>
      <c r="J20" s="175">
        <f>H20/DAY(B2)</f>
        <v>138.77777777777777</v>
      </c>
      <c r="K20" s="79"/>
      <c r="L20" s="66"/>
      <c r="N20" s="87"/>
      <c r="O20" s="71"/>
    </row>
    <row r="21" spans="1:15" ht="27.75" customHeight="1" x14ac:dyDescent="0.5">
      <c r="A21" s="908" t="s">
        <v>144</v>
      </c>
      <c r="B21" s="909"/>
      <c r="C21" s="910"/>
      <c r="D21" s="111"/>
      <c r="E21" s="111"/>
      <c r="F21" s="111"/>
      <c r="G21" s="56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560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601">
        <f>'17'!F23</f>
        <v>1500</v>
      </c>
      <c r="F23" s="486">
        <v>1390</v>
      </c>
      <c r="G23" s="684">
        <f>-(F23-E23)</f>
        <v>110</v>
      </c>
      <c r="H23" s="99">
        <f>G23+'17'!H23</f>
        <v>110</v>
      </c>
      <c r="I23" s="118"/>
      <c r="J23" s="175">
        <f>H23/DAY(B2)</f>
        <v>6.1111111111111107</v>
      </c>
      <c r="K23" s="79"/>
      <c r="L23" s="66"/>
      <c r="N23" s="685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4970</v>
      </c>
      <c r="G24" s="560">
        <f>SUM(G22:G23)</f>
        <v>110</v>
      </c>
      <c r="H24" s="99">
        <f>G24+'17'!H24</f>
        <v>110</v>
      </c>
      <c r="I24" s="118"/>
      <c r="J24" s="175">
        <f>H24/DAY(B2)</f>
        <v>6.1111111111111107</v>
      </c>
      <c r="K24" s="79"/>
      <c r="L24" s="66"/>
      <c r="N24" s="87"/>
      <c r="O24" s="71"/>
    </row>
    <row r="25" spans="1:15" s="88" customFormat="1" ht="27.75" customHeight="1" x14ac:dyDescent="0.35">
      <c r="A25" s="913" t="s">
        <v>149</v>
      </c>
      <c r="B25" s="914"/>
      <c r="C25" s="915"/>
      <c r="D25" s="110"/>
      <c r="E25" s="110"/>
      <c r="F25" s="110"/>
      <c r="G25" s="563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564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18064.830000000016</v>
      </c>
      <c r="F27" s="136">
        <v>9</v>
      </c>
      <c r="G27" s="565">
        <f>E27*F27</f>
        <v>162583.47000000015</v>
      </c>
      <c r="H27" s="99">
        <f>G27+'17'!H27</f>
        <v>-2094752.88</v>
      </c>
      <c r="I27" s="138"/>
      <c r="J27" s="175">
        <f>H27/DAY(B2)</f>
        <v>-116375.15999999999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881.7269999999553</v>
      </c>
      <c r="F28" s="136">
        <v>52</v>
      </c>
      <c r="G28" s="565">
        <f>E28*F28</f>
        <v>45849.803999997675</v>
      </c>
      <c r="H28" s="99">
        <f>G28+'17'!H28</f>
        <v>977946.11600000039</v>
      </c>
      <c r="I28" s="140"/>
      <c r="J28" s="175">
        <f>H28/DAY(B2)</f>
        <v>54330.339777777801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110</v>
      </c>
      <c r="F29" s="136">
        <v>69</v>
      </c>
      <c r="G29" s="565">
        <f>E29*F29</f>
        <v>7590</v>
      </c>
      <c r="H29" s="99">
        <f>G29+'17'!H29</f>
        <v>7590</v>
      </c>
      <c r="I29" s="140"/>
      <c r="J29" s="175">
        <f>H29/DAY(B2)</f>
        <v>421.66666666666669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565">
        <f>E30*F30</f>
        <v>7884</v>
      </c>
      <c r="H30" s="99">
        <f>G30+'17'!H30</f>
        <v>-111762</v>
      </c>
      <c r="I30" s="140"/>
      <c r="J30" s="175">
        <f>H30/DAY(B2)</f>
        <v>-6209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565">
        <f>E31*F31</f>
        <v>8000</v>
      </c>
      <c r="H31" s="99">
        <f>G31+'17'!H31</f>
        <v>256800</v>
      </c>
      <c r="I31" s="140"/>
      <c r="J31" s="175">
        <f>H31/DAY(B2)</f>
        <v>14266.666666666666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566">
        <f>G27+G28+G29+G30+G31</f>
        <v>231907.27399999782</v>
      </c>
      <c r="H32" s="99">
        <f>G32+'17'!H32</f>
        <v>-964178.7639999995</v>
      </c>
      <c r="I32" s="144"/>
      <c r="J32" s="175">
        <f>H32/DAY(B2)</f>
        <v>-53565.48688888886</v>
      </c>
      <c r="K32" s="63"/>
      <c r="L32" s="89"/>
      <c r="N32" s="87"/>
      <c r="O32" s="71"/>
    </row>
    <row r="33" spans="1:15" ht="27.75" customHeight="1" x14ac:dyDescent="0.35">
      <c r="A33" s="916" t="s">
        <v>331</v>
      </c>
      <c r="B33" s="917"/>
      <c r="C33" s="917"/>
      <c r="D33" s="337"/>
      <c r="E33" s="337"/>
      <c r="F33" s="337"/>
      <c r="G33" s="56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568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'17'!F35</f>
        <v>13093.6</v>
      </c>
      <c r="F35" s="145">
        <v>14485.36</v>
      </c>
      <c r="G35" s="558">
        <f t="shared" ref="G35:G46" si="2">F35-E35</f>
        <v>1391.7600000000002</v>
      </c>
      <c r="H35" s="99">
        <f>G35+'17'!H35</f>
        <v>-17519.619999999995</v>
      </c>
      <c r="I35" s="95"/>
      <c r="J35" s="175">
        <f>H35/DAY(B2)</f>
        <v>-973.31222222222198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'17'!F36</f>
        <v>33474.46</v>
      </c>
      <c r="F36" s="145">
        <v>34075.360000000001</v>
      </c>
      <c r="G36" s="558">
        <f t="shared" si="2"/>
        <v>600.90000000000146</v>
      </c>
      <c r="H36" s="99">
        <f>G36+'17'!H36</f>
        <v>-9383.3799999999974</v>
      </c>
      <c r="I36" s="95"/>
      <c r="J36" s="175">
        <f>H36/DAY(B2)</f>
        <v>-521.29888888888877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'17'!F37</f>
        <v>13321.42</v>
      </c>
      <c r="F37" s="145">
        <v>14883.97</v>
      </c>
      <c r="G37" s="558">
        <f t="shared" si="2"/>
        <v>1562.5499999999993</v>
      </c>
      <c r="H37" s="99">
        <f>G37+'17'!H37</f>
        <v>-20541.12</v>
      </c>
      <c r="I37" s="95"/>
      <c r="J37" s="175">
        <f>H37/DAY(B2)</f>
        <v>-1141.1733333333332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'17'!F38</f>
        <v>14168.16</v>
      </c>
      <c r="F38" s="108">
        <v>15864.46</v>
      </c>
      <c r="G38" s="558">
        <f t="shared" si="2"/>
        <v>1696.2999999999993</v>
      </c>
      <c r="H38" s="99">
        <f>G38+'17'!H38</f>
        <v>-22511.97</v>
      </c>
      <c r="I38" s="95"/>
      <c r="J38" s="175">
        <f>H38/DAY(B2)</f>
        <v>-1250.665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'17'!F39</f>
        <v>22808</v>
      </c>
      <c r="F39" s="145">
        <v>25354.49</v>
      </c>
      <c r="G39" s="558">
        <f t="shared" si="2"/>
        <v>2546.4900000000016</v>
      </c>
      <c r="H39" s="99">
        <f>G39+'17'!H39</f>
        <v>-33818.800000000003</v>
      </c>
      <c r="I39" s="95"/>
      <c r="J39" s="175">
        <f>H39/DAY(B2)</f>
        <v>-1878.8222222222223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488">
        <f>'17'!F40</f>
        <v>13361</v>
      </c>
      <c r="F40" s="549">
        <v>13643.14</v>
      </c>
      <c r="G40" s="683">
        <f t="shared" si="2"/>
        <v>282.13999999999942</v>
      </c>
      <c r="H40" s="99">
        <f>G40+'17'!H40</f>
        <v>-8473.8500000000022</v>
      </c>
      <c r="I40" s="95"/>
      <c r="J40" s="175">
        <f>H40/DAY(B2)</f>
        <v>-470.76944444444456</v>
      </c>
      <c r="K40" s="80"/>
      <c r="L40" s="66"/>
      <c r="N40" s="87">
        <v>7285</v>
      </c>
      <c r="O40" s="71" t="s">
        <v>367</v>
      </c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'17'!F41</f>
        <v>0</v>
      </c>
      <c r="F41" s="145">
        <v>0</v>
      </c>
      <c r="G41" s="558">
        <f t="shared" si="2"/>
        <v>0</v>
      </c>
      <c r="H41" s="99">
        <f>G41+'17'!H41</f>
        <v>-62.73</v>
      </c>
      <c r="I41" s="95"/>
      <c r="J41" s="175">
        <f>H41/DAY(B2)</f>
        <v>-3.4849999999999999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'17'!F42</f>
        <v>73808.600000000006</v>
      </c>
      <c r="F42" s="145">
        <v>73808.600000000006</v>
      </c>
      <c r="G42" s="558">
        <f t="shared" si="2"/>
        <v>0</v>
      </c>
      <c r="H42" s="99">
        <f>G42+'17'!H42</f>
        <v>35730.86</v>
      </c>
      <c r="I42" s="95"/>
      <c r="J42" s="175">
        <f>H42/DAY(B2)</f>
        <v>1985.0477777777778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'17'!F43</f>
        <v>85043.15</v>
      </c>
      <c r="F43" s="145">
        <v>87381.15</v>
      </c>
      <c r="G43" s="558">
        <f t="shared" si="2"/>
        <v>2338</v>
      </c>
      <c r="H43" s="99">
        <f>G43+'17'!H43</f>
        <v>38558.549999999988</v>
      </c>
      <c r="I43" s="95"/>
      <c r="J43" s="175">
        <f>H43/DAY(B2)</f>
        <v>2142.141666666666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558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558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558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560">
        <f>G35+G36+G37+G38+G39+G40+G41+G42+G43+G44+G45+G46</f>
        <v>10418.140000000001</v>
      </c>
      <c r="H47" s="99">
        <f>G47+'17'!H47</f>
        <v>-38022.060000000005</v>
      </c>
      <c r="I47" s="95"/>
      <c r="J47" s="175">
        <f>H47/DAY(B2)</f>
        <v>-2112.336666666667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568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'17'!F49</f>
        <v>11344.61</v>
      </c>
      <c r="F49" s="145">
        <v>12587.33</v>
      </c>
      <c r="G49" s="558">
        <f t="shared" ref="G49:G58" si="3">F49-E49</f>
        <v>1242.7199999999993</v>
      </c>
      <c r="H49" s="99">
        <f>G49+'17'!H49</f>
        <v>-12408.859999999999</v>
      </c>
      <c r="I49" s="95"/>
      <c r="J49" s="175">
        <f>H49/DAY(B2)</f>
        <v>-689.38111111111107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'17'!F50</f>
        <v>41124.53</v>
      </c>
      <c r="F50" s="145">
        <v>42045.93</v>
      </c>
      <c r="G50" s="558">
        <f t="shared" si="3"/>
        <v>921.40000000000146</v>
      </c>
      <c r="H50" s="99">
        <f>G50+'17'!H50</f>
        <v>-14340.699999999997</v>
      </c>
      <c r="I50" s="95"/>
      <c r="J50" s="175">
        <f>H50/DAY(B2)</f>
        <v>-796.70555555555541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'17'!F51</f>
        <v>0</v>
      </c>
      <c r="F51" s="145">
        <v>0</v>
      </c>
      <c r="G51" s="558">
        <f t="shared" si="3"/>
        <v>0</v>
      </c>
      <c r="H51" s="99">
        <f>G51+'17'!H51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'17'!F52</f>
        <v>0</v>
      </c>
      <c r="F52" s="145">
        <v>0</v>
      </c>
      <c r="G52" s="558">
        <f t="shared" si="3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558">
        <f t="shared" si="3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'17'!F54</f>
        <v>4789.7</v>
      </c>
      <c r="F54" s="145">
        <v>5147.42</v>
      </c>
      <c r="G54" s="558">
        <f t="shared" si="3"/>
        <v>357.72000000000025</v>
      </c>
      <c r="H54" s="99">
        <f>G54+'17'!H54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'17'!F55</f>
        <v>54749.17</v>
      </c>
      <c r="F55" s="145">
        <v>57839.69</v>
      </c>
      <c r="G55" s="558">
        <f t="shared" si="3"/>
        <v>3090.5200000000041</v>
      </c>
      <c r="H55" s="99">
        <f>G55+'17'!H55</f>
        <v>-16526.419999999998</v>
      </c>
      <c r="I55" s="95"/>
      <c r="J55" s="175">
        <f>H55/DAY(B2)</f>
        <v>-918.1344444444444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'17'!F56</f>
        <v>8610.5400000000009</v>
      </c>
      <c r="F56" s="145">
        <v>8610.5400000000009</v>
      </c>
      <c r="G56" s="558">
        <f t="shared" si="3"/>
        <v>0</v>
      </c>
      <c r="H56" s="99">
        <f>G56+'17'!H56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558">
        <f t="shared" si="3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'17'!F58</f>
        <v>2016.6</v>
      </c>
      <c r="F58" s="145">
        <v>2148.48</v>
      </c>
      <c r="G58" s="558">
        <f t="shared" si="3"/>
        <v>131.88000000000011</v>
      </c>
      <c r="H58" s="99">
        <f>G58+'17'!H58</f>
        <v>-2647.73</v>
      </c>
      <c r="I58" s="95"/>
      <c r="J58" s="175">
        <f>H58/DAY(B2)</f>
        <v>-147.0961111111111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560">
        <f>G49+G50+G51+G52+G53+G54+G55+G56+G57+G58</f>
        <v>5744.2400000000052</v>
      </c>
      <c r="H59" s="99">
        <f>G59+'17'!H59</f>
        <v>-45923.710000000006</v>
      </c>
      <c r="I59" s="95">
        <f>G7-G60</f>
        <v>1602.6199999999935</v>
      </c>
      <c r="J59" s="175">
        <f>H59/DAY(B2)</f>
        <v>-2551.3172222222224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560">
        <f>G47+G59</f>
        <v>16162.380000000006</v>
      </c>
      <c r="H60" s="99">
        <f>G60+'17'!H60</f>
        <v>-83945.770000000019</v>
      </c>
      <c r="I60" s="95">
        <f>G13-G60</f>
        <v>1348.6900000000005</v>
      </c>
      <c r="J60" s="175">
        <f>H60/DAY(B2)</f>
        <v>-4663.6538888888899</v>
      </c>
      <c r="K60" s="79"/>
      <c r="L60" s="66"/>
      <c r="N60" s="87"/>
      <c r="O60" s="71"/>
    </row>
    <row r="61" spans="1:15" s="68" customFormat="1" ht="27.75" customHeight="1" x14ac:dyDescent="0.5">
      <c r="A61" s="918" t="s">
        <v>332</v>
      </c>
      <c r="B61" s="919"/>
      <c r="C61" s="920"/>
      <c r="D61" s="339"/>
      <c r="E61" s="339"/>
      <c r="F61" s="339"/>
      <c r="G61" s="569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84" t="s">
        <v>198</v>
      </c>
      <c r="B62" s="885"/>
      <c r="C62" s="886"/>
      <c r="D62" s="151" t="s">
        <v>142</v>
      </c>
      <c r="E62" s="95">
        <f>'17'!F62</f>
        <v>268239</v>
      </c>
      <c r="F62" s="122">
        <v>268308</v>
      </c>
      <c r="G62" s="558">
        <f t="shared" ref="G62:G63" si="4">F62-E62</f>
        <v>69</v>
      </c>
      <c r="H62" s="99">
        <f>G62+'17'!H62</f>
        <v>-1208</v>
      </c>
      <c r="I62" s="118"/>
      <c r="J62" s="175">
        <f>H62/DAY(B2)</f>
        <v>-67.111111111111114</v>
      </c>
      <c r="K62" s="80"/>
      <c r="L62" s="66"/>
      <c r="N62" s="87"/>
      <c r="O62" s="71"/>
    </row>
    <row r="63" spans="1:15" ht="27.75" customHeight="1" x14ac:dyDescent="0.5">
      <c r="A63" s="884" t="s">
        <v>199</v>
      </c>
      <c r="B63" s="885"/>
      <c r="C63" s="886"/>
      <c r="D63" s="151" t="s">
        <v>142</v>
      </c>
      <c r="E63" s="95">
        <f>'17'!F63</f>
        <v>214118</v>
      </c>
      <c r="F63" s="122">
        <v>214242</v>
      </c>
      <c r="G63" s="558">
        <f t="shared" si="4"/>
        <v>124</v>
      </c>
      <c r="H63" s="99">
        <f>G63+'17'!H63</f>
        <v>2166</v>
      </c>
      <c r="I63" s="118"/>
      <c r="J63" s="175">
        <f>H63/DAY(B2)</f>
        <v>120.33333333333333</v>
      </c>
      <c r="K63" s="69"/>
      <c r="L63" s="66"/>
      <c r="N63" s="87"/>
      <c r="O63" s="71"/>
    </row>
    <row r="64" spans="1:15" ht="27.75" customHeight="1" x14ac:dyDescent="0.5">
      <c r="A64" s="893" t="s">
        <v>200</v>
      </c>
      <c r="B64" s="894"/>
      <c r="C64" s="895"/>
      <c r="D64" s="151"/>
      <c r="E64" s="95">
        <f>'17'!F64</f>
        <v>0</v>
      </c>
      <c r="F64" s="122"/>
      <c r="G64" s="558">
        <f>G62+G63</f>
        <v>193</v>
      </c>
      <c r="H64" s="99">
        <f>G64+'17'!H64</f>
        <v>958</v>
      </c>
      <c r="I64" s="118"/>
      <c r="J64" s="175">
        <f>H64/DAY(B2)</f>
        <v>53.222222222222221</v>
      </c>
      <c r="K64" s="69"/>
      <c r="L64" s="66"/>
      <c r="N64" s="87"/>
      <c r="O64" s="71"/>
    </row>
    <row r="65" spans="1:15" ht="27.75" customHeight="1" x14ac:dyDescent="0.5">
      <c r="A65" s="884" t="s">
        <v>201</v>
      </c>
      <c r="B65" s="885"/>
      <c r="C65" s="886"/>
      <c r="D65" s="151" t="s">
        <v>142</v>
      </c>
      <c r="E65" s="95">
        <f>'17'!F65</f>
        <v>433792</v>
      </c>
      <c r="F65" s="122">
        <v>433856</v>
      </c>
      <c r="G65" s="558">
        <f t="shared" ref="G65:G70" si="5">F65-E65</f>
        <v>64</v>
      </c>
      <c r="H65" s="99">
        <f>G65+'17'!H65</f>
        <v>-1067</v>
      </c>
      <c r="I65" s="118"/>
      <c r="J65" s="175">
        <f>H65/DAY(B2)</f>
        <v>-59.277777777777779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'17'!F66</f>
        <v>107508</v>
      </c>
      <c r="F66" s="122">
        <v>107519</v>
      </c>
      <c r="G66" s="558">
        <f t="shared" si="5"/>
        <v>11</v>
      </c>
      <c r="H66" s="99">
        <f>G66+'17'!H66</f>
        <v>-224</v>
      </c>
      <c r="I66" s="118"/>
      <c r="J66" s="175">
        <f>H66/DAY(B2)</f>
        <v>-12.444444444444445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'17'!F67</f>
        <v>104322</v>
      </c>
      <c r="F67" s="122">
        <v>104344</v>
      </c>
      <c r="G67" s="558">
        <f t="shared" si="5"/>
        <v>22</v>
      </c>
      <c r="H67" s="99">
        <f>G67+'17'!H67</f>
        <v>-304</v>
      </c>
      <c r="I67" s="118"/>
      <c r="J67" s="175">
        <f>H67/DAY(B2)</f>
        <v>-16.888888888888889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'17'!F68</f>
        <v>157058</v>
      </c>
      <c r="F68" s="122">
        <v>157113</v>
      </c>
      <c r="G68" s="558">
        <f t="shared" si="5"/>
        <v>55</v>
      </c>
      <c r="H68" s="99">
        <f>G68+'17'!H68</f>
        <v>-584</v>
      </c>
      <c r="I68" s="118"/>
      <c r="J68" s="175">
        <f>H68/DAY(B2)</f>
        <v>-32.444444444444443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'17'!F69</f>
        <v>10377</v>
      </c>
      <c r="F69" s="122">
        <v>10389</v>
      </c>
      <c r="G69" s="558">
        <f t="shared" si="5"/>
        <v>12</v>
      </c>
      <c r="H69" s="99">
        <f>G69+'17'!H69</f>
        <v>-152</v>
      </c>
      <c r="I69" s="118"/>
      <c r="J69" s="175">
        <f>H69/DAY(B2)</f>
        <v>-8.4444444444444446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'17'!F70</f>
        <v>7991</v>
      </c>
      <c r="F70" s="122">
        <v>7995</v>
      </c>
      <c r="G70" s="558">
        <f t="shared" si="5"/>
        <v>4</v>
      </c>
      <c r="H70" s="99">
        <f>G70+'17'!H70</f>
        <v>-125</v>
      </c>
      <c r="I70" s="118"/>
      <c r="J70" s="175">
        <f>H70/DAY(B2)</f>
        <v>-6.9444444444444446</v>
      </c>
      <c r="K70" s="69"/>
      <c r="L70" s="66"/>
      <c r="N70" s="87"/>
      <c r="O70" s="71"/>
    </row>
    <row r="71" spans="1:15" ht="27.75" customHeight="1" x14ac:dyDescent="0.5">
      <c r="A71" s="893" t="s">
        <v>208</v>
      </c>
      <c r="B71" s="894"/>
      <c r="C71" s="895"/>
      <c r="D71" s="152"/>
      <c r="E71" s="152"/>
      <c r="F71" s="152"/>
      <c r="G71" s="570">
        <f>SUM(G65:G70)</f>
        <v>168</v>
      </c>
      <c r="H71" s="99">
        <f>G71+'17'!H71</f>
        <v>-2456</v>
      </c>
      <c r="I71" s="154"/>
      <c r="J71" s="175">
        <f>H71/DAY(B2)</f>
        <v>-136.44444444444446</v>
      </c>
      <c r="K71" s="69"/>
      <c r="L71" s="66"/>
      <c r="N71" s="87"/>
      <c r="O71" s="71"/>
    </row>
    <row r="72" spans="1:15" s="88" customFormat="1" ht="27.75" customHeight="1" x14ac:dyDescent="0.5">
      <c r="A72" s="880"/>
      <c r="B72" s="865"/>
      <c r="C72" s="347"/>
      <c r="D72" s="180"/>
      <c r="E72" s="180" t="s">
        <v>207</v>
      </c>
      <c r="F72" s="180"/>
      <c r="G72" s="571"/>
      <c r="H72" s="181"/>
      <c r="I72" s="180"/>
      <c r="J72" s="182"/>
      <c r="N72" s="87"/>
      <c r="O72" s="71"/>
    </row>
    <row r="73" spans="1:15" ht="27.75" customHeight="1" x14ac:dyDescent="0.5">
      <c r="A73" s="890" t="s">
        <v>333</v>
      </c>
      <c r="B73" s="891"/>
      <c r="C73" s="892"/>
      <c r="D73" s="339"/>
      <c r="E73" s="339"/>
      <c r="F73" s="339"/>
      <c r="G73" s="569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84" t="s">
        <v>220</v>
      </c>
      <c r="B74" s="885"/>
      <c r="C74" s="886"/>
      <c r="D74" s="151" t="s">
        <v>139</v>
      </c>
      <c r="E74" s="95">
        <f>'17'!F74</f>
        <v>897080.9</v>
      </c>
      <c r="F74" s="123">
        <v>897366.15</v>
      </c>
      <c r="G74" s="558">
        <f>F74-E74</f>
        <v>285.25</v>
      </c>
      <c r="H74" s="99">
        <f>G74+'17'!H74</f>
        <v>-3939.9989999999525</v>
      </c>
      <c r="I74" s="154"/>
      <c r="J74" s="175">
        <f>H74/DAY(B2)</f>
        <v>-218.88883333333069</v>
      </c>
      <c r="K74" s="69"/>
      <c r="L74" s="66"/>
      <c r="N74" s="87"/>
      <c r="O74" s="71"/>
    </row>
    <row r="75" spans="1:15" ht="27.75" customHeight="1" x14ac:dyDescent="0.5">
      <c r="A75" s="884" t="s">
        <v>221</v>
      </c>
      <c r="B75" s="885"/>
      <c r="C75" s="886"/>
      <c r="D75" s="151" t="s">
        <v>139</v>
      </c>
      <c r="E75" s="95">
        <f>'17'!F75</f>
        <v>73586.8</v>
      </c>
      <c r="F75" s="492">
        <v>73586.8</v>
      </c>
      <c r="G75" s="558">
        <f t="shared" ref="G75:G78" si="6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881" t="s">
        <v>222</v>
      </c>
      <c r="B76" s="882"/>
      <c r="C76" s="883"/>
      <c r="D76" s="151" t="s">
        <v>139</v>
      </c>
      <c r="E76" s="95">
        <f>'17'!F76</f>
        <v>168630.5</v>
      </c>
      <c r="F76" s="123">
        <v>168711</v>
      </c>
      <c r="G76" s="558">
        <f>F76-E76</f>
        <v>80.5</v>
      </c>
      <c r="H76" s="99">
        <f>G76+'17'!H76</f>
        <v>-1264</v>
      </c>
      <c r="I76" s="154"/>
      <c r="J76" s="175">
        <f>H76/DAY(B2)</f>
        <v>-70.222222222222229</v>
      </c>
      <c r="K76" s="69"/>
      <c r="L76" s="66"/>
      <c r="N76" s="87"/>
      <c r="O76" s="71"/>
    </row>
    <row r="77" spans="1:15" ht="27.75" customHeight="1" x14ac:dyDescent="0.5">
      <c r="A77" s="881" t="s">
        <v>223</v>
      </c>
      <c r="B77" s="882"/>
      <c r="C77" s="883"/>
      <c r="D77" s="151" t="s">
        <v>139</v>
      </c>
      <c r="E77" s="95">
        <f>'17'!F77</f>
        <v>40821.300000000003</v>
      </c>
      <c r="F77" s="123">
        <v>40844</v>
      </c>
      <c r="G77" s="558">
        <f t="shared" si="6"/>
        <v>22.69999999999709</v>
      </c>
      <c r="H77" s="99">
        <f>G77+'17'!H77</f>
        <v>-458.19999999999709</v>
      </c>
      <c r="I77" s="154"/>
      <c r="J77" s="175">
        <f>H77/DAY(B2)</f>
        <v>-25.455555555555392</v>
      </c>
      <c r="K77" s="69"/>
      <c r="L77" s="66"/>
      <c r="N77" s="87"/>
      <c r="O77" s="71"/>
    </row>
    <row r="78" spans="1:15" ht="27.75" customHeight="1" x14ac:dyDescent="0.5">
      <c r="A78" s="881" t="s">
        <v>224</v>
      </c>
      <c r="B78" s="882"/>
      <c r="C78" s="883"/>
      <c r="D78" s="151" t="s">
        <v>139</v>
      </c>
      <c r="E78" s="95">
        <f>'17'!F78</f>
        <v>9499</v>
      </c>
      <c r="F78" s="123">
        <v>9500</v>
      </c>
      <c r="G78" s="558">
        <f t="shared" si="6"/>
        <v>1</v>
      </c>
      <c r="H78" s="99">
        <f>G78+'17'!H78</f>
        <v>-16</v>
      </c>
      <c r="I78" s="118"/>
      <c r="J78" s="175">
        <f>H78/DAY(B2)</f>
        <v>-0.88888888888888884</v>
      </c>
      <c r="K78" s="69"/>
      <c r="L78" s="66"/>
      <c r="N78" s="87"/>
      <c r="O78" s="71"/>
    </row>
    <row r="79" spans="1:15" s="57" customFormat="1" ht="27.75" customHeight="1" x14ac:dyDescent="0.5">
      <c r="A79" s="881" t="s">
        <v>225</v>
      </c>
      <c r="B79" s="882"/>
      <c r="C79" s="883"/>
      <c r="D79" s="151"/>
      <c r="E79" s="95">
        <f>'17'!F79</f>
        <v>0</v>
      </c>
      <c r="F79" s="123">
        <v>0</v>
      </c>
      <c r="G79" s="558">
        <f>G15-SUM(G74:G78)</f>
        <v>492.27699999995821</v>
      </c>
      <c r="H79" s="99">
        <f>G79+'17'!H79</f>
        <v>23843.431999999957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93" t="s">
        <v>329</v>
      </c>
      <c r="B80" s="894"/>
      <c r="C80" s="895"/>
      <c r="D80" s="151"/>
      <c r="E80" s="117"/>
      <c r="F80" s="117"/>
      <c r="G80" s="558">
        <f>SUM(G74:G79)</f>
        <v>881.7269999999553</v>
      </c>
      <c r="H80" s="99">
        <f>G80+'17'!H80</f>
        <v>881.7269999999553</v>
      </c>
      <c r="I80" s="118"/>
      <c r="J80" s="175"/>
      <c r="K80" s="59"/>
      <c r="L80" s="58"/>
      <c r="N80" s="87"/>
      <c r="O80" s="71"/>
    </row>
    <row r="81" spans="1:15" ht="27.75" customHeight="1" x14ac:dyDescent="0.4">
      <c r="A81" s="898" t="s">
        <v>226</v>
      </c>
      <c r="B81" s="899"/>
      <c r="C81" s="900"/>
      <c r="D81" s="110"/>
      <c r="E81" s="110"/>
      <c r="F81" s="110"/>
      <c r="G81" s="572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558">
        <f t="shared" ref="G82:G92" si="7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558">
        <f t="shared" si="7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'17'!F84</f>
        <v>41675.26</v>
      </c>
      <c r="F84" s="164">
        <v>41675.26</v>
      </c>
      <c r="G84" s="558">
        <f>F84-E84</f>
        <v>0</v>
      </c>
      <c r="H84" s="99">
        <f>G84+'17'!H84</f>
        <v>0.26000000000203727</v>
      </c>
      <c r="I84" s="118"/>
      <c r="J84" s="175">
        <f>H84/DAY(B2)</f>
        <v>1.4444444444557626E-2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'17'!F85</f>
        <v>2096.5500000000002</v>
      </c>
      <c r="F85" s="164">
        <v>2096.5500000000002</v>
      </c>
      <c r="G85" s="558">
        <f t="shared" si="7"/>
        <v>0</v>
      </c>
      <c r="H85" s="99">
        <f>G85+'17'!H85</f>
        <v>-163.86999999999989</v>
      </c>
      <c r="I85" s="118">
        <f>G82+G83+G84+G85</f>
        <v>0</v>
      </c>
      <c r="J85" s="175">
        <f>H85/DAY(B2)</f>
        <v>-9.103888888888882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'17'!F86</f>
        <v>43272.04</v>
      </c>
      <c r="F86" s="164">
        <v>43296.06</v>
      </c>
      <c r="G86" s="558">
        <f t="shared" si="7"/>
        <v>24.019999999996799</v>
      </c>
      <c r="H86" s="99">
        <f>G86+'17'!H86</f>
        <v>-145.94000000000233</v>
      </c>
      <c r="I86" s="118"/>
      <c r="J86" s="175">
        <f>H86/DAY(B2)</f>
        <v>-8.1077777777779065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'17'!F87</f>
        <v>34598.550000000003</v>
      </c>
      <c r="F87" s="164">
        <v>34598.550000000003</v>
      </c>
      <c r="G87" s="558">
        <f t="shared" si="7"/>
        <v>0</v>
      </c>
      <c r="H87" s="99">
        <f>G87+'17'!H87</f>
        <v>5.0000000002910383E-2</v>
      </c>
      <c r="I87" s="118"/>
      <c r="J87" s="175">
        <f>H87/DAY(B2)</f>
        <v>2.7777777779394658E-3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'17'!F88</f>
        <v>24059.29</v>
      </c>
      <c r="F88" s="164">
        <v>24061.16</v>
      </c>
      <c r="G88" s="558">
        <f t="shared" si="7"/>
        <v>1.8699999999989814</v>
      </c>
      <c r="H88" s="99">
        <f>G88+'17'!H88</f>
        <v>-2.2700000000004366</v>
      </c>
      <c r="I88" s="118">
        <f>G86+G87+G88</f>
        <v>25.88999999999578</v>
      </c>
      <c r="J88" s="175">
        <f>H88/DAY(B2)</f>
        <v>-0.12611111111113538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'17'!F89</f>
        <v>25764.63</v>
      </c>
      <c r="F89" s="164">
        <v>25772.05</v>
      </c>
      <c r="G89" s="558">
        <f t="shared" si="7"/>
        <v>7.4199999999982538</v>
      </c>
      <c r="H89" s="99">
        <f>G89+'17'!H89</f>
        <v>-119.06999999999971</v>
      </c>
      <c r="I89" s="118"/>
      <c r="J89" s="175">
        <f>H89/DAY(B2)</f>
        <v>-6.6149999999999842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'17'!F90</f>
        <v>71131</v>
      </c>
      <c r="F90" s="164">
        <v>71131.710000000006</v>
      </c>
      <c r="G90" s="558">
        <f t="shared" si="7"/>
        <v>0.71000000000640284</v>
      </c>
      <c r="H90" s="99">
        <f>G90+'17'!H90</f>
        <v>-31.610000000000582</v>
      </c>
      <c r="I90" s="118">
        <f>G89+G90</f>
        <v>8.1300000000046566</v>
      </c>
      <c r="J90" s="175">
        <f>H90/DAY(B2)</f>
        <v>-1.7561111111111434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'17'!F91</f>
        <v>3226.32</v>
      </c>
      <c r="F91" s="122">
        <v>3226.32</v>
      </c>
      <c r="G91" s="558">
        <f t="shared" si="7"/>
        <v>0</v>
      </c>
      <c r="H91" s="99">
        <f>G91+'17'!H91</f>
        <v>-24.769999999999982</v>
      </c>
      <c r="I91" s="165"/>
      <c r="J91" s="175">
        <f>H91/DAY(B2)</f>
        <v>-1.3761111111111102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'17'!F92</f>
        <v>5615.26</v>
      </c>
      <c r="F92" s="122">
        <v>5625.33</v>
      </c>
      <c r="G92" s="558">
        <f t="shared" si="7"/>
        <v>10.069999999999709</v>
      </c>
      <c r="H92" s="99">
        <f>G92+'17'!H92</f>
        <v>-115.73999999999978</v>
      </c>
      <c r="I92" s="165"/>
      <c r="J92" s="175">
        <f>H92/DAY(B2)</f>
        <v>-6.4299999999999882</v>
      </c>
      <c r="O92" s="71"/>
    </row>
    <row r="93" spans="1:15" ht="27.75" customHeight="1" x14ac:dyDescent="0.5">
      <c r="A93" s="887" t="s">
        <v>239</v>
      </c>
      <c r="B93" s="888"/>
      <c r="C93" s="889"/>
      <c r="D93" s="111"/>
      <c r="E93" s="111"/>
      <c r="F93" s="111"/>
      <c r="G93" s="561"/>
      <c r="H93" s="121"/>
      <c r="I93" s="121"/>
      <c r="J93" s="183"/>
      <c r="K93" s="69"/>
      <c r="L93" s="66"/>
      <c r="O93" s="71"/>
    </row>
    <row r="94" spans="1:15" ht="27.75" customHeight="1" x14ac:dyDescent="0.5">
      <c r="A94" s="884" t="s">
        <v>240</v>
      </c>
      <c r="B94" s="885"/>
      <c r="C94" s="886"/>
      <c r="D94" s="151" t="s">
        <v>130</v>
      </c>
      <c r="E94" s="151"/>
      <c r="F94" s="151"/>
      <c r="G94" s="573">
        <f>G35+G43+G49+G57</f>
        <v>4972.4799999999996</v>
      </c>
      <c r="H94" s="99">
        <f>G94+'17'!H94</f>
        <v>8630.0699999999906</v>
      </c>
      <c r="I94" s="118"/>
      <c r="J94" s="175">
        <f>H94/DAY(B2)</f>
        <v>479.44833333333281</v>
      </c>
      <c r="K94" s="69"/>
      <c r="L94" s="66"/>
      <c r="O94" s="71"/>
    </row>
    <row r="95" spans="1:15" ht="27.75" customHeight="1" x14ac:dyDescent="0.5">
      <c r="A95" s="884" t="s">
        <v>241</v>
      </c>
      <c r="B95" s="885"/>
      <c r="C95" s="886"/>
      <c r="D95" s="151" t="s">
        <v>23</v>
      </c>
      <c r="E95" s="146"/>
      <c r="F95" s="146"/>
      <c r="G95" s="574">
        <f>G94/G7</f>
        <v>0.27990318041092033</v>
      </c>
      <c r="H95" s="99">
        <f>G95+'17'!H95</f>
        <v>4.4560789832395198</v>
      </c>
      <c r="I95" s="167"/>
      <c r="J95" s="175">
        <f>H95/DAY(B2)</f>
        <v>0.24755994351330665</v>
      </c>
      <c r="K95" s="69"/>
      <c r="L95" s="66"/>
      <c r="O95" s="71"/>
    </row>
    <row r="96" spans="1:15" ht="27.75" customHeight="1" x14ac:dyDescent="0.5">
      <c r="A96" s="884" t="s">
        <v>242</v>
      </c>
      <c r="B96" s="885"/>
      <c r="C96" s="886"/>
      <c r="D96" s="151" t="s">
        <v>130</v>
      </c>
      <c r="E96" s="95"/>
      <c r="F96" s="95"/>
      <c r="G96" s="573">
        <f>G41+G42+G55+G56</f>
        <v>3090.5200000000041</v>
      </c>
      <c r="H96" s="99">
        <f>G96+'17'!H96</f>
        <v>19141.71</v>
      </c>
      <c r="I96" s="118"/>
      <c r="J96" s="175">
        <f>H96/DAY(B2)</f>
        <v>1063.4283333333333</v>
      </c>
      <c r="K96" s="69"/>
      <c r="L96" s="66"/>
      <c r="O96" s="71"/>
    </row>
    <row r="97" spans="1:15" ht="27.75" customHeight="1" x14ac:dyDescent="0.5">
      <c r="A97" s="884" t="s">
        <v>243</v>
      </c>
      <c r="B97" s="885"/>
      <c r="C97" s="886"/>
      <c r="D97" s="151" t="s">
        <v>23</v>
      </c>
      <c r="E97" s="95"/>
      <c r="F97" s="95"/>
      <c r="G97" s="574">
        <f>G96/G7</f>
        <v>0.17396678862932755</v>
      </c>
      <c r="H97" s="99">
        <f>G97+'17'!H97</f>
        <v>3.3740305800916235</v>
      </c>
      <c r="I97" s="167"/>
      <c r="J97" s="175">
        <f>H97/DAY(B2)</f>
        <v>0.18744614333842352</v>
      </c>
      <c r="K97" s="69"/>
      <c r="L97" s="66"/>
      <c r="O97" s="71"/>
    </row>
    <row r="98" spans="1:15" ht="27.75" customHeight="1" x14ac:dyDescent="0.5">
      <c r="A98" s="884" t="s">
        <v>244</v>
      </c>
      <c r="B98" s="885"/>
      <c r="C98" s="886"/>
      <c r="D98" s="151" t="s">
        <v>130</v>
      </c>
      <c r="E98" s="95"/>
      <c r="F98" s="95"/>
      <c r="G98" s="573">
        <f>G39+G53</f>
        <v>2546.4900000000016</v>
      </c>
      <c r="H98" s="99">
        <f>G98+'17'!H98</f>
        <v>-33818.800000000003</v>
      </c>
      <c r="I98" s="168"/>
      <c r="J98" s="175">
        <f>H98/DAY(B2)</f>
        <v>-1878.8222222222223</v>
      </c>
      <c r="K98" s="69"/>
      <c r="L98" s="66"/>
      <c r="O98" s="71"/>
    </row>
    <row r="99" spans="1:15" ht="27.75" customHeight="1" x14ac:dyDescent="0.5">
      <c r="A99" s="884" t="s">
        <v>245</v>
      </c>
      <c r="B99" s="885"/>
      <c r="C99" s="886"/>
      <c r="D99" s="151" t="s">
        <v>23</v>
      </c>
      <c r="E99" s="95"/>
      <c r="F99" s="95"/>
      <c r="G99" s="574">
        <f>G98/G7</f>
        <v>0.14334309034618642</v>
      </c>
      <c r="H99" s="99">
        <f>G99+'17'!H99</f>
        <v>2.6302143494676615</v>
      </c>
      <c r="I99" s="168"/>
      <c r="J99" s="175">
        <f>H99/DAY(B2)</f>
        <v>0.14612301941487008</v>
      </c>
      <c r="O99" s="71"/>
    </row>
    <row r="100" spans="1:15" ht="27.75" customHeight="1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573">
        <f>G38+G52</f>
        <v>1696.2999999999993</v>
      </c>
      <c r="H100" s="99">
        <f>G100+'17'!H100</f>
        <v>-22511.97</v>
      </c>
      <c r="I100" s="118"/>
      <c r="J100" s="175">
        <f>H100/DAY(B2)</f>
        <v>-1250.665</v>
      </c>
      <c r="K100" s="70"/>
      <c r="O100" s="71"/>
    </row>
    <row r="101" spans="1:15" ht="27.75" customHeight="1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574">
        <f>G100/G7</f>
        <v>9.5485505206867397E-2</v>
      </c>
      <c r="H101" s="99">
        <f>G101+'17'!H101</f>
        <v>1.7005863762745725</v>
      </c>
      <c r="I101" s="168"/>
      <c r="J101" s="175">
        <f>H101/DAY(B2)</f>
        <v>9.4477020904142922E-2</v>
      </c>
      <c r="O101" s="71"/>
    </row>
    <row r="102" spans="1:15" ht="27.75" customHeight="1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573">
        <f>G36+G50</f>
        <v>1522.3000000000029</v>
      </c>
      <c r="H102" s="99">
        <f>G102+'17'!H102</f>
        <v>-23724.079999999994</v>
      </c>
      <c r="I102" s="168"/>
      <c r="J102" s="175">
        <f>H102/DAY(B2)</f>
        <v>-1318.0044444444441</v>
      </c>
      <c r="O102" s="71"/>
    </row>
    <row r="103" spans="1:15" ht="27.75" customHeight="1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574">
        <f>G102/G7</f>
        <v>8.5690965381368028E-2</v>
      </c>
      <c r="H103" s="99">
        <f>G103+'17'!H103</f>
        <v>1.8522562978568939</v>
      </c>
      <c r="I103" s="118"/>
      <c r="J103" s="175">
        <f>H103/DAY(B2)</f>
        <v>0.10290312765871633</v>
      </c>
      <c r="O103" s="71"/>
    </row>
    <row r="104" spans="1:15" ht="27.75" customHeight="1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573">
        <f>G37+G51</f>
        <v>1562.5499999999993</v>
      </c>
      <c r="H104" s="99">
        <f>G104+'17'!H104</f>
        <v>-20541.12</v>
      </c>
      <c r="I104" s="118"/>
      <c r="J104" s="175">
        <f>H104/DAY(B2)</f>
        <v>-1141.1733333333332</v>
      </c>
      <c r="O104" s="71"/>
    </row>
    <row r="105" spans="1:15" ht="27.75" customHeight="1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575">
        <f>G104/G7</f>
        <v>8.7956656346749179E-2</v>
      </c>
      <c r="H105" s="99">
        <f>G105+'17'!H105</f>
        <v>1.5061581109731699</v>
      </c>
      <c r="I105" s="187"/>
      <c r="J105" s="188">
        <f>H105/DAY(B2)</f>
        <v>8.3675450609620547E-2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576"/>
      <c r="H106" s="170"/>
      <c r="I106" s="169"/>
      <c r="J106" s="171"/>
      <c r="O106" s="71"/>
    </row>
    <row r="108" spans="1:15" ht="27.75" customHeight="1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7.75" customHeight="1" x14ac:dyDescent="0.5">
      <c r="A109" s="901"/>
      <c r="B109" s="901"/>
    </row>
    <row r="110" spans="1:15" ht="27.75" customHeight="1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customHeight="1" x14ac:dyDescent="0.5">
      <c r="A111" s="867"/>
      <c r="B111" s="868"/>
      <c r="C111" s="869"/>
      <c r="D111" s="165"/>
      <c r="E111" s="165"/>
      <c r="F111" s="165"/>
      <c r="G111" s="578"/>
      <c r="H111" s="156"/>
      <c r="I111" s="165"/>
      <c r="J111" s="327"/>
    </row>
    <row r="112" spans="1:15" ht="27.75" customHeight="1" x14ac:dyDescent="0.5">
      <c r="A112" s="863" t="s">
        <v>252</v>
      </c>
      <c r="B112" s="864"/>
      <c r="C112" s="865"/>
      <c r="D112" s="146" t="s">
        <v>183</v>
      </c>
      <c r="E112" s="95">
        <f>'17'!F112</f>
        <v>56964</v>
      </c>
      <c r="F112" s="237">
        <v>57044.5</v>
      </c>
      <c r="G112" s="558">
        <f t="shared" ref="G112:G123" si="8">F112-E112</f>
        <v>80.5</v>
      </c>
      <c r="H112" s="99">
        <f>G112+'17'!H112</f>
        <v>-1009.5</v>
      </c>
      <c r="I112" s="165"/>
      <c r="J112" s="328">
        <f>H112/DAY(B2)</f>
        <v>-56.083333333333336</v>
      </c>
    </row>
    <row r="113" spans="1:18" ht="27.75" customHeight="1" x14ac:dyDescent="0.5">
      <c r="A113" s="863" t="s">
        <v>253</v>
      </c>
      <c r="B113" s="864"/>
      <c r="C113" s="865"/>
      <c r="D113" s="146" t="s">
        <v>183</v>
      </c>
      <c r="E113" s="95">
        <f>'17'!F113</f>
        <v>39860.839999999997</v>
      </c>
      <c r="F113" s="237">
        <v>40324.26</v>
      </c>
      <c r="G113" s="558">
        <f t="shared" si="8"/>
        <v>463.42000000000553</v>
      </c>
      <c r="H113" s="99">
        <f>G113+'17'!H113</f>
        <v>-6076.6299999999974</v>
      </c>
      <c r="I113" s="165"/>
      <c r="J113" s="328">
        <f>H113/DAY(B2)</f>
        <v>-337.5905555555554</v>
      </c>
    </row>
    <row r="114" spans="1:18" ht="27.75" customHeight="1" x14ac:dyDescent="0.5">
      <c r="A114" s="863" t="s">
        <v>254</v>
      </c>
      <c r="B114" s="864"/>
      <c r="C114" s="865"/>
      <c r="D114" s="146" t="s">
        <v>183</v>
      </c>
      <c r="E114" s="95">
        <f>'17'!F114</f>
        <v>29371</v>
      </c>
      <c r="F114" s="237">
        <v>29635.1</v>
      </c>
      <c r="G114" s="558">
        <f t="shared" si="8"/>
        <v>264.09999999999854</v>
      </c>
      <c r="H114" s="99">
        <f>G114+'17'!H114</f>
        <v>-3658.5000000000018</v>
      </c>
      <c r="I114" s="165"/>
      <c r="J114" s="328">
        <f>H114/DAY(B2)</f>
        <v>-203.25000000000011</v>
      </c>
    </row>
    <row r="115" spans="1:18" ht="27.75" customHeight="1" x14ac:dyDescent="0.5">
      <c r="A115" s="863" t="s">
        <v>255</v>
      </c>
      <c r="B115" s="864"/>
      <c r="C115" s="865"/>
      <c r="D115" s="146" t="s">
        <v>183</v>
      </c>
      <c r="E115" s="95">
        <f>'17'!F115</f>
        <v>8958.2000000000007</v>
      </c>
      <c r="F115" s="237">
        <v>8969.3700000000008</v>
      </c>
      <c r="G115" s="558">
        <f t="shared" si="8"/>
        <v>11.170000000000073</v>
      </c>
      <c r="H115" s="99">
        <f>G115+'17'!H115</f>
        <v>-125.27999999999884</v>
      </c>
      <c r="I115" s="165"/>
      <c r="J115" s="328">
        <f>H115/DAY(B2)</f>
        <v>-6.9599999999999351</v>
      </c>
    </row>
    <row r="116" spans="1:18" ht="27.75" customHeight="1" x14ac:dyDescent="0.5">
      <c r="A116" s="870" t="s">
        <v>96</v>
      </c>
      <c r="B116" s="871"/>
      <c r="C116" s="872"/>
      <c r="D116" s="146" t="s">
        <v>183</v>
      </c>
      <c r="E116" s="95">
        <f>'17'!F116</f>
        <v>0</v>
      </c>
      <c r="F116" s="237">
        <v>0</v>
      </c>
      <c r="G116" s="558">
        <f t="shared" si="8"/>
        <v>0</v>
      </c>
      <c r="H116" s="99">
        <f>G116+'17'!H116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27.75" customHeight="1" x14ac:dyDescent="0.5">
      <c r="A117" s="870" t="s">
        <v>184</v>
      </c>
      <c r="B117" s="871"/>
      <c r="C117" s="872"/>
      <c r="D117" s="146" t="s">
        <v>183</v>
      </c>
      <c r="E117" s="95">
        <f>'17'!F117</f>
        <v>2999.97</v>
      </c>
      <c r="F117" s="237">
        <v>3023.11</v>
      </c>
      <c r="G117" s="558">
        <f t="shared" si="8"/>
        <v>23.140000000000327</v>
      </c>
      <c r="H117" s="99">
        <f>G117+'17'!H117</f>
        <v>-314.83999999999969</v>
      </c>
      <c r="I117" s="165"/>
      <c r="J117" s="328">
        <f>H117/DAY(B2)</f>
        <v>-17.491111111111096</v>
      </c>
      <c r="Q117" s="863" t="s">
        <v>312</v>
      </c>
      <c r="R117" s="865"/>
    </row>
    <row r="118" spans="1:18" ht="27.75" customHeight="1" x14ac:dyDescent="0.5">
      <c r="A118" s="862" t="s">
        <v>97</v>
      </c>
      <c r="B118" s="862"/>
      <c r="C118" s="862"/>
      <c r="D118" s="151" t="s">
        <v>183</v>
      </c>
      <c r="E118" s="95">
        <f>'17'!F118</f>
        <v>247684</v>
      </c>
      <c r="F118" s="237">
        <v>248035.49</v>
      </c>
      <c r="G118" s="558">
        <f t="shared" si="8"/>
        <v>351.48999999999069</v>
      </c>
      <c r="H118" s="99">
        <f>G118+'17'!H118</f>
        <v>-4416.820000000007</v>
      </c>
      <c r="I118" s="165"/>
      <c r="J118" s="328">
        <f>H118/DAY(B2)</f>
        <v>-245.37888888888926</v>
      </c>
      <c r="Q118" s="863" t="s">
        <v>311</v>
      </c>
      <c r="R118" s="865"/>
    </row>
    <row r="119" spans="1:18" ht="27.75" customHeight="1" x14ac:dyDescent="0.5">
      <c r="A119" s="862" t="s">
        <v>98</v>
      </c>
      <c r="B119" s="862"/>
      <c r="C119" s="862"/>
      <c r="D119" s="151" t="s">
        <v>183</v>
      </c>
      <c r="E119" s="95">
        <f>'17'!F119</f>
        <v>252241</v>
      </c>
      <c r="F119" s="237">
        <v>252682.05</v>
      </c>
      <c r="G119" s="558">
        <f t="shared" si="8"/>
        <v>441.04999999998836</v>
      </c>
      <c r="H119" s="99">
        <f>G119+'17'!H119</f>
        <v>-5466.5</v>
      </c>
      <c r="I119" s="165"/>
      <c r="J119" s="328">
        <f>H119/DAY(B2)</f>
        <v>-303.69444444444446</v>
      </c>
    </row>
    <row r="120" spans="1:18" ht="27.75" customHeight="1" x14ac:dyDescent="0.5">
      <c r="A120" s="862" t="s">
        <v>99</v>
      </c>
      <c r="B120" s="862"/>
      <c r="C120" s="862"/>
      <c r="D120" s="151" t="s">
        <v>183</v>
      </c>
      <c r="E120" s="95">
        <f>'17'!F120</f>
        <v>37145.4</v>
      </c>
      <c r="F120" s="237">
        <v>37580.07</v>
      </c>
      <c r="G120" s="558">
        <f t="shared" si="8"/>
        <v>434.66999999999825</v>
      </c>
      <c r="H120" s="99">
        <f>G120+'17'!H120</f>
        <v>-5379.5400000000009</v>
      </c>
      <c r="I120" s="165"/>
      <c r="J120" s="328">
        <f>H120/DAY(B2)</f>
        <v>-298.8633333333334</v>
      </c>
    </row>
    <row r="121" spans="1:18" ht="27.75" customHeight="1" x14ac:dyDescent="0.5">
      <c r="A121" s="862" t="s">
        <v>100</v>
      </c>
      <c r="B121" s="862"/>
      <c r="C121" s="862"/>
      <c r="D121" s="151" t="s">
        <v>183</v>
      </c>
      <c r="E121" s="95">
        <f>'17'!F121</f>
        <v>388428</v>
      </c>
      <c r="F121" s="237">
        <v>389079</v>
      </c>
      <c r="G121" s="558">
        <f t="shared" si="8"/>
        <v>651</v>
      </c>
      <c r="H121" s="99">
        <f>G121+'17'!H121</f>
        <v>-8955.429999999993</v>
      </c>
      <c r="I121" s="165"/>
      <c r="J121" s="328">
        <f>H121/DAY(B2)</f>
        <v>-497.52388888888851</v>
      </c>
    </row>
    <row r="122" spans="1:18" ht="27.75" customHeight="1" x14ac:dyDescent="0.5">
      <c r="A122" s="862" t="s">
        <v>101</v>
      </c>
      <c r="B122" s="862"/>
      <c r="C122" s="862"/>
      <c r="D122" s="151" t="s">
        <v>183</v>
      </c>
      <c r="E122" s="95">
        <f>'17'!F122</f>
        <v>123533.44</v>
      </c>
      <c r="F122" s="237">
        <v>123702</v>
      </c>
      <c r="G122" s="558">
        <f t="shared" si="8"/>
        <v>168.55999999999767</v>
      </c>
      <c r="H122" s="99">
        <f>G122+'17'!H122</f>
        <v>-2484.179999999993</v>
      </c>
      <c r="I122" s="165"/>
      <c r="J122" s="328">
        <f>H122/DAY(B2)</f>
        <v>-138.00999999999962</v>
      </c>
    </row>
    <row r="123" spans="1:18" ht="27.75" customHeight="1" x14ac:dyDescent="0.5">
      <c r="A123" s="862" t="s">
        <v>102</v>
      </c>
      <c r="B123" s="862"/>
      <c r="C123" s="862"/>
      <c r="D123" s="151" t="s">
        <v>183</v>
      </c>
      <c r="E123" s="95">
        <f>'17'!F123</f>
        <v>150237.63</v>
      </c>
      <c r="F123" s="237">
        <v>150502.59</v>
      </c>
      <c r="G123" s="558">
        <f t="shared" si="8"/>
        <v>264.95999999999185</v>
      </c>
      <c r="H123" s="99">
        <f>G123+'17'!H123</f>
        <v>-3544.3600000000151</v>
      </c>
      <c r="I123" s="165"/>
      <c r="J123" s="328">
        <f>H123/DAY(B2)</f>
        <v>-196.90888888888972</v>
      </c>
    </row>
    <row r="124" spans="1:18" ht="27.75" customHeight="1" x14ac:dyDescent="0.5">
      <c r="A124" s="867"/>
      <c r="B124" s="868"/>
      <c r="C124" s="869"/>
      <c r="D124" s="165"/>
      <c r="E124" s="95">
        <f>'17'!F124</f>
        <v>0</v>
      </c>
      <c r="F124" s="165"/>
      <c r="G124" s="578"/>
      <c r="H124" s="99">
        <f>G124+'17'!H124</f>
        <v>0</v>
      </c>
      <c r="I124" s="165"/>
      <c r="J124" s="327"/>
    </row>
    <row r="125" spans="1:18" ht="27.75" customHeight="1" x14ac:dyDescent="0.5">
      <c r="A125" s="847" t="s">
        <v>196</v>
      </c>
      <c r="B125" s="848"/>
      <c r="C125" s="245"/>
      <c r="D125" s="307"/>
      <c r="E125" s="308"/>
      <c r="F125" s="308"/>
      <c r="G125" s="579">
        <f>SUM(G112:G124)</f>
        <v>3154.0599999999713</v>
      </c>
      <c r="H125" s="156"/>
      <c r="I125" s="327">
        <f>G125-(G39+G53)</f>
        <v>607.5699999999697</v>
      </c>
      <c r="J125" s="327"/>
    </row>
    <row r="126" spans="1:18" ht="27.75" customHeight="1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customHeight="1" x14ac:dyDescent="0.5">
      <c r="A127" s="852"/>
      <c r="B127" s="852"/>
      <c r="C127" s="245"/>
      <c r="D127" s="307"/>
      <c r="E127" s="308"/>
      <c r="F127" s="308"/>
      <c r="G127" s="579"/>
      <c r="H127" s="99">
        <f>G127+'17'!H127</f>
        <v>0</v>
      </c>
      <c r="I127" s="165"/>
      <c r="J127" s="328">
        <f>H127/DAY(B2)</f>
        <v>0</v>
      </c>
    </row>
    <row r="128" spans="1:18" ht="27.75" customHeight="1" x14ac:dyDescent="0.5">
      <c r="A128" s="863" t="s">
        <v>318</v>
      </c>
      <c r="B128" s="864"/>
      <c r="C128" s="865"/>
      <c r="D128" s="151" t="s">
        <v>183</v>
      </c>
      <c r="E128" s="95">
        <f>'17'!F128</f>
        <v>43403.9</v>
      </c>
      <c r="F128" s="165">
        <v>43694.22</v>
      </c>
      <c r="G128" s="558">
        <f t="shared" ref="G128:G134" si="9">F128-E128</f>
        <v>290.31999999999971</v>
      </c>
      <c r="H128" s="99">
        <f>G128+'17'!H128</f>
        <v>-4051.7799999999988</v>
      </c>
      <c r="I128" s="165"/>
      <c r="J128" s="328">
        <f>H128/DAY(B2)</f>
        <v>-225.09888888888884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'17'!F129</f>
        <v>24083.9</v>
      </c>
      <c r="F129" s="165">
        <v>24341.02</v>
      </c>
      <c r="G129" s="558">
        <f t="shared" si="9"/>
        <v>257.11999999999898</v>
      </c>
      <c r="H129" s="99">
        <f>G129+'17'!H129</f>
        <v>-2569.8499999999985</v>
      </c>
      <c r="I129" s="165"/>
      <c r="J129" s="328">
        <f>H129/DAY(B2)</f>
        <v>-142.76944444444436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'17'!F130</f>
        <v>28449.45</v>
      </c>
      <c r="F130" s="165">
        <v>28966.26</v>
      </c>
      <c r="G130" s="558">
        <f t="shared" si="9"/>
        <v>516.80999999999767</v>
      </c>
      <c r="H130" s="99">
        <f>G130+'17'!H130</f>
        <v>-6727.7400000000016</v>
      </c>
      <c r="I130" s="165"/>
      <c r="J130" s="328">
        <f>H130/DAY(B2)</f>
        <v>-373.76333333333343</v>
      </c>
      <c r="N130" s="240"/>
      <c r="O130" s="241"/>
    </row>
    <row r="131" spans="1:15" ht="27.75" customHeight="1" x14ac:dyDescent="0.5">
      <c r="A131" s="863" t="s">
        <v>321</v>
      </c>
      <c r="B131" s="864"/>
      <c r="C131" s="865"/>
      <c r="D131" s="151" t="s">
        <v>183</v>
      </c>
      <c r="E131" s="95">
        <f>'17'!F131</f>
        <v>14365.97</v>
      </c>
      <c r="F131" s="158">
        <v>14447.42</v>
      </c>
      <c r="G131" s="558">
        <f t="shared" si="9"/>
        <v>81.450000000000728</v>
      </c>
      <c r="H131" s="99">
        <f>G131+'17'!H131</f>
        <v>-860.26000000000022</v>
      </c>
      <c r="I131" s="165"/>
      <c r="J131" s="328">
        <f>H131/DAY(B2)</f>
        <v>-47.792222222222236</v>
      </c>
      <c r="N131" s="240"/>
      <c r="O131" s="241"/>
    </row>
    <row r="132" spans="1:15" ht="27.75" customHeight="1" x14ac:dyDescent="0.5">
      <c r="A132" s="863" t="s">
        <v>322</v>
      </c>
      <c r="B132" s="864"/>
      <c r="C132" s="865"/>
      <c r="D132" s="151" t="s">
        <v>183</v>
      </c>
      <c r="E132" s="95">
        <f>'17'!F132</f>
        <v>49304</v>
      </c>
      <c r="F132" s="158">
        <v>49682.7</v>
      </c>
      <c r="G132" s="558">
        <f t="shared" si="9"/>
        <v>378.69999999999709</v>
      </c>
      <c r="H132" s="99">
        <f>G132+'17'!H132</f>
        <v>-2165.6000000000058</v>
      </c>
      <c r="I132" s="165"/>
      <c r="J132" s="328">
        <f>H132/DAY(B2)</f>
        <v>-120.31111111111143</v>
      </c>
    </row>
    <row r="133" spans="1:15" ht="27.75" customHeight="1" x14ac:dyDescent="0.5">
      <c r="A133" s="863" t="s">
        <v>362</v>
      </c>
      <c r="B133" s="864"/>
      <c r="C133" s="865"/>
      <c r="D133" s="151" t="s">
        <v>183</v>
      </c>
      <c r="E133" s="95">
        <f>'17'!F133</f>
        <v>98082.6</v>
      </c>
      <c r="F133" s="165">
        <v>98583.4</v>
      </c>
      <c r="G133" s="558">
        <f t="shared" si="9"/>
        <v>500.79999999998836</v>
      </c>
      <c r="H133" s="99">
        <f>G133+'17'!H133</f>
        <v>-6760.3000000000029</v>
      </c>
      <c r="I133" s="165"/>
      <c r="J133" s="328">
        <f>H133/DAY(B2)</f>
        <v>-375.57222222222236</v>
      </c>
    </row>
    <row r="134" spans="1:15" ht="27.75" customHeight="1" x14ac:dyDescent="0.5">
      <c r="A134" s="863" t="s">
        <v>340</v>
      </c>
      <c r="B134" s="864"/>
      <c r="C134" s="865"/>
      <c r="D134" s="151" t="s">
        <v>183</v>
      </c>
      <c r="E134" s="95">
        <f>'17'!F134</f>
        <v>6179</v>
      </c>
      <c r="F134" s="158">
        <v>6368.93</v>
      </c>
      <c r="G134" s="558">
        <f t="shared" si="9"/>
        <v>189.93000000000029</v>
      </c>
      <c r="H134" s="99">
        <f>G134+'17'!H134</f>
        <v>-2232.2999999999993</v>
      </c>
      <c r="I134" s="165"/>
      <c r="J134" s="328">
        <f>H134/DAY(B2)</f>
        <v>-124.01666666666662</v>
      </c>
    </row>
    <row r="135" spans="1:15" ht="27.75" customHeight="1" x14ac:dyDescent="0.5">
      <c r="A135" s="847" t="s">
        <v>196</v>
      </c>
      <c r="B135" s="848"/>
      <c r="C135" s="331"/>
      <c r="D135" s="151"/>
      <c r="E135" s="95"/>
      <c r="F135" s="165"/>
      <c r="G135" s="558">
        <f>SUM(G128:G134)</f>
        <v>2215.1299999999828</v>
      </c>
      <c r="H135" s="99">
        <f>G135+'10'!H135</f>
        <v>25671.349999999984</v>
      </c>
      <c r="I135" s="327">
        <f>G135-(G35+G49)</f>
        <v>-419.35000000001673</v>
      </c>
      <c r="J135" s="328"/>
    </row>
    <row r="136" spans="1:15" ht="27.75" customHeight="1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578"/>
      <c r="H137" s="156"/>
      <c r="I137" s="165"/>
      <c r="J137" s="327"/>
    </row>
    <row r="138" spans="1:15" ht="27.75" customHeight="1" x14ac:dyDescent="0.5">
      <c r="A138" s="862" t="s">
        <v>185</v>
      </c>
      <c r="B138" s="862"/>
      <c r="C138" s="862"/>
      <c r="D138" s="151" t="s">
        <v>183</v>
      </c>
      <c r="E138" s="95">
        <f>'17'!F138</f>
        <v>865229</v>
      </c>
      <c r="F138" s="147">
        <v>865289</v>
      </c>
      <c r="G138" s="558">
        <f t="shared" ref="G138:G152" si="10">F138-E138</f>
        <v>60</v>
      </c>
      <c r="H138" s="99">
        <f>G138+'17'!H138</f>
        <v>-884</v>
      </c>
      <c r="I138" s="118"/>
      <c r="J138" s="328">
        <f>H138/DAY(B2)</f>
        <v>-49.111111111111114</v>
      </c>
    </row>
    <row r="139" spans="1:15" ht="27.75" customHeight="1" x14ac:dyDescent="0.5">
      <c r="A139" s="862" t="s">
        <v>186</v>
      </c>
      <c r="B139" s="862"/>
      <c r="C139" s="862"/>
      <c r="D139" s="151" t="s">
        <v>183</v>
      </c>
      <c r="E139" s="95">
        <f>'17'!F139</f>
        <v>886550</v>
      </c>
      <c r="F139" s="148">
        <v>886551</v>
      </c>
      <c r="G139" s="558">
        <f t="shared" si="10"/>
        <v>1</v>
      </c>
      <c r="H139" s="99">
        <f>G139+'17'!H139</f>
        <v>-22</v>
      </c>
      <c r="I139" s="118"/>
      <c r="J139" s="328">
        <f>H139/DAY(B2)</f>
        <v>-1.2222222222222223</v>
      </c>
    </row>
    <row r="140" spans="1:15" ht="27.75" customHeight="1" x14ac:dyDescent="0.5">
      <c r="A140" s="862" t="s">
        <v>187</v>
      </c>
      <c r="B140" s="862"/>
      <c r="C140" s="862"/>
      <c r="D140" s="151" t="s">
        <v>183</v>
      </c>
      <c r="E140" s="95">
        <f>'17'!F140</f>
        <v>88898</v>
      </c>
      <c r="F140" s="149">
        <v>88898</v>
      </c>
      <c r="G140" s="558">
        <f t="shared" si="10"/>
        <v>0</v>
      </c>
      <c r="H140" s="99">
        <f>G140+'17'!H140</f>
        <v>-24</v>
      </c>
      <c r="I140" s="118"/>
      <c r="J140" s="328">
        <f>H140/DAY(B2)</f>
        <v>-1.3333333333333333</v>
      </c>
    </row>
    <row r="141" spans="1:15" ht="27.75" customHeight="1" x14ac:dyDescent="0.5">
      <c r="A141" s="843" t="s">
        <v>188</v>
      </c>
      <c r="B141" s="843"/>
      <c r="C141" s="843"/>
      <c r="D141" s="151" t="s">
        <v>183</v>
      </c>
      <c r="E141" s="95">
        <f>'17'!F141</f>
        <v>52234.8</v>
      </c>
      <c r="F141" s="149">
        <v>52406.65</v>
      </c>
      <c r="G141" s="558">
        <f t="shared" si="10"/>
        <v>171.84999999999854</v>
      </c>
      <c r="H141" s="99">
        <f>G141+'17'!H141</f>
        <v>-2278.9300000000003</v>
      </c>
      <c r="I141" s="118"/>
      <c r="J141" s="328">
        <f>H141/DAY(B2)</f>
        <v>-126.60722222222223</v>
      </c>
    </row>
    <row r="142" spans="1:15" ht="27.75" customHeight="1" x14ac:dyDescent="0.5">
      <c r="A142" s="843" t="s">
        <v>189</v>
      </c>
      <c r="B142" s="843"/>
      <c r="C142" s="843"/>
      <c r="D142" s="151" t="s">
        <v>183</v>
      </c>
      <c r="E142" s="95">
        <f>'17'!F142</f>
        <v>20197.09</v>
      </c>
      <c r="F142" s="148">
        <v>20277.63</v>
      </c>
      <c r="G142" s="558">
        <f t="shared" si="10"/>
        <v>80.540000000000873</v>
      </c>
      <c r="H142" s="99">
        <f>G142+'17'!H142</f>
        <v>-1006.4699999999975</v>
      </c>
      <c r="I142" s="140"/>
      <c r="J142" s="328">
        <f>H142/DAY(B2)</f>
        <v>-55.914999999999864</v>
      </c>
    </row>
    <row r="143" spans="1:15" ht="27.75" customHeight="1" x14ac:dyDescent="0.5">
      <c r="A143" s="862" t="s">
        <v>91</v>
      </c>
      <c r="B143" s="862"/>
      <c r="C143" s="862"/>
      <c r="D143" s="151" t="s">
        <v>183</v>
      </c>
      <c r="E143" s="95">
        <f>'17'!F143</f>
        <v>3466.51</v>
      </c>
      <c r="F143" s="149">
        <v>3491.46</v>
      </c>
      <c r="G143" s="558">
        <f t="shared" si="10"/>
        <v>24.949999999999818</v>
      </c>
      <c r="H143" s="99">
        <f>G143+'17'!H143</f>
        <v>-343.92999999999984</v>
      </c>
      <c r="I143" s="140"/>
      <c r="J143" s="328">
        <f>H143/DAY(B2)</f>
        <v>-19.107222222222212</v>
      </c>
    </row>
    <row r="144" spans="1:15" ht="27.75" customHeight="1" x14ac:dyDescent="0.5">
      <c r="A144" s="843" t="s">
        <v>90</v>
      </c>
      <c r="B144" s="843"/>
      <c r="C144" s="843"/>
      <c r="D144" s="151" t="s">
        <v>183</v>
      </c>
      <c r="E144" s="95">
        <f>'17'!F144</f>
        <v>873523</v>
      </c>
      <c r="F144" s="149">
        <v>873743</v>
      </c>
      <c r="G144" s="558">
        <f t="shared" si="10"/>
        <v>220</v>
      </c>
      <c r="H144" s="99">
        <f>G144+'17'!H144</f>
        <v>-2744</v>
      </c>
      <c r="I144" s="140"/>
      <c r="J144" s="328">
        <f>H144/DAY(B2)</f>
        <v>-152.44444444444446</v>
      </c>
    </row>
    <row r="145" spans="1:10" ht="27.75" customHeight="1" x14ac:dyDescent="0.5">
      <c r="A145" s="862" t="s">
        <v>190</v>
      </c>
      <c r="B145" s="862"/>
      <c r="C145" s="862"/>
      <c r="D145" s="152" t="s">
        <v>183</v>
      </c>
      <c r="E145" s="95">
        <f>'17'!F145</f>
        <v>4812.34</v>
      </c>
      <c r="F145" s="149">
        <v>4827.1899999999996</v>
      </c>
      <c r="G145" s="558">
        <f t="shared" si="10"/>
        <v>14.849999999999454</v>
      </c>
      <c r="H145" s="99">
        <f>G145+'17'!H145</f>
        <v>-131.65000000000055</v>
      </c>
      <c r="I145" s="140"/>
      <c r="J145" s="328">
        <f>H145/DAY(B2)</f>
        <v>-7.3138888888889193</v>
      </c>
    </row>
    <row r="146" spans="1:10" ht="27.75" customHeight="1" x14ac:dyDescent="0.5">
      <c r="A146" s="897" t="s">
        <v>191</v>
      </c>
      <c r="B146" s="882"/>
      <c r="C146" s="883"/>
      <c r="D146" s="152" t="s">
        <v>183</v>
      </c>
      <c r="E146" s="95">
        <f>'17'!F146</f>
        <v>731756</v>
      </c>
      <c r="F146" s="148">
        <v>732122</v>
      </c>
      <c r="G146" s="558">
        <f t="shared" si="10"/>
        <v>366</v>
      </c>
      <c r="H146" s="99">
        <f>G146+'17'!H146</f>
        <v>-5211</v>
      </c>
      <c r="I146" s="140"/>
      <c r="J146" s="328">
        <f>H146/DAY(B2)</f>
        <v>-289.5</v>
      </c>
    </row>
    <row r="147" spans="1:10" ht="27.75" customHeight="1" x14ac:dyDescent="0.5">
      <c r="A147" s="843" t="s">
        <v>192</v>
      </c>
      <c r="B147" s="843"/>
      <c r="C147" s="843"/>
      <c r="D147" s="152" t="s">
        <v>183</v>
      </c>
      <c r="E147" s="95">
        <f>'17'!F147</f>
        <v>621509</v>
      </c>
      <c r="F147" s="148">
        <v>621813.56000000006</v>
      </c>
      <c r="G147" s="558">
        <f t="shared" si="10"/>
        <v>304.56000000005588</v>
      </c>
      <c r="H147" s="99">
        <f>G147+'17'!H147</f>
        <v>-4798.9599999999627</v>
      </c>
      <c r="I147" s="140"/>
      <c r="J147" s="328">
        <f>H147/DAY(B2)</f>
        <v>-266.60888888888684</v>
      </c>
    </row>
    <row r="148" spans="1:10" ht="27.75" customHeight="1" x14ac:dyDescent="0.5">
      <c r="A148" s="844" t="s">
        <v>193</v>
      </c>
      <c r="B148" s="845"/>
      <c r="C148" s="846"/>
      <c r="D148" s="123" t="s">
        <v>130</v>
      </c>
      <c r="E148" s="95">
        <f>'17'!F148</f>
        <v>686860</v>
      </c>
      <c r="F148" s="150">
        <v>687015.44</v>
      </c>
      <c r="G148" s="558">
        <f t="shared" si="10"/>
        <v>155.43999999994412</v>
      </c>
      <c r="H148" s="99">
        <f>G148+'17'!H148</f>
        <v>-2427.5200000000186</v>
      </c>
      <c r="I148" s="124"/>
      <c r="J148" s="328">
        <f>H148/DAY(B2)</f>
        <v>-134.86222222222327</v>
      </c>
    </row>
    <row r="149" spans="1:10" ht="27.75" customHeight="1" x14ac:dyDescent="0.5">
      <c r="A149" s="844" t="s">
        <v>336</v>
      </c>
      <c r="B149" s="845"/>
      <c r="C149" s="846"/>
      <c r="D149" s="227" t="s">
        <v>130</v>
      </c>
      <c r="E149" s="95">
        <f>'17'!F149</f>
        <v>17791.439999999999</v>
      </c>
      <c r="F149" s="146">
        <v>18255.259999999998</v>
      </c>
      <c r="G149" s="558">
        <f t="shared" si="10"/>
        <v>463.81999999999971</v>
      </c>
      <c r="H149" s="99">
        <f>G149+'17'!H149</f>
        <v>-6422.9400000000023</v>
      </c>
      <c r="I149" s="119"/>
      <c r="J149" s="328">
        <f>H149/DAY(B2)</f>
        <v>-356.83000000000015</v>
      </c>
    </row>
    <row r="150" spans="1:10" ht="27.75" customHeight="1" x14ac:dyDescent="0.5">
      <c r="A150" s="844" t="s">
        <v>337</v>
      </c>
      <c r="B150" s="845"/>
      <c r="C150" s="846"/>
      <c r="D150" s="117" t="s">
        <v>130</v>
      </c>
      <c r="E150" s="95">
        <f>'17'!F150</f>
        <v>7752.4</v>
      </c>
      <c r="F150" s="233">
        <v>7974.99</v>
      </c>
      <c r="G150" s="558">
        <f t="shared" si="10"/>
        <v>222.59000000000015</v>
      </c>
      <c r="H150" s="99">
        <f>G150+'17'!H150</f>
        <v>-2875.84</v>
      </c>
      <c r="I150" s="119"/>
      <c r="J150" s="328">
        <f>H150/DAY(B2)</f>
        <v>-159.76888888888891</v>
      </c>
    </row>
    <row r="151" spans="1:10" ht="27.75" customHeight="1" x14ac:dyDescent="0.5">
      <c r="A151" s="844" t="s">
        <v>338</v>
      </c>
      <c r="B151" s="845"/>
      <c r="C151" s="846"/>
      <c r="D151" s="117" t="s">
        <v>130</v>
      </c>
      <c r="E151" s="95">
        <f>'17'!F151</f>
        <v>82156</v>
      </c>
      <c r="F151" s="233">
        <v>82410</v>
      </c>
      <c r="G151" s="558">
        <f t="shared" si="10"/>
        <v>254</v>
      </c>
      <c r="H151" s="99">
        <f>G151+'17'!H151</f>
        <v>-3070</v>
      </c>
      <c r="I151" s="119"/>
      <c r="J151" s="328">
        <f>H151/DAY(B2)</f>
        <v>-170.55555555555554</v>
      </c>
    </row>
    <row r="152" spans="1:10" ht="27.75" customHeight="1" x14ac:dyDescent="0.5">
      <c r="A152" s="844" t="s">
        <v>339</v>
      </c>
      <c r="B152" s="845"/>
      <c r="C152" s="846"/>
      <c r="D152" s="117" t="s">
        <v>130</v>
      </c>
      <c r="E152" s="95">
        <f>'17'!F152</f>
        <v>1419.9</v>
      </c>
      <c r="F152" s="233">
        <v>1435.92</v>
      </c>
      <c r="G152" s="558">
        <f t="shared" si="10"/>
        <v>16.019999999999982</v>
      </c>
      <c r="H152" s="99">
        <f>G152+'17'!H152</f>
        <v>-224.07999999999993</v>
      </c>
      <c r="I152" s="119"/>
      <c r="J152" s="328">
        <f>H152/DAY(B2)</f>
        <v>-12.448888888888884</v>
      </c>
    </row>
    <row r="153" spans="1:10" ht="27.75" customHeight="1" x14ac:dyDescent="0.5">
      <c r="A153" s="847" t="s">
        <v>196</v>
      </c>
      <c r="B153" s="848"/>
      <c r="C153" s="365"/>
      <c r="D153" s="358"/>
      <c r="E153" s="360"/>
      <c r="F153" s="361"/>
      <c r="G153" s="580">
        <f>SUM(G138:G152)</f>
        <v>2355.6199999999985</v>
      </c>
      <c r="H153" s="363"/>
      <c r="I153" s="119">
        <f>G153-(G38+G52)</f>
        <v>659.31999999999925</v>
      </c>
      <c r="J153" s="366"/>
    </row>
    <row r="154" spans="1:10" ht="27.75" customHeight="1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27.75" customHeight="1" x14ac:dyDescent="0.55000000000000004">
      <c r="A155" s="843" t="s">
        <v>345</v>
      </c>
      <c r="B155" s="843"/>
      <c r="C155" s="843"/>
      <c r="D155" s="117" t="s">
        <v>130</v>
      </c>
      <c r="E155" s="95">
        <f>'17'!F155</f>
        <v>23303</v>
      </c>
      <c r="F155" s="471">
        <v>23908.77</v>
      </c>
      <c r="G155" s="558">
        <f t="shared" ref="G155:G157" si="11">F155-E155</f>
        <v>605.77000000000044</v>
      </c>
      <c r="H155" s="99">
        <f>G155+'17'!H155</f>
        <v>-9036.23</v>
      </c>
      <c r="I155" s="364"/>
      <c r="J155" s="328">
        <f>H155/DAY(B2)</f>
        <v>-502.01277777777773</v>
      </c>
    </row>
    <row r="156" spans="1:10" ht="27.75" customHeight="1" x14ac:dyDescent="0.5">
      <c r="A156" s="843" t="s">
        <v>347</v>
      </c>
      <c r="B156" s="843"/>
      <c r="C156" s="843"/>
      <c r="D156" s="117" t="s">
        <v>130</v>
      </c>
      <c r="E156" s="95">
        <f>'17'!F156</f>
        <v>1954</v>
      </c>
      <c r="F156" s="165">
        <v>2010.05</v>
      </c>
      <c r="G156" s="558">
        <f t="shared" si="11"/>
        <v>56.049999999999955</v>
      </c>
      <c r="H156" s="99">
        <f>G156+'17'!H156</f>
        <v>908.05</v>
      </c>
      <c r="I156" s="165"/>
      <c r="J156" s="328">
        <f>H156/DAY(B2)</f>
        <v>50.447222222222223</v>
      </c>
    </row>
    <row r="157" spans="1:10" ht="27.75" customHeight="1" x14ac:dyDescent="0.5">
      <c r="A157" s="844" t="s">
        <v>363</v>
      </c>
      <c r="B157" s="845"/>
      <c r="C157" s="846"/>
      <c r="D157" s="117" t="s">
        <v>130</v>
      </c>
      <c r="E157" s="95">
        <f>'17'!F157</f>
        <v>2516.1329999999998</v>
      </c>
      <c r="F157" s="165">
        <v>2598.1799999999998</v>
      </c>
      <c r="G157" s="558">
        <f t="shared" si="11"/>
        <v>82.047000000000025</v>
      </c>
      <c r="H157" s="99">
        <f>G157+'17'!H157</f>
        <v>563.17999999999984</v>
      </c>
      <c r="I157" s="165"/>
      <c r="J157" s="328">
        <f>H157/DAY(B2)</f>
        <v>31.287777777777769</v>
      </c>
    </row>
    <row r="158" spans="1:10" ht="27.75" customHeight="1" x14ac:dyDescent="0.5">
      <c r="A158" s="844" t="s">
        <v>364</v>
      </c>
      <c r="B158" s="845"/>
      <c r="C158" s="846"/>
      <c r="D158" s="117" t="s">
        <v>130</v>
      </c>
      <c r="E158" s="95">
        <f>'17'!F158</f>
        <v>23.34</v>
      </c>
      <c r="F158" s="165">
        <v>23.34</v>
      </c>
      <c r="G158" s="558">
        <f t="shared" ref="G158" si="12">F158-E158</f>
        <v>0</v>
      </c>
      <c r="H158" s="99">
        <f>G158+'17'!H158</f>
        <v>1.3399999999999999</v>
      </c>
      <c r="I158" s="165"/>
      <c r="J158" s="328">
        <f>H158/DAY(B2)</f>
        <v>7.4444444444444438E-2</v>
      </c>
    </row>
    <row r="159" spans="1:10" ht="27.75" customHeight="1" x14ac:dyDescent="0.5">
      <c r="A159" s="927"/>
      <c r="B159" s="928"/>
      <c r="C159" s="929"/>
      <c r="D159" s="117"/>
      <c r="E159" s="95"/>
      <c r="F159" s="165"/>
      <c r="G159" s="558"/>
      <c r="H159" s="99"/>
      <c r="I159" s="165"/>
      <c r="J159" s="328"/>
    </row>
    <row r="160" spans="1:10" ht="27.75" customHeight="1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'17'!F161</f>
        <v>471446</v>
      </c>
      <c r="F161" s="235">
        <v>471453.56</v>
      </c>
      <c r="G161" s="581">
        <f t="shared" ref="G161:G165" si="13">F161-E161</f>
        <v>7.5599999999976717</v>
      </c>
      <c r="H161" s="99">
        <f>G161+'17'!H161</f>
        <v>-600</v>
      </c>
      <c r="I161" s="236"/>
      <c r="J161" s="239">
        <f>H161/DAY(B2)</f>
        <v>-33.333333333333336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'17'!F162</f>
        <v>88053</v>
      </c>
      <c r="F162" s="235">
        <v>88093.3</v>
      </c>
      <c r="G162" s="581">
        <f t="shared" si="13"/>
        <v>40.30000000000291</v>
      </c>
      <c r="H162" s="99">
        <f>G162+'17'!H162</f>
        <v>-423.09999999999127</v>
      </c>
      <c r="I162" s="236"/>
      <c r="J162" s="239">
        <f>H162/DAY(B2)</f>
        <v>-23.50555555555507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'17'!F163</f>
        <v>78572.7</v>
      </c>
      <c r="F163" s="235">
        <v>78635.5</v>
      </c>
      <c r="G163" s="581">
        <f t="shared" si="13"/>
        <v>62.80000000000291</v>
      </c>
      <c r="H163" s="99">
        <f>G163+'17'!H163</f>
        <v>-584.60000000000582</v>
      </c>
      <c r="I163" s="236"/>
      <c r="J163" s="239">
        <f>H163/DAY(B2)</f>
        <v>-32.477777777778101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'17'!F164</f>
        <v>4270.8999999999996</v>
      </c>
      <c r="F164" s="235">
        <v>4280</v>
      </c>
      <c r="G164" s="581">
        <f t="shared" si="13"/>
        <v>9.1000000000003638</v>
      </c>
      <c r="H164" s="99">
        <f>G164+'17'!H164</f>
        <v>-40</v>
      </c>
      <c r="I164" s="236"/>
      <c r="J164" s="239">
        <f>H164/DAY(B2)</f>
        <v>-2.2222222222222223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'17'!F165</f>
        <v>29754.45</v>
      </c>
      <c r="F165" s="235">
        <v>29763.9</v>
      </c>
      <c r="G165" s="581">
        <f t="shared" si="13"/>
        <v>9.4500000000007276</v>
      </c>
      <c r="H165" s="99">
        <f>G165+'17'!H165</f>
        <v>-93.349999999998545</v>
      </c>
      <c r="I165" s="236"/>
      <c r="J165" s="239">
        <f>H165/DAY(B2)</f>
        <v>-5.1861111111110301</v>
      </c>
    </row>
    <row r="166" spans="1:10" ht="27.75" customHeight="1" x14ac:dyDescent="0.5">
      <c r="A166" s="852"/>
      <c r="B166" s="852"/>
      <c r="C166" s="246"/>
      <c r="D166" s="244" t="s">
        <v>180</v>
      </c>
      <c r="E166" s="95">
        <f>'17'!F166</f>
        <v>0</v>
      </c>
      <c r="F166" s="165"/>
      <c r="G166" s="578"/>
      <c r="H166" s="99">
        <f>G166+'17'!H166</f>
        <v>0</v>
      </c>
      <c r="I166" s="165"/>
      <c r="J166" s="239">
        <f>H166/DAY(B2)</f>
        <v>0</v>
      </c>
    </row>
    <row r="167" spans="1:10" ht="27.75" customHeight="1" x14ac:dyDescent="0.5">
      <c r="A167" s="852"/>
      <c r="B167" s="852"/>
      <c r="C167" s="246"/>
      <c r="D167" s="244" t="s">
        <v>180</v>
      </c>
      <c r="E167" s="95">
        <f>'17'!F167</f>
        <v>0</v>
      </c>
      <c r="F167" s="165"/>
      <c r="G167" s="578"/>
      <c r="H167" s="99">
        <f>G167+'17'!H167</f>
        <v>0</v>
      </c>
      <c r="I167" s="165"/>
      <c r="J167" s="239">
        <f>H167/DAY(B2)</f>
        <v>0</v>
      </c>
    </row>
    <row r="168" spans="1:10" ht="27.75" customHeight="1" x14ac:dyDescent="0.5">
      <c r="A168" s="852"/>
      <c r="B168" s="852"/>
      <c r="C168" s="246"/>
      <c r="D168" s="244" t="s">
        <v>180</v>
      </c>
      <c r="E168" s="95">
        <f>'17'!F168</f>
        <v>0</v>
      </c>
      <c r="F168" s="165"/>
      <c r="G168" s="578"/>
      <c r="H168" s="99">
        <f>G168+'17'!H168</f>
        <v>0</v>
      </c>
      <c r="I168" s="165"/>
      <c r="J168" s="239">
        <f>H168/DAY(B2)</f>
        <v>0</v>
      </c>
    </row>
    <row r="171" spans="1:10" ht="27.75" customHeight="1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customHeight="1" x14ac:dyDescent="0.5">
      <c r="A172" s="860"/>
      <c r="B172" s="861"/>
      <c r="C172" s="332"/>
      <c r="D172" s="228"/>
      <c r="E172" s="155"/>
      <c r="F172" s="155"/>
      <c r="G172" s="582"/>
      <c r="H172" s="156"/>
      <c r="I172" s="155"/>
      <c r="J172" s="178"/>
    </row>
    <row r="173" spans="1:10" ht="27.75" customHeight="1" x14ac:dyDescent="0.5">
      <c r="A173" s="856" t="s">
        <v>209</v>
      </c>
      <c r="B173" s="857"/>
      <c r="C173" s="333"/>
      <c r="D173" s="228" t="s">
        <v>142</v>
      </c>
      <c r="E173" s="95">
        <f>'17'!F173</f>
        <v>8126</v>
      </c>
      <c r="F173" s="155">
        <v>8126</v>
      </c>
      <c r="G173" s="582">
        <f>F173-E173</f>
        <v>0</v>
      </c>
      <c r="H173" s="99">
        <f>G173+'17'!H173</f>
        <v>0</v>
      </c>
      <c r="I173" s="155"/>
      <c r="J173" s="178">
        <f>H173/DAY(B2)</f>
        <v>0</v>
      </c>
    </row>
    <row r="174" spans="1:10" ht="27.75" customHeight="1" x14ac:dyDescent="0.5">
      <c r="A174" s="856" t="s">
        <v>75</v>
      </c>
      <c r="B174" s="857"/>
      <c r="C174" s="333"/>
      <c r="D174" s="228" t="s">
        <v>142</v>
      </c>
      <c r="E174" s="95">
        <f>'17'!F174</f>
        <v>38444</v>
      </c>
      <c r="F174" s="157">
        <v>38457</v>
      </c>
      <c r="G174" s="582">
        <f t="shared" ref="G174:G175" si="14">F174-E174</f>
        <v>13</v>
      </c>
      <c r="H174" s="99">
        <f>G174+'17'!H174</f>
        <v>216</v>
      </c>
      <c r="I174" s="155"/>
      <c r="J174" s="178">
        <f>H174/DAY(B2)</f>
        <v>12</v>
      </c>
    </row>
    <row r="175" spans="1:10" ht="27.75" customHeight="1" x14ac:dyDescent="0.5">
      <c r="A175" s="856" t="s">
        <v>76</v>
      </c>
      <c r="B175" s="896"/>
      <c r="C175" s="857"/>
      <c r="D175" s="228" t="s">
        <v>142</v>
      </c>
      <c r="E175" s="95">
        <f>'17'!F175</f>
        <v>21673</v>
      </c>
      <c r="F175" s="155">
        <v>21683</v>
      </c>
      <c r="G175" s="582">
        <f t="shared" si="14"/>
        <v>10</v>
      </c>
      <c r="H175" s="99">
        <f>G175+'17'!H175</f>
        <v>-130</v>
      </c>
      <c r="I175" s="155"/>
      <c r="J175" s="178">
        <f>H175/DAY(B2)</f>
        <v>-7.2222222222222223</v>
      </c>
    </row>
    <row r="176" spans="1:10" ht="27.75" customHeight="1" x14ac:dyDescent="0.5">
      <c r="A176" s="847" t="s">
        <v>196</v>
      </c>
      <c r="B176" s="848"/>
      <c r="C176" s="483"/>
      <c r="D176" s="228" t="s">
        <v>142</v>
      </c>
      <c r="E176" s="95"/>
      <c r="F176" s="155"/>
      <c r="G176" s="582">
        <f>SUM(G173:G175)</f>
        <v>23</v>
      </c>
      <c r="H176" s="99">
        <f>G176+'17'!H176</f>
        <v>86</v>
      </c>
      <c r="I176" s="155"/>
      <c r="J176" s="178">
        <f>H176/DAY(B2)</f>
        <v>4.7777777777777777</v>
      </c>
    </row>
    <row r="177" spans="1:11" ht="27.75" customHeight="1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582"/>
      <c r="H177" s="99">
        <f>G177+'17'!H177</f>
        <v>0</v>
      </c>
      <c r="I177" s="155"/>
      <c r="J177" s="178">
        <f>H177/DAY(B2)</f>
        <v>0</v>
      </c>
    </row>
    <row r="178" spans="1:11" ht="27.75" customHeight="1" x14ac:dyDescent="0.5">
      <c r="A178" s="856" t="s">
        <v>210</v>
      </c>
      <c r="B178" s="857"/>
      <c r="C178" s="333"/>
      <c r="D178" s="228" t="s">
        <v>142</v>
      </c>
      <c r="E178" s="95">
        <f>'17'!F178</f>
        <v>80589</v>
      </c>
      <c r="F178" s="155">
        <v>80653</v>
      </c>
      <c r="G178" s="582">
        <f>F178-E178</f>
        <v>64</v>
      </c>
      <c r="H178" s="99">
        <f>G178+'17'!H178</f>
        <v>-662</v>
      </c>
      <c r="I178" s="155"/>
      <c r="J178" s="178">
        <f>H178/DAY(B2)</f>
        <v>-36.777777777777779</v>
      </c>
    </row>
    <row r="179" spans="1:11" ht="27.75" customHeight="1" x14ac:dyDescent="0.5">
      <c r="A179" s="856" t="s">
        <v>211</v>
      </c>
      <c r="B179" s="857"/>
      <c r="C179" s="333"/>
      <c r="D179" s="228" t="s">
        <v>142</v>
      </c>
      <c r="E179" s="95">
        <f>'17'!F179</f>
        <v>34278</v>
      </c>
      <c r="F179" s="155">
        <v>34332</v>
      </c>
      <c r="G179" s="582">
        <f t="shared" ref="G179:G180" si="15">F179-E179</f>
        <v>54</v>
      </c>
      <c r="H179" s="99">
        <f>G179+'17'!H179</f>
        <v>-471</v>
      </c>
      <c r="I179" s="155"/>
      <c r="J179" s="178">
        <f>H179/DAY(B2)</f>
        <v>-26.166666666666668</v>
      </c>
    </row>
    <row r="180" spans="1:11" ht="27.75" customHeight="1" x14ac:dyDescent="0.5">
      <c r="A180" s="856" t="s">
        <v>212</v>
      </c>
      <c r="B180" s="857"/>
      <c r="C180" s="333"/>
      <c r="D180" s="228" t="s">
        <v>142</v>
      </c>
      <c r="E180" s="95">
        <f>'17'!F180</f>
        <v>5596</v>
      </c>
      <c r="F180" s="155">
        <v>5611</v>
      </c>
      <c r="G180" s="582">
        <f t="shared" si="15"/>
        <v>15</v>
      </c>
      <c r="H180" s="99">
        <f>G180+'17'!H180</f>
        <v>-91</v>
      </c>
      <c r="I180" s="155"/>
      <c r="J180" s="178">
        <f>H180/DAY(B2)</f>
        <v>-5.0555555555555554</v>
      </c>
    </row>
    <row r="181" spans="1:11" ht="27.75" customHeight="1" x14ac:dyDescent="0.5">
      <c r="A181" s="858" t="s">
        <v>108</v>
      </c>
      <c r="B181" s="859"/>
      <c r="C181" s="483"/>
      <c r="D181" s="228" t="s">
        <v>142</v>
      </c>
      <c r="E181" s="95"/>
      <c r="F181" s="155"/>
      <c r="G181" s="582">
        <f>SUM(G178:G180)</f>
        <v>133</v>
      </c>
      <c r="H181" s="99">
        <f>G181+'17'!H181</f>
        <v>-1224</v>
      </c>
      <c r="I181" s="155"/>
      <c r="J181" s="178">
        <f>H181/DAY(B2)</f>
        <v>-68</v>
      </c>
    </row>
    <row r="182" spans="1:11" ht="27.75" customHeight="1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582"/>
      <c r="H182" s="99">
        <f>G182+'17'!H182</f>
        <v>0</v>
      </c>
      <c r="I182" s="155"/>
      <c r="J182" s="178">
        <f>H182/DAY(B2)</f>
        <v>0</v>
      </c>
    </row>
    <row r="183" spans="1:11" ht="27.75" customHeight="1" x14ac:dyDescent="0.5">
      <c r="A183" s="856" t="s">
        <v>214</v>
      </c>
      <c r="B183" s="857"/>
      <c r="C183" s="334"/>
      <c r="D183" s="228" t="s">
        <v>142</v>
      </c>
      <c r="E183" s="95">
        <f>'17'!F183</f>
        <v>15146</v>
      </c>
      <c r="F183" s="157">
        <v>15161</v>
      </c>
      <c r="G183" s="583">
        <f>F183-E183</f>
        <v>15</v>
      </c>
      <c r="H183" s="99">
        <f>G183+'17'!H183</f>
        <v>-184</v>
      </c>
      <c r="I183" s="155"/>
      <c r="J183" s="178">
        <f>H183/DAY(B2)</f>
        <v>-10.222222222222221</v>
      </c>
    </row>
    <row r="184" spans="1:11" ht="27.75" customHeight="1" x14ac:dyDescent="0.5">
      <c r="A184" s="856" t="s">
        <v>215</v>
      </c>
      <c r="B184" s="857"/>
      <c r="C184" s="334"/>
      <c r="D184" s="228" t="s">
        <v>142</v>
      </c>
      <c r="E184" s="95">
        <f>'17'!F184</f>
        <v>10411</v>
      </c>
      <c r="F184" s="157">
        <v>10415</v>
      </c>
      <c r="G184" s="583">
        <f t="shared" ref="G184:G185" si="16">F184-E184</f>
        <v>4</v>
      </c>
      <c r="H184" s="99">
        <f>G184+'17'!H184</f>
        <v>-103</v>
      </c>
      <c r="I184" s="155"/>
      <c r="J184" s="178">
        <f>H184/DAY(B2)</f>
        <v>-5.7222222222222223</v>
      </c>
    </row>
    <row r="185" spans="1:11" ht="27.75" customHeight="1" x14ac:dyDescent="0.5">
      <c r="A185" s="856" t="s">
        <v>216</v>
      </c>
      <c r="B185" s="857"/>
      <c r="C185" s="334"/>
      <c r="D185" s="228" t="s">
        <v>142</v>
      </c>
      <c r="E185" s="95">
        <f>'17'!F185</f>
        <v>0</v>
      </c>
      <c r="F185" s="157"/>
      <c r="G185" s="583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583">
        <f>SUM(G183:G185)</f>
        <v>19</v>
      </c>
      <c r="H186" s="99">
        <f>G186+'17'!H186</f>
        <v>-287</v>
      </c>
      <c r="I186" s="157"/>
      <c r="J186" s="178">
        <f>H186/DAY(B2)</f>
        <v>-15.944444444444445</v>
      </c>
    </row>
    <row r="187" spans="1:11" ht="27.75" customHeight="1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584">
        <f>G62+G19</f>
        <v>123</v>
      </c>
      <c r="H187" s="99">
        <f>G187+'17'!H187</f>
        <v>-1920</v>
      </c>
      <c r="I187" s="158"/>
      <c r="J187" s="179">
        <f>H187/DAY(B2)</f>
        <v>-106.66666666666667</v>
      </c>
    </row>
    <row r="188" spans="1:11" ht="27.75" customHeight="1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584">
        <f>G65+G66+G67+G69+G70</f>
        <v>113</v>
      </c>
      <c r="H188" s="99">
        <f>G188+'17'!H188</f>
        <v>477</v>
      </c>
      <c r="I188" s="158"/>
      <c r="J188" s="179">
        <f>H188/DAY(B2)</f>
        <v>26.5</v>
      </c>
    </row>
    <row r="189" spans="1:11" ht="27.75" customHeight="1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584">
        <f>G181</f>
        <v>133</v>
      </c>
      <c r="H189" s="99">
        <f>G189+'17'!H189</f>
        <v>-1224</v>
      </c>
      <c r="I189" s="158"/>
      <c r="J189" s="179">
        <f>H189/DAY(B2)</f>
        <v>-68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155">
        <f>'17'!G191</f>
        <v>53102</v>
      </c>
      <c r="G190" s="578">
        <v>52871</v>
      </c>
      <c r="H190" s="238">
        <f>G190-F190</f>
        <v>-231</v>
      </c>
      <c r="I190" s="99">
        <f>H190+'15'!I190</f>
        <v>-231</v>
      </c>
      <c r="J190" s="236"/>
      <c r="K190" s="239" t="e">
        <f>I190/DAY(C27)</f>
        <v>#DIV/0!</v>
      </c>
    </row>
  </sheetData>
  <mergeCells count="114"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zoomScale="55" zoomScaleNormal="40" zoomScaleSheetLayoutView="55" zoomScalePageLayoutView="60" workbookViewId="0">
      <selection activeCell="F146" sqref="F14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626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350</v>
      </c>
      <c r="B2" s="262">
        <v>44580</v>
      </c>
      <c r="C2" s="348" t="s">
        <v>67</v>
      </c>
      <c r="D2" s="218">
        <v>0.92979999999999996</v>
      </c>
      <c r="E2" s="100"/>
      <c r="F2" s="100"/>
      <c r="G2" s="602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1" t="s">
        <v>119</v>
      </c>
      <c r="F3" s="912"/>
      <c r="G3" s="603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6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604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605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'18 '!F7</f>
        <v>424173</v>
      </c>
      <c r="F7" s="95">
        <v>442206</v>
      </c>
      <c r="G7" s="606">
        <f>F7-E7</f>
        <v>18033</v>
      </c>
      <c r="H7" s="99">
        <f>G7+'18 '!H7</f>
        <v>-208974.22999999998</v>
      </c>
      <c r="I7" s="113">
        <f>'1'!I7</f>
        <v>12000</v>
      </c>
      <c r="J7" s="175">
        <f>H7/DAY(B2)</f>
        <v>-10998.643684210525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'18 '!F8</f>
        <v>475797.83</v>
      </c>
      <c r="F8" s="95">
        <v>494519</v>
      </c>
      <c r="G8" s="607">
        <f>F8-E8</f>
        <v>18721.169999999984</v>
      </c>
      <c r="H8" s="99">
        <f>G8+'18 '!H8</f>
        <v>-214029.15000000002</v>
      </c>
      <c r="I8" s="116"/>
      <c r="J8" s="175">
        <f>H8/DAY(B2)</f>
        <v>-11264.692105263159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'18 '!F9</f>
        <v>109695.53</v>
      </c>
      <c r="F9" s="598">
        <v>121587.8</v>
      </c>
      <c r="G9" s="606">
        <f>F9-E9</f>
        <v>11892.270000000004</v>
      </c>
      <c r="H9" s="99">
        <f>G9+'18 '!H9</f>
        <v>-160666.04999999999</v>
      </c>
      <c r="I9" s="124">
        <f>I7-J7</f>
        <v>22998.643684210525</v>
      </c>
      <c r="J9" s="175">
        <f>H9/DAY(B2)</f>
        <v>-8456.1078947368424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'18 '!F10</f>
        <v>57422.18</v>
      </c>
      <c r="F10" s="353">
        <v>62985.4</v>
      </c>
      <c r="G10" s="606">
        <f t="shared" ref="G10:G12" si="0">F10-E10</f>
        <v>5563.2200000000012</v>
      </c>
      <c r="H10" s="99">
        <f>G10+'18 '!H10</f>
        <v>-42273.57</v>
      </c>
      <c r="I10" s="282"/>
      <c r="J10" s="175">
        <f>H10/DAY(B2)</f>
        <v>-2224.9247368421052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'18 '!F11</f>
        <v>37170</v>
      </c>
      <c r="F11" s="95">
        <v>37170</v>
      </c>
      <c r="G11" s="606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'18 '!F12</f>
        <v>40010</v>
      </c>
      <c r="F12" s="117">
        <v>40010</v>
      </c>
      <c r="G12" s="606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608">
        <f>G9+G10+G11+G12</f>
        <v>17455.490000000005</v>
      </c>
      <c r="H13" s="99">
        <f>G13+'18 '!H13</f>
        <v>-219694.05</v>
      </c>
      <c r="I13" s="120">
        <f>G7-G13</f>
        <v>577.50999999999476</v>
      </c>
      <c r="J13" s="175">
        <f>H13/DAY(B2)</f>
        <v>-11562.844736842104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609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'18 '!F15</f>
        <v>1894222</v>
      </c>
      <c r="F15" s="598">
        <v>1895056.3</v>
      </c>
      <c r="G15" s="606">
        <f>(F15-E15)</f>
        <v>834.30000000004657</v>
      </c>
      <c r="H15" s="99">
        <f>G15+'18 '!H15</f>
        <v>18999.533000000054</v>
      </c>
      <c r="I15" s="113">
        <f>'1'!I15</f>
        <v>800</v>
      </c>
      <c r="J15" s="175">
        <f>H15/DAY(B2)</f>
        <v>999.97542105263437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606"/>
      <c r="H16" s="124"/>
      <c r="I16" s="120">
        <f>I15-J15</f>
        <v>-199.97542105263437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609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'18 '!F18</f>
        <v>10</v>
      </c>
      <c r="F18" s="122">
        <v>10</v>
      </c>
      <c r="G18" s="608">
        <f>F18*10</f>
        <v>100</v>
      </c>
      <c r="H18" s="99">
        <f>G18+'18 '!H18</f>
        <v>3310</v>
      </c>
      <c r="I18" s="113">
        <f>'1'!I18</f>
        <v>65</v>
      </c>
      <c r="J18" s="175">
        <f>H18/DAY(B2)</f>
        <v>174.21052631578948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'18 '!F19</f>
        <v>153179</v>
      </c>
      <c r="F19" s="122">
        <v>153236</v>
      </c>
      <c r="G19" s="606">
        <f t="shared" ref="G19" si="1">F19-E19</f>
        <v>57</v>
      </c>
      <c r="H19" s="99">
        <f>G19+'18 '!H19</f>
        <v>-655</v>
      </c>
      <c r="I19" s="335"/>
      <c r="J19" s="175">
        <f>H19/DAY(B2)</f>
        <v>-34.473684210526315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610">
        <f>G18+G19</f>
        <v>157</v>
      </c>
      <c r="H20" s="99">
        <f>G20+'18 '!H20</f>
        <v>2655</v>
      </c>
      <c r="I20" s="336">
        <f>I18-J20</f>
        <v>-74.73684210526315</v>
      </c>
      <c r="J20" s="175">
        <f>H20/DAY(B2)</f>
        <v>139.73684210526315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609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608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'18 '!F23</f>
        <v>1390</v>
      </c>
      <c r="F23" s="122">
        <v>1390</v>
      </c>
      <c r="G23" s="608">
        <v>0</v>
      </c>
      <c r="H23" s="99">
        <f>G23+'18 '!H23</f>
        <v>110</v>
      </c>
      <c r="I23" s="118"/>
      <c r="J23" s="175">
        <f>H23/DAY(B2)</f>
        <v>5.7894736842105265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'18 '!F24</f>
        <v>4970</v>
      </c>
      <c r="F24" s="128">
        <v>4970</v>
      </c>
      <c r="G24" s="608">
        <v>0</v>
      </c>
      <c r="H24" s="99">
        <f>G24+'18 '!H24</f>
        <v>110</v>
      </c>
      <c r="I24" s="118"/>
      <c r="J24" s="175">
        <f>H24/DAY(B2)</f>
        <v>5.7894736842105265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611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612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18721.169999999984</v>
      </c>
      <c r="F27" s="136">
        <v>9</v>
      </c>
      <c r="G27" s="613">
        <f>E27*F27</f>
        <v>168490.52999999985</v>
      </c>
      <c r="H27" s="99">
        <f>G27+'18 '!H27</f>
        <v>-1926262.35</v>
      </c>
      <c r="I27" s="138"/>
      <c r="J27" s="175">
        <f>H27/DAY(B2)</f>
        <v>-101382.22894736842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834.30000000004657</v>
      </c>
      <c r="F28" s="136">
        <v>52</v>
      </c>
      <c r="G28" s="613">
        <f>E28*F28</f>
        <v>43383.600000002421</v>
      </c>
      <c r="H28" s="99">
        <f>G28+'18 '!H28</f>
        <v>1021329.7160000028</v>
      </c>
      <c r="I28" s="140"/>
      <c r="J28" s="175">
        <f>H28/DAY(B2)</f>
        <v>53754.195578947518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613">
        <f>E29*F29</f>
        <v>0</v>
      </c>
      <c r="H29" s="99">
        <f>G29+'18 '!H29</f>
        <v>7590</v>
      </c>
      <c r="I29" s="140"/>
      <c r="J29" s="175">
        <f>H29/DAY(B2)</f>
        <v>399.4736842105263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613">
        <f>E30*F30</f>
        <v>8322</v>
      </c>
      <c r="H30" s="99">
        <f>G30+'18 '!H30</f>
        <v>-103440</v>
      </c>
      <c r="I30" s="140"/>
      <c r="J30" s="175">
        <f>H30/DAY(B2)</f>
        <v>-5444.2105263157891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613">
        <f>E31*F31</f>
        <v>8000</v>
      </c>
      <c r="H31" s="99">
        <f>G31+'18 '!H31</f>
        <v>264800</v>
      </c>
      <c r="I31" s="140"/>
      <c r="J31" s="175">
        <f>H31/DAY(B2)</f>
        <v>13936.842105263158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614">
        <f>G27+G28+G29+G30+G31</f>
        <v>228196.13000000227</v>
      </c>
      <c r="H32" s="99">
        <f>G32+'18 '!H32</f>
        <v>-735982.63399999728</v>
      </c>
      <c r="I32" s="144"/>
      <c r="J32" s="175">
        <f>H32/DAY(B2)</f>
        <v>-38735.928105263018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615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616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'18 '!F35</f>
        <v>14485.36</v>
      </c>
      <c r="F35" s="145">
        <v>16302.52</v>
      </c>
      <c r="G35" s="606">
        <f t="shared" ref="G35:G46" si="3">F35-E35</f>
        <v>1817.1599999999999</v>
      </c>
      <c r="H35" s="99">
        <f>G35+'18 '!H35</f>
        <v>-15702.459999999995</v>
      </c>
      <c r="I35" s="95"/>
      <c r="J35" s="175">
        <f>H35/DAY(B2)</f>
        <v>-826.44526315789449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'18 '!F36</f>
        <v>34075.360000000001</v>
      </c>
      <c r="F36" s="145">
        <v>34736.959999999999</v>
      </c>
      <c r="G36" s="606">
        <f t="shared" si="3"/>
        <v>661.59999999999854</v>
      </c>
      <c r="H36" s="99">
        <f>G36+'18 '!H36</f>
        <v>-8721.7799999999988</v>
      </c>
      <c r="I36" s="95"/>
      <c r="J36" s="175">
        <f>H36/DAY(B2)</f>
        <v>-459.04105263157891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'18 '!F37</f>
        <v>14883.97</v>
      </c>
      <c r="F37" s="145">
        <v>16480.14</v>
      </c>
      <c r="G37" s="606">
        <f t="shared" si="3"/>
        <v>1596.17</v>
      </c>
      <c r="H37" s="99">
        <f>G37+'18 '!H37</f>
        <v>-18944.949999999997</v>
      </c>
      <c r="I37" s="95"/>
      <c r="J37" s="175">
        <f>H37/DAY(B2)</f>
        <v>-997.10263157894724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'18 '!F38</f>
        <v>15864.46</v>
      </c>
      <c r="F38" s="108">
        <v>17488</v>
      </c>
      <c r="G38" s="606">
        <f t="shared" si="3"/>
        <v>1623.5400000000009</v>
      </c>
      <c r="H38" s="99">
        <f>G38+'18 '!H38</f>
        <v>-20888.43</v>
      </c>
      <c r="I38" s="95"/>
      <c r="J38" s="175">
        <f>H38/DAY(B2)</f>
        <v>-1099.391052631579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'18 '!F39</f>
        <v>25354.49</v>
      </c>
      <c r="F39" s="145">
        <v>28000.560000000001</v>
      </c>
      <c r="G39" s="606">
        <f t="shared" si="3"/>
        <v>2646.0699999999997</v>
      </c>
      <c r="H39" s="99">
        <f>G39+'18 '!H39</f>
        <v>-31172.730000000003</v>
      </c>
      <c r="I39" s="95"/>
      <c r="J39" s="175">
        <f>H39/DAY(B2)</f>
        <v>-1640.67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601">
        <f>'18 '!F40</f>
        <v>13643.14</v>
      </c>
      <c r="F40" s="376">
        <v>14058.37</v>
      </c>
      <c r="G40" s="617">
        <f t="shared" si="3"/>
        <v>415.23000000000138</v>
      </c>
      <c r="H40" s="99">
        <f>G40+'18 '!H40</f>
        <v>-8058.6200000000008</v>
      </c>
      <c r="I40" s="95"/>
      <c r="J40" s="175">
        <f>H40/DAY(B2)</f>
        <v>-424.13789473684216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'18 '!F41</f>
        <v>0</v>
      </c>
      <c r="F41" s="145">
        <v>0</v>
      </c>
      <c r="G41" s="606">
        <f t="shared" si="3"/>
        <v>0</v>
      </c>
      <c r="H41" s="99">
        <f>G41+'18 '!H41</f>
        <v>-62.73</v>
      </c>
      <c r="I41" s="95"/>
      <c r="J41" s="175">
        <f>H41/DAY(B2)</f>
        <v>-3.3015789473684207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'18 '!F42</f>
        <v>73808.600000000006</v>
      </c>
      <c r="F42" s="145">
        <v>73808.600000000006</v>
      </c>
      <c r="G42" s="606">
        <f t="shared" si="3"/>
        <v>0</v>
      </c>
      <c r="H42" s="99">
        <f>G42+'18 '!H42</f>
        <v>35730.86</v>
      </c>
      <c r="I42" s="95"/>
      <c r="J42" s="175">
        <f>H42/DAY(B2)</f>
        <v>1880.5715789473684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'18 '!F43</f>
        <v>87381.15</v>
      </c>
      <c r="F43" s="145">
        <v>89753.52</v>
      </c>
      <c r="G43" s="606">
        <f t="shared" si="3"/>
        <v>2372.3700000000099</v>
      </c>
      <c r="H43" s="99">
        <f>G43+'18 '!H43</f>
        <v>40930.92</v>
      </c>
      <c r="I43" s="95"/>
      <c r="J43" s="175">
        <f>H43/DAY(B2)</f>
        <v>2154.2589473684211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606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606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606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608">
        <f>G35+G36+G37+G38+G39+G40+G41+G42+G43+G44+G45+G46</f>
        <v>11132.14000000001</v>
      </c>
      <c r="H47" s="99">
        <f>G47+'18 '!H47</f>
        <v>-26889.919999999995</v>
      </c>
      <c r="I47" s="95"/>
      <c r="J47" s="175">
        <f>H47/DAY(B2)</f>
        <v>-1415.2589473684209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616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'18 '!F49</f>
        <v>12587.33</v>
      </c>
      <c r="F49" s="145">
        <v>13711.82</v>
      </c>
      <c r="G49" s="606">
        <f t="shared" ref="G49:G58" si="4">F49-E49</f>
        <v>1124.4899999999998</v>
      </c>
      <c r="H49" s="99">
        <f>G49+'18 '!H49</f>
        <v>-11284.369999999999</v>
      </c>
      <c r="I49" s="95"/>
      <c r="J49" s="175">
        <f>H49/DAY(B2)</f>
        <v>-593.91421052631574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'18 '!F50</f>
        <v>42045.93</v>
      </c>
      <c r="F50" s="145">
        <v>43021.69</v>
      </c>
      <c r="G50" s="606">
        <f t="shared" si="4"/>
        <v>975.76000000000204</v>
      </c>
      <c r="H50" s="99">
        <f>G50+'18 '!H50</f>
        <v>-13364.939999999995</v>
      </c>
      <c r="I50" s="95"/>
      <c r="J50" s="175">
        <f>H50/DAY(B2)</f>
        <v>-703.41789473684184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'18 '!F51</f>
        <v>0</v>
      </c>
      <c r="F51" s="145">
        <v>0</v>
      </c>
      <c r="G51" s="606">
        <f t="shared" si="4"/>
        <v>0</v>
      </c>
      <c r="H51" s="99">
        <f>G51+'18 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'18 '!F52</f>
        <v>0</v>
      </c>
      <c r="F52" s="145">
        <v>0</v>
      </c>
      <c r="G52" s="606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606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'18 '!F54</f>
        <v>5147.42</v>
      </c>
      <c r="F54" s="145">
        <v>5147.42</v>
      </c>
      <c r="G54" s="606">
        <f t="shared" si="4"/>
        <v>0</v>
      </c>
      <c r="H54" s="99">
        <f>G54+'18 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'18 '!F55</f>
        <v>57839.69</v>
      </c>
      <c r="F55" s="145">
        <v>60685.83</v>
      </c>
      <c r="G55" s="606">
        <f t="shared" si="4"/>
        <v>2846.1399999999994</v>
      </c>
      <c r="H55" s="99">
        <f>G55+'18 '!H55</f>
        <v>-13680.279999999999</v>
      </c>
      <c r="I55" s="95"/>
      <c r="J55" s="175">
        <f>H55/DAY(B2)</f>
        <v>-720.01473684210521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'18 '!F56</f>
        <v>8610.5400000000009</v>
      </c>
      <c r="F56" s="145">
        <v>8610.5400000000009</v>
      </c>
      <c r="G56" s="606">
        <f t="shared" si="4"/>
        <v>0</v>
      </c>
      <c r="H56" s="99">
        <f>G56+'18 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606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'18 '!F58</f>
        <v>2148.48</v>
      </c>
      <c r="F58" s="145">
        <v>2310.27</v>
      </c>
      <c r="G58" s="606">
        <f t="shared" si="4"/>
        <v>161.78999999999996</v>
      </c>
      <c r="H58" s="99">
        <f>G58+'18 '!H58</f>
        <v>-2485.94</v>
      </c>
      <c r="I58" s="95"/>
      <c r="J58" s="175">
        <f>H58/DAY(B2)</f>
        <v>-130.83894736842106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608">
        <f>G49+G50+G51+G52+G53+G54+G55+G56+G57+G58</f>
        <v>5108.1800000000012</v>
      </c>
      <c r="H59" s="99">
        <f>G59+'18 '!H59</f>
        <v>-40815.530000000006</v>
      </c>
      <c r="I59" s="95">
        <f>G7-G60</f>
        <v>1792.6799999999894</v>
      </c>
      <c r="J59" s="175">
        <f>H59/DAY(B2)</f>
        <v>-2148.1857894736845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608">
        <f>G47+G59</f>
        <v>16240.320000000011</v>
      </c>
      <c r="H60" s="99">
        <f>G60+'18 '!H60</f>
        <v>-67705.450000000012</v>
      </c>
      <c r="I60" s="95">
        <f>G13-G60</f>
        <v>1215.1699999999946</v>
      </c>
      <c r="J60" s="175">
        <f>H60/DAY(B2)</f>
        <v>-3563.4447368421061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618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'18 '!F62</f>
        <v>268308</v>
      </c>
      <c r="F62" s="122">
        <v>268368</v>
      </c>
      <c r="G62" s="606">
        <f t="shared" ref="G62:G63" si="5">F62-E62</f>
        <v>60</v>
      </c>
      <c r="H62" s="99">
        <f>G62+'18 '!H62</f>
        <v>-1148</v>
      </c>
      <c r="I62" s="118"/>
      <c r="J62" s="175">
        <f>H62/DAY(B2)</f>
        <v>-60.421052631578945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'18 '!F63</f>
        <v>214242</v>
      </c>
      <c r="F63" s="122">
        <v>214335</v>
      </c>
      <c r="G63" s="606">
        <f t="shared" si="5"/>
        <v>93</v>
      </c>
      <c r="H63" s="99">
        <f>G63+'18 '!H63</f>
        <v>2259</v>
      </c>
      <c r="I63" s="118"/>
      <c r="J63" s="175">
        <f>H63/DAY(B2)</f>
        <v>118.89473684210526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'18 '!F64</f>
        <v>0</v>
      </c>
      <c r="F64" s="122"/>
      <c r="G64" s="606">
        <f>G62+G63</f>
        <v>153</v>
      </c>
      <c r="H64" s="99">
        <f>G64+'18 '!H64</f>
        <v>1111</v>
      </c>
      <c r="I64" s="118"/>
      <c r="J64" s="175">
        <f>H64/DAY(B2)</f>
        <v>58.473684210526315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'18 '!F65</f>
        <v>433856</v>
      </c>
      <c r="F65" s="122">
        <v>433919</v>
      </c>
      <c r="G65" s="606">
        <f t="shared" ref="G65:G70" si="6">F65-E65</f>
        <v>63</v>
      </c>
      <c r="H65" s="99">
        <f>G65+'18 '!H65</f>
        <v>-1004</v>
      </c>
      <c r="I65" s="118"/>
      <c r="J65" s="175">
        <f>H65/DAY(B2)</f>
        <v>-52.842105263157897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'18 '!F66</f>
        <v>107519</v>
      </c>
      <c r="F66" s="122">
        <v>107534</v>
      </c>
      <c r="G66" s="606">
        <f t="shared" si="6"/>
        <v>15</v>
      </c>
      <c r="H66" s="99">
        <f>G66+'18 '!H66</f>
        <v>-209</v>
      </c>
      <c r="I66" s="118"/>
      <c r="J66" s="175">
        <f>H66/DAY(B2)</f>
        <v>-11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'18 '!F67</f>
        <v>104344</v>
      </c>
      <c r="F67" s="122">
        <v>104367</v>
      </c>
      <c r="G67" s="606">
        <f t="shared" si="6"/>
        <v>23</v>
      </c>
      <c r="H67" s="99">
        <f>G67+'18 '!H67</f>
        <v>-281</v>
      </c>
      <c r="I67" s="118"/>
      <c r="J67" s="175">
        <f>H67/DAY(B2)</f>
        <v>-14.789473684210526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'18 '!F68</f>
        <v>157113</v>
      </c>
      <c r="F68" s="122">
        <v>157143</v>
      </c>
      <c r="G68" s="606">
        <f t="shared" si="6"/>
        <v>30</v>
      </c>
      <c r="H68" s="99">
        <f>G68+'18 '!H68</f>
        <v>-554</v>
      </c>
      <c r="I68" s="118"/>
      <c r="J68" s="175">
        <f>H68/DAY(B2)</f>
        <v>-29.157894736842106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'18 '!F69</f>
        <v>10389</v>
      </c>
      <c r="F69" s="122">
        <v>10397</v>
      </c>
      <c r="G69" s="606">
        <f t="shared" si="6"/>
        <v>8</v>
      </c>
      <c r="H69" s="99">
        <f>G69+'18 '!H69</f>
        <v>-144</v>
      </c>
      <c r="I69" s="118"/>
      <c r="J69" s="175">
        <f>H69/DAY(B2)</f>
        <v>-7.5789473684210522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'18 '!F70</f>
        <v>7995</v>
      </c>
      <c r="F70" s="122">
        <v>8001.1</v>
      </c>
      <c r="G70" s="606">
        <f t="shared" si="6"/>
        <v>6.1000000000003638</v>
      </c>
      <c r="H70" s="99">
        <f>G70+'18 '!H70</f>
        <v>-118.89999999999964</v>
      </c>
      <c r="I70" s="118"/>
      <c r="J70" s="175">
        <f>H70/DAY(B2)</f>
        <v>-6.2578947368420863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95">
        <f>'18 '!F71</f>
        <v>0</v>
      </c>
      <c r="F71" s="152"/>
      <c r="G71" s="619">
        <f>SUM(G65:G70)</f>
        <v>145.10000000000036</v>
      </c>
      <c r="H71" s="99">
        <f>G71+'18 '!H71</f>
        <v>-2310.8999999999996</v>
      </c>
      <c r="I71" s="154"/>
      <c r="J71" s="175">
        <f>H71/DAY(B2)</f>
        <v>-121.62631578947367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62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618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'18 '!F74</f>
        <v>897366.15</v>
      </c>
      <c r="F74" s="117">
        <v>897672.5</v>
      </c>
      <c r="G74" s="606">
        <f t="shared" ref="G74:G78" si="7">F74-E74</f>
        <v>306.34999999997672</v>
      </c>
      <c r="H74" s="99">
        <f>G74+'18 '!H74</f>
        <v>-3633.6489999999758</v>
      </c>
      <c r="I74" s="154"/>
      <c r="J74" s="175">
        <f>H74/DAY(B2)</f>
        <v>-191.24468421052504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'18 '!F75</f>
        <v>73586.8</v>
      </c>
      <c r="F75" s="123">
        <v>73586.8</v>
      </c>
      <c r="G75" s="606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'18 '!F76</f>
        <v>168711</v>
      </c>
      <c r="F76" s="123">
        <v>168794.9</v>
      </c>
      <c r="G76" s="606">
        <f t="shared" si="7"/>
        <v>83.899999999994179</v>
      </c>
      <c r="H76" s="99">
        <f>G76+'18 '!H76</f>
        <v>-1180.1000000000058</v>
      </c>
      <c r="I76" s="154"/>
      <c r="J76" s="175">
        <f>H76/DAY(B2)</f>
        <v>-62.110526315789777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'18 '!F77</f>
        <v>40844</v>
      </c>
      <c r="F77" s="123">
        <v>40871.1</v>
      </c>
      <c r="G77" s="606">
        <f t="shared" si="7"/>
        <v>27.099999999998545</v>
      </c>
      <c r="H77" s="99">
        <f>G77+'18 '!H77</f>
        <v>-431.09999999999854</v>
      </c>
      <c r="I77" s="154"/>
      <c r="J77" s="175">
        <f>H77/DAY(B2)</f>
        <v>-22.689473684210451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'18 '!F78</f>
        <v>9500</v>
      </c>
      <c r="F78" s="123">
        <v>9501.2999999999993</v>
      </c>
      <c r="G78" s="606">
        <f t="shared" si="7"/>
        <v>1.2999999999992724</v>
      </c>
      <c r="H78" s="99">
        <f>G78+'18 '!H78</f>
        <v>-14.700000000000728</v>
      </c>
      <c r="I78" s="118"/>
      <c r="J78" s="175">
        <f>H78/DAY(B2)</f>
        <v>-0.77368421052635405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'18 '!F79</f>
        <v>0</v>
      </c>
      <c r="F79" s="123"/>
      <c r="G79" s="606">
        <f>G15-SUM(G74:G78)</f>
        <v>415.65000000007785</v>
      </c>
      <c r="H79" s="99">
        <f>G79+'18 '!H79</f>
        <v>24259.082000000035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606">
        <f>SUM(G74:G79)</f>
        <v>834.30000000004657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621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606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606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'18 '!F84</f>
        <v>41675.26</v>
      </c>
      <c r="F84" s="164">
        <v>41675.4</v>
      </c>
      <c r="G84" s="606">
        <f t="shared" si="8"/>
        <v>0.13999999999941792</v>
      </c>
      <c r="H84" s="99">
        <f>G84+'18 '!H84</f>
        <v>0.40000000000145519</v>
      </c>
      <c r="I84" s="118"/>
      <c r="J84" s="175">
        <f>H84/DAY(B2)</f>
        <v>2.1052631579023956E-2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'18 '!F85</f>
        <v>2096.5500000000002</v>
      </c>
      <c r="F85" s="164">
        <v>2096.5500000000002</v>
      </c>
      <c r="G85" s="606">
        <f t="shared" si="8"/>
        <v>0</v>
      </c>
      <c r="H85" s="99">
        <f>G85+'18 '!H85</f>
        <v>-163.86999999999989</v>
      </c>
      <c r="I85" s="118">
        <f>G82+G83+G84+G85</f>
        <v>0.13999999999941792</v>
      </c>
      <c r="J85" s="175">
        <f>H85/DAY(B2)</f>
        <v>-8.624736842105257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'18 '!F86</f>
        <v>43296.06</v>
      </c>
      <c r="F86" s="164">
        <v>43321</v>
      </c>
      <c r="G86" s="606">
        <f t="shared" si="8"/>
        <v>24.940000000002328</v>
      </c>
      <c r="H86" s="99">
        <f>G86+'18 '!H86</f>
        <v>-121</v>
      </c>
      <c r="I86" s="118"/>
      <c r="J86" s="175">
        <f>H86/DAY(B2)</f>
        <v>-6.3684210526315788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'18 '!F87</f>
        <v>34598.550000000003</v>
      </c>
      <c r="F87" s="164">
        <v>34598.550000000003</v>
      </c>
      <c r="G87" s="606">
        <f t="shared" si="8"/>
        <v>0</v>
      </c>
      <c r="H87" s="99">
        <f>G87+'18 '!H87</f>
        <v>5.0000000002910383E-2</v>
      </c>
      <c r="I87" s="118"/>
      <c r="J87" s="175">
        <f>H87/DAY(B2)</f>
        <v>2.6315789475215992E-3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'18 '!F88</f>
        <v>24061.16</v>
      </c>
      <c r="F88" s="164">
        <v>24061.37</v>
      </c>
      <c r="G88" s="606">
        <f t="shared" si="8"/>
        <v>0.20999999999912689</v>
      </c>
      <c r="H88" s="99">
        <f>G88+'18 '!H88</f>
        <v>-2.0600000000013097</v>
      </c>
      <c r="I88" s="118">
        <f>G86+G87+G88</f>
        <v>25.150000000001455</v>
      </c>
      <c r="J88" s="175">
        <f>H88/DAY(B2)</f>
        <v>-0.10842105263164788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'18 '!F89</f>
        <v>25772.05</v>
      </c>
      <c r="F89" s="164">
        <v>25779.07</v>
      </c>
      <c r="G89" s="606">
        <f t="shared" si="8"/>
        <v>7.0200000000004366</v>
      </c>
      <c r="H89" s="99">
        <f>G89+'18 '!H89</f>
        <v>-112.04999999999927</v>
      </c>
      <c r="I89" s="118"/>
      <c r="J89" s="175">
        <f>H89/DAY(B2)</f>
        <v>-5.897368421052593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'18 '!F90</f>
        <v>71131.710000000006</v>
      </c>
      <c r="F90" s="164">
        <v>71133.570000000007</v>
      </c>
      <c r="G90" s="606">
        <f t="shared" si="8"/>
        <v>1.8600000000005821</v>
      </c>
      <c r="H90" s="99">
        <f>G90+'18 '!H90</f>
        <v>-29.75</v>
      </c>
      <c r="I90" s="118">
        <f>G89+G90</f>
        <v>8.8800000000010186</v>
      </c>
      <c r="J90" s="175">
        <f>H90/DAY(B2)</f>
        <v>-1.5657894736842106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'18 '!F91</f>
        <v>3226.32</v>
      </c>
      <c r="F91" s="122">
        <v>3226.32</v>
      </c>
      <c r="G91" s="606">
        <f t="shared" si="8"/>
        <v>0</v>
      </c>
      <c r="H91" s="99">
        <f>G91+'18 '!H91</f>
        <v>-24.769999999999982</v>
      </c>
      <c r="I91" s="165"/>
      <c r="J91" s="175">
        <f>H91/DAY(B2)</f>
        <v>-1.3036842105263149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'18 '!F92</f>
        <v>5625.33</v>
      </c>
      <c r="F92" s="122">
        <v>5636.06</v>
      </c>
      <c r="G92" s="606">
        <f t="shared" si="8"/>
        <v>10.730000000000473</v>
      </c>
      <c r="H92" s="99">
        <f>G92+'18 '!H92</f>
        <v>-105.00999999999931</v>
      </c>
      <c r="I92" s="165"/>
      <c r="J92" s="175">
        <f>H92/DAY(B2)</f>
        <v>-5.5268421052631211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609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622">
        <f>G35+G43+G49+G57</f>
        <v>5314.0200000000095</v>
      </c>
      <c r="H94" s="99">
        <f>G94+'18 '!H94</f>
        <v>13944.09</v>
      </c>
      <c r="I94" s="118"/>
      <c r="J94" s="175">
        <f>H94/DAY(B2)</f>
        <v>733.89947368421053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623">
        <f>G94/G7</f>
        <v>0.29468308101813395</v>
      </c>
      <c r="H95" s="99">
        <f>G95+'18 '!H95</f>
        <v>4.7507620642576533</v>
      </c>
      <c r="I95" s="167"/>
      <c r="J95" s="175">
        <f>H95/DAY(B2)</f>
        <v>0.25004010864513965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622">
        <f>G41+G42+G55+G56</f>
        <v>2846.1399999999994</v>
      </c>
      <c r="H96" s="99">
        <f>G96+'18 '!H96</f>
        <v>21987.85</v>
      </c>
      <c r="I96" s="118"/>
      <c r="J96" s="175">
        <f>H96/DAY(B2)</f>
        <v>1157.2552631578947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623">
        <f>G96/G7</f>
        <v>0.15782953474186212</v>
      </c>
      <c r="H97" s="99">
        <f>G97+'18 '!H97</f>
        <v>3.5318601148334858</v>
      </c>
      <c r="I97" s="167"/>
      <c r="J97" s="175">
        <f>H97/DAY(B2)</f>
        <v>0.18588737446492032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622">
        <f>G39+G53</f>
        <v>2646.0699999999997</v>
      </c>
      <c r="H98" s="99">
        <f>G98+'18 '!H98</f>
        <v>-31172.730000000003</v>
      </c>
      <c r="I98" s="168"/>
      <c r="J98" s="175">
        <f>H98/DAY(B2)</f>
        <v>-1640.67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623">
        <f>G98/G7</f>
        <v>0.14673487495147783</v>
      </c>
      <c r="H99" s="99">
        <f>G99+'18 '!H99</f>
        <v>2.7769492244191394</v>
      </c>
      <c r="I99" s="168"/>
      <c r="J99" s="175">
        <f>H99/DAY(B2)</f>
        <v>0.14615522233784944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622">
        <f>G38+G52</f>
        <v>1623.5400000000009</v>
      </c>
      <c r="H100" s="99">
        <f>G100+'18 '!H100</f>
        <v>-20888.43</v>
      </c>
      <c r="I100" s="118"/>
      <c r="J100" s="175">
        <f>H100/DAY(B2)</f>
        <v>-1099.391052631579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623">
        <f>G100/G7</f>
        <v>9.0031608717351566E-2</v>
      </c>
      <c r="H101" s="99">
        <f>G101+'18 '!H101</f>
        <v>1.7906179849919241</v>
      </c>
      <c r="I101" s="168"/>
      <c r="J101" s="175">
        <f>H101/DAY(B2)</f>
        <v>9.424305184168022E-2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622">
        <f>G36+G50</f>
        <v>1637.3600000000006</v>
      </c>
      <c r="H102" s="99">
        <f>G102+'18 '!H102</f>
        <v>-22086.719999999994</v>
      </c>
      <c r="I102" s="168"/>
      <c r="J102" s="175">
        <f>H102/DAY(B2)</f>
        <v>-1162.4589473684207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623">
        <f>G102/G7</f>
        <v>9.0797981478400736E-2</v>
      </c>
      <c r="H103" s="99">
        <f>G103+'18 '!H103</f>
        <v>1.9430542793352947</v>
      </c>
      <c r="I103" s="118"/>
      <c r="J103" s="175">
        <f>H103/DAY(B2)</f>
        <v>0.10226601470185762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622">
        <f>G37+G51</f>
        <v>1596.17</v>
      </c>
      <c r="H104" s="99">
        <f>G104+'18 '!H104</f>
        <v>-18944.949999999997</v>
      </c>
      <c r="I104" s="118"/>
      <c r="J104" s="175">
        <f>H104/DAY(B2)</f>
        <v>-997.10263157894724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624">
        <f>G104/G7</f>
        <v>8.8513835745577557E-2</v>
      </c>
      <c r="H105" s="99">
        <f>G105+'18 '!H105</f>
        <v>1.5946719467187473</v>
      </c>
      <c r="I105" s="187"/>
      <c r="J105" s="188">
        <f>H105/DAY(B2)</f>
        <v>8.3930102458881439E-2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625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627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'18 '!F112</f>
        <v>57044.5</v>
      </c>
      <c r="F112" s="237">
        <v>57125.98</v>
      </c>
      <c r="G112" s="606">
        <f t="shared" ref="G112:G123" si="9">F112-E112</f>
        <v>81.480000000003201</v>
      </c>
      <c r="H112" s="99">
        <f>G112+'18 '!H112</f>
        <v>-928.0199999999968</v>
      </c>
      <c r="I112" s="165"/>
      <c r="J112" s="328">
        <f>H112/DAY(B2)</f>
        <v>-48.84315789473667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'18 '!F113</f>
        <v>40324.26</v>
      </c>
      <c r="F113" s="237">
        <v>40787.379999999997</v>
      </c>
      <c r="G113" s="606">
        <f t="shared" si="9"/>
        <v>463.11999999999534</v>
      </c>
      <c r="H113" s="99">
        <f>G113+'18 '!H113</f>
        <v>-5613.510000000002</v>
      </c>
      <c r="I113" s="165"/>
      <c r="J113" s="328">
        <f>H113/DAY(B2)</f>
        <v>-295.44789473684222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'18 '!F114</f>
        <v>29635.1</v>
      </c>
      <c r="F114" s="237">
        <v>29901.7</v>
      </c>
      <c r="G114" s="606">
        <f t="shared" si="9"/>
        <v>266.60000000000218</v>
      </c>
      <c r="H114" s="99">
        <f>G114+'18 '!H114</f>
        <v>-3391.8999999999996</v>
      </c>
      <c r="I114" s="165"/>
      <c r="J114" s="328">
        <f>H114/DAY(B2)</f>
        <v>-178.52105263157893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'18 '!F115</f>
        <v>8969.3700000000008</v>
      </c>
      <c r="F115" s="237">
        <v>8979.4500000000007</v>
      </c>
      <c r="G115" s="606">
        <f t="shared" si="9"/>
        <v>10.079999999999927</v>
      </c>
      <c r="H115" s="99">
        <f>G115+'18 '!H115</f>
        <v>-115.19999999999891</v>
      </c>
      <c r="I115" s="165"/>
      <c r="J115" s="328">
        <f>H115/DAY(B2)</f>
        <v>-6.0631578947367846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'18 '!F116</f>
        <v>0</v>
      </c>
      <c r="F116" s="237">
        <v>0</v>
      </c>
      <c r="G116" s="606">
        <f t="shared" si="9"/>
        <v>0</v>
      </c>
      <c r="H116" s="99">
        <f>G116+'18 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'18 '!F117</f>
        <v>3023.11</v>
      </c>
      <c r="F117" s="237">
        <v>3046.45</v>
      </c>
      <c r="G117" s="606">
        <f t="shared" si="9"/>
        <v>23.339999999999691</v>
      </c>
      <c r="H117" s="99">
        <f>G117+'18 '!H117</f>
        <v>-291.5</v>
      </c>
      <c r="I117" s="165"/>
      <c r="J117" s="328">
        <f>H117/DAY(B2)</f>
        <v>-15.342105263157896</v>
      </c>
      <c r="Q117" s="863" t="s">
        <v>312</v>
      </c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'18 '!F118</f>
        <v>248035.49</v>
      </c>
      <c r="F118" s="237">
        <v>248401.09</v>
      </c>
      <c r="G118" s="606">
        <f t="shared" si="9"/>
        <v>365.60000000000582</v>
      </c>
      <c r="H118" s="99">
        <f>G118+'18 '!H118</f>
        <v>-4051.2200000000012</v>
      </c>
      <c r="I118" s="165"/>
      <c r="J118" s="328">
        <f>H118/DAY(B2)</f>
        <v>-213.22210526315794</v>
      </c>
      <c r="Q118" s="863" t="s">
        <v>311</v>
      </c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'18 '!F119</f>
        <v>252682.05</v>
      </c>
      <c r="F119" s="237">
        <v>253125.45</v>
      </c>
      <c r="G119" s="606">
        <f t="shared" si="9"/>
        <v>443.40000000002328</v>
      </c>
      <c r="H119" s="99">
        <f>G119+'18 '!H119</f>
        <v>-5023.0999999999767</v>
      </c>
      <c r="I119" s="165"/>
      <c r="J119" s="328">
        <f>H119/DAY(B2)</f>
        <v>-264.37368421052508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'18 '!F120</f>
        <v>37580.07</v>
      </c>
      <c r="F120" s="237">
        <v>37987.129999999997</v>
      </c>
      <c r="G120" s="606">
        <f t="shared" si="9"/>
        <v>407.05999999999767</v>
      </c>
      <c r="H120" s="99">
        <f>G120+'18 '!H120</f>
        <v>-4972.4800000000032</v>
      </c>
      <c r="I120" s="165"/>
      <c r="J120" s="328">
        <f>H120/DAY(B2)</f>
        <v>-261.70947368421071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'18 '!F121</f>
        <v>389079</v>
      </c>
      <c r="F121" s="237">
        <v>389744.43</v>
      </c>
      <c r="G121" s="606">
        <f t="shared" si="9"/>
        <v>665.42999999999302</v>
      </c>
      <c r="H121" s="99">
        <f>G121+'18 '!H121</f>
        <v>-8290</v>
      </c>
      <c r="I121" s="165"/>
      <c r="J121" s="328">
        <f>H121/DAY(B2)</f>
        <v>-436.31578947368422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'18 '!F122</f>
        <v>123702</v>
      </c>
      <c r="F122" s="237">
        <v>123875.49</v>
      </c>
      <c r="G122" s="606">
        <f t="shared" si="9"/>
        <v>173.49000000000524</v>
      </c>
      <c r="H122" s="99">
        <f>G122+'18 '!H122</f>
        <v>-2310.6899999999878</v>
      </c>
      <c r="I122" s="165"/>
      <c r="J122" s="328">
        <f>H122/DAY(B2)</f>
        <v>-121.61526315789409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'18 '!F123</f>
        <v>150502.59</v>
      </c>
      <c r="F123" s="237">
        <v>150781.35</v>
      </c>
      <c r="G123" s="606">
        <f t="shared" si="9"/>
        <v>278.76000000000931</v>
      </c>
      <c r="H123" s="99">
        <f>G123+'18 '!H123</f>
        <v>-3265.6000000000058</v>
      </c>
      <c r="I123" s="165"/>
      <c r="J123" s="328">
        <f>H123/DAY(B2)</f>
        <v>-171.87368421052662</v>
      </c>
    </row>
    <row r="124" spans="1:18" ht="29.25" customHeight="1" x14ac:dyDescent="0.5">
      <c r="A124" s="867"/>
      <c r="B124" s="868"/>
      <c r="C124" s="869"/>
      <c r="D124" s="165"/>
      <c r="E124" s="95">
        <f>'18 '!F124</f>
        <v>0</v>
      </c>
      <c r="F124" s="165"/>
      <c r="G124" s="627"/>
      <c r="H124" s="156"/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628">
        <f>SUM(G112:G124)</f>
        <v>3178.3600000000347</v>
      </c>
      <c r="H125" s="156"/>
      <c r="I125" s="327">
        <f>G125-(G39+G53)</f>
        <v>532.29000000003498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628"/>
      <c r="H127" s="99">
        <f>G127+'18 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'18 '!F128</f>
        <v>43694.22</v>
      </c>
      <c r="F128" s="165">
        <v>44007</v>
      </c>
      <c r="G128" s="606">
        <f t="shared" ref="G128:G134" si="10">F128-E128</f>
        <v>312.77999999999884</v>
      </c>
      <c r="H128" s="99">
        <f>G128+'18 '!H128</f>
        <v>-3739</v>
      </c>
      <c r="I128" s="165"/>
      <c r="J128" s="328">
        <f>H128/DAY(B2)</f>
        <v>-196.78947368421052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'18 '!F129</f>
        <v>24341.02</v>
      </c>
      <c r="F129" s="165">
        <v>24539.05</v>
      </c>
      <c r="G129" s="606">
        <f t="shared" si="10"/>
        <v>198.02999999999884</v>
      </c>
      <c r="H129" s="99">
        <f>G129+'18 '!H129</f>
        <v>-2371.8199999999997</v>
      </c>
      <c r="I129" s="165"/>
      <c r="J129" s="328">
        <f>H129/DAY(B2)</f>
        <v>-124.83263157894736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'18 '!F130</f>
        <v>28966.26</v>
      </c>
      <c r="F130" s="158">
        <v>29719.24</v>
      </c>
      <c r="G130" s="606">
        <f t="shared" si="10"/>
        <v>752.9800000000032</v>
      </c>
      <c r="H130" s="99">
        <f>G130+'18 '!H130</f>
        <v>-5974.7599999999984</v>
      </c>
      <c r="I130" s="165"/>
      <c r="J130" s="328">
        <f>H130/DAY(B2)</f>
        <v>-314.46105263157887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'18 '!F131</f>
        <v>14447.42</v>
      </c>
      <c r="F131" s="165">
        <v>14534.22</v>
      </c>
      <c r="G131" s="606">
        <f t="shared" si="10"/>
        <v>86.799999999999272</v>
      </c>
      <c r="H131" s="99">
        <f>G131+'18 '!H131</f>
        <v>-773.46000000000095</v>
      </c>
      <c r="I131" s="165"/>
      <c r="J131" s="328">
        <f>H131/DAY(B2)</f>
        <v>-40.708421052631628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'18 '!F132</f>
        <v>49682.7</v>
      </c>
      <c r="F132" s="165">
        <v>49852.15</v>
      </c>
      <c r="G132" s="606">
        <f t="shared" si="10"/>
        <v>169.45000000000437</v>
      </c>
      <c r="H132" s="99">
        <f>G132+'18 '!H132</f>
        <v>-1996.1500000000015</v>
      </c>
      <c r="I132" s="165"/>
      <c r="J132" s="328">
        <f>H132/DAY(B2)</f>
        <v>-105.06052631578955</v>
      </c>
    </row>
    <row r="133" spans="1:15" ht="27.75" x14ac:dyDescent="0.5">
      <c r="A133" s="863" t="s">
        <v>362</v>
      </c>
      <c r="B133" s="864"/>
      <c r="C133" s="865"/>
      <c r="D133" s="151" t="s">
        <v>183</v>
      </c>
      <c r="E133" s="95">
        <f>'18 '!F133</f>
        <v>98583.4</v>
      </c>
      <c r="F133" s="165">
        <v>99251.43</v>
      </c>
      <c r="G133" s="606">
        <f t="shared" si="10"/>
        <v>668.02999999999884</v>
      </c>
      <c r="H133" s="99">
        <f>G133+'18 '!H133</f>
        <v>-6092.2700000000041</v>
      </c>
      <c r="I133" s="165"/>
      <c r="J133" s="328">
        <f>H133/DAY(B2)</f>
        <v>-320.64578947368443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'18 '!F134</f>
        <v>6368.93</v>
      </c>
      <c r="F134" s="165">
        <v>6620</v>
      </c>
      <c r="G134" s="606">
        <f t="shared" si="10"/>
        <v>251.06999999999971</v>
      </c>
      <c r="H134" s="99">
        <f>G134+'18 '!H134</f>
        <v>-1981.2299999999996</v>
      </c>
      <c r="I134" s="165"/>
      <c r="J134" s="328">
        <f>H134/DAY(B2)</f>
        <v>-104.27526315789471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606">
        <f>SUM(G128:G134)</f>
        <v>2439.1400000000031</v>
      </c>
      <c r="H135" s="99">
        <f>G135+'10'!H135</f>
        <v>25895.360000000004</v>
      </c>
      <c r="I135" s="327">
        <f>G135-(G35+G49)</f>
        <v>-502.50999999999658</v>
      </c>
      <c r="J135" s="328"/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627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'18 '!F138</f>
        <v>865289</v>
      </c>
      <c r="F138" s="147">
        <v>865348</v>
      </c>
      <c r="G138" s="606">
        <f t="shared" ref="G138:G152" si="11">F138-E138</f>
        <v>59</v>
      </c>
      <c r="H138" s="99">
        <f>G138+'18 '!H138</f>
        <v>-825</v>
      </c>
      <c r="I138" s="118"/>
      <c r="J138" s="328">
        <f>H138/DAY(B2)</f>
        <v>-43.421052631578945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'18 '!F139</f>
        <v>886551</v>
      </c>
      <c r="F139" s="148">
        <v>886551</v>
      </c>
      <c r="G139" s="606">
        <f t="shared" si="11"/>
        <v>0</v>
      </c>
      <c r="H139" s="99">
        <f>G139+'18 '!H139</f>
        <v>-22</v>
      </c>
      <c r="I139" s="118"/>
      <c r="J139" s="328">
        <f>H139/DAY(B2)</f>
        <v>-1.1578947368421053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'18 '!F140</f>
        <v>88898</v>
      </c>
      <c r="F140" s="149">
        <v>88898</v>
      </c>
      <c r="G140" s="606">
        <f t="shared" si="11"/>
        <v>0</v>
      </c>
      <c r="H140" s="99">
        <f>G140+'18 '!H140</f>
        <v>-24</v>
      </c>
      <c r="I140" s="118"/>
      <c r="J140" s="328">
        <f>H140/DAY(B2)</f>
        <v>-1.263157894736842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'18 '!F141</f>
        <v>52406.65</v>
      </c>
      <c r="F141" s="149">
        <v>52577.7</v>
      </c>
      <c r="G141" s="606">
        <f t="shared" si="11"/>
        <v>171.04999999999563</v>
      </c>
      <c r="H141" s="99">
        <f>G141+'18 '!H141</f>
        <v>-2107.8800000000047</v>
      </c>
      <c r="I141" s="118"/>
      <c r="J141" s="328">
        <f>H141/DAY(B2)</f>
        <v>-110.9410526315792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'18 '!F142</f>
        <v>20277.63</v>
      </c>
      <c r="F142" s="148">
        <v>20344.240000000002</v>
      </c>
      <c r="G142" s="606">
        <f t="shared" si="11"/>
        <v>66.610000000000582</v>
      </c>
      <c r="H142" s="99">
        <f>G142+'18 '!H142</f>
        <v>-939.85999999999694</v>
      </c>
      <c r="I142" s="140"/>
      <c r="J142" s="328">
        <f>H142/DAY(B2)</f>
        <v>-49.466315789473526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'18 '!F143</f>
        <v>3491.46</v>
      </c>
      <c r="F143" s="149">
        <v>3515.52</v>
      </c>
      <c r="G143" s="606">
        <f t="shared" si="11"/>
        <v>24.059999999999945</v>
      </c>
      <c r="H143" s="99">
        <f>G143+'18 '!H143</f>
        <v>-319.86999999999989</v>
      </c>
      <c r="I143" s="140"/>
      <c r="J143" s="328">
        <f>H143/DAY(B2)</f>
        <v>-16.83526315789473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'18 '!F144</f>
        <v>873743</v>
      </c>
      <c r="F144" s="149">
        <v>873963</v>
      </c>
      <c r="G144" s="606">
        <f t="shared" si="11"/>
        <v>220</v>
      </c>
      <c r="H144" s="99">
        <f>G144+'18 '!H144</f>
        <v>-2524</v>
      </c>
      <c r="I144" s="140"/>
      <c r="J144" s="328">
        <f>H144/DAY(B2)</f>
        <v>-132.84210526315789</v>
      </c>
    </row>
    <row r="145" spans="1:17" ht="27.75" x14ac:dyDescent="0.5">
      <c r="A145" s="862" t="s">
        <v>190</v>
      </c>
      <c r="B145" s="862"/>
      <c r="C145" s="862"/>
      <c r="D145" s="152" t="s">
        <v>183</v>
      </c>
      <c r="E145" s="95">
        <f>'18 '!F145</f>
        <v>4827.1899999999996</v>
      </c>
      <c r="F145" s="149">
        <v>4843.3999999999996</v>
      </c>
      <c r="G145" s="606">
        <f t="shared" si="11"/>
        <v>16.210000000000036</v>
      </c>
      <c r="H145" s="99">
        <f>G145+'18 '!H145</f>
        <v>-115.44000000000051</v>
      </c>
      <c r="I145" s="140"/>
      <c r="J145" s="328">
        <f>H145/DAY(B2)</f>
        <v>-6.0757894736842371</v>
      </c>
    </row>
    <row r="146" spans="1:17" ht="27.75" x14ac:dyDescent="0.5">
      <c r="A146" s="897" t="s">
        <v>191</v>
      </c>
      <c r="B146" s="882"/>
      <c r="C146" s="883"/>
      <c r="D146" s="152" t="s">
        <v>183</v>
      </c>
      <c r="E146" s="95">
        <f>'18 '!F146</f>
        <v>732122</v>
      </c>
      <c r="F146" s="148">
        <v>732529</v>
      </c>
      <c r="G146" s="606">
        <f t="shared" si="11"/>
        <v>407</v>
      </c>
      <c r="H146" s="99">
        <f>G146+'18 '!H146</f>
        <v>-4804</v>
      </c>
      <c r="I146" s="140"/>
      <c r="J146" s="328">
        <f>H146/DAY(B2)</f>
        <v>-252.84210526315789</v>
      </c>
    </row>
    <row r="147" spans="1:17" ht="27.75" x14ac:dyDescent="0.5">
      <c r="A147" s="843" t="s">
        <v>192</v>
      </c>
      <c r="B147" s="843"/>
      <c r="C147" s="843"/>
      <c r="D147" s="152" t="s">
        <v>183</v>
      </c>
      <c r="E147" s="95">
        <f>'18 '!F147</f>
        <v>621813.56000000006</v>
      </c>
      <c r="F147" s="148">
        <v>622164.64</v>
      </c>
      <c r="G147" s="606">
        <f t="shared" si="11"/>
        <v>351.07999999995809</v>
      </c>
      <c r="H147" s="99">
        <f>G147+'18 '!H147</f>
        <v>-4447.8800000000047</v>
      </c>
      <c r="I147" s="140"/>
      <c r="J147" s="328">
        <f>H147/DAY(B2)</f>
        <v>-234.09894736842131</v>
      </c>
    </row>
    <row r="148" spans="1:17" ht="27.75" x14ac:dyDescent="0.5">
      <c r="A148" s="844" t="s">
        <v>193</v>
      </c>
      <c r="B148" s="845"/>
      <c r="C148" s="846"/>
      <c r="D148" s="123" t="s">
        <v>130</v>
      </c>
      <c r="E148" s="95">
        <f>'18 '!F148</f>
        <v>687015.44</v>
      </c>
      <c r="F148" s="150">
        <v>687181.52</v>
      </c>
      <c r="G148" s="606">
        <f t="shared" si="11"/>
        <v>166.08000000007451</v>
      </c>
      <c r="H148" s="99">
        <f>G148+'18 '!H148</f>
        <v>-2261.4399999999441</v>
      </c>
      <c r="I148" s="124"/>
      <c r="J148" s="328">
        <f>H148/DAY(B2)</f>
        <v>-119.0231578947339</v>
      </c>
    </row>
    <row r="149" spans="1:17" ht="27.75" x14ac:dyDescent="0.5">
      <c r="A149" s="844" t="s">
        <v>336</v>
      </c>
      <c r="B149" s="845"/>
      <c r="C149" s="846"/>
      <c r="D149" s="227" t="s">
        <v>130</v>
      </c>
      <c r="E149" s="95">
        <f>'18 '!F149</f>
        <v>18255.259999999998</v>
      </c>
      <c r="F149" s="498">
        <v>18705.96</v>
      </c>
      <c r="G149" s="606">
        <f t="shared" si="11"/>
        <v>450.70000000000073</v>
      </c>
      <c r="H149" s="99">
        <f>G149+'18 '!H149</f>
        <v>-5972.2400000000016</v>
      </c>
      <c r="I149" s="119"/>
      <c r="J149" s="328">
        <f>H149/DAY(B2)</f>
        <v>-314.32842105263165</v>
      </c>
    </row>
    <row r="150" spans="1:17" ht="27.75" x14ac:dyDescent="0.5">
      <c r="A150" s="844" t="s">
        <v>337</v>
      </c>
      <c r="B150" s="845"/>
      <c r="C150" s="846"/>
      <c r="D150" s="117" t="s">
        <v>130</v>
      </c>
      <c r="E150" s="95">
        <f>'18 '!F150</f>
        <v>7974.99</v>
      </c>
      <c r="F150" s="233">
        <v>8195.51</v>
      </c>
      <c r="G150" s="606">
        <f t="shared" si="11"/>
        <v>220.52000000000044</v>
      </c>
      <c r="H150" s="99">
        <f>G150+'18 '!H150</f>
        <v>-2655.3199999999997</v>
      </c>
      <c r="I150" s="119"/>
      <c r="J150" s="328">
        <f>H150/DAY(B2)</f>
        <v>-139.7536842105263</v>
      </c>
    </row>
    <row r="151" spans="1:17" ht="27.75" x14ac:dyDescent="0.5">
      <c r="A151" s="844" t="s">
        <v>338</v>
      </c>
      <c r="B151" s="845"/>
      <c r="C151" s="846"/>
      <c r="D151" s="117" t="s">
        <v>130</v>
      </c>
      <c r="E151" s="95">
        <f>'18 '!F151</f>
        <v>82410</v>
      </c>
      <c r="F151" s="233">
        <v>82600</v>
      </c>
      <c r="G151" s="606">
        <f t="shared" si="11"/>
        <v>190</v>
      </c>
      <c r="H151" s="99">
        <f>G151+'18 '!H151</f>
        <v>-2880</v>
      </c>
      <c r="I151" s="119"/>
      <c r="J151" s="328">
        <f>H151/DAY(B2)</f>
        <v>-151.57894736842104</v>
      </c>
    </row>
    <row r="152" spans="1:17" ht="27.75" x14ac:dyDescent="0.5">
      <c r="A152" s="844" t="s">
        <v>339</v>
      </c>
      <c r="B152" s="845"/>
      <c r="C152" s="846"/>
      <c r="D152" s="117" t="s">
        <v>130</v>
      </c>
      <c r="E152" s="95">
        <f>'18 '!F152</f>
        <v>1435.92</v>
      </c>
      <c r="F152" s="233">
        <v>1452.1</v>
      </c>
      <c r="G152" s="606">
        <f t="shared" si="11"/>
        <v>16.179999999999836</v>
      </c>
      <c r="H152" s="99">
        <f>G152+'18 '!H152</f>
        <v>-207.90000000000009</v>
      </c>
      <c r="I152" s="119"/>
      <c r="J152" s="328">
        <f>H152/DAY(B2)</f>
        <v>-10.942105263157899</v>
      </c>
    </row>
    <row r="153" spans="1:17" ht="27.75" x14ac:dyDescent="0.5">
      <c r="A153" s="847" t="s">
        <v>196</v>
      </c>
      <c r="B153" s="848"/>
      <c r="C153" s="365"/>
      <c r="D153" s="358"/>
      <c r="E153" s="360"/>
      <c r="F153" s="361"/>
      <c r="G153" s="629">
        <f>SUM(G138:G152)</f>
        <v>2358.4900000000298</v>
      </c>
      <c r="H153" s="363"/>
      <c r="I153" s="119">
        <f>G153-(G38+G52)</f>
        <v>734.95000000002892</v>
      </c>
      <c r="J153" s="366"/>
    </row>
    <row r="154" spans="1:17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7" ht="31.5" x14ac:dyDescent="0.55000000000000004">
      <c r="A155" s="843" t="s">
        <v>345</v>
      </c>
      <c r="B155" s="843"/>
      <c r="C155" s="843"/>
      <c r="D155" s="117" t="s">
        <v>130</v>
      </c>
      <c r="E155" s="95">
        <f>'18 '!F155</f>
        <v>23908.77</v>
      </c>
      <c r="F155" s="157">
        <v>24510</v>
      </c>
      <c r="G155" s="606">
        <f t="shared" ref="G155:G158" si="12">F155-E155</f>
        <v>601.22999999999956</v>
      </c>
      <c r="H155" s="99">
        <f>G155+'18 '!H155</f>
        <v>-8435</v>
      </c>
      <c r="I155" s="364"/>
      <c r="J155" s="328">
        <f>H155/DAY(B2)</f>
        <v>-443.94736842105266</v>
      </c>
    </row>
    <row r="156" spans="1:17" ht="27.75" x14ac:dyDescent="0.5">
      <c r="A156" s="843" t="s">
        <v>347</v>
      </c>
      <c r="B156" s="843"/>
      <c r="C156" s="843"/>
      <c r="D156" s="117" t="s">
        <v>130</v>
      </c>
      <c r="E156" s="95">
        <f>'18 '!F156</f>
        <v>2010.05</v>
      </c>
      <c r="F156" s="157">
        <v>2070</v>
      </c>
      <c r="G156" s="606">
        <f t="shared" si="12"/>
        <v>59.950000000000045</v>
      </c>
      <c r="H156" s="99">
        <f>G156+'18 '!H156</f>
        <v>968</v>
      </c>
      <c r="I156" s="165"/>
      <c r="J156" s="328">
        <f>H156/DAY(B2)</f>
        <v>50.94736842105263</v>
      </c>
      <c r="P156" s="65">
        <v>164.5</v>
      </c>
      <c r="Q156" s="65" t="s">
        <v>370</v>
      </c>
    </row>
    <row r="157" spans="1:17" ht="27.75" x14ac:dyDescent="0.5">
      <c r="A157" s="844" t="s">
        <v>363</v>
      </c>
      <c r="B157" s="845"/>
      <c r="C157" s="846"/>
      <c r="D157" s="117" t="s">
        <v>130</v>
      </c>
      <c r="E157" s="95">
        <f>'18 '!F157</f>
        <v>2598.1799999999998</v>
      </c>
      <c r="F157" s="374">
        <v>2720.16</v>
      </c>
      <c r="G157" s="606">
        <f t="shared" si="12"/>
        <v>121.98000000000002</v>
      </c>
      <c r="H157" s="99"/>
      <c r="I157" s="165"/>
      <c r="J157" s="328"/>
    </row>
    <row r="158" spans="1:17" ht="27.75" x14ac:dyDescent="0.5">
      <c r="A158" s="844" t="s">
        <v>364</v>
      </c>
      <c r="B158" s="845"/>
      <c r="C158" s="846"/>
      <c r="D158" s="117" t="s">
        <v>130</v>
      </c>
      <c r="E158" s="95">
        <f>'18 '!F158</f>
        <v>23.34</v>
      </c>
      <c r="F158" s="374">
        <v>24.34</v>
      </c>
      <c r="G158" s="606">
        <f t="shared" si="12"/>
        <v>1</v>
      </c>
      <c r="H158" s="99"/>
      <c r="I158" s="165"/>
      <c r="J158" s="328"/>
    </row>
    <row r="159" spans="1:17" ht="27.75" x14ac:dyDescent="0.5">
      <c r="A159" s="927"/>
      <c r="B159" s="928"/>
      <c r="C159" s="929"/>
      <c r="D159" s="117"/>
      <c r="E159" s="95"/>
      <c r="F159" s="165"/>
      <c r="G159" s="606"/>
      <c r="H159" s="99"/>
      <c r="I159" s="165"/>
      <c r="J159" s="328"/>
    </row>
    <row r="160" spans="1:17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'18 '!F161</f>
        <v>471453.56</v>
      </c>
      <c r="F161" s="235">
        <v>471460.76</v>
      </c>
      <c r="G161" s="630">
        <f t="shared" ref="G161:G165" si="13">F161-E161</f>
        <v>7.2000000000116415</v>
      </c>
      <c r="H161" s="99">
        <f>G161+'18 '!H161</f>
        <v>-592.79999999998836</v>
      </c>
      <c r="I161" s="236"/>
      <c r="J161" s="239">
        <f>H161/DAY(B2)</f>
        <v>-31.199999999999388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'18 '!F162</f>
        <v>88093.3</v>
      </c>
      <c r="F162" s="235">
        <v>88135.4</v>
      </c>
      <c r="G162" s="630">
        <f t="shared" si="13"/>
        <v>42.099999999991269</v>
      </c>
      <c r="H162" s="99">
        <f>G162+'18 '!H162</f>
        <v>-381</v>
      </c>
      <c r="I162" s="236"/>
      <c r="J162" s="239">
        <f>H162/DAY(B2)</f>
        <v>-20.05263157894737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'18 '!F163</f>
        <v>78635.5</v>
      </c>
      <c r="F163" s="235">
        <v>78699.8</v>
      </c>
      <c r="G163" s="630">
        <f t="shared" si="13"/>
        <v>64.30000000000291</v>
      </c>
      <c r="H163" s="99">
        <f>G163+'18 '!H163</f>
        <v>-520.30000000000291</v>
      </c>
      <c r="I163" s="236"/>
      <c r="J163" s="239">
        <f>H163/DAY(B2)</f>
        <v>-27.384210526315943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'18 '!F164</f>
        <v>4280</v>
      </c>
      <c r="F164" s="235">
        <v>4284.5</v>
      </c>
      <c r="G164" s="630">
        <f t="shared" si="13"/>
        <v>4.5</v>
      </c>
      <c r="H164" s="99">
        <f>G164+'18 '!H164</f>
        <v>-35.5</v>
      </c>
      <c r="I164" s="236"/>
      <c r="J164" s="239">
        <f>H164/DAY(B2)</f>
        <v>-1.868421052631579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'18 '!F165</f>
        <v>29763.9</v>
      </c>
      <c r="F165" s="235">
        <v>29771.72</v>
      </c>
      <c r="G165" s="630">
        <f t="shared" si="13"/>
        <v>7.819999999999709</v>
      </c>
      <c r="H165" s="99">
        <f>G165+'18 '!H165</f>
        <v>-85.529999999998836</v>
      </c>
      <c r="I165" s="236"/>
      <c r="J165" s="239">
        <f>H165/DAY(B2)</f>
        <v>-4.5015789473683601</v>
      </c>
    </row>
    <row r="166" spans="1:10" ht="29.25" x14ac:dyDescent="0.5">
      <c r="A166" s="852"/>
      <c r="B166" s="852"/>
      <c r="C166" s="246"/>
      <c r="D166" s="244"/>
      <c r="E166" s="95"/>
      <c r="F166" s="165"/>
      <c r="G166" s="627"/>
      <c r="H166" s="99"/>
      <c r="I166" s="165"/>
      <c r="J166" s="239"/>
    </row>
    <row r="167" spans="1:10" ht="29.25" x14ac:dyDescent="0.5">
      <c r="A167" s="852"/>
      <c r="B167" s="852"/>
      <c r="C167" s="246"/>
      <c r="D167" s="244"/>
      <c r="E167" s="95"/>
      <c r="F167" s="165"/>
      <c r="G167" s="627"/>
      <c r="H167" s="99"/>
      <c r="I167" s="165"/>
      <c r="J167" s="239"/>
    </row>
    <row r="168" spans="1:10" ht="29.25" x14ac:dyDescent="0.5">
      <c r="A168" s="852"/>
      <c r="B168" s="852"/>
      <c r="C168" s="246"/>
      <c r="D168" s="244"/>
      <c r="E168" s="95"/>
      <c r="F168" s="165"/>
      <c r="G168" s="627"/>
      <c r="H168" s="99"/>
      <c r="I168" s="165"/>
      <c r="J168" s="239"/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631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'18 '!F173</f>
        <v>8126</v>
      </c>
      <c r="F173" s="157">
        <v>8126</v>
      </c>
      <c r="G173" s="631">
        <f>F173-E173</f>
        <v>0</v>
      </c>
      <c r="H173" s="99">
        <f>G173+'18 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'18 '!F174</f>
        <v>38457</v>
      </c>
      <c r="F174" s="157">
        <v>38466</v>
      </c>
      <c r="G174" s="631">
        <f t="shared" ref="G174:G175" si="14">F174-E174</f>
        <v>9</v>
      </c>
      <c r="H174" s="99">
        <f>G174+'18 '!H174</f>
        <v>225</v>
      </c>
      <c r="I174" s="155"/>
      <c r="J174" s="178">
        <f>H174/DAY(B2)</f>
        <v>11.842105263157896</v>
      </c>
    </row>
    <row r="175" spans="1:10" ht="27.75" x14ac:dyDescent="0.5">
      <c r="A175" s="856" t="s">
        <v>76</v>
      </c>
      <c r="B175" s="896"/>
      <c r="C175" s="857"/>
      <c r="D175" s="228" t="s">
        <v>142</v>
      </c>
      <c r="E175" s="95">
        <f>'18 '!F175</f>
        <v>21683</v>
      </c>
      <c r="F175" s="155">
        <v>21692</v>
      </c>
      <c r="G175" s="631">
        <f t="shared" si="14"/>
        <v>9</v>
      </c>
      <c r="H175" s="99">
        <f>G175+'18 '!H175</f>
        <v>-121</v>
      </c>
      <c r="I175" s="155"/>
      <c r="J175" s="178">
        <f>H175/DAY(B2)</f>
        <v>-6.3684210526315788</v>
      </c>
    </row>
    <row r="176" spans="1:10" ht="27.75" x14ac:dyDescent="0.5">
      <c r="A176" s="847" t="s">
        <v>196</v>
      </c>
      <c r="B176" s="848"/>
      <c r="C176" s="483"/>
      <c r="D176" s="228" t="s">
        <v>142</v>
      </c>
      <c r="E176" s="95"/>
      <c r="F176" s="155"/>
      <c r="G176" s="631">
        <f>SUM(G173:G175)</f>
        <v>18</v>
      </c>
      <c r="H176" s="99">
        <f>G176+'18 '!H176</f>
        <v>104</v>
      </c>
      <c r="I176" s="155"/>
      <c r="J176" s="178">
        <f>H176/DAY(B2)</f>
        <v>5.4736842105263159</v>
      </c>
    </row>
    <row r="177" spans="1:11" ht="27.75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631"/>
      <c r="H177" s="99">
        <f>G177+'18 '!H177</f>
        <v>0</v>
      </c>
      <c r="I177" s="155"/>
      <c r="J177" s="178">
        <f>H177/DAY(B2)</f>
        <v>0</v>
      </c>
    </row>
    <row r="178" spans="1:11" ht="27.75" x14ac:dyDescent="0.5">
      <c r="A178" s="856" t="s">
        <v>210</v>
      </c>
      <c r="B178" s="857"/>
      <c r="C178" s="333"/>
      <c r="D178" s="228" t="s">
        <v>142</v>
      </c>
      <c r="E178" s="95">
        <f>'18 '!F178</f>
        <v>80653</v>
      </c>
      <c r="F178" s="155">
        <v>80688</v>
      </c>
      <c r="G178" s="631">
        <f>F178-E178</f>
        <v>35</v>
      </c>
      <c r="H178" s="99">
        <f>G178+'18 '!H178</f>
        <v>-627</v>
      </c>
      <c r="I178" s="155"/>
      <c r="J178" s="178">
        <f>H178/DAY(B2)</f>
        <v>-33</v>
      </c>
    </row>
    <row r="179" spans="1:11" ht="27.75" x14ac:dyDescent="0.5">
      <c r="A179" s="856" t="s">
        <v>211</v>
      </c>
      <c r="B179" s="857"/>
      <c r="C179" s="333"/>
      <c r="D179" s="228" t="s">
        <v>142</v>
      </c>
      <c r="E179" s="95">
        <f>'18 '!F179</f>
        <v>34332</v>
      </c>
      <c r="F179" s="155">
        <v>34336</v>
      </c>
      <c r="G179" s="631">
        <f t="shared" ref="G179:G180" si="15">F179-E179</f>
        <v>4</v>
      </c>
      <c r="H179" s="99">
        <f>G179+'18 '!H179</f>
        <v>-467</v>
      </c>
      <c r="I179" s="155"/>
      <c r="J179" s="178">
        <f>H179/DAY(B2)</f>
        <v>-24.578947368421051</v>
      </c>
    </row>
    <row r="180" spans="1:11" ht="27.75" x14ac:dyDescent="0.5">
      <c r="A180" s="856" t="s">
        <v>212</v>
      </c>
      <c r="B180" s="857"/>
      <c r="C180" s="333"/>
      <c r="D180" s="228" t="s">
        <v>142</v>
      </c>
      <c r="E180" s="95">
        <f>'18 '!F180</f>
        <v>5611</v>
      </c>
      <c r="F180" s="155">
        <v>5611</v>
      </c>
      <c r="G180" s="631">
        <f t="shared" si="15"/>
        <v>0</v>
      </c>
      <c r="H180" s="99">
        <f>G180+'18 '!H180</f>
        <v>-91</v>
      </c>
      <c r="I180" s="155"/>
      <c r="J180" s="178">
        <f>H180/DAY(B2)</f>
        <v>-4.7894736842105265</v>
      </c>
    </row>
    <row r="181" spans="1:11" ht="27.75" x14ac:dyDescent="0.5">
      <c r="A181" s="858" t="s">
        <v>108</v>
      </c>
      <c r="B181" s="859"/>
      <c r="C181" s="483"/>
      <c r="D181" s="228" t="s">
        <v>142</v>
      </c>
      <c r="E181" s="95"/>
      <c r="F181" s="155"/>
      <c r="G181" s="631">
        <f>SUM(G178:G180)</f>
        <v>39</v>
      </c>
      <c r="H181" s="99">
        <f>G181+'18 '!H181</f>
        <v>-1185</v>
      </c>
      <c r="I181" s="155"/>
      <c r="J181" s="178">
        <f>H181/DAY(B2)</f>
        <v>-62.368421052631582</v>
      </c>
    </row>
    <row r="182" spans="1:11" ht="27.75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631"/>
      <c r="H182" s="99">
        <f>G182+'18 '!H182</f>
        <v>0</v>
      </c>
      <c r="I182" s="155"/>
      <c r="J182" s="178">
        <f>H182/DAY(B2)</f>
        <v>0</v>
      </c>
    </row>
    <row r="183" spans="1:11" ht="27.75" x14ac:dyDescent="0.5">
      <c r="A183" s="856" t="s">
        <v>214</v>
      </c>
      <c r="B183" s="857"/>
      <c r="C183" s="334"/>
      <c r="D183" s="228" t="s">
        <v>142</v>
      </c>
      <c r="E183" s="95">
        <f>'18 '!F183</f>
        <v>15161</v>
      </c>
      <c r="F183" s="157">
        <v>15172</v>
      </c>
      <c r="G183" s="632">
        <f>F183-E183</f>
        <v>11</v>
      </c>
      <c r="H183" s="99">
        <f>G183+'18 '!H183</f>
        <v>-173</v>
      </c>
      <c r="I183" s="155"/>
      <c r="J183" s="178">
        <f>H183/DAY(B2)</f>
        <v>-9.1052631578947363</v>
      </c>
    </row>
    <row r="184" spans="1:11" ht="27.75" x14ac:dyDescent="0.5">
      <c r="A184" s="856" t="s">
        <v>215</v>
      </c>
      <c r="B184" s="857"/>
      <c r="C184" s="334"/>
      <c r="D184" s="228" t="s">
        <v>142</v>
      </c>
      <c r="E184" s="95">
        <f>'18 '!F184</f>
        <v>10415</v>
      </c>
      <c r="F184" s="157">
        <v>10420</v>
      </c>
      <c r="G184" s="632">
        <f t="shared" ref="G184:G185" si="16">F184-E184</f>
        <v>5</v>
      </c>
      <c r="H184" s="99">
        <f>G184+'18 '!H184</f>
        <v>-98</v>
      </c>
      <c r="I184" s="155"/>
      <c r="J184" s="178">
        <f>H184/DAY(B2)</f>
        <v>-5.1578947368421053</v>
      </c>
    </row>
    <row r="185" spans="1:11" ht="30.75" customHeight="1" x14ac:dyDescent="0.5">
      <c r="A185" s="856" t="s">
        <v>216</v>
      </c>
      <c r="B185" s="857"/>
      <c r="C185" s="334"/>
      <c r="D185" s="228" t="s">
        <v>142</v>
      </c>
      <c r="E185" s="95">
        <f>'18 '!F185</f>
        <v>0</v>
      </c>
      <c r="F185" s="157"/>
      <c r="G185" s="632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7.75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632">
        <f>SUM(G183:G185)</f>
        <v>16</v>
      </c>
      <c r="H186" s="99">
        <f>G186+'18 '!H186</f>
        <v>-271</v>
      </c>
      <c r="I186" s="157"/>
      <c r="J186" s="178">
        <f>H186/DAY(B2)</f>
        <v>-14.263157894736842</v>
      </c>
    </row>
    <row r="187" spans="1:11" ht="27.75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633">
        <f>G62+G19</f>
        <v>117</v>
      </c>
      <c r="H187" s="99">
        <f>G187+'18 '!H187</f>
        <v>-1803</v>
      </c>
      <c r="I187" s="158"/>
      <c r="J187" s="179">
        <f>H187/DAY(B2)</f>
        <v>-94.89473684210526</v>
      </c>
    </row>
    <row r="188" spans="1:11" ht="27.75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633">
        <f>G65+G66+G67+G69+G70</f>
        <v>115.10000000000036</v>
      </c>
      <c r="H188" s="99">
        <f>G188+'18 '!H188</f>
        <v>592.10000000000036</v>
      </c>
      <c r="I188" s="158"/>
      <c r="J188" s="179">
        <f>H188/DAY(B2)</f>
        <v>31.163157894736862</v>
      </c>
    </row>
    <row r="189" spans="1:11" ht="27.75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633">
        <f>G181</f>
        <v>39</v>
      </c>
      <c r="H189" s="99">
        <f>G189+'30'!H238</f>
        <v>39</v>
      </c>
      <c r="I189" s="158"/>
      <c r="J189" s="179">
        <f>H189/DAY(B2)</f>
        <v>2.0526315789473686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582">
        <f>'18 '!G190</f>
        <v>52871</v>
      </c>
      <c r="G190" s="627">
        <v>52878</v>
      </c>
      <c r="H190" s="238">
        <f>G190-F190</f>
        <v>7</v>
      </c>
      <c r="I190" s="99">
        <f>H190+'15'!I190</f>
        <v>7</v>
      </c>
      <c r="J190" s="236"/>
      <c r="K190" s="239" t="e">
        <f>I190/DAY(C27)</f>
        <v>#DIV/0!</v>
      </c>
    </row>
    <row r="191" spans="1:11" ht="29.25" x14ac:dyDescent="0.5"/>
    <row r="192" spans="1:11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zoomScale="55" zoomScaleSheetLayoutView="55" zoomScalePageLayoutView="78" workbookViewId="0">
      <selection activeCell="F185" sqref="F18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356</v>
      </c>
      <c r="B2" s="262">
        <v>44581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'19'!F7</f>
        <v>442206</v>
      </c>
      <c r="F7" s="95">
        <v>458929.15</v>
      </c>
      <c r="G7" s="112">
        <f>F7-E7</f>
        <v>16723.150000000023</v>
      </c>
      <c r="H7" s="99">
        <f>G7+'19'!H7</f>
        <v>-192251.07999999996</v>
      </c>
      <c r="I7" s="113">
        <v>24000</v>
      </c>
      <c r="J7" s="175">
        <f>H7/DAY(B2)</f>
        <v>-9612.5539999999983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'19'!F8</f>
        <v>494519</v>
      </c>
      <c r="F8" s="95">
        <v>511855.71</v>
      </c>
      <c r="G8" s="115">
        <f>F8-E8</f>
        <v>17336.710000000021</v>
      </c>
      <c r="H8" s="99">
        <f>G8+'19'!H8</f>
        <v>-196692.44</v>
      </c>
      <c r="I8" s="116"/>
      <c r="J8" s="175">
        <f>H8/DAY(B2)</f>
        <v>-9834.6219999999994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'19'!F9</f>
        <v>121587.8</v>
      </c>
      <c r="F9" s="598">
        <v>132779.53</v>
      </c>
      <c r="G9" s="112">
        <f>F9-E9</f>
        <v>11191.729999999996</v>
      </c>
      <c r="H9" s="99">
        <f>G9+'19'!H9</f>
        <v>-149474.32</v>
      </c>
      <c r="I9" s="124">
        <f>I7-J7</f>
        <v>33612.553999999996</v>
      </c>
      <c r="J9" s="175">
        <f>H9/DAY(B2)</f>
        <v>-7473.7160000000003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'19'!F10</f>
        <v>62985.4</v>
      </c>
      <c r="F10" s="353">
        <v>68056.070000000007</v>
      </c>
      <c r="G10" s="112">
        <f t="shared" ref="G10:G12" si="0">F10-E10</f>
        <v>5070.6700000000055</v>
      </c>
      <c r="H10" s="99">
        <f>G10+'19'!H10</f>
        <v>-37202.899999999994</v>
      </c>
      <c r="I10" s="282"/>
      <c r="J10" s="175">
        <f>H10/DAY(B2)</f>
        <v>-1860.1449999999998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'19'!F11</f>
        <v>37170</v>
      </c>
      <c r="F11" s="95">
        <v>37170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16262.400000000001</v>
      </c>
      <c r="H13" s="99">
        <f>G13+'19'!H13</f>
        <v>-203431.65</v>
      </c>
      <c r="I13" s="120">
        <f>G7-G13</f>
        <v>460.75000000002183</v>
      </c>
      <c r="J13" s="175">
        <f>H13/DAY(B2)</f>
        <v>-10171.5825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'19'!F15</f>
        <v>1895056.3</v>
      </c>
      <c r="F15" s="123">
        <v>1896043.25</v>
      </c>
      <c r="G15" s="112">
        <f>(F15-E15)</f>
        <v>986.94999999995343</v>
      </c>
      <c r="H15" s="99">
        <f>G15+'19'!H15</f>
        <v>19986.483000000007</v>
      </c>
      <c r="I15" s="113">
        <f>'1'!I15</f>
        <v>800</v>
      </c>
      <c r="J15" s="175">
        <f>H15/DAY(B2)</f>
        <v>999.32415000000037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-199.32415000000037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'19'!F18</f>
        <v>10</v>
      </c>
      <c r="F18" s="122">
        <v>16</v>
      </c>
      <c r="G18" s="119">
        <f>F18*10</f>
        <v>160</v>
      </c>
      <c r="H18" s="99">
        <f>G18+'19'!H18</f>
        <v>3470</v>
      </c>
      <c r="I18" s="113">
        <f>'1'!I18</f>
        <v>65</v>
      </c>
      <c r="J18" s="175">
        <f>H18/DAY(B2)</f>
        <v>173.5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'19'!F19</f>
        <v>153236</v>
      </c>
      <c r="F19" s="122">
        <v>153292</v>
      </c>
      <c r="G19" s="112">
        <f t="shared" ref="G19" si="1">F19-E19</f>
        <v>56</v>
      </c>
      <c r="H19" s="99">
        <f>G19+'19'!H19</f>
        <v>-599</v>
      </c>
      <c r="I19" s="335"/>
      <c r="J19" s="175">
        <f>H19/DAY(B2)</f>
        <v>-29.95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216</v>
      </c>
      <c r="H20" s="99">
        <f>G20+'19'!H20</f>
        <v>2871</v>
      </c>
      <c r="I20" s="336">
        <f>I18-J20</f>
        <v>-78.550000000000011</v>
      </c>
      <c r="J20" s="175">
        <f>H20/DAY(B2)</f>
        <v>143.55000000000001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'19'!F23</f>
        <v>1390</v>
      </c>
      <c r="F23" s="122">
        <v>2000</v>
      </c>
      <c r="G23" s="119">
        <v>0</v>
      </c>
      <c r="H23" s="99">
        <f>G23+'19'!H23</f>
        <v>110</v>
      </c>
      <c r="I23" s="118"/>
      <c r="J23" s="175">
        <f>H23/DAY(B2)</f>
        <v>5.5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110</v>
      </c>
      <c r="I24" s="118"/>
      <c r="J24" s="175">
        <f>H24/DAY(B2)</f>
        <v>5.5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17336.710000000021</v>
      </c>
      <c r="F27" s="136">
        <v>9</v>
      </c>
      <c r="G27" s="137">
        <f>E27*F27</f>
        <v>156030.39000000019</v>
      </c>
      <c r="H27" s="99">
        <f>G27+'19'!H27</f>
        <v>-1770231.96</v>
      </c>
      <c r="I27" s="138"/>
      <c r="J27" s="175">
        <f>H27/DAY(B2)</f>
        <v>-88511.597999999998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986.94999999995343</v>
      </c>
      <c r="F28" s="136">
        <v>52</v>
      </c>
      <c r="G28" s="137">
        <f>E28*F28</f>
        <v>51321.399999997579</v>
      </c>
      <c r="H28" s="99">
        <f>G28+'19'!H28</f>
        <v>1072651.1160000004</v>
      </c>
      <c r="I28" s="140"/>
      <c r="J28" s="175">
        <f>H28/DAY(B2)</f>
        <v>53632.555800000016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7590</v>
      </c>
      <c r="I29" s="140"/>
      <c r="J29" s="175">
        <f>H29/DAY(B2)</f>
        <v>379.5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G30+'19'!H30</f>
        <v>-95264</v>
      </c>
      <c r="I30" s="140"/>
      <c r="J30" s="175">
        <f>H30/DAY(B2)</f>
        <v>-4763.2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G31+'19'!H31</f>
        <v>277600</v>
      </c>
      <c r="I31" s="140"/>
      <c r="J31" s="175">
        <f>H31/DAY(B2)</f>
        <v>13880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228327.78999999777</v>
      </c>
      <c r="H32" s="99">
        <f>G32+'19'!H32</f>
        <v>-507654.84399999952</v>
      </c>
      <c r="I32" s="144"/>
      <c r="J32" s="175">
        <f>H32/DAY(B2)</f>
        <v>-25382.742199999975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'19'!F35</f>
        <v>16302.52</v>
      </c>
      <c r="F35" s="145">
        <v>17793.810000000001</v>
      </c>
      <c r="G35" s="112">
        <f t="shared" ref="G35:G46" si="3">F35-E35</f>
        <v>1491.2900000000009</v>
      </c>
      <c r="H35" s="99">
        <f>G35+'19'!H35</f>
        <v>-14211.169999999995</v>
      </c>
      <c r="I35" s="95"/>
      <c r="J35" s="175">
        <f>H35/DAY(B2)</f>
        <v>-710.55849999999975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'19'!F36</f>
        <v>34736.959999999999</v>
      </c>
      <c r="F36" s="145">
        <v>35331.82</v>
      </c>
      <c r="G36" s="112">
        <f t="shared" si="3"/>
        <v>594.86000000000058</v>
      </c>
      <c r="H36" s="99">
        <f>G36+'19'!H36</f>
        <v>-8126.9199999999983</v>
      </c>
      <c r="I36" s="95"/>
      <c r="J36" s="175">
        <f>H36/DAY(B2)</f>
        <v>-406.34599999999989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'19'!F37</f>
        <v>16480.14</v>
      </c>
      <c r="F37" s="502">
        <v>18017.919999999998</v>
      </c>
      <c r="G37" s="112">
        <f t="shared" si="3"/>
        <v>1537.7799999999988</v>
      </c>
      <c r="H37" s="99">
        <f>G37+'19'!H37</f>
        <v>-17407.169999999998</v>
      </c>
      <c r="I37" s="95"/>
      <c r="J37" s="175">
        <f>H37/DAY(B2)</f>
        <v>-870.35849999999994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'19'!F38</f>
        <v>17488</v>
      </c>
      <c r="F38" s="106">
        <v>19100.849999999999</v>
      </c>
      <c r="G38" s="112">
        <f t="shared" si="3"/>
        <v>1612.8499999999985</v>
      </c>
      <c r="H38" s="99">
        <f>G38+'19'!H38</f>
        <v>-19275.580000000002</v>
      </c>
      <c r="I38" s="95"/>
      <c r="J38" s="175">
        <f>H38/DAY(B2)</f>
        <v>-963.77900000000011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'19'!F39</f>
        <v>28000.560000000001</v>
      </c>
      <c r="F39" s="502">
        <v>30507.61</v>
      </c>
      <c r="G39" s="112">
        <f t="shared" si="3"/>
        <v>2507.0499999999993</v>
      </c>
      <c r="H39" s="99">
        <f>G39+'19'!H39</f>
        <v>-28665.680000000004</v>
      </c>
      <c r="I39" s="95"/>
      <c r="J39" s="175">
        <f>H39/DAY(B2)</f>
        <v>-1433.2840000000001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'19'!F40</f>
        <v>14058.37</v>
      </c>
      <c r="F40" s="145">
        <v>14501.05</v>
      </c>
      <c r="G40" s="112">
        <f t="shared" si="3"/>
        <v>442.67999999999847</v>
      </c>
      <c r="H40" s="99">
        <f>G40+'19'!H40</f>
        <v>-7615.9400000000023</v>
      </c>
      <c r="I40" s="95"/>
      <c r="J40" s="175">
        <f>H40/DAY(B2)</f>
        <v>-380.79700000000014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'19'!F41</f>
        <v>0</v>
      </c>
      <c r="F41" s="145">
        <v>0</v>
      </c>
      <c r="G41" s="112">
        <f t="shared" si="3"/>
        <v>0</v>
      </c>
      <c r="H41" s="99">
        <f>G41+'19'!H41</f>
        <v>-62.73</v>
      </c>
      <c r="I41" s="95"/>
      <c r="J41" s="175">
        <f>H41/DAY(B2)</f>
        <v>-3.1364999999999998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'19'!F42</f>
        <v>73808.600000000006</v>
      </c>
      <c r="F42" s="145">
        <v>73808.600000000006</v>
      </c>
      <c r="G42" s="112">
        <f t="shared" si="3"/>
        <v>0</v>
      </c>
      <c r="H42" s="99">
        <f>G42+'19'!H42</f>
        <v>35730.86</v>
      </c>
      <c r="I42" s="95"/>
      <c r="J42" s="175">
        <f>H42/DAY(B2)</f>
        <v>1786.5430000000001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'19'!F43</f>
        <v>89753.52</v>
      </c>
      <c r="F43" s="145">
        <v>92066.99</v>
      </c>
      <c r="G43" s="112">
        <f t="shared" si="3"/>
        <v>2313.4700000000012</v>
      </c>
      <c r="H43" s="99">
        <f>G43+'19'!H43</f>
        <v>43244.39</v>
      </c>
      <c r="I43" s="95"/>
      <c r="J43" s="175">
        <f>H43/DAY(B2)</f>
        <v>2162.2195000000002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10499.979999999998</v>
      </c>
      <c r="H47" s="99">
        <f>G47+'19'!H47</f>
        <v>-16389.939999999995</v>
      </c>
      <c r="I47" s="95"/>
      <c r="J47" s="175">
        <f>H47/DAY(B2)</f>
        <v>-819.49699999999973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'19'!F49</f>
        <v>13711.82</v>
      </c>
      <c r="F49" s="145">
        <v>14791.1</v>
      </c>
      <c r="G49" s="112">
        <f t="shared" ref="G49:G58" si="4">F49-E49</f>
        <v>1079.2800000000007</v>
      </c>
      <c r="H49" s="99">
        <f>G49+'19'!H49</f>
        <v>-10205.089999999998</v>
      </c>
      <c r="I49" s="95"/>
      <c r="J49" s="175">
        <f>H49/DAY(B2)</f>
        <v>-510.25449999999989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'19'!F50</f>
        <v>43021.69</v>
      </c>
      <c r="F50" s="145">
        <v>43936.35</v>
      </c>
      <c r="G50" s="112">
        <f t="shared" si="4"/>
        <v>914.65999999999622</v>
      </c>
      <c r="H50" s="99">
        <f>G50+'19'!H50</f>
        <v>-12450.279999999999</v>
      </c>
      <c r="I50" s="95"/>
      <c r="J50" s="175">
        <f>H50/DAY(B2)</f>
        <v>-622.5139999999999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'19'!F51</f>
        <v>0</v>
      </c>
      <c r="F51" s="145">
        <v>0</v>
      </c>
      <c r="G51" s="112">
        <f t="shared" si="4"/>
        <v>0</v>
      </c>
      <c r="H51" s="99">
        <f>G51+'19'!H51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'19'!F52</f>
        <v>0</v>
      </c>
      <c r="F52" s="145">
        <v>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'19'!F54</f>
        <v>5147.42</v>
      </c>
      <c r="F54" s="145">
        <v>5147.42</v>
      </c>
      <c r="G54" s="112">
        <f t="shared" si="4"/>
        <v>0</v>
      </c>
      <c r="H54" s="99">
        <f>G54+'19'!H54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'19'!F55</f>
        <v>60685.83</v>
      </c>
      <c r="F55" s="145">
        <v>63274.47</v>
      </c>
      <c r="G55" s="112">
        <f t="shared" si="4"/>
        <v>2588.6399999999994</v>
      </c>
      <c r="H55" s="99">
        <f>G55+'19'!H55</f>
        <v>-11091.64</v>
      </c>
      <c r="I55" s="95"/>
      <c r="J55" s="175">
        <f>H55/DAY(B2)</f>
        <v>-554.58199999999999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'19'!F56</f>
        <v>8610.5400000000009</v>
      </c>
      <c r="F56" s="145">
        <v>8610.5400000000009</v>
      </c>
      <c r="G56" s="112">
        <f t="shared" si="4"/>
        <v>0</v>
      </c>
      <c r="H56" s="99">
        <f>G56+'19'!H56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'19'!F58</f>
        <v>2310.27</v>
      </c>
      <c r="F58" s="145">
        <v>2566.9899999999998</v>
      </c>
      <c r="G58" s="112">
        <f t="shared" si="4"/>
        <v>256.7199999999998</v>
      </c>
      <c r="H58" s="99">
        <f>G58+'19'!H58</f>
        <v>-2229.2200000000003</v>
      </c>
      <c r="I58" s="95"/>
      <c r="J58" s="175">
        <f>H58/DAY(B2)</f>
        <v>-111.46100000000001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4839.2999999999956</v>
      </c>
      <c r="H59" s="99">
        <f>G59+'19'!H59</f>
        <v>-35976.23000000001</v>
      </c>
      <c r="I59" s="95">
        <f>G7-G60</f>
        <v>1383.8700000000299</v>
      </c>
      <c r="J59" s="175">
        <f>H59/DAY(B2)</f>
        <v>-1798.8115000000005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15339.279999999993</v>
      </c>
      <c r="H60" s="99">
        <f>G60+'19'!H60</f>
        <v>-52366.17000000002</v>
      </c>
      <c r="I60" s="95">
        <f>G13-G60</f>
        <v>923.12000000000808</v>
      </c>
      <c r="J60" s="175">
        <f>H60/DAY(B2)</f>
        <v>-2618.308500000001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'19'!F62</f>
        <v>268368</v>
      </c>
      <c r="F62" s="122">
        <v>268437</v>
      </c>
      <c r="G62" s="112">
        <f t="shared" ref="G62:G63" si="5">F62-E62</f>
        <v>69</v>
      </c>
      <c r="H62" s="99">
        <f>G62+'19'!H62</f>
        <v>-1079</v>
      </c>
      <c r="I62" s="118"/>
      <c r="J62" s="175">
        <f>H62/DAY(B2)</f>
        <v>-53.95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'19'!F63</f>
        <v>214335</v>
      </c>
      <c r="F63" s="122">
        <v>214440</v>
      </c>
      <c r="G63" s="112">
        <f t="shared" si="5"/>
        <v>105</v>
      </c>
      <c r="H63" s="99">
        <f>G63+'19'!H63</f>
        <v>2364</v>
      </c>
      <c r="I63" s="118"/>
      <c r="J63" s="175">
        <f>H63/DAY(B2)</f>
        <v>118.2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'19'!F64</f>
        <v>0</v>
      </c>
      <c r="F64" s="122"/>
      <c r="G64" s="112">
        <f>G62+G63</f>
        <v>174</v>
      </c>
      <c r="H64" s="99">
        <f>G64+'19'!H64</f>
        <v>1285</v>
      </c>
      <c r="I64" s="118"/>
      <c r="J64" s="175">
        <f>H64/DAY(B2)</f>
        <v>64.25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'19'!F65</f>
        <v>433919</v>
      </c>
      <c r="F65" s="122">
        <v>433991</v>
      </c>
      <c r="G65" s="112">
        <f t="shared" ref="G65:G70" si="6">F65-E65</f>
        <v>72</v>
      </c>
      <c r="H65" s="99">
        <f>G65+'19'!H65</f>
        <v>-932</v>
      </c>
      <c r="I65" s="118"/>
      <c r="J65" s="175">
        <f>H65/DAY(B2)</f>
        <v>-46.6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'19'!F66</f>
        <v>107534</v>
      </c>
      <c r="F66" s="122">
        <v>107544</v>
      </c>
      <c r="G66" s="112">
        <f t="shared" si="6"/>
        <v>10</v>
      </c>
      <c r="H66" s="99">
        <f>G66+'19'!H66</f>
        <v>-199</v>
      </c>
      <c r="I66" s="118"/>
      <c r="J66" s="175">
        <f>H66/DAY(B2)</f>
        <v>-9.9499999999999993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'19'!F67</f>
        <v>104367</v>
      </c>
      <c r="F67" s="122">
        <v>104390</v>
      </c>
      <c r="G67" s="112">
        <f t="shared" si="6"/>
        <v>23</v>
      </c>
      <c r="H67" s="99">
        <f>G67+'19'!H67</f>
        <v>-258</v>
      </c>
      <c r="I67" s="118"/>
      <c r="J67" s="175">
        <f>H67/DAY(B2)</f>
        <v>-12.9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'19'!F68</f>
        <v>157143</v>
      </c>
      <c r="F68" s="122">
        <v>157193</v>
      </c>
      <c r="G68" s="112">
        <f t="shared" si="6"/>
        <v>50</v>
      </c>
      <c r="H68" s="99">
        <f>G68+'19'!H68</f>
        <v>-504</v>
      </c>
      <c r="I68" s="118"/>
      <c r="J68" s="175">
        <f>H68/DAY(B2)</f>
        <v>-25.2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'19'!F69</f>
        <v>10397</v>
      </c>
      <c r="F69" s="122">
        <v>10411</v>
      </c>
      <c r="G69" s="112">
        <f t="shared" si="6"/>
        <v>14</v>
      </c>
      <c r="H69" s="99">
        <f>G69+'19'!H69</f>
        <v>-130</v>
      </c>
      <c r="I69" s="118"/>
      <c r="J69" s="175">
        <f>H69/DAY(B2)</f>
        <v>-6.5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'19'!F70</f>
        <v>8001.1</v>
      </c>
      <c r="F70" s="122">
        <v>8006</v>
      </c>
      <c r="G70" s="112">
        <f t="shared" si="6"/>
        <v>4.8999999999996362</v>
      </c>
      <c r="H70" s="99">
        <f>G70+'19'!H70</f>
        <v>-114</v>
      </c>
      <c r="I70" s="118"/>
      <c r="J70" s="175">
        <f>H70/DAY(B2)</f>
        <v>-5.7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173.89999999999964</v>
      </c>
      <c r="H71" s="99">
        <f>G71+'19'!H71</f>
        <v>-2137</v>
      </c>
      <c r="I71" s="154"/>
      <c r="J71" s="175">
        <f>H71/DAY(B2)</f>
        <v>-106.85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'19'!F74</f>
        <v>897672.5</v>
      </c>
      <c r="F74" s="117">
        <v>897967.65</v>
      </c>
      <c r="G74" s="112">
        <f t="shared" ref="G74:G78" si="7">F74-E74</f>
        <v>295.15000000002328</v>
      </c>
      <c r="H74" s="99">
        <f>G74+'19'!H74</f>
        <v>-3338.4989999999525</v>
      </c>
      <c r="I74" s="154"/>
      <c r="J74" s="175">
        <f>H74/DAY(B2)</f>
        <v>-166.92494999999764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'19'!F76</f>
        <v>168794.9</v>
      </c>
      <c r="F76" s="123">
        <v>168878.54</v>
      </c>
      <c r="G76" s="112">
        <f t="shared" si="7"/>
        <v>83.64000000001397</v>
      </c>
      <c r="H76" s="99">
        <f>G76+'19'!H76</f>
        <v>-1096.4599999999919</v>
      </c>
      <c r="I76" s="154"/>
      <c r="J76" s="175">
        <f>H76/DAY(B2)</f>
        <v>-54.822999999999595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'19'!F77</f>
        <v>40871.1</v>
      </c>
      <c r="F77" s="123">
        <v>40896.699999999997</v>
      </c>
      <c r="G77" s="112">
        <f t="shared" si="7"/>
        <v>25.599999999998545</v>
      </c>
      <c r="H77" s="99">
        <f>G77+'19'!H77</f>
        <v>-405.5</v>
      </c>
      <c r="I77" s="154"/>
      <c r="J77" s="175">
        <f>H77/DAY(B2)</f>
        <v>-20.274999999999999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'19'!F78</f>
        <v>9501.2999999999993</v>
      </c>
      <c r="F78" s="123">
        <v>9501.9</v>
      </c>
      <c r="G78" s="112">
        <f t="shared" si="7"/>
        <v>0.6000000000003638</v>
      </c>
      <c r="H78" s="99">
        <f>G78+'19'!H78</f>
        <v>-14.100000000000364</v>
      </c>
      <c r="I78" s="118"/>
      <c r="J78" s="175">
        <f>H78/DAY(B2)</f>
        <v>-0.70500000000001817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'19'!F79</f>
        <v>0</v>
      </c>
      <c r="F79" s="117"/>
      <c r="G79" s="112">
        <f>G15-SUM(G74:G78)</f>
        <v>581.95999999991727</v>
      </c>
      <c r="H79" s="99">
        <f>G79+'19'!H79</f>
        <v>24841.04199999995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45" t="s">
        <v>329</v>
      </c>
      <c r="B80" s="946"/>
      <c r="C80" s="947"/>
      <c r="D80" s="151"/>
      <c r="E80" s="117"/>
      <c r="F80" s="117"/>
      <c r="G80" s="112">
        <f>SUM(G74:G79)</f>
        <v>986.94999999995343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'19'!F84</f>
        <v>41675.4</v>
      </c>
      <c r="F84" s="164">
        <v>41675.26</v>
      </c>
      <c r="G84" s="112">
        <f t="shared" si="8"/>
        <v>-0.13999999999941792</v>
      </c>
      <c r="H84" s="99">
        <f>G84+'19'!H84</f>
        <v>0.26000000000203727</v>
      </c>
      <c r="I84" s="118"/>
      <c r="J84" s="175">
        <f>H84/DAY(B2)</f>
        <v>1.3000000000101864E-2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'19'!F85</f>
        <v>2096.5500000000002</v>
      </c>
      <c r="F85" s="164">
        <v>2096.56</v>
      </c>
      <c r="G85" s="112">
        <f t="shared" si="8"/>
        <v>9.9999999997635314E-3</v>
      </c>
      <c r="H85" s="99">
        <f>G85+'19'!H85</f>
        <v>-163.86000000000013</v>
      </c>
      <c r="I85" s="118">
        <f>G82+G83+G84+G85</f>
        <v>-0.12999999999965439</v>
      </c>
      <c r="J85" s="175">
        <f>H85/DAY(B2)</f>
        <v>-8.1930000000000067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'19'!F86</f>
        <v>43321</v>
      </c>
      <c r="F86" s="164">
        <v>43345.37</v>
      </c>
      <c r="G86" s="112">
        <f t="shared" si="8"/>
        <v>24.370000000002619</v>
      </c>
      <c r="H86" s="99">
        <f>G86+'19'!H86</f>
        <v>-96.629999999997381</v>
      </c>
      <c r="I86" s="118"/>
      <c r="J86" s="175">
        <f>H86/DAY(B2)</f>
        <v>-4.8314999999998687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'19'!F87</f>
        <v>34598.550000000003</v>
      </c>
      <c r="F87" s="164">
        <v>34598.550000000003</v>
      </c>
      <c r="G87" s="112">
        <f t="shared" si="8"/>
        <v>0</v>
      </c>
      <c r="H87" s="99">
        <f>G87+'19'!H87</f>
        <v>5.0000000002910383E-2</v>
      </c>
      <c r="I87" s="118"/>
      <c r="J87" s="175">
        <f>H87/DAY(B2)</f>
        <v>2.5000000001455191E-3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'19'!F88</f>
        <v>24061.37</v>
      </c>
      <c r="F88" s="164">
        <v>24061.37</v>
      </c>
      <c r="G88" s="112">
        <f t="shared" si="8"/>
        <v>0</v>
      </c>
      <c r="H88" s="99">
        <f>G88+'19'!H88</f>
        <v>-2.0600000000013097</v>
      </c>
      <c r="I88" s="118">
        <f>G86+G87+G88</f>
        <v>24.370000000002619</v>
      </c>
      <c r="J88" s="175">
        <f>H88/DAY(B2)</f>
        <v>-0.10300000000006548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'19'!F89</f>
        <v>25779.07</v>
      </c>
      <c r="F89" s="164">
        <v>25790.26</v>
      </c>
      <c r="G89" s="112">
        <f t="shared" si="8"/>
        <v>11.18999999999869</v>
      </c>
      <c r="H89" s="99">
        <f>G89+'19'!H89</f>
        <v>-100.86000000000058</v>
      </c>
      <c r="I89" s="118"/>
      <c r="J89" s="175">
        <f>H89/DAY(B2)</f>
        <v>-5.0430000000000295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'19'!F90</f>
        <v>71133.570000000007</v>
      </c>
      <c r="F90" s="164">
        <v>71136.31</v>
      </c>
      <c r="G90" s="112">
        <f t="shared" si="8"/>
        <v>2.7399999999906868</v>
      </c>
      <c r="H90" s="99">
        <f>G90+'19'!H90</f>
        <v>-27.010000000009313</v>
      </c>
      <c r="I90" s="118">
        <f>G89+G90</f>
        <v>13.929999999989377</v>
      </c>
      <c r="J90" s="175">
        <f>H90/DAY(B2)</f>
        <v>-1.3505000000004657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'19'!F91</f>
        <v>3226.32</v>
      </c>
      <c r="F91" s="122">
        <v>3226.32</v>
      </c>
      <c r="G91" s="112">
        <f t="shared" si="8"/>
        <v>0</v>
      </c>
      <c r="H91" s="99">
        <f>G91+'19'!H91</f>
        <v>-24.769999999999982</v>
      </c>
      <c r="I91" s="165"/>
      <c r="J91" s="175">
        <f>H91/DAY(B2)</f>
        <v>-1.238499999999999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'19'!F92</f>
        <v>5636.06</v>
      </c>
      <c r="F92" s="122">
        <v>5646.39</v>
      </c>
      <c r="G92" s="112">
        <f t="shared" si="8"/>
        <v>10.329999999999927</v>
      </c>
      <c r="H92" s="99">
        <f>G92+'19'!H92</f>
        <v>-94.679999999999382</v>
      </c>
      <c r="I92" s="165"/>
      <c r="J92" s="175">
        <f>H92/DAY(B2)</f>
        <v>-4.7339999999999689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4884.0400000000027</v>
      </c>
      <c r="H94" s="99">
        <f>G94+'19'!H94</f>
        <v>18828.130000000005</v>
      </c>
      <c r="I94" s="118"/>
      <c r="J94" s="175">
        <f>H94/DAY(B2)</f>
        <v>941.40650000000028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0.29205263362464584</v>
      </c>
      <c r="H95" s="99">
        <f>G95+'19'!H95</f>
        <v>5.0428146978822994</v>
      </c>
      <c r="I95" s="167"/>
      <c r="J95" s="175">
        <f>H95/DAY(B2)</f>
        <v>0.25214073489411498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2588.6399999999994</v>
      </c>
      <c r="H96" s="99">
        <f>G96+'19'!H96</f>
        <v>24576.489999999998</v>
      </c>
      <c r="I96" s="118"/>
      <c r="J96" s="175">
        <f>H96/DAY(B2)</f>
        <v>1228.8244999999999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0.15479380379892518</v>
      </c>
      <c r="H97" s="99">
        <f>G97+'19'!H97</f>
        <v>3.6866539186324112</v>
      </c>
      <c r="I97" s="167"/>
      <c r="J97" s="175">
        <f>H97/DAY(B2)</f>
        <v>0.18433269593162055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2507.0499999999993</v>
      </c>
      <c r="H98" s="99">
        <f>G98+'19'!H98</f>
        <v>-28665.680000000004</v>
      </c>
      <c r="I98" s="168"/>
      <c r="J98" s="175">
        <f>H98/DAY(B2)</f>
        <v>-1433.2840000000001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0.14991493827418853</v>
      </c>
      <c r="H99" s="99">
        <f>G99+'19'!H99</f>
        <v>2.9268641626933278</v>
      </c>
      <c r="I99" s="168"/>
      <c r="J99" s="175">
        <f>H99/DAY(B2)</f>
        <v>0.14634320813466639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1612.8499999999985</v>
      </c>
      <c r="H100" s="99">
        <f>G100+'19'!H100</f>
        <v>-19275.580000000002</v>
      </c>
      <c r="I100" s="118"/>
      <c r="J100" s="175">
        <f>H100/DAY(B2)</f>
        <v>-963.77900000000011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9.644415077302998E-2</v>
      </c>
      <c r="H101" s="99">
        <f>G101+'19'!H101</f>
        <v>1.8870621357649542</v>
      </c>
      <c r="I101" s="168"/>
      <c r="J101" s="175">
        <f>H101/DAY(B2)</f>
        <v>9.4353106788247709E-2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1509.5199999999968</v>
      </c>
      <c r="H102" s="99">
        <f>G102+'19'!H102</f>
        <v>-20577.199999999997</v>
      </c>
      <c r="I102" s="168"/>
      <c r="J102" s="175">
        <f>H102/DAY(B2)</f>
        <v>-1028.8599999999999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9.0265290929041161E-2</v>
      </c>
      <c r="H103" s="99">
        <f>G103+'19'!H103</f>
        <v>2.0333195702643359</v>
      </c>
      <c r="I103" s="118"/>
      <c r="J103" s="175">
        <f>H103/DAY(B2)</f>
        <v>0.10166597851321679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1537.7799999999988</v>
      </c>
      <c r="H104" s="99">
        <f>G104+'19'!H104</f>
        <v>-17407.169999999998</v>
      </c>
      <c r="I104" s="118"/>
      <c r="J104" s="175">
        <f>H104/DAY(B2)</f>
        <v>-870.35849999999994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9.1955163949375363E-2</v>
      </c>
      <c r="H105" s="99">
        <f>G105+'19'!H105</f>
        <v>1.6866271106681228</v>
      </c>
      <c r="I105" s="187"/>
      <c r="J105" s="188">
        <f>H105/DAY(B2)</f>
        <v>8.4331355533406135E-2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'19'!F112</f>
        <v>57125.98</v>
      </c>
      <c r="F112" s="237">
        <v>57204.12</v>
      </c>
      <c r="G112" s="112">
        <f t="shared" ref="G112:G123" si="9">F112-E112</f>
        <v>78.139999999999418</v>
      </c>
      <c r="H112" s="99">
        <f>G112+'19'!H112</f>
        <v>-849.87999999999738</v>
      </c>
      <c r="I112" s="165"/>
      <c r="J112" s="328">
        <f>H112/DAY(B2)</f>
        <v>-42.493999999999872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'19'!F113</f>
        <v>40787.379999999997</v>
      </c>
      <c r="F113" s="237">
        <v>41236.870000000003</v>
      </c>
      <c r="G113" s="112">
        <f t="shared" si="9"/>
        <v>449.49000000000524</v>
      </c>
      <c r="H113" s="99">
        <f>G113+'19'!H113</f>
        <v>-5164.0199999999968</v>
      </c>
      <c r="I113" s="165"/>
      <c r="J113" s="328">
        <f>H113/DAY(B2)</f>
        <v>-258.20099999999985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'19'!F114</f>
        <v>29901.7</v>
      </c>
      <c r="F114" s="237">
        <v>30161.65</v>
      </c>
      <c r="G114" s="112">
        <f t="shared" si="9"/>
        <v>259.95000000000073</v>
      </c>
      <c r="H114" s="99">
        <f>G114+'19'!H114</f>
        <v>-3131.9499999999989</v>
      </c>
      <c r="I114" s="165"/>
      <c r="J114" s="328">
        <f>H114/DAY(B2)</f>
        <v>-156.59749999999994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'19'!F115</f>
        <v>8979.4500000000007</v>
      </c>
      <c r="F115" s="237">
        <v>8988.66</v>
      </c>
      <c r="G115" s="112">
        <f t="shared" si="9"/>
        <v>9.2099999999991269</v>
      </c>
      <c r="H115" s="99">
        <f>G115+'19'!H115</f>
        <v>-105.98999999999978</v>
      </c>
      <c r="I115" s="165"/>
      <c r="J115" s="328">
        <f>H115/DAY(B2)</f>
        <v>-5.2994999999999894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'19'!F116</f>
        <v>0</v>
      </c>
      <c r="F116" s="237">
        <v>0</v>
      </c>
      <c r="G116" s="112">
        <f t="shared" si="9"/>
        <v>0</v>
      </c>
      <c r="H116" s="99">
        <f>G116+'19'!H116</f>
        <v>0</v>
      </c>
      <c r="I116" s="165"/>
      <c r="J116" s="328">
        <f>H116/DAY(B2)</f>
        <v>0</v>
      </c>
      <c r="Q116" s="863"/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'19'!F117</f>
        <v>3046.45</v>
      </c>
      <c r="F117" s="237">
        <v>3069.13</v>
      </c>
      <c r="G117" s="112">
        <f t="shared" si="9"/>
        <v>22.680000000000291</v>
      </c>
      <c r="H117" s="99">
        <f>G117+'19'!H117</f>
        <v>-268.81999999999971</v>
      </c>
      <c r="I117" s="165"/>
      <c r="J117" s="328">
        <f>H117/DAY(B2)</f>
        <v>-13.440999999999985</v>
      </c>
      <c r="Q117" s="863"/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'19'!F118</f>
        <v>248401.09</v>
      </c>
      <c r="F118" s="237">
        <v>248744.33</v>
      </c>
      <c r="G118" s="112">
        <f t="shared" si="9"/>
        <v>343.23999999999069</v>
      </c>
      <c r="H118" s="99">
        <f>G118+'19'!H118</f>
        <v>-3707.9800000000105</v>
      </c>
      <c r="I118" s="165"/>
      <c r="J118" s="328">
        <f>H118/DAY(B2)</f>
        <v>-185.39900000000051</v>
      </c>
      <c r="Q118" s="863"/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'19'!F119</f>
        <v>253125.45</v>
      </c>
      <c r="F119" s="237">
        <v>253557.93</v>
      </c>
      <c r="G119" s="112">
        <f t="shared" si="9"/>
        <v>432.47999999998137</v>
      </c>
      <c r="H119" s="99">
        <f>G119+'19'!H119</f>
        <v>-4590.6199999999953</v>
      </c>
      <c r="I119" s="165"/>
      <c r="J119" s="328">
        <f>H119/DAY(B2)</f>
        <v>-229.53099999999978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'19'!F120</f>
        <v>37987.129999999997</v>
      </c>
      <c r="F120" s="237">
        <v>38389.870000000003</v>
      </c>
      <c r="G120" s="112">
        <f t="shared" si="9"/>
        <v>402.74000000000524</v>
      </c>
      <c r="H120" s="99">
        <f>G120+'19'!H120</f>
        <v>-4569.739999999998</v>
      </c>
      <c r="I120" s="165"/>
      <c r="J120" s="328">
        <f>H120/DAY(B2)</f>
        <v>-228.48699999999991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'19'!F121</f>
        <v>389744.43</v>
      </c>
      <c r="F121" s="237">
        <v>390351.51</v>
      </c>
      <c r="G121" s="112">
        <f t="shared" si="9"/>
        <v>607.0800000000163</v>
      </c>
      <c r="H121" s="99">
        <f>G121+'19'!H121</f>
        <v>-7682.9199999999837</v>
      </c>
      <c r="I121" s="165"/>
      <c r="J121" s="328">
        <f>H121/DAY(B2)</f>
        <v>-384.14599999999916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'19'!F122</f>
        <v>123875.49</v>
      </c>
      <c r="F122" s="237">
        <v>124029.62</v>
      </c>
      <c r="G122" s="112">
        <f t="shared" si="9"/>
        <v>154.1299999999901</v>
      </c>
      <c r="H122" s="99">
        <f>G122+'19'!H122</f>
        <v>-2156.5599999999977</v>
      </c>
      <c r="I122" s="165"/>
      <c r="J122" s="328">
        <f>H122/DAY(B2)</f>
        <v>-107.82799999999989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'19'!F123</f>
        <v>150781.35</v>
      </c>
      <c r="F123" s="237">
        <v>151054.42000000001</v>
      </c>
      <c r="G123" s="112">
        <f t="shared" si="9"/>
        <v>273.07000000000698</v>
      </c>
      <c r="H123" s="99">
        <f>G123+'19'!H123</f>
        <v>-2992.5299999999988</v>
      </c>
      <c r="I123" s="165"/>
      <c r="J123" s="328">
        <f>H123/DAY(B2)</f>
        <v>-149.62649999999994</v>
      </c>
    </row>
    <row r="124" spans="1:18" ht="29.25" customHeight="1" x14ac:dyDescent="0.5">
      <c r="A124" s="867"/>
      <c r="B124" s="868"/>
      <c r="C124" s="869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7.75" x14ac:dyDescent="0.5">
      <c r="A125" s="935" t="s">
        <v>108</v>
      </c>
      <c r="B125" s="935"/>
      <c r="C125" s="245"/>
      <c r="D125" s="307"/>
      <c r="E125" s="308"/>
      <c r="F125" s="308"/>
      <c r="G125" s="309">
        <f>SUM(G112:G124)</f>
        <v>3032.2099999999955</v>
      </c>
      <c r="H125" s="156"/>
      <c r="I125" s="327">
        <f>G125-(G39+G53)</f>
        <v>525.15999999999622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'19'!F128</f>
        <v>44007</v>
      </c>
      <c r="F128" s="165">
        <v>44305.26</v>
      </c>
      <c r="G128" s="112">
        <f t="shared" ref="G128:G134" si="10">F128-E128</f>
        <v>298.26000000000204</v>
      </c>
      <c r="H128" s="99">
        <f>G128+'19'!H128</f>
        <v>-3440.739999999998</v>
      </c>
      <c r="I128" s="165"/>
      <c r="J128" s="328">
        <f>H128/DAY(B2)</f>
        <v>-172.03699999999989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'19'!F129</f>
        <v>24539.05</v>
      </c>
      <c r="F129" s="165">
        <v>24721.98</v>
      </c>
      <c r="G129" s="112">
        <f t="shared" si="10"/>
        <v>182.93000000000029</v>
      </c>
      <c r="H129" s="99">
        <f>G129+'19'!H129</f>
        <v>-2188.8899999999994</v>
      </c>
      <c r="I129" s="165"/>
      <c r="J129" s="328">
        <f>H129/DAY(B2)</f>
        <v>-109.44449999999998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'19'!F130</f>
        <v>29719.24</v>
      </c>
      <c r="F130" s="165">
        <v>30206.9</v>
      </c>
      <c r="G130" s="112">
        <f t="shared" si="10"/>
        <v>487.65999999999985</v>
      </c>
      <c r="H130" s="99">
        <f>G130+'19'!H130</f>
        <v>-5487.0999999999985</v>
      </c>
      <c r="I130" s="165"/>
      <c r="J130" s="328">
        <f>H130/DAY(B2)</f>
        <v>-274.3549999999999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'19'!F131</f>
        <v>14534.22</v>
      </c>
      <c r="F131" s="165">
        <v>14612.15</v>
      </c>
      <c r="G131" s="112">
        <f t="shared" si="10"/>
        <v>77.930000000000291</v>
      </c>
      <c r="H131" s="99">
        <f>G131+'19'!H131</f>
        <v>-695.53000000000065</v>
      </c>
      <c r="I131" s="165"/>
      <c r="J131" s="328">
        <f>H131/DAY(B2)</f>
        <v>-34.776500000000034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'19'!F132</f>
        <v>49852.15</v>
      </c>
      <c r="F132" s="165">
        <v>50017.94</v>
      </c>
      <c r="G132" s="112">
        <f t="shared" si="10"/>
        <v>165.79000000000087</v>
      </c>
      <c r="H132" s="99">
        <f>G132+'19'!H132</f>
        <v>-1830.3600000000006</v>
      </c>
      <c r="I132" s="165"/>
      <c r="J132" s="328">
        <f>H132/DAY(B2)</f>
        <v>-91.518000000000029</v>
      </c>
    </row>
    <row r="133" spans="1:15" ht="27.75" x14ac:dyDescent="0.5">
      <c r="A133" s="863" t="s">
        <v>362</v>
      </c>
      <c r="B133" s="864"/>
      <c r="C133" s="865"/>
      <c r="D133" s="151" t="s">
        <v>183</v>
      </c>
      <c r="E133" s="95">
        <f>'19'!F133</f>
        <v>99251.43</v>
      </c>
      <c r="F133" s="165">
        <v>99906.82</v>
      </c>
      <c r="G133" s="112">
        <f t="shared" si="10"/>
        <v>655.39000000001397</v>
      </c>
      <c r="H133" s="99">
        <f>G133+'19'!H133</f>
        <v>-5436.8799999999901</v>
      </c>
      <c r="I133" s="165"/>
      <c r="J133" s="328">
        <f>H133/DAY(B2)</f>
        <v>-271.84399999999948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'19'!F134</f>
        <v>6620</v>
      </c>
      <c r="F134" s="591">
        <v>6866.21</v>
      </c>
      <c r="G134" s="112">
        <f t="shared" si="10"/>
        <v>246.21000000000004</v>
      </c>
      <c r="H134" s="99">
        <f>G134+'19'!H134</f>
        <v>-1735.0199999999995</v>
      </c>
      <c r="I134" s="165"/>
      <c r="J134" s="328">
        <f>H134/DAY(B2)</f>
        <v>-86.750999999999976</v>
      </c>
    </row>
    <row r="135" spans="1:15" ht="27.75" x14ac:dyDescent="0.5">
      <c r="A135" s="943" t="s">
        <v>108</v>
      </c>
      <c r="B135" s="944"/>
      <c r="C135" s="859"/>
      <c r="D135" s="151"/>
      <c r="E135" s="95"/>
      <c r="F135" s="165"/>
      <c r="G135" s="112">
        <f>SUM(G128:G134)</f>
        <v>2114.1700000000174</v>
      </c>
      <c r="H135" s="99"/>
      <c r="I135" s="327">
        <f>G135-(G35+G49)</f>
        <v>-456.39999999998417</v>
      </c>
      <c r="J135" s="328"/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'19'!F138</f>
        <v>865348</v>
      </c>
      <c r="F138" s="147">
        <v>865405</v>
      </c>
      <c r="G138" s="112">
        <f t="shared" ref="G138:G152" si="11">F138-E138</f>
        <v>57</v>
      </c>
      <c r="H138" s="99">
        <f>G138+'19'!H138</f>
        <v>-768</v>
      </c>
      <c r="I138" s="118"/>
      <c r="J138" s="328">
        <f>H138/DAY(B2)</f>
        <v>-38.4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'19'!F139</f>
        <v>886551</v>
      </c>
      <c r="F139" s="148">
        <v>886552</v>
      </c>
      <c r="G139" s="112">
        <f t="shared" si="11"/>
        <v>1</v>
      </c>
      <c r="H139" s="99">
        <f>G139+'19'!H139</f>
        <v>-21</v>
      </c>
      <c r="I139" s="118"/>
      <c r="J139" s="328">
        <f>H139/DAY(B2)</f>
        <v>-1.05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'19'!F140</f>
        <v>88898</v>
      </c>
      <c r="F140" s="149">
        <v>88917</v>
      </c>
      <c r="G140" s="112">
        <f>F140-E140</f>
        <v>19</v>
      </c>
      <c r="H140" s="99">
        <f>G140+'19'!H140</f>
        <v>-5</v>
      </c>
      <c r="I140" s="118"/>
      <c r="J140" s="328">
        <f>H140/DAY(B2)</f>
        <v>-0.25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'19'!F141</f>
        <v>52577.7</v>
      </c>
      <c r="F141" s="149">
        <v>52741.02</v>
      </c>
      <c r="G141" s="112">
        <f t="shared" si="11"/>
        <v>163.31999999999971</v>
      </c>
      <c r="H141" s="99">
        <f>G141+'19'!H141</f>
        <v>-1944.5600000000049</v>
      </c>
      <c r="I141" s="118"/>
      <c r="J141" s="328">
        <f>H141/DAY(B2)</f>
        <v>-97.22800000000025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'19'!F142</f>
        <v>20344.240000000002</v>
      </c>
      <c r="F142" s="148">
        <v>20419.13</v>
      </c>
      <c r="G142" s="112">
        <f t="shared" si="11"/>
        <v>74.889999999999418</v>
      </c>
      <c r="H142" s="99">
        <f>G142+'19'!H142</f>
        <v>-864.96999999999753</v>
      </c>
      <c r="I142" s="140"/>
      <c r="J142" s="328">
        <f>H142/DAY(B2)</f>
        <v>-43.248499999999879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'19'!F143</f>
        <v>3515.52</v>
      </c>
      <c r="F143" s="149">
        <v>3541.77</v>
      </c>
      <c r="G143" s="112">
        <f t="shared" si="11"/>
        <v>26.25</v>
      </c>
      <c r="H143" s="99">
        <f>G143+'19'!H143</f>
        <v>-293.61999999999989</v>
      </c>
      <c r="I143" s="140"/>
      <c r="J143" s="328">
        <f>H143/DAY(B2)</f>
        <v>-14.680999999999994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'19'!F144</f>
        <v>873963</v>
      </c>
      <c r="F144" s="149">
        <v>874189</v>
      </c>
      <c r="G144" s="112">
        <f t="shared" si="11"/>
        <v>226</v>
      </c>
      <c r="H144" s="99">
        <f>G144+'19'!H144</f>
        <v>-2298</v>
      </c>
      <c r="I144" s="140"/>
      <c r="J144" s="328">
        <f>H144/DAY(B2)</f>
        <v>-114.9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'19'!F145</f>
        <v>4843.3999999999996</v>
      </c>
      <c r="F145" s="149">
        <v>4858.28</v>
      </c>
      <c r="G145" s="112">
        <f t="shared" si="11"/>
        <v>14.880000000000109</v>
      </c>
      <c r="H145" s="99">
        <f>G145+'19'!H145</f>
        <v>-100.5600000000004</v>
      </c>
      <c r="I145" s="140"/>
      <c r="J145" s="328">
        <f>H145/DAY(B2)</f>
        <v>-5.02800000000002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'19'!F146</f>
        <v>732529</v>
      </c>
      <c r="F146" s="148">
        <v>732875</v>
      </c>
      <c r="G146" s="112">
        <f t="shared" si="11"/>
        <v>346</v>
      </c>
      <c r="H146" s="99">
        <f>G146+'19'!H146</f>
        <v>-4458</v>
      </c>
      <c r="I146" s="140"/>
      <c r="J146" s="328">
        <f>H146/DAY(B2)</f>
        <v>-222.9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'19'!F147</f>
        <v>622164.64</v>
      </c>
      <c r="F147" s="148">
        <v>622512</v>
      </c>
      <c r="G147" s="112">
        <f t="shared" si="11"/>
        <v>347.35999999998603</v>
      </c>
      <c r="H147" s="99">
        <f>G147+'19'!H147</f>
        <v>-4100.5200000000186</v>
      </c>
      <c r="I147" s="140"/>
      <c r="J147" s="328">
        <f>H147/DAY(B2)</f>
        <v>-205.02600000000092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'19'!F148</f>
        <v>687181.52</v>
      </c>
      <c r="F148" s="150">
        <v>687342</v>
      </c>
      <c r="G148" s="112">
        <f t="shared" si="11"/>
        <v>160.47999999998137</v>
      </c>
      <c r="H148" s="99">
        <f>G148+'19'!H148</f>
        <v>-2100.9599999999627</v>
      </c>
      <c r="I148" s="124"/>
      <c r="J148" s="328">
        <f>H148/DAY(B2)</f>
        <v>-105.04799999999814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'19'!F149</f>
        <v>18705.96</v>
      </c>
      <c r="F149" s="146">
        <v>19166</v>
      </c>
      <c r="G149" s="112">
        <f t="shared" si="11"/>
        <v>460.04000000000087</v>
      </c>
      <c r="H149" s="99">
        <f>G149+'19'!H149</f>
        <v>-5512.2000000000007</v>
      </c>
      <c r="I149" s="119"/>
      <c r="J149" s="328">
        <f>H149/DAY(B2)</f>
        <v>-275.61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'19'!F150</f>
        <v>8195.51</v>
      </c>
      <c r="F150" s="233">
        <v>8417.11</v>
      </c>
      <c r="G150" s="112">
        <f t="shared" si="11"/>
        <v>221.60000000000036</v>
      </c>
      <c r="H150" s="99">
        <f>G150+'19'!H150</f>
        <v>-2433.7199999999993</v>
      </c>
      <c r="I150" s="119"/>
      <c r="J150" s="328">
        <f>H150/DAY(B2)</f>
        <v>-121.68599999999996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'19'!F151</f>
        <v>82600</v>
      </c>
      <c r="F151" s="233">
        <v>82812</v>
      </c>
      <c r="G151" s="112">
        <f t="shared" si="11"/>
        <v>212</v>
      </c>
      <c r="H151" s="99">
        <f>G151+'19'!H151</f>
        <v>-2668</v>
      </c>
      <c r="I151" s="119"/>
      <c r="J151" s="328">
        <f>H151/DAY(B2)</f>
        <v>-133.4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'19'!F152</f>
        <v>1452.1</v>
      </c>
      <c r="F152" s="233">
        <v>1466.21</v>
      </c>
      <c r="G152" s="112">
        <f t="shared" si="11"/>
        <v>14.110000000000127</v>
      </c>
      <c r="H152" s="99">
        <f>G152+'19'!H152</f>
        <v>-193.78999999999996</v>
      </c>
      <c r="I152" s="119"/>
      <c r="J152" s="328">
        <f>H152/DAY(B2)</f>
        <v>-9.6894999999999989</v>
      </c>
    </row>
    <row r="153" spans="1:10" ht="27.75" x14ac:dyDescent="0.5">
      <c r="A153" s="585" t="s">
        <v>108</v>
      </c>
      <c r="B153" s="365"/>
      <c r="C153" s="365"/>
      <c r="D153" s="117"/>
      <c r="E153" s="95"/>
      <c r="F153" s="233"/>
      <c r="G153" s="112">
        <f>SUM(G138:G152)</f>
        <v>2343.929999999968</v>
      </c>
      <c r="H153" s="99"/>
      <c r="I153" s="119">
        <f>G153-(G38+G52)</f>
        <v>731.07999999996946</v>
      </c>
      <c r="J153" s="328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'19'!F155</f>
        <v>24510</v>
      </c>
      <c r="F155" s="374">
        <v>25146.7</v>
      </c>
      <c r="G155" s="112">
        <f t="shared" ref="G155:G158" si="12">F155-E155</f>
        <v>636.70000000000073</v>
      </c>
      <c r="H155" s="99">
        <f>G155+'19'!H155</f>
        <v>-7798.2999999999993</v>
      </c>
      <c r="I155" s="364"/>
      <c r="J155" s="328">
        <f>H155/DAY(B2)</f>
        <v>-389.91499999999996</v>
      </c>
    </row>
    <row r="156" spans="1:10" ht="27.75" x14ac:dyDescent="0.5">
      <c r="A156" s="843" t="s">
        <v>347</v>
      </c>
      <c r="B156" s="843"/>
      <c r="C156" s="843"/>
      <c r="D156" s="117" t="s">
        <v>130</v>
      </c>
      <c r="E156" s="95">
        <f>'19'!F156</f>
        <v>2070</v>
      </c>
      <c r="F156" s="155">
        <v>2118.25</v>
      </c>
      <c r="G156" s="112">
        <f t="shared" si="12"/>
        <v>48.25</v>
      </c>
      <c r="H156" s="99">
        <f>G156+'19'!H156</f>
        <v>1016.25</v>
      </c>
      <c r="I156" s="165"/>
      <c r="J156" s="328">
        <f>H156/DAY(B2)</f>
        <v>50.8125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>
        <f>'19'!F157</f>
        <v>2720.16</v>
      </c>
      <c r="F157" s="155">
        <v>2837.68</v>
      </c>
      <c r="G157" s="112">
        <f t="shared" si="12"/>
        <v>117.51999999999998</v>
      </c>
      <c r="H157" s="99">
        <f>G157+'19'!H157</f>
        <v>117.51999999999998</v>
      </c>
      <c r="I157" s="165"/>
      <c r="J157" s="328">
        <f>H157/DAY(B2)</f>
        <v>5.8759999999999994</v>
      </c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>
        <f>'19'!F158</f>
        <v>24.34</v>
      </c>
      <c r="F158" s="155">
        <v>26.38</v>
      </c>
      <c r="G158" s="112">
        <f t="shared" si="12"/>
        <v>2.0399999999999991</v>
      </c>
      <c r="H158" s="99">
        <f>G158+'19'!H158</f>
        <v>2.0399999999999991</v>
      </c>
      <c r="I158" s="165"/>
      <c r="J158" s="328">
        <f>H158/DAY(B2)</f>
        <v>0.10199999999999995</v>
      </c>
    </row>
    <row r="159" spans="1:10" ht="27.75" x14ac:dyDescent="0.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'19'!F161</f>
        <v>471460.76</v>
      </c>
      <c r="F161" s="235">
        <v>471467.24</v>
      </c>
      <c r="G161" s="238">
        <f t="shared" ref="G161:G166" si="13">F161-E161</f>
        <v>6.4799999999813735</v>
      </c>
      <c r="H161" s="99">
        <f>G161+'19'!H161</f>
        <v>-586.32000000000698</v>
      </c>
      <c r="I161" s="236"/>
      <c r="J161" s="239">
        <f>H161/DAY(B2)</f>
        <v>-29.316000000000351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'19'!F162</f>
        <v>88135.4</v>
      </c>
      <c r="F162" s="235">
        <v>88171.5</v>
      </c>
      <c r="G162" s="238">
        <f t="shared" si="13"/>
        <v>36.100000000005821</v>
      </c>
      <c r="H162" s="99">
        <f>G162+'19'!H162</f>
        <v>-344.89999999999418</v>
      </c>
      <c r="I162" s="236"/>
      <c r="J162" s="239">
        <f>H162/DAY(B2)</f>
        <v>-17.24499999999971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'19'!F163</f>
        <v>78699.8</v>
      </c>
      <c r="F163" s="235">
        <v>78749.600000000006</v>
      </c>
      <c r="G163" s="238">
        <f t="shared" si="13"/>
        <v>49.80000000000291</v>
      </c>
      <c r="H163" s="99">
        <f>G163+'19'!H163</f>
        <v>-470.5</v>
      </c>
      <c r="I163" s="236"/>
      <c r="J163" s="239">
        <f>H163/DAY(B2)</f>
        <v>-23.524999999999999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'19'!F164</f>
        <v>4284.5</v>
      </c>
      <c r="F164" s="235">
        <v>4288</v>
      </c>
      <c r="G164" s="238">
        <f t="shared" si="13"/>
        <v>3.5</v>
      </c>
      <c r="H164" s="99">
        <f>G164+'19'!H164</f>
        <v>-32</v>
      </c>
      <c r="I164" s="236"/>
      <c r="J164" s="239">
        <f>H164/DAY(B2)</f>
        <v>-1.6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'19'!F165</f>
        <v>29771.72</v>
      </c>
      <c r="F165" s="235">
        <v>29779.71</v>
      </c>
      <c r="G165" s="238">
        <f t="shared" si="13"/>
        <v>7.9899999999979627</v>
      </c>
      <c r="H165" s="99">
        <f>G165+'19'!H165</f>
        <v>-77.540000000000873</v>
      </c>
      <c r="I165" s="236"/>
      <c r="J165" s="239">
        <f>H165/DAY(B2)</f>
        <v>-3.8770000000000437</v>
      </c>
    </row>
    <row r="166" spans="1:10" ht="29.25" x14ac:dyDescent="0.5">
      <c r="A166" s="852"/>
      <c r="B166" s="852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'19'!F173</f>
        <v>8126</v>
      </c>
      <c r="F173" s="155">
        <v>8126</v>
      </c>
      <c r="G173" s="155">
        <f>F173-E173</f>
        <v>0</v>
      </c>
      <c r="H173" s="99">
        <f>G173+'19'!H173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'19'!F174</f>
        <v>38466</v>
      </c>
      <c r="F174" s="157">
        <v>38478</v>
      </c>
      <c r="G174" s="155">
        <f t="shared" ref="G174:G175" si="14">F174-E174</f>
        <v>12</v>
      </c>
      <c r="H174" s="99">
        <f>G174+'19'!H174</f>
        <v>237</v>
      </c>
      <c r="I174" s="155"/>
      <c r="J174" s="178">
        <f>H174/DAY(B2)</f>
        <v>11.85</v>
      </c>
    </row>
    <row r="175" spans="1:10" ht="27.75" x14ac:dyDescent="0.5">
      <c r="A175" s="856" t="s">
        <v>76</v>
      </c>
      <c r="B175" s="896"/>
      <c r="C175" s="857"/>
      <c r="D175" s="228" t="s">
        <v>142</v>
      </c>
      <c r="E175" s="95">
        <f>'19'!F175</f>
        <v>21692</v>
      </c>
      <c r="F175" s="155">
        <v>21704</v>
      </c>
      <c r="G175" s="155">
        <f t="shared" si="14"/>
        <v>12</v>
      </c>
      <c r="H175" s="99">
        <f>G175+'19'!H175</f>
        <v>-109</v>
      </c>
      <c r="I175" s="155"/>
      <c r="J175" s="178">
        <f>H175/DAY(B2)</f>
        <v>-5.45</v>
      </c>
    </row>
    <row r="176" spans="1:10" ht="27.75" x14ac:dyDescent="0.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24</v>
      </c>
      <c r="H176" s="99">
        <f>G176+'19'!H176</f>
        <v>128</v>
      </c>
      <c r="I176" s="155"/>
      <c r="J176" s="178">
        <f>H176/DAY(B2)</f>
        <v>6.4</v>
      </c>
    </row>
    <row r="177" spans="1:10" ht="27.75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'19'!F178</f>
        <v>80688</v>
      </c>
      <c r="F178" s="155">
        <v>80729</v>
      </c>
      <c r="G178" s="155">
        <f>F178-E178</f>
        <v>41</v>
      </c>
      <c r="H178" s="99">
        <f>G178+'19'!H178</f>
        <v>-586</v>
      </c>
      <c r="I178" s="155"/>
      <c r="J178" s="178">
        <f>H178/DAY(B2)</f>
        <v>-29.3</v>
      </c>
    </row>
    <row r="179" spans="1:10" ht="27.75" x14ac:dyDescent="0.5">
      <c r="A179" s="856" t="s">
        <v>211</v>
      </c>
      <c r="B179" s="857"/>
      <c r="C179" s="333"/>
      <c r="D179" s="228" t="s">
        <v>142</v>
      </c>
      <c r="E179" s="95">
        <f>'19'!F179</f>
        <v>34336</v>
      </c>
      <c r="F179" s="155">
        <v>34336</v>
      </c>
      <c r="G179" s="155">
        <f t="shared" ref="G179:G180" si="15">F179-E179</f>
        <v>0</v>
      </c>
      <c r="H179" s="99">
        <f>G179+'19'!H179</f>
        <v>-467</v>
      </c>
      <c r="I179" s="155"/>
      <c r="J179" s="178">
        <f>H179/DAY(B2)</f>
        <v>-23.35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'19'!F180</f>
        <v>5611</v>
      </c>
      <c r="F180" s="155">
        <v>5623</v>
      </c>
      <c r="G180" s="155">
        <f t="shared" si="15"/>
        <v>12</v>
      </c>
      <c r="H180" s="99">
        <f>G180+'19'!H180</f>
        <v>-79</v>
      </c>
      <c r="I180" s="155"/>
      <c r="J180" s="178">
        <f>H180/DAY(B2)</f>
        <v>-3.95</v>
      </c>
    </row>
    <row r="181" spans="1:10" ht="24.75" customHeight="1" x14ac:dyDescent="0.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53</v>
      </c>
      <c r="H181" s="99">
        <f>G181+'19'!H181</f>
        <v>-1132</v>
      </c>
      <c r="I181" s="155"/>
      <c r="J181" s="178">
        <f>H181/DAY(B2)</f>
        <v>-56.6</v>
      </c>
    </row>
    <row r="182" spans="1:10" ht="24.75" customHeight="1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 x14ac:dyDescent="0.5">
      <c r="A183" s="856" t="s">
        <v>214</v>
      </c>
      <c r="B183" s="857"/>
      <c r="C183" s="334"/>
      <c r="D183" s="228" t="s">
        <v>142</v>
      </c>
      <c r="E183" s="95">
        <f>'19'!F183</f>
        <v>15172</v>
      </c>
      <c r="F183" s="157">
        <v>15189</v>
      </c>
      <c r="G183" s="157">
        <f>F183-E183</f>
        <v>17</v>
      </c>
      <c r="H183" s="99">
        <f>G183+'19'!H183</f>
        <v>-156</v>
      </c>
      <c r="I183" s="155"/>
      <c r="J183" s="178">
        <f>H183/DAY(B2)</f>
        <v>-7.8</v>
      </c>
    </row>
    <row r="184" spans="1:10" ht="24.75" customHeight="1" x14ac:dyDescent="0.5">
      <c r="A184" s="856" t="s">
        <v>215</v>
      </c>
      <c r="B184" s="857"/>
      <c r="C184" s="334"/>
      <c r="D184" s="228" t="s">
        <v>142</v>
      </c>
      <c r="E184" s="95">
        <f>'19'!F184</f>
        <v>10420</v>
      </c>
      <c r="F184" s="157">
        <v>10425</v>
      </c>
      <c r="G184" s="157">
        <f t="shared" ref="G184:G185" si="16">F184-E184</f>
        <v>5</v>
      </c>
      <c r="H184" s="99">
        <f>G184+'19'!H184</f>
        <v>-93</v>
      </c>
      <c r="I184" s="155"/>
      <c r="J184" s="178">
        <f>H184/DAY(B2)</f>
        <v>-4.6500000000000004</v>
      </c>
    </row>
    <row r="185" spans="1:10" ht="24.75" customHeight="1" x14ac:dyDescent="0.5">
      <c r="A185" s="856" t="s">
        <v>216</v>
      </c>
      <c r="B185" s="857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7.75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22</v>
      </c>
      <c r="H186" s="99">
        <f>G186+'19'!H186</f>
        <v>-249</v>
      </c>
      <c r="I186" s="157"/>
      <c r="J186" s="178">
        <f>H186/DAY(B2)</f>
        <v>-12.45</v>
      </c>
    </row>
    <row r="187" spans="1:10" ht="27.75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125</v>
      </c>
      <c r="H187" s="99">
        <f>G187+'19'!H187</f>
        <v>-1678</v>
      </c>
      <c r="I187" s="158"/>
      <c r="J187" s="179">
        <f>H187/DAY(B2)</f>
        <v>-83.9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123.89999999999964</v>
      </c>
      <c r="H188" s="99">
        <f>G188+'19'!H188</f>
        <v>716</v>
      </c>
      <c r="I188" s="158"/>
      <c r="J188" s="179">
        <f>H188/DAY(B2)</f>
        <v>35.799999999999997</v>
      </c>
    </row>
    <row r="189" spans="1:10" ht="27.75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53</v>
      </c>
      <c r="H189" s="99">
        <f>G189+'19'!H189</f>
        <v>92</v>
      </c>
      <c r="I189" s="158"/>
      <c r="J189" s="179">
        <f>H189/DAY(B2)</f>
        <v>4.5999999999999996</v>
      </c>
    </row>
    <row r="190" spans="1:10" ht="27.75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4"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zoomScale="60" zoomScaleNormal="60" zoomScalePageLayoutView="20" workbookViewId="0">
      <selection activeCell="D3" sqref="D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356</v>
      </c>
      <c r="B2" s="262">
        <v>44582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'20'!F7</f>
        <v>458929.15</v>
      </c>
      <c r="F7" s="95">
        <v>476797.71</v>
      </c>
      <c r="G7" s="112">
        <f>F7-E7</f>
        <v>17868.559999999998</v>
      </c>
      <c r="H7" s="99">
        <f>G7+'20'!H7</f>
        <v>-174382.51999999996</v>
      </c>
      <c r="I7" s="113">
        <f>'1'!I7</f>
        <v>12000</v>
      </c>
      <c r="J7" s="175">
        <f>H7/DAY(B2)</f>
        <v>-8303.9295238095219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'20'!F8</f>
        <v>511855.71</v>
      </c>
      <c r="F8" s="95">
        <v>530403.75</v>
      </c>
      <c r="G8" s="115">
        <f>F8-E8</f>
        <v>18548.039999999979</v>
      </c>
      <c r="H8" s="99">
        <f>G8+'20'!H8</f>
        <v>-178144.40000000002</v>
      </c>
      <c r="I8" s="116"/>
      <c r="J8" s="175">
        <f>H8/DAY(B2)</f>
        <v>-8483.0666666666675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'20'!F9</f>
        <v>132779.53</v>
      </c>
      <c r="F9" s="598">
        <v>144338.41</v>
      </c>
      <c r="G9" s="112">
        <f>F9-E9</f>
        <v>11558.880000000005</v>
      </c>
      <c r="H9" s="99">
        <f>G9+'20'!H9</f>
        <v>-137915.44</v>
      </c>
      <c r="I9" s="124">
        <f>I7-J7</f>
        <v>20303.929523809522</v>
      </c>
      <c r="J9" s="175">
        <f>H9/DAY(B2)</f>
        <v>-6567.4019047619049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'20'!F10</f>
        <v>68056.070000000007</v>
      </c>
      <c r="F10" s="353">
        <v>73845.8</v>
      </c>
      <c r="G10" s="112">
        <f t="shared" ref="G10:G12" si="0">F10-E10</f>
        <v>5789.7299999999959</v>
      </c>
      <c r="H10" s="99">
        <f>G10+'20'!H10</f>
        <v>-31413.17</v>
      </c>
      <c r="I10" s="282"/>
      <c r="J10" s="175">
        <f>H10/DAY(B2)</f>
        <v>-1495.8652380952381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'20'!F11</f>
        <v>37170</v>
      </c>
      <c r="F11" s="95">
        <v>37170</v>
      </c>
      <c r="G11" s="112">
        <f t="shared" si="0"/>
        <v>0</v>
      </c>
      <c r="H11" s="99">
        <f>G11+'20'!H11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17348.61</v>
      </c>
      <c r="H13" s="99">
        <f>G13+'20'!H13</f>
        <v>-186083.03999999998</v>
      </c>
      <c r="I13" s="120">
        <f>G7-G13</f>
        <v>519.94999999999709</v>
      </c>
      <c r="J13" s="175">
        <f>H13/DAY(B2)</f>
        <v>-8861.0971428571411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'20'!F15</f>
        <v>1896043.25</v>
      </c>
      <c r="F15" s="123">
        <v>1897060.59</v>
      </c>
      <c r="G15" s="112">
        <f>(F15-E15)</f>
        <v>1017.3400000000838</v>
      </c>
      <c r="H15" s="99">
        <f>G15+'20'!H15</f>
        <v>21003.823000000091</v>
      </c>
      <c r="I15" s="113">
        <f>'1'!I15</f>
        <v>800</v>
      </c>
      <c r="J15" s="175">
        <f>H15/DAY(B2)</f>
        <v>1000.182047619052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-200.18204761905201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'20'!F18</f>
        <v>16</v>
      </c>
      <c r="F18" s="122">
        <v>11</v>
      </c>
      <c r="G18" s="119">
        <f>F18*10</f>
        <v>110</v>
      </c>
      <c r="H18" s="99">
        <f>G18+'20'!H18</f>
        <v>3580</v>
      </c>
      <c r="I18" s="113">
        <f>'1'!I18</f>
        <v>65</v>
      </c>
      <c r="J18" s="175">
        <f>H18/DAY(B2)</f>
        <v>170.47619047619048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'20'!F19</f>
        <v>153292</v>
      </c>
      <c r="F19" s="122">
        <v>153349</v>
      </c>
      <c r="G19" s="112">
        <f t="shared" ref="G19" si="1">F19-E19</f>
        <v>57</v>
      </c>
      <c r="H19" s="99">
        <f>G19+'20'!H19</f>
        <v>-542</v>
      </c>
      <c r="I19" s="335"/>
      <c r="J19" s="175">
        <f>H19/DAY(B2)</f>
        <v>-25.80952380952381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167</v>
      </c>
      <c r="H20" s="99">
        <f>G20+'20'!H20</f>
        <v>3038</v>
      </c>
      <c r="I20" s="336">
        <f>I18-J20</f>
        <v>-79.666666666666657</v>
      </c>
      <c r="J20" s="175">
        <f>H20/DAY(B2)</f>
        <v>144.66666666666666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110</v>
      </c>
      <c r="I23" s="118"/>
      <c r="J23" s="175">
        <f>H23/DAY(B2)</f>
        <v>5.2380952380952381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110</v>
      </c>
      <c r="I24" s="118"/>
      <c r="J24" s="175">
        <f>H24/DAY(B2)</f>
        <v>5.2380952380952381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18548.039999999979</v>
      </c>
      <c r="F27" s="136">
        <v>9</v>
      </c>
      <c r="G27" s="137">
        <f>E27*F27</f>
        <v>166932.35999999981</v>
      </c>
      <c r="H27" s="99">
        <f>G27+'20'!H27</f>
        <v>-1603299.6</v>
      </c>
      <c r="I27" s="138"/>
      <c r="J27" s="175">
        <f>H27/DAY(B2)</f>
        <v>-76347.600000000006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1017.3400000000838</v>
      </c>
      <c r="F28" s="136">
        <v>52</v>
      </c>
      <c r="G28" s="137">
        <f>E28*F28</f>
        <v>52901.680000004359</v>
      </c>
      <c r="H28" s="99">
        <f>G28+'20'!H28</f>
        <v>1125552.7960000047</v>
      </c>
      <c r="I28" s="140"/>
      <c r="J28" s="175">
        <f>H28/DAY(B2)</f>
        <v>53597.752190476414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7590</v>
      </c>
      <c r="I29" s="140"/>
      <c r="J29" s="175">
        <f>H29/DAY(B2)</f>
        <v>361.42857142857144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G30+'20'!H30</f>
        <v>-86942</v>
      </c>
      <c r="I30" s="140"/>
      <c r="J30" s="175">
        <f>H30/DAY(B2)</f>
        <v>-4140.0952380952385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110</v>
      </c>
      <c r="F31" s="136">
        <v>80</v>
      </c>
      <c r="G31" s="137">
        <f>E31*F31</f>
        <v>8800</v>
      </c>
      <c r="H31" s="99">
        <f>G31+'20'!H31</f>
        <v>286400</v>
      </c>
      <c r="I31" s="140"/>
      <c r="J31" s="175">
        <f>H31/DAY(B2)</f>
        <v>13638.095238095239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236956.04000000417</v>
      </c>
      <c r="H32" s="99">
        <f>G32+'20'!H32</f>
        <v>-270698.80399999535</v>
      </c>
      <c r="I32" s="144"/>
      <c r="J32" s="175">
        <f>H32/DAY(B2)</f>
        <v>-12890.419238095017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'20'!F35</f>
        <v>17793.810000000001</v>
      </c>
      <c r="F35" s="145">
        <v>19247.78</v>
      </c>
      <c r="G35" s="112">
        <f t="shared" ref="G35:G46" si="3">F35-E35</f>
        <v>1453.9699999999975</v>
      </c>
      <c r="H35" s="99">
        <f>G35+'20'!H35</f>
        <v>-12757.199999999997</v>
      </c>
      <c r="I35" s="95"/>
      <c r="J35" s="175">
        <f>H35/DAY(B2)</f>
        <v>-607.48571428571415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'20'!F36</f>
        <v>35331.82</v>
      </c>
      <c r="F36" s="145">
        <v>35993.730000000003</v>
      </c>
      <c r="G36" s="112">
        <f t="shared" si="3"/>
        <v>661.91000000000349</v>
      </c>
      <c r="H36" s="99">
        <f>G36+'20'!H36</f>
        <v>-7465.0099999999948</v>
      </c>
      <c r="I36" s="95"/>
      <c r="J36" s="175">
        <f>H36/DAY(B2)</f>
        <v>-355.4766666666664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'20'!F37</f>
        <v>18017.919999999998</v>
      </c>
      <c r="F37" s="502">
        <v>19583.419999999998</v>
      </c>
      <c r="G37" s="112">
        <f t="shared" si="3"/>
        <v>1565.5</v>
      </c>
      <c r="H37" s="99">
        <f>G37+'20'!H37</f>
        <v>-15841.669999999998</v>
      </c>
      <c r="I37" s="95"/>
      <c r="J37" s="175">
        <f>H37/DAY(B2)</f>
        <v>-754.36523809523806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'20'!F38</f>
        <v>19100.849999999999</v>
      </c>
      <c r="F38" s="108">
        <v>20772.3</v>
      </c>
      <c r="G38" s="112">
        <f t="shared" si="3"/>
        <v>1671.4500000000007</v>
      </c>
      <c r="H38" s="99">
        <f>G38+'20'!H38</f>
        <v>-17604.13</v>
      </c>
      <c r="I38" s="95"/>
      <c r="J38" s="175">
        <f>H38/DAY(B2)</f>
        <v>-838.29190476190479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'20'!F39</f>
        <v>30507.61</v>
      </c>
      <c r="F39" s="502">
        <v>33105.85</v>
      </c>
      <c r="G39" s="112">
        <f t="shared" si="3"/>
        <v>2598.239999999998</v>
      </c>
      <c r="H39" s="99">
        <f>G39+'20'!H39</f>
        <v>-26067.440000000006</v>
      </c>
      <c r="I39" s="95"/>
      <c r="J39" s="175">
        <f>H39/DAY(B2)</f>
        <v>-1241.3066666666668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'20'!F40</f>
        <v>14501.05</v>
      </c>
      <c r="F40" s="145">
        <v>14856.38</v>
      </c>
      <c r="G40" s="112">
        <f t="shared" si="3"/>
        <v>355.32999999999993</v>
      </c>
      <c r="H40" s="99">
        <f>G40+'20'!H40</f>
        <v>-7260.6100000000024</v>
      </c>
      <c r="I40" s="95"/>
      <c r="J40" s="175">
        <f>H40/DAY(B2)</f>
        <v>-345.74333333333345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'20'!F41</f>
        <v>0</v>
      </c>
      <c r="F41" s="145">
        <v>0</v>
      </c>
      <c r="G41" s="112">
        <f t="shared" si="3"/>
        <v>0</v>
      </c>
      <c r="H41" s="99">
        <f>G41+'20'!H41</f>
        <v>-62.73</v>
      </c>
      <c r="I41" s="95"/>
      <c r="J41" s="175">
        <f>H41/DAY(B2)</f>
        <v>-2.9871428571428571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'20'!F42</f>
        <v>73808.600000000006</v>
      </c>
      <c r="F42" s="145">
        <v>73808.600000000006</v>
      </c>
      <c r="G42" s="112">
        <f t="shared" si="3"/>
        <v>0</v>
      </c>
      <c r="H42" s="99">
        <f>G42+'20'!H42</f>
        <v>35730.86</v>
      </c>
      <c r="I42" s="95"/>
      <c r="J42" s="175">
        <f>H42/DAY(B2)</f>
        <v>1701.4695238095239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'20'!F43</f>
        <v>92066.99</v>
      </c>
      <c r="F43" s="145">
        <v>94406.93</v>
      </c>
      <c r="G43" s="112">
        <f t="shared" si="3"/>
        <v>2339.9399999999878</v>
      </c>
      <c r="H43" s="99">
        <f>G43+'20'!H43</f>
        <v>45584.329999999987</v>
      </c>
      <c r="I43" s="95"/>
      <c r="J43" s="175">
        <f>H43/DAY(B2)</f>
        <v>2170.6823809523803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10646.339999999987</v>
      </c>
      <c r="H47" s="99">
        <f>G47+'20'!H47</f>
        <v>-5743.6000000000076</v>
      </c>
      <c r="I47" s="95"/>
      <c r="J47" s="175">
        <f>H47/DAY(B2)</f>
        <v>-273.50476190476229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'20'!F49</f>
        <v>14791.1</v>
      </c>
      <c r="F49" s="145">
        <v>15892.9</v>
      </c>
      <c r="G49" s="112">
        <f t="shared" ref="G49:G58" si="4">F49-E49</f>
        <v>1101.7999999999993</v>
      </c>
      <c r="H49" s="99">
        <f>G49+'20'!H49</f>
        <v>-9103.2899999999991</v>
      </c>
      <c r="I49" s="95"/>
      <c r="J49" s="175">
        <f>H49/DAY(B2)</f>
        <v>-433.48999999999995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'20'!F50</f>
        <v>43936.35</v>
      </c>
      <c r="F50" s="145">
        <v>45096.4</v>
      </c>
      <c r="G50" s="112">
        <f t="shared" si="4"/>
        <v>1160.0500000000029</v>
      </c>
      <c r="H50" s="99">
        <f>G50+'20'!H50</f>
        <v>-11290.229999999996</v>
      </c>
      <c r="I50" s="95"/>
      <c r="J50" s="175">
        <f>H50/DAY(B2)</f>
        <v>-537.62999999999977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'20'!F51</f>
        <v>0</v>
      </c>
      <c r="F51" s="145">
        <v>0</v>
      </c>
      <c r="G51" s="112">
        <f t="shared" si="4"/>
        <v>0</v>
      </c>
      <c r="H51" s="99">
        <f>G51+'20'!H51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'20'!F52</f>
        <v>0</v>
      </c>
      <c r="F52" s="145">
        <v>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'20'!F54</f>
        <v>5147.42</v>
      </c>
      <c r="F54" s="145">
        <v>5147.42</v>
      </c>
      <c r="G54" s="112">
        <f t="shared" si="4"/>
        <v>0</v>
      </c>
      <c r="H54" s="99">
        <f>G54+'20'!H54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'20'!F55</f>
        <v>63274.47</v>
      </c>
      <c r="F55" s="145">
        <v>66112.87</v>
      </c>
      <c r="G55" s="112">
        <f t="shared" si="4"/>
        <v>2838.3999999999942</v>
      </c>
      <c r="H55" s="99">
        <f>G55+'20'!H55</f>
        <v>-8253.2400000000052</v>
      </c>
      <c r="I55" s="95"/>
      <c r="J55" s="175">
        <f>H55/DAY(B2)</f>
        <v>-393.01142857142884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'20'!F56</f>
        <v>8610.5400000000009</v>
      </c>
      <c r="F56" s="502">
        <v>8610.5400000000009</v>
      </c>
      <c r="G56" s="112">
        <f t="shared" si="4"/>
        <v>0</v>
      </c>
      <c r="H56" s="99">
        <f>G56+'20'!H56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'20'!F58</f>
        <v>2566.9899999999998</v>
      </c>
      <c r="F58" s="145">
        <v>2801.18</v>
      </c>
      <c r="G58" s="112">
        <f t="shared" si="4"/>
        <v>234.19000000000005</v>
      </c>
      <c r="H58" s="99">
        <f>G58+'20'!H58</f>
        <v>-1995.0300000000002</v>
      </c>
      <c r="I58" s="95"/>
      <c r="J58" s="175">
        <f>H58/DAY(B2)</f>
        <v>-95.001428571428576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5334.4399999999969</v>
      </c>
      <c r="H59" s="99">
        <f>G59+'20'!H59</f>
        <v>-30641.790000000015</v>
      </c>
      <c r="I59" s="95">
        <f>G7-G60</f>
        <v>1887.7800000000134</v>
      </c>
      <c r="J59" s="175">
        <f>H59/DAY(B2)</f>
        <v>-1459.1328571428578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15980.779999999984</v>
      </c>
      <c r="H60" s="99">
        <f>G60+'20'!H60</f>
        <v>-36385.390000000036</v>
      </c>
      <c r="I60" s="95">
        <f>G13-G60</f>
        <v>1367.8300000000163</v>
      </c>
      <c r="J60" s="175">
        <f>H60/DAY(B2)</f>
        <v>-1732.6376190476208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'20'!F62</f>
        <v>268437</v>
      </c>
      <c r="F62" s="122">
        <v>268497</v>
      </c>
      <c r="G62" s="112">
        <f t="shared" ref="G62:G63" si="5">F62-E62</f>
        <v>60</v>
      </c>
      <c r="H62" s="99">
        <f>G62+'20'!H62</f>
        <v>-1019</v>
      </c>
      <c r="I62" s="118"/>
      <c r="J62" s="175">
        <f>H62/DAY(B2)</f>
        <v>-48.523809523809526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'20'!F63</f>
        <v>214440</v>
      </c>
      <c r="F63" s="150">
        <v>214536</v>
      </c>
      <c r="G63" s="112">
        <f t="shared" si="5"/>
        <v>96</v>
      </c>
      <c r="H63" s="99">
        <f>G63+'20'!H63</f>
        <v>2460</v>
      </c>
      <c r="I63" s="118"/>
      <c r="J63" s="175">
        <f>H63/DAY(B2)</f>
        <v>117.14285714285714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'20'!F64</f>
        <v>0</v>
      </c>
      <c r="F64" s="122"/>
      <c r="G64" s="112">
        <f>G62+G63</f>
        <v>156</v>
      </c>
      <c r="H64" s="99">
        <f>G64+'20'!H64</f>
        <v>1441</v>
      </c>
      <c r="I64" s="118"/>
      <c r="J64" s="175">
        <f>H64/DAY(B2)</f>
        <v>68.61904761904762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'20'!F65</f>
        <v>433991</v>
      </c>
      <c r="F65" s="122">
        <v>434063</v>
      </c>
      <c r="G65" s="112">
        <f t="shared" ref="G65:G70" si="6">F65-E65</f>
        <v>72</v>
      </c>
      <c r="H65" s="99">
        <f>G65+'20'!H65</f>
        <v>-860</v>
      </c>
      <c r="I65" s="118"/>
      <c r="J65" s="175">
        <f>H65/DAY(B2)</f>
        <v>-40.952380952380949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'20'!F66</f>
        <v>107544</v>
      </c>
      <c r="F66" s="122">
        <v>107556</v>
      </c>
      <c r="G66" s="112">
        <f t="shared" si="6"/>
        <v>12</v>
      </c>
      <c r="H66" s="99">
        <f>G66+'20'!H66</f>
        <v>-187</v>
      </c>
      <c r="I66" s="118"/>
      <c r="J66" s="175">
        <f>H66/DAY(B2)</f>
        <v>-8.9047619047619051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'20'!F67</f>
        <v>104390</v>
      </c>
      <c r="F67" s="122">
        <v>104410</v>
      </c>
      <c r="G67" s="112">
        <f t="shared" si="6"/>
        <v>20</v>
      </c>
      <c r="H67" s="99">
        <f>G67+'20'!H67</f>
        <v>-238</v>
      </c>
      <c r="I67" s="118"/>
      <c r="J67" s="175">
        <f>H67/DAY(B2)</f>
        <v>-11.333333333333334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'20'!F68</f>
        <v>157193</v>
      </c>
      <c r="F68" s="122">
        <v>157227</v>
      </c>
      <c r="G68" s="112">
        <f t="shared" si="6"/>
        <v>34</v>
      </c>
      <c r="H68" s="99">
        <f>G68+'20'!H68</f>
        <v>-470</v>
      </c>
      <c r="I68" s="118"/>
      <c r="J68" s="175">
        <f>H68/DAY(B2)</f>
        <v>-22.38095238095238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'20'!F69</f>
        <v>10411</v>
      </c>
      <c r="F69" s="122">
        <v>10419</v>
      </c>
      <c r="G69" s="112">
        <f t="shared" si="6"/>
        <v>8</v>
      </c>
      <c r="H69" s="99">
        <f>G69+'20'!H69</f>
        <v>-122</v>
      </c>
      <c r="I69" s="118"/>
      <c r="J69" s="175">
        <f>H69/DAY(B2)</f>
        <v>-5.8095238095238093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'20'!F70</f>
        <v>8006</v>
      </c>
      <c r="F70" s="122">
        <v>8010</v>
      </c>
      <c r="G70" s="112">
        <f t="shared" si="6"/>
        <v>4</v>
      </c>
      <c r="H70" s="99">
        <f>G70+'20'!H70</f>
        <v>-110</v>
      </c>
      <c r="I70" s="118"/>
      <c r="J70" s="175">
        <f>H70/DAY(B2)</f>
        <v>-5.2380952380952381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150</v>
      </c>
      <c r="H71" s="99">
        <f>G71+'20'!H71</f>
        <v>-1987</v>
      </c>
      <c r="I71" s="154"/>
      <c r="J71" s="175">
        <f>H71/DAY(B2)</f>
        <v>-94.61904761904762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'20'!F74</f>
        <v>897967.65</v>
      </c>
      <c r="F74" s="123">
        <v>898262.41</v>
      </c>
      <c r="G74" s="112">
        <f t="shared" ref="G74:G78" si="7">F74-E74</f>
        <v>294.76000000000931</v>
      </c>
      <c r="H74" s="99">
        <f>G74+'20'!H74</f>
        <v>-3043.7389999999432</v>
      </c>
      <c r="I74" s="154"/>
      <c r="J74" s="175">
        <f>H74/DAY(B2)</f>
        <v>-144.93995238094968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'20'!F76</f>
        <v>168878.54</v>
      </c>
      <c r="F76" s="123">
        <v>168983.32</v>
      </c>
      <c r="G76" s="112">
        <f t="shared" si="7"/>
        <v>104.77999999999884</v>
      </c>
      <c r="H76" s="99">
        <f>G76+'20'!H76</f>
        <v>-991.67999999999302</v>
      </c>
      <c r="I76" s="154"/>
      <c r="J76" s="175">
        <f>H76/DAY(B2)</f>
        <v>-47.22285714285681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'20'!F77</f>
        <v>40896.699999999997</v>
      </c>
      <c r="F77" s="123">
        <v>40947</v>
      </c>
      <c r="G77" s="112">
        <f t="shared" si="7"/>
        <v>50.30000000000291</v>
      </c>
      <c r="H77" s="99">
        <f>G77+'20'!H77</f>
        <v>-355.19999999999709</v>
      </c>
      <c r="I77" s="154"/>
      <c r="J77" s="175">
        <f>H77/DAY(B2)</f>
        <v>-16.914285714285576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'20'!F78</f>
        <v>9501.9</v>
      </c>
      <c r="F78" s="123">
        <v>9503</v>
      </c>
      <c r="G78" s="112">
        <f t="shared" si="7"/>
        <v>1.1000000000003638</v>
      </c>
      <c r="H78" s="99">
        <f>G78+'20'!H78</f>
        <v>-13</v>
      </c>
      <c r="I78" s="118"/>
      <c r="J78" s="175">
        <f>H78/DAY(B2)</f>
        <v>-0.61904761904761907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'20'!F79</f>
        <v>0</v>
      </c>
      <c r="F79" s="123"/>
      <c r="G79" s="112">
        <f>G15-SUM(G74:G78)</f>
        <v>566.4000000000724</v>
      </c>
      <c r="H79" s="99">
        <f>G79+'20'!H79</f>
        <v>25407.442000000025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1017.3400000000838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'20'!F84</f>
        <v>41675.26</v>
      </c>
      <c r="F84" s="164">
        <v>41675.4</v>
      </c>
      <c r="G84" s="112">
        <f t="shared" si="8"/>
        <v>0.13999999999941792</v>
      </c>
      <c r="H84" s="99">
        <f>G84+'20'!H84</f>
        <v>0.40000000000145519</v>
      </c>
      <c r="I84" s="118"/>
      <c r="J84" s="175">
        <f>H84/DAY(B2)</f>
        <v>1.9047619047688341E-2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'20'!F85</f>
        <v>2096.56</v>
      </c>
      <c r="F85" s="164">
        <v>2096.56</v>
      </c>
      <c r="G85" s="112">
        <f t="shared" si="8"/>
        <v>0</v>
      </c>
      <c r="H85" s="99">
        <f>G85+'20'!H85</f>
        <v>-163.86000000000013</v>
      </c>
      <c r="I85" s="118">
        <f>G82+G83+G84+G85</f>
        <v>0.13999999999941792</v>
      </c>
      <c r="J85" s="175">
        <f>H85/DAY(B2)</f>
        <v>-7.8028571428571487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'20'!F86</f>
        <v>43345.37</v>
      </c>
      <c r="F86" s="164">
        <v>43369.45</v>
      </c>
      <c r="G86" s="112">
        <f t="shared" si="8"/>
        <v>24.07999999999447</v>
      </c>
      <c r="H86" s="99">
        <f>G86+'20'!H86</f>
        <v>-72.55000000000291</v>
      </c>
      <c r="I86" s="118"/>
      <c r="J86" s="175">
        <f>H86/DAY(B2)</f>
        <v>-3.4547619047620435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'20'!F87</f>
        <v>34598.550000000003</v>
      </c>
      <c r="F87" s="164">
        <v>34598.550000000003</v>
      </c>
      <c r="G87" s="112">
        <f t="shared" si="8"/>
        <v>0</v>
      </c>
      <c r="H87" s="99">
        <f>G87+'20'!H87</f>
        <v>5.0000000002910383E-2</v>
      </c>
      <c r="I87" s="118"/>
      <c r="J87" s="175">
        <f>H87/DAY(B2)</f>
        <v>2.3809523810909708E-3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'20'!F88</f>
        <v>24061.37</v>
      </c>
      <c r="F88" s="164">
        <v>24061.37</v>
      </c>
      <c r="G88" s="112">
        <f t="shared" si="8"/>
        <v>0</v>
      </c>
      <c r="H88" s="99">
        <f>G88+'20'!H88</f>
        <v>-2.0600000000013097</v>
      </c>
      <c r="I88" s="118">
        <f>G86+G87+G88</f>
        <v>24.07999999999447</v>
      </c>
      <c r="J88" s="175">
        <f>H88/DAY(B2)</f>
        <v>-9.8095238095300463E-2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'20'!F89</f>
        <v>25790.26</v>
      </c>
      <c r="F89" s="164">
        <v>25800.560000000001</v>
      </c>
      <c r="G89" s="112">
        <f t="shared" si="8"/>
        <v>10.30000000000291</v>
      </c>
      <c r="H89" s="99">
        <f>G89+'20'!H89</f>
        <v>-90.559999999997672</v>
      </c>
      <c r="I89" s="118"/>
      <c r="J89" s="175">
        <f>H89/DAY(B2)</f>
        <v>-4.3123809523808418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'20'!F90</f>
        <v>71136.31</v>
      </c>
      <c r="F90" s="164">
        <v>71138.429999999993</v>
      </c>
      <c r="G90" s="112">
        <f t="shared" si="8"/>
        <v>2.1199999999953434</v>
      </c>
      <c r="H90" s="99">
        <f>G90+'20'!H90</f>
        <v>-24.89000000001397</v>
      </c>
      <c r="I90" s="118">
        <f>G89+G90</f>
        <v>12.419999999998254</v>
      </c>
      <c r="J90" s="175">
        <f>H90/DAY(B2)</f>
        <v>-1.1852380952387604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'20'!F91</f>
        <v>3226.32</v>
      </c>
      <c r="F91" s="122">
        <v>3226.32</v>
      </c>
      <c r="G91" s="112">
        <f t="shared" si="8"/>
        <v>0</v>
      </c>
      <c r="H91" s="99">
        <f>G91+'20'!H91</f>
        <v>-24.769999999999982</v>
      </c>
      <c r="I91" s="165"/>
      <c r="J91" s="175">
        <f>H91/DAY(B2)</f>
        <v>-1.1795238095238088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'20'!F92</f>
        <v>5646.39</v>
      </c>
      <c r="F92" s="122">
        <v>5656.7</v>
      </c>
      <c r="G92" s="112">
        <f t="shared" si="8"/>
        <v>10.309999999999491</v>
      </c>
      <c r="H92" s="99">
        <f>G92+'20'!H92</f>
        <v>-84.369999999999891</v>
      </c>
      <c r="I92" s="165"/>
      <c r="J92" s="175">
        <f>H92/DAY(B2)</f>
        <v>-4.0176190476190428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4895.7099999999846</v>
      </c>
      <c r="H94" s="99">
        <f>G94+'20'!H94</f>
        <v>23723.839999999989</v>
      </c>
      <c r="I94" s="118"/>
      <c r="J94" s="175">
        <f>H94/DAY(B2)</f>
        <v>1129.7066666666663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0.27398458521559571</v>
      </c>
      <c r="H95" s="99">
        <f>G95+'20'!H95</f>
        <v>5.316799283097895</v>
      </c>
      <c r="I95" s="167"/>
      <c r="J95" s="175">
        <f>H95/DAY(B2)</f>
        <v>0.2531809182427569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2838.3999999999942</v>
      </c>
      <c r="H96" s="99">
        <f>G96+'20'!H96</f>
        <v>27414.889999999992</v>
      </c>
      <c r="I96" s="118"/>
      <c r="J96" s="175">
        <f>H96/DAY(B2)</f>
        <v>1305.470952380952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0.15884883840667599</v>
      </c>
      <c r="H97" s="99">
        <f>G97+'20'!H97</f>
        <v>3.8455027570390872</v>
      </c>
      <c r="I97" s="167"/>
      <c r="J97" s="175">
        <f>H97/DAY(B2)</f>
        <v>0.18311917890662319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2598.239999999998</v>
      </c>
      <c r="H98" s="99">
        <f>G98+'20'!H98</f>
        <v>-26067.440000000006</v>
      </c>
      <c r="I98" s="168"/>
      <c r="J98" s="175">
        <f>H98/DAY(B2)</f>
        <v>-1241.3066666666668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0.14540847163957243</v>
      </c>
      <c r="H99" s="99">
        <f>G99+'20'!H99</f>
        <v>3.0722726343329003</v>
      </c>
      <c r="I99" s="168"/>
      <c r="J99" s="175">
        <f>H99/DAY(B2)</f>
        <v>0.14629869687299527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1671.4500000000007</v>
      </c>
      <c r="H100" s="99">
        <f>G100+'20'!H100</f>
        <v>-17604.13</v>
      </c>
      <c r="I100" s="118"/>
      <c r="J100" s="175">
        <f>H100/DAY(B2)</f>
        <v>-838.29190476190479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9.3541393374731982E-2</v>
      </c>
      <c r="H101" s="99">
        <f>G101+'20'!H101</f>
        <v>1.9806035291396862</v>
      </c>
      <c r="I101" s="168"/>
      <c r="J101" s="175">
        <f>H101/DAY(B2)</f>
        <v>9.4314453768556489E-2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1821.9600000000064</v>
      </c>
      <c r="H102" s="99">
        <f>G102+'20'!H102</f>
        <v>-18755.239999999991</v>
      </c>
      <c r="I102" s="168"/>
      <c r="J102" s="175">
        <f>H102/DAY(B2)</f>
        <v>-893.10666666666623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0.10196456793384619</v>
      </c>
      <c r="H103" s="99">
        <f>G103+'20'!H103</f>
        <v>2.1352841381981822</v>
      </c>
      <c r="I103" s="118"/>
      <c r="J103" s="175">
        <f>H103/DAY(B2)</f>
        <v>0.10168019705705629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1565.5</v>
      </c>
      <c r="H104" s="99">
        <f>G104+'20'!H104</f>
        <v>-15841.669999999998</v>
      </c>
      <c r="I104" s="118"/>
      <c r="J104" s="175">
        <f>H104/DAY(B2)</f>
        <v>-754.36523809523806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8.7611984401652965E-2</v>
      </c>
      <c r="H105" s="99">
        <f>G105+'20'!H105</f>
        <v>1.7742390950697757</v>
      </c>
      <c r="I105" s="187"/>
      <c r="J105" s="188">
        <f>H105/DAY(B2)</f>
        <v>8.4487575955703609E-2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'20'!F112</f>
        <v>57204.12</v>
      </c>
      <c r="F112" s="237">
        <v>57281.3</v>
      </c>
      <c r="G112" s="112">
        <f t="shared" ref="G112:G123" si="9">F112-E112</f>
        <v>77.180000000000291</v>
      </c>
      <c r="H112" s="99">
        <f>G112+'20'!H112</f>
        <v>-772.69999999999709</v>
      </c>
      <c r="I112" s="165"/>
      <c r="J112" s="328">
        <f>H112/DAY(B2)</f>
        <v>-36.795238095237956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'20'!F113</f>
        <v>41236.870000000003</v>
      </c>
      <c r="F113" s="597">
        <v>41726.75</v>
      </c>
      <c r="G113" s="112">
        <f t="shared" si="9"/>
        <v>489.87999999999738</v>
      </c>
      <c r="H113" s="99">
        <f>G113+'20'!H113</f>
        <v>-4674.1399999999994</v>
      </c>
      <c r="I113" s="165"/>
      <c r="J113" s="328">
        <f>H113/DAY(B2)</f>
        <v>-222.57809523809522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'20'!F114</f>
        <v>30161.65</v>
      </c>
      <c r="F114" s="237">
        <v>30460.67</v>
      </c>
      <c r="G114" s="112">
        <f t="shared" si="9"/>
        <v>299.0199999999968</v>
      </c>
      <c r="H114" s="99">
        <f>G114+'20'!H114</f>
        <v>-2832.9300000000021</v>
      </c>
      <c r="I114" s="165"/>
      <c r="J114" s="328">
        <f>H114/DAY(B2)</f>
        <v>-134.90142857142868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'20'!F115</f>
        <v>8988.66</v>
      </c>
      <c r="F115" s="237">
        <v>8998.33</v>
      </c>
      <c r="G115" s="112">
        <f t="shared" si="9"/>
        <v>9.6700000000000728</v>
      </c>
      <c r="H115" s="99">
        <f>G115+'20'!H115</f>
        <v>-96.319999999999709</v>
      </c>
      <c r="I115" s="165"/>
      <c r="J115" s="328">
        <f>H115/DAY(B2)</f>
        <v>-4.5866666666666527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'20'!F116</f>
        <v>0</v>
      </c>
      <c r="F116" s="237">
        <v>0</v>
      </c>
      <c r="G116" s="112">
        <f t="shared" si="9"/>
        <v>0</v>
      </c>
      <c r="H116" s="99">
        <f>G116+'20'!H116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'20'!F117</f>
        <v>3069.13</v>
      </c>
      <c r="F117" s="237">
        <v>3092.27</v>
      </c>
      <c r="G117" s="112">
        <f t="shared" si="9"/>
        <v>23.139999999999873</v>
      </c>
      <c r="H117" s="99">
        <f>G117+'20'!H117</f>
        <v>-245.67999999999984</v>
      </c>
      <c r="I117" s="165"/>
      <c r="J117" s="328">
        <f>H117/DAY(B2)</f>
        <v>-11.699047619047612</v>
      </c>
      <c r="Q117" s="863" t="s">
        <v>312</v>
      </c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'20'!F118</f>
        <v>248744.33</v>
      </c>
      <c r="F118" s="237">
        <v>249077.77</v>
      </c>
      <c r="G118" s="112">
        <f t="shared" si="9"/>
        <v>333.44000000000233</v>
      </c>
      <c r="H118" s="99">
        <f>G118+'20'!H118</f>
        <v>-3374.5400000000081</v>
      </c>
      <c r="I118" s="165"/>
      <c r="J118" s="328">
        <f>H118/DAY(B2)</f>
        <v>-160.69238095238134</v>
      </c>
      <c r="Q118" s="863" t="s">
        <v>311</v>
      </c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'20'!F119</f>
        <v>253557.93</v>
      </c>
      <c r="F119" s="237">
        <v>253998.79</v>
      </c>
      <c r="G119" s="112">
        <f t="shared" si="9"/>
        <v>440.86000000001513</v>
      </c>
      <c r="H119" s="99">
        <f>G119+'20'!H119</f>
        <v>-4149.7599999999802</v>
      </c>
      <c r="I119" s="165"/>
      <c r="J119" s="328">
        <f>H119/DAY(B2)</f>
        <v>-197.6076190476181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'20'!F120</f>
        <v>38389.870000000003</v>
      </c>
      <c r="F120" s="597">
        <v>38801.230000000003</v>
      </c>
      <c r="G120" s="112">
        <f t="shared" si="9"/>
        <v>411.36000000000058</v>
      </c>
      <c r="H120" s="99">
        <f>G120+'20'!H120</f>
        <v>-4158.3799999999974</v>
      </c>
      <c r="I120" s="165"/>
      <c r="J120" s="328">
        <f>H120/DAY(B2)</f>
        <v>-198.0180952380951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'20'!F121</f>
        <v>390351.51</v>
      </c>
      <c r="F121" s="237">
        <v>391024.71</v>
      </c>
      <c r="G121" s="112">
        <f t="shared" si="9"/>
        <v>673.20000000001164</v>
      </c>
      <c r="H121" s="99">
        <f>G121+'20'!H121</f>
        <v>-7009.7199999999721</v>
      </c>
      <c r="I121" s="165"/>
      <c r="J121" s="328">
        <f>H121/DAY(B2)</f>
        <v>-333.79619047618917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'20'!F122</f>
        <v>124029.62</v>
      </c>
      <c r="F122" s="237">
        <v>124232.97</v>
      </c>
      <c r="G122" s="112">
        <f t="shared" si="9"/>
        <v>203.35000000000582</v>
      </c>
      <c r="H122" s="99">
        <f>G122+'20'!H122</f>
        <v>-1953.2099999999919</v>
      </c>
      <c r="I122" s="165"/>
      <c r="J122" s="328">
        <f>H122/DAY(B2)</f>
        <v>-93.009999999999607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'20'!F123</f>
        <v>151054.42000000001</v>
      </c>
      <c r="F123" s="237">
        <v>151320</v>
      </c>
      <c r="G123" s="112">
        <f t="shared" si="9"/>
        <v>265.57999999998719</v>
      </c>
      <c r="H123" s="99">
        <f>G123+'20'!H123</f>
        <v>-2726.9500000000116</v>
      </c>
      <c r="I123" s="165"/>
      <c r="J123" s="328">
        <f>H123/DAY(B2)</f>
        <v>-129.85476190476246</v>
      </c>
    </row>
    <row r="124" spans="1:18" ht="29.25" customHeight="1" x14ac:dyDescent="0.5">
      <c r="A124" s="867"/>
      <c r="B124" s="868"/>
      <c r="C124" s="869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3226.6800000000171</v>
      </c>
      <c r="H125" s="156"/>
      <c r="I125" s="327">
        <f>G125-(G39+G53)</f>
        <v>628.44000000001915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'20'!F128</f>
        <v>44305.26</v>
      </c>
      <c r="F128" s="165">
        <v>44614.51</v>
      </c>
      <c r="G128" s="112">
        <f t="shared" ref="G128:G134" si="10">F128-E128</f>
        <v>309.25</v>
      </c>
      <c r="H128" s="99">
        <f>G128+'20'!H128</f>
        <v>-3131.489999999998</v>
      </c>
      <c r="I128" s="165"/>
      <c r="J128" s="328">
        <f>H128/DAY(B2)</f>
        <v>-149.11857142857133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'20'!F129</f>
        <v>24721.98</v>
      </c>
      <c r="F129" s="165">
        <v>24910.95</v>
      </c>
      <c r="G129" s="112">
        <f t="shared" si="10"/>
        <v>188.97000000000116</v>
      </c>
      <c r="H129" s="99">
        <f>G129+'20'!H129</f>
        <v>-1999.9199999999983</v>
      </c>
      <c r="I129" s="165"/>
      <c r="J129" s="328">
        <f>H129/DAY(B2)</f>
        <v>-95.234285714285633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'20'!F130</f>
        <v>30206.9</v>
      </c>
      <c r="F130" s="591">
        <v>30726.03</v>
      </c>
      <c r="G130" s="112">
        <f t="shared" si="10"/>
        <v>519.12999999999738</v>
      </c>
      <c r="H130" s="99">
        <f>G130+'20'!H130</f>
        <v>-4967.9700000000012</v>
      </c>
      <c r="I130" s="165"/>
      <c r="J130" s="328">
        <f>H130/DAY(B2)</f>
        <v>-236.57000000000005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'20'!F131</f>
        <v>14612.15</v>
      </c>
      <c r="F131" s="165">
        <v>14692.65</v>
      </c>
      <c r="G131" s="112">
        <f t="shared" si="10"/>
        <v>80.5</v>
      </c>
      <c r="H131" s="99">
        <f>G131+'20'!H131</f>
        <v>-615.03000000000065</v>
      </c>
      <c r="I131" s="165"/>
      <c r="J131" s="328">
        <f>H131/DAY(B2)</f>
        <v>-29.287142857142889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'20'!F132</f>
        <v>50017.94</v>
      </c>
      <c r="F132" s="165">
        <v>50185.33</v>
      </c>
      <c r="G132" s="112">
        <f t="shared" si="10"/>
        <v>167.38999999999942</v>
      </c>
      <c r="H132" s="99">
        <f>G132+'20'!H132</f>
        <v>-1662.9700000000012</v>
      </c>
      <c r="I132" s="165"/>
      <c r="J132" s="328">
        <f>H132/DAY(B2)</f>
        <v>-79.18904761904767</v>
      </c>
    </row>
    <row r="133" spans="1:15" ht="27.75" x14ac:dyDescent="0.5">
      <c r="A133" s="863" t="s">
        <v>362</v>
      </c>
      <c r="B133" s="864"/>
      <c r="C133" s="865"/>
      <c r="D133" s="151" t="s">
        <v>183</v>
      </c>
      <c r="E133" s="95">
        <f>'20'!F133</f>
        <v>99906.82</v>
      </c>
      <c r="F133" s="165">
        <v>100562.66</v>
      </c>
      <c r="G133" s="112">
        <f t="shared" si="10"/>
        <v>655.83999999999651</v>
      </c>
      <c r="H133" s="99">
        <f>G133+'20'!H133</f>
        <v>-4781.0399999999936</v>
      </c>
      <c r="I133" s="165"/>
      <c r="J133" s="328">
        <f>H133/DAY(B2)</f>
        <v>-227.66857142857111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'20'!F134</f>
        <v>6866.21</v>
      </c>
      <c r="F134" s="165">
        <v>7081.8</v>
      </c>
      <c r="G134" s="112">
        <f t="shared" si="10"/>
        <v>215.59000000000015</v>
      </c>
      <c r="H134" s="99">
        <f>G134+'20'!H134</f>
        <v>-1519.4299999999994</v>
      </c>
      <c r="I134" s="165"/>
      <c r="J134" s="328">
        <f>H134/DAY(B2)</f>
        <v>-72.353809523809488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2136.6699999999946</v>
      </c>
      <c r="H135" s="99">
        <f>G135+'10'!H135</f>
        <v>25592.889999999996</v>
      </c>
      <c r="I135" s="327">
        <f>G135-(G35+G49)</f>
        <v>-419.10000000000218</v>
      </c>
      <c r="J135" s="328"/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'20'!F138</f>
        <v>865405</v>
      </c>
      <c r="F138" s="147">
        <v>865473</v>
      </c>
      <c r="G138" s="112">
        <f t="shared" ref="G138:G152" si="11">F138-E138</f>
        <v>68</v>
      </c>
      <c r="H138" s="99">
        <f>G138+'20'!H138</f>
        <v>-700</v>
      </c>
      <c r="I138" s="118"/>
      <c r="J138" s="328">
        <f>H138/DAY(B2)</f>
        <v>-33.333333333333336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'20'!F139</f>
        <v>886552</v>
      </c>
      <c r="F139" s="148">
        <v>886554</v>
      </c>
      <c r="G139" s="112">
        <f t="shared" si="11"/>
        <v>2</v>
      </c>
      <c r="H139" s="99">
        <f>G139+'20'!H139</f>
        <v>-19</v>
      </c>
      <c r="I139" s="118"/>
      <c r="J139" s="328">
        <f>H139/DAY(B2)</f>
        <v>-0.90476190476190477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'20'!F140</f>
        <v>88917</v>
      </c>
      <c r="F140" s="149">
        <v>88918.5</v>
      </c>
      <c r="G140" s="112">
        <f t="shared" si="11"/>
        <v>1.5</v>
      </c>
      <c r="H140" s="99">
        <f>G140+'20'!H140</f>
        <v>-3.5</v>
      </c>
      <c r="I140" s="118"/>
      <c r="J140" s="328">
        <f>H140/DAY(B2)</f>
        <v>-0.16666666666666666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'20'!F141</f>
        <v>52741.02</v>
      </c>
      <c r="F141" s="149">
        <v>52924.98</v>
      </c>
      <c r="G141" s="112">
        <f t="shared" si="11"/>
        <v>183.9600000000064</v>
      </c>
      <c r="H141" s="99">
        <f>G141+'20'!H141</f>
        <v>-1760.5999999999985</v>
      </c>
      <c r="I141" s="118"/>
      <c r="J141" s="328">
        <f>H141/DAY(B2)</f>
        <v>-83.838095238095164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'20'!F142</f>
        <v>20419.13</v>
      </c>
      <c r="F142" s="148">
        <v>20501.91</v>
      </c>
      <c r="G142" s="112">
        <f t="shared" si="11"/>
        <v>82.779999999998836</v>
      </c>
      <c r="H142" s="99">
        <f>G142+'20'!H142</f>
        <v>-782.18999999999869</v>
      </c>
      <c r="I142" s="140"/>
      <c r="J142" s="328">
        <f>H142/DAY(B2)</f>
        <v>-37.247142857142798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'20'!F143</f>
        <v>3541.77</v>
      </c>
      <c r="F143" s="149">
        <v>3565.54</v>
      </c>
      <c r="G143" s="112">
        <f t="shared" si="11"/>
        <v>23.769999999999982</v>
      </c>
      <c r="H143" s="99">
        <f>G143+'20'!H143</f>
        <v>-269.84999999999991</v>
      </c>
      <c r="I143" s="140"/>
      <c r="J143" s="328">
        <f>H143/DAY(B2)</f>
        <v>-12.849999999999996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'20'!F144</f>
        <v>874189</v>
      </c>
      <c r="F144" s="147">
        <v>874416</v>
      </c>
      <c r="G144" s="112">
        <f t="shared" si="11"/>
        <v>227</v>
      </c>
      <c r="H144" s="99">
        <f>G144+'20'!H144</f>
        <v>-2071</v>
      </c>
      <c r="I144" s="140"/>
      <c r="J144" s="328">
        <f>H144/DAY(B2)</f>
        <v>-98.61904761904762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'20'!F145</f>
        <v>4858.28</v>
      </c>
      <c r="F145" s="147">
        <v>4873.3999999999996</v>
      </c>
      <c r="G145" s="112">
        <f t="shared" si="11"/>
        <v>15.119999999999891</v>
      </c>
      <c r="H145" s="99">
        <f>G145+'20'!H145</f>
        <v>-85.440000000000509</v>
      </c>
      <c r="I145" s="140"/>
      <c r="J145" s="328">
        <f>H145/DAY(B2)</f>
        <v>-4.0685714285714525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'20'!F146</f>
        <v>732875</v>
      </c>
      <c r="F146" s="148">
        <v>733244</v>
      </c>
      <c r="G146" s="112">
        <f t="shared" si="11"/>
        <v>369</v>
      </c>
      <c r="H146" s="99">
        <f>G146+'20'!H146</f>
        <v>-4089</v>
      </c>
      <c r="I146" s="140"/>
      <c r="J146" s="328">
        <f>H146/DAY(B2)</f>
        <v>-194.71428571428572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'20'!F147</f>
        <v>622512</v>
      </c>
      <c r="F147" s="148">
        <v>622888.12</v>
      </c>
      <c r="G147" s="112">
        <f t="shared" si="11"/>
        <v>376.11999999999534</v>
      </c>
      <c r="H147" s="99">
        <f>G147+'20'!H147</f>
        <v>-3724.4000000000233</v>
      </c>
      <c r="I147" s="140"/>
      <c r="J147" s="328">
        <f>H147/DAY(B2)</f>
        <v>-177.35238095238205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'20'!F148</f>
        <v>687342</v>
      </c>
      <c r="F148" s="150">
        <v>687496.88</v>
      </c>
      <c r="G148" s="112">
        <f t="shared" si="11"/>
        <v>154.88000000000466</v>
      </c>
      <c r="H148" s="99">
        <f>G148+'20'!H148</f>
        <v>-1946.0799999999581</v>
      </c>
      <c r="I148" s="124"/>
      <c r="J148" s="328">
        <f>H148/DAY(B2)</f>
        <v>-92.67047619047419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'20'!F149</f>
        <v>19166</v>
      </c>
      <c r="F149" s="146">
        <v>19600.46</v>
      </c>
      <c r="G149" s="112">
        <f t="shared" si="11"/>
        <v>434.45999999999913</v>
      </c>
      <c r="H149" s="99">
        <f>G149+'20'!H149</f>
        <v>-5077.7400000000016</v>
      </c>
      <c r="I149" s="119"/>
      <c r="J149" s="328">
        <f>H149/DAY(B2)</f>
        <v>-241.79714285714294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'20'!F150</f>
        <v>8417.11</v>
      </c>
      <c r="F150" s="233">
        <v>8639.66</v>
      </c>
      <c r="G150" s="112">
        <f t="shared" si="11"/>
        <v>222.54999999999927</v>
      </c>
      <c r="H150" s="99">
        <f>G150+'20'!H150</f>
        <v>-2211.17</v>
      </c>
      <c r="I150" s="119"/>
      <c r="J150" s="328">
        <f>H150/DAY(B2)</f>
        <v>-105.29380952380953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'20'!F151</f>
        <v>82812</v>
      </c>
      <c r="F151" s="152">
        <v>83038</v>
      </c>
      <c r="G151" s="112">
        <f t="shared" si="11"/>
        <v>226</v>
      </c>
      <c r="H151" s="99">
        <f>G151+'20'!H151</f>
        <v>-2442</v>
      </c>
      <c r="I151" s="119"/>
      <c r="J151" s="328">
        <f>H151/DAY(B2)</f>
        <v>-116.28571428571429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'20'!F152</f>
        <v>1466.21</v>
      </c>
      <c r="F152" s="233">
        <v>1482.07</v>
      </c>
      <c r="G152" s="112">
        <f t="shared" si="11"/>
        <v>15.8599999999999</v>
      </c>
      <c r="H152" s="99">
        <f>G152+'20'!H152</f>
        <v>-177.93000000000006</v>
      </c>
      <c r="I152" s="119"/>
      <c r="J152" s="328">
        <f>H152/DAY(B2)</f>
        <v>-8.472857142857146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2403.0000000000036</v>
      </c>
      <c r="H153" s="363"/>
      <c r="I153" s="119">
        <f>G153-(G38+G52)</f>
        <v>731.55000000000291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'20'!F155</f>
        <v>25146.7</v>
      </c>
      <c r="F155" s="374">
        <v>25759.94</v>
      </c>
      <c r="G155" s="112">
        <f t="shared" ref="G155:G158" si="12">F155-E155</f>
        <v>613.23999999999796</v>
      </c>
      <c r="H155" s="99">
        <f>G155+'20'!H155</f>
        <v>-7185.0600000000013</v>
      </c>
      <c r="I155" s="364"/>
      <c r="J155" s="328">
        <f>H155/DAY(B2)</f>
        <v>-342.14571428571435</v>
      </c>
    </row>
    <row r="156" spans="1:10" ht="27.75" x14ac:dyDescent="0.5">
      <c r="A156" s="843" t="s">
        <v>347</v>
      </c>
      <c r="B156" s="843"/>
      <c r="C156" s="843"/>
      <c r="D156" s="117" t="s">
        <v>130</v>
      </c>
      <c r="E156" s="95">
        <f>'20'!F156</f>
        <v>2118.25</v>
      </c>
      <c r="F156" s="155">
        <v>2175.3200000000002</v>
      </c>
      <c r="G156" s="112">
        <f t="shared" si="12"/>
        <v>57.070000000000164</v>
      </c>
      <c r="H156" s="99">
        <f>G156+'20'!H156</f>
        <v>1073.3200000000002</v>
      </c>
      <c r="I156" s="165"/>
      <c r="J156" s="328">
        <f>H156/DAY(B2)</f>
        <v>51.110476190476199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>
        <f>'20'!F157</f>
        <v>2837.68</v>
      </c>
      <c r="F157" s="155">
        <v>2949.54</v>
      </c>
      <c r="G157" s="112">
        <f t="shared" si="12"/>
        <v>111.86000000000013</v>
      </c>
      <c r="H157" s="99">
        <f>G157+'20'!H157</f>
        <v>229.38000000000011</v>
      </c>
      <c r="I157" s="165"/>
      <c r="J157" s="328">
        <f>H157/DAY(B2)</f>
        <v>10.922857142857149</v>
      </c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>
        <f>'20'!F158</f>
        <v>26.38</v>
      </c>
      <c r="F158" s="155">
        <v>26.84</v>
      </c>
      <c r="G158" s="112">
        <f t="shared" si="12"/>
        <v>0.46000000000000085</v>
      </c>
      <c r="H158" s="99">
        <f>G158+'20'!H158</f>
        <v>2.5</v>
      </c>
      <c r="I158" s="165"/>
      <c r="J158" s="328">
        <f>H158/DAY(B2)</f>
        <v>0.11904761904761904</v>
      </c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'20'!F161</f>
        <v>471467.24</v>
      </c>
      <c r="F161" s="235">
        <v>471569</v>
      </c>
      <c r="G161" s="238">
        <f t="shared" ref="G161:G165" si="13">F161-E161</f>
        <v>101.76000000000931</v>
      </c>
      <c r="H161" s="99">
        <f>G161+'20'!H161</f>
        <v>-484.55999999999767</v>
      </c>
      <c r="I161" s="236"/>
      <c r="J161" s="239">
        <f>H161/DAY(B2)</f>
        <v>-23.074285714285605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'20'!F162</f>
        <v>88171.5</v>
      </c>
      <c r="F162" s="235">
        <v>88213.3</v>
      </c>
      <c r="G162" s="238">
        <f t="shared" si="13"/>
        <v>41.80000000000291</v>
      </c>
      <c r="H162" s="99">
        <f>G162+'20'!H162</f>
        <v>-303.09999999999127</v>
      </c>
      <c r="I162" s="236"/>
      <c r="J162" s="239">
        <f>H162/DAY(B2)</f>
        <v>-14.433333333332918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'20'!F163</f>
        <v>78749.600000000006</v>
      </c>
      <c r="F163" s="634">
        <v>78800.600000000006</v>
      </c>
      <c r="G163" s="238">
        <f t="shared" si="13"/>
        <v>51</v>
      </c>
      <c r="H163" s="99">
        <f>G163+'20'!H163</f>
        <v>-419.5</v>
      </c>
      <c r="I163" s="236"/>
      <c r="J163" s="239">
        <f>H163/DAY(B2)</f>
        <v>-19.976190476190474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'20'!F164</f>
        <v>4288</v>
      </c>
      <c r="F164" s="634">
        <v>4291.1000000000004</v>
      </c>
      <c r="G164" s="238">
        <f t="shared" si="13"/>
        <v>3.1000000000003638</v>
      </c>
      <c r="H164" s="99">
        <f>G164+'20'!H164</f>
        <v>-28.899999999999636</v>
      </c>
      <c r="I164" s="236"/>
      <c r="J164" s="239">
        <f>H164/DAY(B2)</f>
        <v>-1.3761904761904589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'20'!F165</f>
        <v>29779.71</v>
      </c>
      <c r="F165" s="235">
        <v>29788.91</v>
      </c>
      <c r="G165" s="238">
        <f t="shared" si="13"/>
        <v>9.2000000000007276</v>
      </c>
      <c r="H165" s="99">
        <f>G165+'20'!H165</f>
        <v>-68.340000000000146</v>
      </c>
      <c r="I165" s="236"/>
      <c r="J165" s="239">
        <f>H165/DAY(B2)</f>
        <v>-3.2542857142857211</v>
      </c>
    </row>
    <row r="166" spans="1:10" ht="29.25" x14ac:dyDescent="0.5">
      <c r="A166" s="852"/>
      <c r="B166" s="852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'20'!F173</f>
        <v>8126</v>
      </c>
      <c r="F173" s="155">
        <v>8126</v>
      </c>
      <c r="G173" s="155">
        <f>F173-E173</f>
        <v>0</v>
      </c>
      <c r="H173" s="99">
        <f>G173+'20'!H173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'20'!F174</f>
        <v>38478</v>
      </c>
      <c r="F174" s="157">
        <v>38489</v>
      </c>
      <c r="G174" s="155">
        <f t="shared" ref="G174:G175" si="14">F174-E174</f>
        <v>11</v>
      </c>
      <c r="H174" s="99">
        <f>G174+'20'!H174</f>
        <v>248</v>
      </c>
      <c r="I174" s="155"/>
      <c r="J174" s="178">
        <f>H174/DAY(B2)</f>
        <v>11.80952380952381</v>
      </c>
    </row>
    <row r="175" spans="1:10" ht="27.75" x14ac:dyDescent="0.5">
      <c r="A175" s="856" t="s">
        <v>76</v>
      </c>
      <c r="B175" s="896"/>
      <c r="C175" s="857"/>
      <c r="D175" s="228" t="s">
        <v>142</v>
      </c>
      <c r="E175" s="95">
        <f>'20'!F175</f>
        <v>21704</v>
      </c>
      <c r="F175" s="155">
        <v>21714</v>
      </c>
      <c r="G175" s="155">
        <f t="shared" si="14"/>
        <v>10</v>
      </c>
      <c r="H175" s="99">
        <f>G175+'20'!H175</f>
        <v>-99</v>
      </c>
      <c r="I175" s="155"/>
      <c r="J175" s="178">
        <f>H175/DAY(B2)</f>
        <v>-4.7142857142857144</v>
      </c>
    </row>
    <row r="176" spans="1:10" ht="27.75" x14ac:dyDescent="0.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21</v>
      </c>
      <c r="H176" s="99">
        <f>G176+'20'!H176</f>
        <v>149</v>
      </c>
      <c r="I176" s="155"/>
      <c r="J176" s="178">
        <f>H176/DAY(B2)</f>
        <v>7.0952380952380949</v>
      </c>
    </row>
    <row r="177" spans="1:10" ht="27.75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'20'!F178</f>
        <v>80729</v>
      </c>
      <c r="F178" s="155">
        <v>80790</v>
      </c>
      <c r="G178" s="155">
        <f>F178-E178</f>
        <v>61</v>
      </c>
      <c r="H178" s="99">
        <f>G178+'20'!H178</f>
        <v>-525</v>
      </c>
      <c r="I178" s="155"/>
      <c r="J178" s="178">
        <f>H178/DAY(B2)</f>
        <v>-25</v>
      </c>
    </row>
    <row r="179" spans="1:10" ht="27.75" x14ac:dyDescent="0.5">
      <c r="A179" s="856" t="s">
        <v>211</v>
      </c>
      <c r="B179" s="857"/>
      <c r="C179" s="333"/>
      <c r="D179" s="228" t="s">
        <v>142</v>
      </c>
      <c r="E179" s="95">
        <f>'20'!F179</f>
        <v>34336</v>
      </c>
      <c r="F179" s="155">
        <v>34356</v>
      </c>
      <c r="G179" s="155">
        <f t="shared" ref="G179:G180" si="15">F179-E179</f>
        <v>20</v>
      </c>
      <c r="H179" s="99">
        <f>G179+'20'!H179</f>
        <v>-447</v>
      </c>
      <c r="I179" s="155"/>
      <c r="J179" s="178">
        <f>H179/DAY(B2)</f>
        <v>-21.285714285714285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'20'!F180</f>
        <v>5623</v>
      </c>
      <c r="F180" s="155">
        <v>5637</v>
      </c>
      <c r="G180" s="155">
        <f t="shared" si="15"/>
        <v>14</v>
      </c>
      <c r="H180" s="99">
        <f>G180+'20'!H180</f>
        <v>-65</v>
      </c>
      <c r="I180" s="155"/>
      <c r="J180" s="178">
        <f>H180/DAY(B2)</f>
        <v>-3.0952380952380953</v>
      </c>
    </row>
    <row r="181" spans="1:10" ht="27.75" x14ac:dyDescent="0.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95</v>
      </c>
      <c r="H181" s="99">
        <f>G181+'20'!H181</f>
        <v>-1037</v>
      </c>
      <c r="I181" s="155"/>
      <c r="J181" s="178">
        <f>H181/DAY(B2)</f>
        <v>-49.38095238095238</v>
      </c>
    </row>
    <row r="182" spans="1:10" ht="27.75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'20'!F183</f>
        <v>15189</v>
      </c>
      <c r="F183" s="157">
        <v>15199</v>
      </c>
      <c r="G183" s="157">
        <f>F183-E183</f>
        <v>10</v>
      </c>
      <c r="H183" s="99">
        <f>G183+'20'!H183</f>
        <v>-146</v>
      </c>
      <c r="I183" s="155"/>
      <c r="J183" s="178">
        <f>H183/DAY(B2)</f>
        <v>-6.9523809523809526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'20'!F184</f>
        <v>10425</v>
      </c>
      <c r="F184" s="157">
        <v>10429</v>
      </c>
      <c r="G184" s="157">
        <f t="shared" ref="G184:G185" si="16">F184-E184</f>
        <v>4</v>
      </c>
      <c r="H184" s="99">
        <f>G184+'20'!H184</f>
        <v>-89</v>
      </c>
      <c r="I184" s="155"/>
      <c r="J184" s="178">
        <f>H184/DAY(B2)</f>
        <v>-4.2380952380952381</v>
      </c>
    </row>
    <row r="185" spans="1:10" ht="32.25" customHeight="1" x14ac:dyDescent="0.5">
      <c r="A185" s="856" t="s">
        <v>216</v>
      </c>
      <c r="B185" s="857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7.75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14</v>
      </c>
      <c r="H186" s="99">
        <f>G186+'20'!H186</f>
        <v>-235</v>
      </c>
      <c r="I186" s="157"/>
      <c r="J186" s="178">
        <f>H186/DAY(B2)</f>
        <v>-11.19047619047619</v>
      </c>
    </row>
    <row r="187" spans="1:10" ht="27.75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117</v>
      </c>
      <c r="H187" s="99">
        <f>G187+'20'!H187</f>
        <v>-1561</v>
      </c>
      <c r="I187" s="158"/>
      <c r="J187" s="179">
        <f>H187/DAY(B2)</f>
        <v>-74.333333333333329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116</v>
      </c>
      <c r="H188" s="99">
        <f>G188+'20'!H188</f>
        <v>832</v>
      </c>
      <c r="I188" s="158"/>
      <c r="J188" s="179">
        <f>H188/DAY(B2)</f>
        <v>39.61904761904762</v>
      </c>
    </row>
    <row r="189" spans="1:10" ht="21" customHeight="1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95</v>
      </c>
      <c r="H189" s="99">
        <f>G189+'20'!H189</f>
        <v>187</v>
      </c>
      <c r="I189" s="158"/>
      <c r="J189" s="179">
        <f>H189/DAY(B2)</f>
        <v>8.9047619047619051</v>
      </c>
    </row>
    <row r="190" spans="1:10" ht="27.75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  <row r="1694" ht="21" customHeight="1" x14ac:dyDescent="0.5"/>
    <row r="1695" ht="21" customHeight="1" x14ac:dyDescent="0.5"/>
    <row r="1696" ht="21" customHeight="1" x14ac:dyDescent="0.5"/>
    <row r="1697" ht="21" customHeight="1" x14ac:dyDescent="0.5"/>
    <row r="1698" ht="21" customHeight="1" x14ac:dyDescent="0.5"/>
    <row r="1699" ht="21" customHeight="1" x14ac:dyDescent="0.5"/>
    <row r="1700" ht="21" customHeight="1" x14ac:dyDescent="0.5"/>
    <row r="1701" ht="21" customHeight="1" x14ac:dyDescent="0.5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1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zoomScale="50" zoomScaleNormal="71" zoomScaleSheetLayoutView="50" workbookViewId="0">
      <selection activeCell="F159" sqref="F15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356</v>
      </c>
      <c r="B2" s="262">
        <v>44583</v>
      </c>
      <c r="C2" s="348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'21'!F7</f>
        <v>476797.71</v>
      </c>
      <c r="F7" s="95">
        <v>496013.67</v>
      </c>
      <c r="G7" s="112">
        <f>F7-E7</f>
        <v>19215.959999999963</v>
      </c>
      <c r="H7" s="99">
        <f>G7+'21'!H7</f>
        <v>-155166.56</v>
      </c>
      <c r="I7" s="113">
        <f>'1'!I7</f>
        <v>12000</v>
      </c>
      <c r="J7" s="175">
        <f>H7/DAY(B2)</f>
        <v>-7053.0254545454545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'21'!F8</f>
        <v>530403.75</v>
      </c>
      <c r="F8" s="95">
        <v>550326.51</v>
      </c>
      <c r="G8" s="115">
        <f>F8-E8</f>
        <v>19922.760000000009</v>
      </c>
      <c r="H8" s="99">
        <f>G8+'21'!H8</f>
        <v>-158221.64000000001</v>
      </c>
      <c r="I8" s="116"/>
      <c r="J8" s="175">
        <f>H8/DAY(B2)</f>
        <v>-7191.8927272727278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'21'!F9</f>
        <v>144338.41</v>
      </c>
      <c r="F9" s="598">
        <v>156266.35</v>
      </c>
      <c r="G9" s="112">
        <f>F9-E9</f>
        <v>11927.940000000002</v>
      </c>
      <c r="H9" s="99">
        <f>G9+'21'!H9</f>
        <v>-125987.5</v>
      </c>
      <c r="I9" s="124">
        <f>I7-J7</f>
        <v>19053.025454545455</v>
      </c>
      <c r="J9" s="175">
        <f>H9/DAY(B2)</f>
        <v>-5726.704545454545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'21'!F10</f>
        <v>73845.8</v>
      </c>
      <c r="F10" s="353">
        <v>80607.3</v>
      </c>
      <c r="G10" s="112">
        <f t="shared" ref="G10:G12" si="0">F10-E10</f>
        <v>6761.5</v>
      </c>
      <c r="H10" s="99">
        <f>G10+'21'!H10</f>
        <v>-24651.67</v>
      </c>
      <c r="I10" s="282"/>
      <c r="J10" s="175">
        <f>H10/DAY(B2)</f>
        <v>-1120.5304545454544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'21'!F11</f>
        <v>37170</v>
      </c>
      <c r="F11" s="95">
        <v>37170</v>
      </c>
      <c r="G11" s="112">
        <f t="shared" si="0"/>
        <v>0</v>
      </c>
      <c r="H11" s="99">
        <f>G11+'21'!H11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18689.440000000002</v>
      </c>
      <c r="H13" s="99">
        <f>G13+'21'!H13</f>
        <v>-167393.59999999998</v>
      </c>
      <c r="I13" s="120">
        <f>G7-G13</f>
        <v>526.51999999996042</v>
      </c>
      <c r="J13" s="175">
        <f>H13/DAY(B2)</f>
        <v>-7608.7999999999993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'21'!F15</f>
        <v>1897060.59</v>
      </c>
      <c r="F15" s="123">
        <v>1898097</v>
      </c>
      <c r="G15" s="112">
        <f>(F15-E15)</f>
        <v>1036.4099999999162</v>
      </c>
      <c r="H15" s="99">
        <f>G15+'21'!H15</f>
        <v>22040.233000000007</v>
      </c>
      <c r="I15" s="113">
        <f>'1'!I15</f>
        <v>800</v>
      </c>
      <c r="J15" s="175">
        <f>H15/DAY(B2)</f>
        <v>1001.8287727272731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-201.82877272727308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'21'!F18</f>
        <v>11</v>
      </c>
      <c r="F18" s="122">
        <v>12</v>
      </c>
      <c r="G18" s="119">
        <f>F18*10</f>
        <v>120</v>
      </c>
      <c r="H18" s="99">
        <f>G18+'21'!H18</f>
        <v>3700</v>
      </c>
      <c r="I18" s="113">
        <f>'1'!I18</f>
        <v>65</v>
      </c>
      <c r="J18" s="175">
        <f>H18/DAY(B2)</f>
        <v>168.18181818181819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'21'!F19</f>
        <v>153349</v>
      </c>
      <c r="F19" s="122">
        <v>153405</v>
      </c>
      <c r="G19" s="112">
        <f t="shared" ref="G19" si="1">F19-E19</f>
        <v>56</v>
      </c>
      <c r="H19" s="99">
        <f>G19+'21'!H19</f>
        <v>-486</v>
      </c>
      <c r="I19" s="335"/>
      <c r="J19" s="175">
        <f>H19/DAY(B2)</f>
        <v>-22.09090909090909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176</v>
      </c>
      <c r="H20" s="99">
        <f>G20+'21'!H20</f>
        <v>3214</v>
      </c>
      <c r="I20" s="336">
        <f>I18-J20</f>
        <v>-81.090909090909093</v>
      </c>
      <c r="J20" s="175">
        <f>H20/DAY(B2)</f>
        <v>146.09090909090909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110</v>
      </c>
      <c r="I23" s="118"/>
      <c r="J23" s="175">
        <f>H23/DAY(B2)</f>
        <v>5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110</v>
      </c>
      <c r="I24" s="118"/>
      <c r="J24" s="175">
        <f>H24/DAY(B2)</f>
        <v>5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19922.760000000009</v>
      </c>
      <c r="F27" s="136">
        <v>9</v>
      </c>
      <c r="G27" s="137">
        <f>E27*F27</f>
        <v>179304.84000000008</v>
      </c>
      <c r="H27" s="99">
        <f>G27+'21'!H27</f>
        <v>-1423994.76</v>
      </c>
      <c r="I27" s="138"/>
      <c r="J27" s="175">
        <f>H27/DAY(B2)</f>
        <v>-64727.034545454546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1036.4099999999162</v>
      </c>
      <c r="F28" s="136">
        <v>52</v>
      </c>
      <c r="G28" s="137">
        <f>E28*F28</f>
        <v>53893.319999995641</v>
      </c>
      <c r="H28" s="99">
        <f>G28+'21'!H28</f>
        <v>1179446.1160000004</v>
      </c>
      <c r="I28" s="140"/>
      <c r="J28" s="175">
        <f>H28/DAY(B2)</f>
        <v>53611.187090909109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7590</v>
      </c>
      <c r="I29" s="140"/>
      <c r="J29" s="175">
        <f>H29/DAY(B2)</f>
        <v>345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G30+'21'!H30</f>
        <v>-78766</v>
      </c>
      <c r="I30" s="140"/>
      <c r="J30" s="175">
        <f>H30/DAY(B2)</f>
        <v>-3580.2727272727275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G31+'21'!H31</f>
        <v>296000</v>
      </c>
      <c r="I31" s="140"/>
      <c r="J31" s="175">
        <f>H31/DAY(B2)</f>
        <v>13454.545454545454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250974.15999999573</v>
      </c>
      <c r="H32" s="99">
        <f>G32+'21'!H32</f>
        <v>-19724.643999999622</v>
      </c>
      <c r="I32" s="144"/>
      <c r="J32" s="175">
        <f>H32/DAY(B2)</f>
        <v>-896.57472727271011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'21'!F35</f>
        <v>19247.78</v>
      </c>
      <c r="F35" s="502">
        <v>20670.580000000002</v>
      </c>
      <c r="G35" s="112">
        <f t="shared" ref="G35:G46" si="3">F35-E35</f>
        <v>1422.8000000000029</v>
      </c>
      <c r="H35" s="99">
        <f>G35+'21'!H35</f>
        <v>-11334.399999999994</v>
      </c>
      <c r="I35" s="95"/>
      <c r="J35" s="175">
        <f>H35/DAY(B2)</f>
        <v>-515.1999999999997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'21'!F36</f>
        <v>35993.730000000003</v>
      </c>
      <c r="F36" s="145">
        <v>36828.019999999997</v>
      </c>
      <c r="G36" s="112">
        <f t="shared" si="3"/>
        <v>834.2899999999936</v>
      </c>
      <c r="H36" s="99">
        <f>G36+'21'!H36</f>
        <v>-6630.7200000000012</v>
      </c>
      <c r="I36" s="95"/>
      <c r="J36" s="175">
        <f>H36/DAY(B2)</f>
        <v>-301.39636363636367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'21'!F37</f>
        <v>19583.419999999998</v>
      </c>
      <c r="F37" s="502">
        <v>21170.51</v>
      </c>
      <c r="G37" s="112">
        <f t="shared" si="3"/>
        <v>1587.0900000000001</v>
      </c>
      <c r="H37" s="99">
        <f>G37+'21'!H37</f>
        <v>-14254.579999999998</v>
      </c>
      <c r="I37" s="95"/>
      <c r="J37" s="175">
        <f>H37/DAY(B2)</f>
        <v>-647.93545454545449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'21'!F38</f>
        <v>20772.3</v>
      </c>
      <c r="F38" s="108">
        <v>22559.54</v>
      </c>
      <c r="G38" s="112">
        <f t="shared" si="3"/>
        <v>1787.2400000000016</v>
      </c>
      <c r="H38" s="99">
        <f>G38+'21'!H38</f>
        <v>-15816.89</v>
      </c>
      <c r="I38" s="95"/>
      <c r="J38" s="175">
        <f>H38/DAY(B2)</f>
        <v>-718.94954545454539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'21'!F39</f>
        <v>33105.85</v>
      </c>
      <c r="F39" s="502">
        <v>35754.550000000003</v>
      </c>
      <c r="G39" s="112">
        <f t="shared" si="3"/>
        <v>2648.7000000000044</v>
      </c>
      <c r="H39" s="99">
        <f>G39+'21'!H39</f>
        <v>-23418.74</v>
      </c>
      <c r="I39" s="95"/>
      <c r="J39" s="175">
        <f>H39/DAY(B2)</f>
        <v>-1064.4881818181818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'21'!F40</f>
        <v>14856.38</v>
      </c>
      <c r="F40" s="145">
        <v>15149.86</v>
      </c>
      <c r="G40" s="112">
        <f t="shared" si="3"/>
        <v>293.48000000000138</v>
      </c>
      <c r="H40" s="99">
        <f>G40+'21'!H40</f>
        <v>-6967.130000000001</v>
      </c>
      <c r="I40" s="95"/>
      <c r="J40" s="175">
        <f>H40/DAY(B2)</f>
        <v>-316.68772727272733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'21'!F41</f>
        <v>0</v>
      </c>
      <c r="F41" s="145">
        <v>0</v>
      </c>
      <c r="G41" s="112">
        <f t="shared" si="3"/>
        <v>0</v>
      </c>
      <c r="H41" s="99">
        <f>G41+'21'!H41</f>
        <v>-62.73</v>
      </c>
      <c r="I41" s="95"/>
      <c r="J41" s="175">
        <f>H41/DAY(B2)</f>
        <v>-2.8513636363636361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'21'!F42</f>
        <v>73808.600000000006</v>
      </c>
      <c r="F42" s="145">
        <v>73808.600000000006</v>
      </c>
      <c r="G42" s="112">
        <f t="shared" si="3"/>
        <v>0</v>
      </c>
      <c r="H42" s="99">
        <f>G42+'21'!H42</f>
        <v>35730.86</v>
      </c>
      <c r="I42" s="95"/>
      <c r="J42" s="175">
        <f>H42/DAY(B2)</f>
        <v>1624.13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'21'!F43</f>
        <v>94406.93</v>
      </c>
      <c r="F43" s="145">
        <v>96740.35</v>
      </c>
      <c r="G43" s="112">
        <f t="shared" si="3"/>
        <v>2333.4200000000128</v>
      </c>
      <c r="H43" s="99">
        <f>G43+'21'!H43</f>
        <v>47917.75</v>
      </c>
      <c r="I43" s="95"/>
      <c r="J43" s="175">
        <f>H43/DAY(B2)</f>
        <v>2178.0795454545455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10907.020000000017</v>
      </c>
      <c r="H47" s="99">
        <f>G47+'21'!H47</f>
        <v>5163.4200000000092</v>
      </c>
      <c r="I47" s="95"/>
      <c r="J47" s="175">
        <f>H47/DAY(B2)</f>
        <v>234.70090909090951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'21'!F49</f>
        <v>15892.9</v>
      </c>
      <c r="F49" s="145">
        <v>17066.73</v>
      </c>
      <c r="G49" s="112">
        <f t="shared" ref="G49:G58" si="4">F49-E49</f>
        <v>1173.83</v>
      </c>
      <c r="H49" s="99">
        <f>G49+'21'!H49</f>
        <v>-7929.4599999999991</v>
      </c>
      <c r="I49" s="95"/>
      <c r="J49" s="175">
        <f>H49/DAY(B2)</f>
        <v>-360.42999999999995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'21'!F50</f>
        <v>45096.4</v>
      </c>
      <c r="F50" s="145">
        <v>46607.1</v>
      </c>
      <c r="G50" s="112">
        <f t="shared" si="4"/>
        <v>1510.6999999999971</v>
      </c>
      <c r="H50" s="99">
        <f>G50+'21'!H50</f>
        <v>-9779.5299999999988</v>
      </c>
      <c r="I50" s="95"/>
      <c r="J50" s="175">
        <f>H50/DAY(B2)</f>
        <v>-444.52409090909083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'21'!F51</f>
        <v>0</v>
      </c>
      <c r="F51" s="145">
        <v>0</v>
      </c>
      <c r="G51" s="112">
        <f t="shared" si="4"/>
        <v>0</v>
      </c>
      <c r="H51" s="99">
        <f>G51+'21'!H51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'21'!F52</f>
        <v>0</v>
      </c>
      <c r="F52" s="145">
        <v>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'21'!F54</f>
        <v>5147.42</v>
      </c>
      <c r="F54" s="145">
        <v>5147.42</v>
      </c>
      <c r="G54" s="112">
        <f t="shared" si="4"/>
        <v>0</v>
      </c>
      <c r="H54" s="99">
        <f>G54+'21'!H54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'21'!F55</f>
        <v>66112.87</v>
      </c>
      <c r="F55" s="502">
        <v>69186.45</v>
      </c>
      <c r="G55" s="112">
        <f t="shared" si="4"/>
        <v>3073.5800000000017</v>
      </c>
      <c r="H55" s="99">
        <f>G55+'21'!H55</f>
        <v>-5179.6600000000035</v>
      </c>
      <c r="I55" s="95"/>
      <c r="J55" s="175">
        <f>H55/DAY(B2)</f>
        <v>-235.43909090909108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'21'!F56</f>
        <v>8610.5400000000009</v>
      </c>
      <c r="F56" s="502">
        <v>8610.5400000000009</v>
      </c>
      <c r="G56" s="112">
        <f>F56-E56</f>
        <v>0</v>
      </c>
      <c r="H56" s="99">
        <f>G56+'21'!H56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'21'!F58</f>
        <v>2801.18</v>
      </c>
      <c r="F58" s="145">
        <v>3044.63</v>
      </c>
      <c r="G58" s="112">
        <f t="shared" si="4"/>
        <v>243.45000000000027</v>
      </c>
      <c r="H58" s="99">
        <f>G58+'21'!H58</f>
        <v>-1751.58</v>
      </c>
      <c r="I58" s="95"/>
      <c r="J58" s="175">
        <f>H58/DAY(B2)</f>
        <v>-79.61727272727272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6001.5599999999995</v>
      </c>
      <c r="H59" s="99">
        <f>G59+'21'!H59</f>
        <v>-24640.230000000018</v>
      </c>
      <c r="I59" s="95">
        <f>G7-G60</f>
        <v>2307.3799999999464</v>
      </c>
      <c r="J59" s="175">
        <f>H59/DAY(B2)</f>
        <v>-1120.0104545454553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16908.580000000016</v>
      </c>
      <c r="H60" s="99">
        <f>G60+'21'!H60</f>
        <v>-19476.810000000019</v>
      </c>
      <c r="I60" s="95">
        <f>G13-G60</f>
        <v>1780.859999999986</v>
      </c>
      <c r="J60" s="175">
        <f>H60/DAY(B2)</f>
        <v>-885.30954545454631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'21'!F62</f>
        <v>268497</v>
      </c>
      <c r="F62" s="122">
        <v>268569</v>
      </c>
      <c r="G62" s="112">
        <f t="shared" ref="G62:G63" si="5">F62-E62</f>
        <v>72</v>
      </c>
      <c r="H62" s="99">
        <f>G62+'21'!H62</f>
        <v>-947</v>
      </c>
      <c r="I62" s="118"/>
      <c r="J62" s="175">
        <f>H62/DAY(B2)</f>
        <v>-43.045454545454547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'21'!F63</f>
        <v>214536</v>
      </c>
      <c r="F63" s="122">
        <v>214644</v>
      </c>
      <c r="G63" s="112">
        <f t="shared" si="5"/>
        <v>108</v>
      </c>
      <c r="H63" s="99">
        <f>G63+'21'!H63</f>
        <v>2568</v>
      </c>
      <c r="I63" s="118"/>
      <c r="J63" s="175">
        <f>H63/DAY(B2)</f>
        <v>116.72727272727273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'21'!F64</f>
        <v>0</v>
      </c>
      <c r="F64" s="122"/>
      <c r="G64" s="112">
        <f>G62+G63</f>
        <v>180</v>
      </c>
      <c r="H64" s="99">
        <f>G64+'21'!H64</f>
        <v>1621</v>
      </c>
      <c r="I64" s="118"/>
      <c r="J64" s="175">
        <f>H64/DAY(B2)</f>
        <v>73.681818181818187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'21'!F65</f>
        <v>434063</v>
      </c>
      <c r="F65" s="122">
        <v>434138</v>
      </c>
      <c r="G65" s="112">
        <f t="shared" ref="G65:G70" si="6">F65-E65</f>
        <v>75</v>
      </c>
      <c r="H65" s="99">
        <f>G65+'21'!H65</f>
        <v>-785</v>
      </c>
      <c r="I65" s="118"/>
      <c r="J65" s="175">
        <f>H65/DAY(B2)</f>
        <v>-35.68181818181818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'21'!F66</f>
        <v>107556</v>
      </c>
      <c r="F66" s="122">
        <v>107570</v>
      </c>
      <c r="G66" s="112">
        <f t="shared" si="6"/>
        <v>14</v>
      </c>
      <c r="H66" s="99">
        <f>G66+'21'!H66</f>
        <v>-173</v>
      </c>
      <c r="I66" s="118"/>
      <c r="J66" s="175">
        <f>H66/DAY(B2)</f>
        <v>-7.8636363636363633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'21'!F67</f>
        <v>104410</v>
      </c>
      <c r="F67" s="122">
        <v>104430</v>
      </c>
      <c r="G67" s="112">
        <f t="shared" si="6"/>
        <v>20</v>
      </c>
      <c r="H67" s="99">
        <f>G67+'21'!H67</f>
        <v>-218</v>
      </c>
      <c r="I67" s="118"/>
      <c r="J67" s="175">
        <f>H67/DAY(B2)</f>
        <v>-9.9090909090909083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'21'!F68</f>
        <v>157227</v>
      </c>
      <c r="F68" s="122">
        <v>157272</v>
      </c>
      <c r="G68" s="112">
        <f t="shared" si="6"/>
        <v>45</v>
      </c>
      <c r="H68" s="99">
        <f>G68+'21'!H68</f>
        <v>-425</v>
      </c>
      <c r="I68" s="118"/>
      <c r="J68" s="175">
        <f>H68/DAY(B2)</f>
        <v>-19.318181818181817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'21'!F69</f>
        <v>10419</v>
      </c>
      <c r="F69" s="122">
        <v>10427</v>
      </c>
      <c r="G69" s="112">
        <f t="shared" si="6"/>
        <v>8</v>
      </c>
      <c r="H69" s="99">
        <f>G69+'21'!H69</f>
        <v>-114</v>
      </c>
      <c r="I69" s="118"/>
      <c r="J69" s="175">
        <f>H69/DAY(B2)</f>
        <v>-5.1818181818181817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'21'!F70</f>
        <v>8010</v>
      </c>
      <c r="F70" s="122">
        <v>8016</v>
      </c>
      <c r="G70" s="112">
        <f t="shared" si="6"/>
        <v>6</v>
      </c>
      <c r="H70" s="99">
        <f>G70+'21'!H70</f>
        <v>-104</v>
      </c>
      <c r="I70" s="118"/>
      <c r="J70" s="175">
        <f>H70/DAY(B2)</f>
        <v>-4.7272727272727275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168</v>
      </c>
      <c r="H71" s="99">
        <f>G71+'21'!H71</f>
        <v>-1819</v>
      </c>
      <c r="I71" s="154"/>
      <c r="J71" s="175">
        <f>H71/DAY(B2)</f>
        <v>-82.681818181818187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'21'!F74</f>
        <v>898262.41</v>
      </c>
      <c r="F74" s="123">
        <v>898570.12</v>
      </c>
      <c r="G74" s="112">
        <f t="shared" ref="G74:G78" si="7">F74-E74</f>
        <v>307.70999999996275</v>
      </c>
      <c r="H74" s="99">
        <f>G74+'21'!H74</f>
        <v>-2736.0289999999804</v>
      </c>
      <c r="I74" s="154"/>
      <c r="J74" s="175">
        <f>H74/DAY(B2)</f>
        <v>-124.36495454545366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'21'!F76</f>
        <v>168983.32</v>
      </c>
      <c r="F76" s="123">
        <v>169102.67</v>
      </c>
      <c r="G76" s="112">
        <f t="shared" si="7"/>
        <v>119.35000000000582</v>
      </c>
      <c r="H76" s="99">
        <f>G76+'21'!H76</f>
        <v>-872.32999999998719</v>
      </c>
      <c r="I76" s="154"/>
      <c r="J76" s="175">
        <f>H76/DAY(B2)</f>
        <v>-39.651363636363051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'21'!F77</f>
        <v>40947</v>
      </c>
      <c r="F77" s="123">
        <v>40987</v>
      </c>
      <c r="G77" s="112">
        <f t="shared" si="7"/>
        <v>40</v>
      </c>
      <c r="H77" s="99">
        <f>G77+'21'!H77</f>
        <v>-315.19999999999709</v>
      </c>
      <c r="I77" s="154"/>
      <c r="J77" s="175">
        <f>H77/DAY(B2)</f>
        <v>-14.327272727272595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'21'!F78</f>
        <v>9503</v>
      </c>
      <c r="F78" s="123">
        <v>9506</v>
      </c>
      <c r="G78" s="112">
        <f t="shared" si="7"/>
        <v>3</v>
      </c>
      <c r="H78" s="99">
        <f>G78+'21'!H78</f>
        <v>-10</v>
      </c>
      <c r="I78" s="118"/>
      <c r="J78" s="175">
        <f>H78/DAY(B2)</f>
        <v>-0.45454545454545453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'21'!F79</f>
        <v>0</v>
      </c>
      <c r="F79" s="123"/>
      <c r="G79" s="112">
        <f>G15-SUM(G74:G78)</f>
        <v>566.34999999994761</v>
      </c>
      <c r="H79" s="99">
        <f>G79+'21'!H79</f>
        <v>25973.791999999972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1036.4099999999162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'21'!F84</f>
        <v>41675.4</v>
      </c>
      <c r="F84" s="164">
        <v>41675.4</v>
      </c>
      <c r="G84" s="112">
        <f t="shared" si="8"/>
        <v>0</v>
      </c>
      <c r="H84" s="99">
        <f>G84+'21'!H84</f>
        <v>0.40000000000145519</v>
      </c>
      <c r="I84" s="118"/>
      <c r="J84" s="175">
        <f>H84/DAY(B2)</f>
        <v>1.8181818181884326E-2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'21'!F85</f>
        <v>2096.56</v>
      </c>
      <c r="F85" s="164">
        <v>2096.56</v>
      </c>
      <c r="G85" s="112">
        <f t="shared" si="8"/>
        <v>0</v>
      </c>
      <c r="H85" s="99">
        <f>G85+'21'!H85</f>
        <v>-163.86000000000013</v>
      </c>
      <c r="I85" s="118">
        <f>G82+G83+G84+G85</f>
        <v>0</v>
      </c>
      <c r="J85" s="175">
        <f>H85/DAY(B2)</f>
        <v>-7.4481818181818236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'21'!F86</f>
        <v>43369.45</v>
      </c>
      <c r="F86" s="164">
        <v>43393.86</v>
      </c>
      <c r="G86" s="112">
        <f t="shared" si="8"/>
        <v>24.410000000003492</v>
      </c>
      <c r="H86" s="99">
        <f>G86+'21'!H86</f>
        <v>-48.139999999999418</v>
      </c>
      <c r="I86" s="118"/>
      <c r="J86" s="175">
        <f>H86/DAY(B2)</f>
        <v>-2.1881818181817918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'21'!F87</f>
        <v>34598.550000000003</v>
      </c>
      <c r="F87" s="164">
        <v>34598.550000000003</v>
      </c>
      <c r="G87" s="112">
        <f t="shared" si="8"/>
        <v>0</v>
      </c>
      <c r="H87" s="99">
        <f>G87+'21'!H87</f>
        <v>5.0000000002910383E-2</v>
      </c>
      <c r="I87" s="118"/>
      <c r="J87" s="175">
        <f>H87/DAY(B2)</f>
        <v>2.2727272728595631E-3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'21'!F88</f>
        <v>24061.37</v>
      </c>
      <c r="F88" s="164">
        <v>24061.37</v>
      </c>
      <c r="G88" s="112">
        <f t="shared" si="8"/>
        <v>0</v>
      </c>
      <c r="H88" s="99">
        <f>G88+'21'!H88</f>
        <v>-2.0600000000013097</v>
      </c>
      <c r="I88" s="118">
        <f>G86+G87+G88</f>
        <v>24.410000000003492</v>
      </c>
      <c r="J88" s="175">
        <f>H88/DAY(B2)</f>
        <v>-9.3636363636423164E-2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'21'!F89</f>
        <v>25800.560000000001</v>
      </c>
      <c r="F89" s="164">
        <v>25810.44</v>
      </c>
      <c r="G89" s="112">
        <f t="shared" si="8"/>
        <v>9.8799999999973807</v>
      </c>
      <c r="H89" s="99">
        <f>G89+'21'!H89</f>
        <v>-80.680000000000291</v>
      </c>
      <c r="I89" s="118"/>
      <c r="J89" s="175">
        <f>H89/DAY(B2)</f>
        <v>-3.6672727272727403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'21'!F90</f>
        <v>71138.429999999993</v>
      </c>
      <c r="F90" s="164">
        <v>71141.88</v>
      </c>
      <c r="G90" s="112">
        <f t="shared" si="8"/>
        <v>3.4500000000116415</v>
      </c>
      <c r="H90" s="99">
        <f>G90+'21'!H90</f>
        <v>-21.440000000002328</v>
      </c>
      <c r="I90" s="118">
        <f>G89+G90</f>
        <v>13.330000000009022</v>
      </c>
      <c r="J90" s="175">
        <f>H90/DAY(B2)</f>
        <v>-0.97454545454556041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'21'!F91</f>
        <v>3226.32</v>
      </c>
      <c r="F91" s="122">
        <v>3226.32</v>
      </c>
      <c r="G91" s="112">
        <f t="shared" si="8"/>
        <v>0</v>
      </c>
      <c r="H91" s="99">
        <f>G91+'21'!H91</f>
        <v>-24.769999999999982</v>
      </c>
      <c r="I91" s="165"/>
      <c r="J91" s="175">
        <f>H91/DAY(B2)</f>
        <v>-1.1259090909090901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'21'!F92</f>
        <v>5656.7</v>
      </c>
      <c r="F92" s="122">
        <v>5667.45</v>
      </c>
      <c r="G92" s="112">
        <f t="shared" si="8"/>
        <v>10.75</v>
      </c>
      <c r="H92" s="99">
        <f>G92+'21'!H92</f>
        <v>-73.619999999999891</v>
      </c>
      <c r="I92" s="165"/>
      <c r="J92" s="175">
        <f>H92/DAY(B2)</f>
        <v>-3.3463636363636313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4930.0500000000156</v>
      </c>
      <c r="H94" s="99">
        <f>G94+'21'!H94</f>
        <v>28653.890000000007</v>
      </c>
      <c r="I94" s="118"/>
      <c r="J94" s="175">
        <f>H94/DAY(B2)</f>
        <v>1302.4495454545458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0.25656017185714508</v>
      </c>
      <c r="H95" s="99">
        <f>G95+'21'!H95</f>
        <v>5.5733594549550398</v>
      </c>
      <c r="I95" s="167"/>
      <c r="J95" s="175">
        <f>H95/DAY(B2)</f>
        <v>0.25333452067977452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3073.5800000000017</v>
      </c>
      <c r="H96" s="99">
        <f>G96+'21'!H96</f>
        <v>30488.469999999994</v>
      </c>
      <c r="I96" s="118"/>
      <c r="J96" s="175">
        <f>H96/DAY(B2)</f>
        <v>1385.8395454545453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0.15994933378295997</v>
      </c>
      <c r="H97" s="99">
        <f>G97+'21'!H97</f>
        <v>4.0054520908220468</v>
      </c>
      <c r="I97" s="167"/>
      <c r="J97" s="175">
        <f>H97/DAY(B2)</f>
        <v>0.18206600412827487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2648.7000000000044</v>
      </c>
      <c r="H98" s="99">
        <f>G98+'21'!H98</f>
        <v>-23418.74</v>
      </c>
      <c r="I98" s="168"/>
      <c r="J98" s="175">
        <f>H98/DAY(B2)</f>
        <v>-1064.4881818181818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0.13783854670804943</v>
      </c>
      <c r="H99" s="99">
        <f>G99+'21'!H99</f>
        <v>3.2101111810409497</v>
      </c>
      <c r="I99" s="168"/>
      <c r="J99" s="175">
        <f>H99/DAY(B2)</f>
        <v>0.14591414459277044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1787.2400000000016</v>
      </c>
      <c r="H100" s="99">
        <f>G100+'21'!H100</f>
        <v>-15816.89</v>
      </c>
      <c r="I100" s="118"/>
      <c r="J100" s="175">
        <f>H100/DAY(B2)</f>
        <v>-718.94954545454539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9.3008103680482526E-2</v>
      </c>
      <c r="H101" s="99">
        <f>G101+'21'!H101</f>
        <v>2.0736116328201688</v>
      </c>
      <c r="I101" s="168"/>
      <c r="J101" s="175">
        <f>H101/DAY(B2)</f>
        <v>9.4255074219098581E-2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2344.9899999999907</v>
      </c>
      <c r="H102" s="99">
        <f>G102+'21'!H102</f>
        <v>-16410.25</v>
      </c>
      <c r="I102" s="168"/>
      <c r="J102" s="175">
        <f>H102/DAY(B2)</f>
        <v>-745.9204545454545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0.12203345552342923</v>
      </c>
      <c r="H103" s="99">
        <f>G103+'21'!H103</f>
        <v>2.2573175937216114</v>
      </c>
      <c r="I103" s="118"/>
      <c r="J103" s="175">
        <f>H103/DAY(B2)</f>
        <v>0.10260534516916416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1587.0900000000001</v>
      </c>
      <c r="H104" s="99">
        <f>G104+'21'!H104</f>
        <v>-14254.579999999998</v>
      </c>
      <c r="I104" s="118"/>
      <c r="J104" s="175">
        <f>H104/DAY(B2)</f>
        <v>-647.93545454545449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8.2592282665034863E-2</v>
      </c>
      <c r="H105" s="99">
        <f>G105+'21'!H105</f>
        <v>1.8568313777348107</v>
      </c>
      <c r="I105" s="187"/>
      <c r="J105" s="188">
        <f>H105/DAY(B2)</f>
        <v>8.4401426260673207E-2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'21'!F112</f>
        <v>57281.3</v>
      </c>
      <c r="F112" s="237">
        <v>57358.06</v>
      </c>
      <c r="G112" s="112">
        <f t="shared" ref="G112:G123" si="9">F112-E112</f>
        <v>76.759999999994761</v>
      </c>
      <c r="H112" s="99">
        <f>G112+'21'!H112</f>
        <v>-695.94000000000233</v>
      </c>
      <c r="I112" s="165"/>
      <c r="J112" s="328">
        <f>H112/DAY(B2)</f>
        <v>-31.633636363636469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'21'!F113</f>
        <v>41726.75</v>
      </c>
      <c r="F113" s="237">
        <v>42213.68</v>
      </c>
      <c r="G113" s="112">
        <f t="shared" si="9"/>
        <v>486.93000000000029</v>
      </c>
      <c r="H113" s="99">
        <f>G113+'21'!H113</f>
        <v>-4187.2099999999991</v>
      </c>
      <c r="I113" s="165"/>
      <c r="J113" s="328">
        <f>H113/DAY(B2)</f>
        <v>-190.32772727272723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'21'!F114</f>
        <v>30460.67</v>
      </c>
      <c r="F114" s="237">
        <v>30820.69</v>
      </c>
      <c r="G114" s="112">
        <f t="shared" si="9"/>
        <v>360.02000000000044</v>
      </c>
      <c r="H114" s="99">
        <f>G114+'21'!H114</f>
        <v>-2472.9100000000017</v>
      </c>
      <c r="I114" s="165"/>
      <c r="J114" s="328">
        <f>H114/DAY(B2)</f>
        <v>-112.40500000000007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'21'!F115</f>
        <v>8998.33</v>
      </c>
      <c r="F115" s="237">
        <v>9008.8799999999992</v>
      </c>
      <c r="G115" s="112">
        <f t="shared" si="9"/>
        <v>10.549999999999272</v>
      </c>
      <c r="H115" s="99">
        <f>G115+'21'!H115</f>
        <v>-85.770000000000437</v>
      </c>
      <c r="I115" s="165"/>
      <c r="J115" s="328">
        <f>H115/DAY(B2)</f>
        <v>-3.8986363636363834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'21'!F116</f>
        <v>0</v>
      </c>
      <c r="F116" s="237">
        <v>0</v>
      </c>
      <c r="G116" s="112">
        <f t="shared" si="9"/>
        <v>0</v>
      </c>
      <c r="H116" s="99">
        <f>G116+'21'!H116</f>
        <v>0</v>
      </c>
      <c r="I116" s="165"/>
      <c r="J116" s="328">
        <f>H116/DAY(B2)</f>
        <v>0</v>
      </c>
      <c r="Q116" s="863"/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'21'!F117</f>
        <v>3092.27</v>
      </c>
      <c r="F117" s="237">
        <v>3115.38</v>
      </c>
      <c r="G117" s="112">
        <f t="shared" si="9"/>
        <v>23.110000000000127</v>
      </c>
      <c r="H117" s="99">
        <f>G117+'21'!H117</f>
        <v>-222.56999999999971</v>
      </c>
      <c r="I117" s="165"/>
      <c r="J117" s="328">
        <f>H117/DAY(B2)</f>
        <v>-10.116818181818168</v>
      </c>
      <c r="Q117" s="863"/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'21'!F118</f>
        <v>249077.77</v>
      </c>
      <c r="F118" s="237">
        <v>249390.73</v>
      </c>
      <c r="G118" s="112">
        <f t="shared" si="9"/>
        <v>312.96000000002095</v>
      </c>
      <c r="H118" s="99">
        <f>G118+'21'!H118</f>
        <v>-3061.5799999999872</v>
      </c>
      <c r="I118" s="165"/>
      <c r="J118" s="328">
        <f>H118/DAY(B2)</f>
        <v>-139.1627272727267</v>
      </c>
      <c r="Q118" s="863"/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'21'!F119</f>
        <v>253998.79</v>
      </c>
      <c r="F119" s="237">
        <v>254407.65</v>
      </c>
      <c r="G119" s="112">
        <f t="shared" si="9"/>
        <v>408.85999999998603</v>
      </c>
      <c r="H119" s="99">
        <f>G119+'21'!H119</f>
        <v>-3740.8999999999942</v>
      </c>
      <c r="I119" s="165"/>
      <c r="J119" s="328">
        <f>H119/DAY(B2)</f>
        <v>-170.04090909090883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'21'!F120</f>
        <v>38801.230000000003</v>
      </c>
      <c r="F120" s="237">
        <v>39225.410000000003</v>
      </c>
      <c r="G120" s="112">
        <f t="shared" si="9"/>
        <v>424.18000000000029</v>
      </c>
      <c r="H120" s="99">
        <f>G120+'21'!H120</f>
        <v>-3734.1999999999971</v>
      </c>
      <c r="I120" s="165"/>
      <c r="J120" s="328">
        <f>H120/DAY(B2)</f>
        <v>-169.73636363636351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'21'!F121</f>
        <v>391024.71</v>
      </c>
      <c r="F121" s="237">
        <v>391729.91</v>
      </c>
      <c r="G121" s="112">
        <f t="shared" si="9"/>
        <v>705.19999999995343</v>
      </c>
      <c r="H121" s="99">
        <f>G121+'21'!H121</f>
        <v>-6304.5200000000186</v>
      </c>
      <c r="I121" s="165"/>
      <c r="J121" s="328">
        <f>H121/DAY(B2)</f>
        <v>-286.56909090909176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'21'!F122</f>
        <v>124232.97</v>
      </c>
      <c r="F122" s="237">
        <v>124455.62</v>
      </c>
      <c r="G122" s="112">
        <f t="shared" si="9"/>
        <v>222.64999999999418</v>
      </c>
      <c r="H122" s="99">
        <f>G122+'21'!H122</f>
        <v>-1730.5599999999977</v>
      </c>
      <c r="I122" s="165"/>
      <c r="J122" s="328">
        <f>H122/DAY(B2)</f>
        <v>-78.661818181818077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'21'!F123</f>
        <v>151320</v>
      </c>
      <c r="F123" s="237">
        <v>151591.79999999999</v>
      </c>
      <c r="G123" s="112">
        <f t="shared" si="9"/>
        <v>271.79999999998836</v>
      </c>
      <c r="H123" s="99">
        <f>G123+'21'!H123</f>
        <v>-2455.1500000000233</v>
      </c>
      <c r="I123" s="165"/>
      <c r="J123" s="328">
        <f>H123/DAY(B2)</f>
        <v>-111.59772727272833</v>
      </c>
    </row>
    <row r="124" spans="1:18" ht="29.25" customHeight="1" x14ac:dyDescent="0.5">
      <c r="A124" s="867"/>
      <c r="B124" s="868"/>
      <c r="C124" s="869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3303.0199999999381</v>
      </c>
      <c r="H125" s="156"/>
      <c r="I125" s="327">
        <f>G125-(G39+G53)</f>
        <v>654.31999999993377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'21'!F128</f>
        <v>44614.51</v>
      </c>
      <c r="F128" s="165">
        <v>44929.03</v>
      </c>
      <c r="G128" s="112">
        <f t="shared" ref="G128:G134" si="10">F128-E128</f>
        <v>314.5199999999968</v>
      </c>
      <c r="H128" s="99">
        <f>G128+'21'!H128</f>
        <v>-2816.9700000000012</v>
      </c>
      <c r="I128" s="165"/>
      <c r="J128" s="328">
        <f>H128/DAY(B2)</f>
        <v>-128.04409090909095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'21'!F129</f>
        <v>24910.95</v>
      </c>
      <c r="F129" s="165">
        <v>25169.919999999998</v>
      </c>
      <c r="G129" s="112">
        <f t="shared" si="10"/>
        <v>258.96999999999753</v>
      </c>
      <c r="H129" s="99">
        <f>G129+'21'!H129</f>
        <v>-1740.9500000000007</v>
      </c>
      <c r="I129" s="165"/>
      <c r="J129" s="328">
        <f>H129/DAY(B2)</f>
        <v>-79.134090909090943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'21'!F130</f>
        <v>30726.03</v>
      </c>
      <c r="F130" s="165">
        <v>31373.81</v>
      </c>
      <c r="G130" s="112">
        <f t="shared" si="10"/>
        <v>647.78000000000247</v>
      </c>
      <c r="H130" s="99">
        <f>G130+'21'!H130</f>
        <v>-4320.1899999999987</v>
      </c>
      <c r="I130" s="165"/>
      <c r="J130" s="328">
        <f>H130/DAY(B2)</f>
        <v>-196.37227272727267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'21'!F131</f>
        <v>14692.65</v>
      </c>
      <c r="F131" s="165">
        <v>14758.15</v>
      </c>
      <c r="G131" s="112">
        <f t="shared" si="10"/>
        <v>65.5</v>
      </c>
      <c r="H131" s="99">
        <f>G131+'21'!H131</f>
        <v>-549.53000000000065</v>
      </c>
      <c r="I131" s="165"/>
      <c r="J131" s="328">
        <f>H131/DAY(B2)</f>
        <v>-24.978636363636394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'21'!F132</f>
        <v>50185.33</v>
      </c>
      <c r="F132" s="165">
        <v>50351.33</v>
      </c>
      <c r="G132" s="112">
        <f t="shared" si="10"/>
        <v>166</v>
      </c>
      <c r="H132" s="99">
        <f>G132+'21'!H132</f>
        <v>-1496.9700000000012</v>
      </c>
      <c r="I132" s="165"/>
      <c r="J132" s="328">
        <f>H132/DAY(B2)</f>
        <v>-68.044090909090968</v>
      </c>
    </row>
    <row r="133" spans="1:15" ht="27.75" x14ac:dyDescent="0.5">
      <c r="A133" s="863" t="s">
        <v>362</v>
      </c>
      <c r="B133" s="864"/>
      <c r="C133" s="865"/>
      <c r="D133" s="151" t="s">
        <v>183</v>
      </c>
      <c r="E133" s="95">
        <f>'21'!F133</f>
        <v>100562.66</v>
      </c>
      <c r="F133" s="165">
        <v>101216.1</v>
      </c>
      <c r="G133" s="112">
        <f t="shared" si="10"/>
        <v>653.44000000000233</v>
      </c>
      <c r="H133" s="99">
        <f>G133+'21'!H133</f>
        <v>-4127.5999999999913</v>
      </c>
      <c r="I133" s="165"/>
      <c r="J133" s="328">
        <f>H133/DAY(B2)</f>
        <v>-187.61818181818143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'21'!F134</f>
        <v>7081.8</v>
      </c>
      <c r="F134" s="165">
        <v>7236.79</v>
      </c>
      <c r="G134" s="112">
        <f t="shared" si="10"/>
        <v>154.98999999999978</v>
      </c>
      <c r="H134" s="99">
        <f>G134+'21'!H134</f>
        <v>-1364.4399999999996</v>
      </c>
      <c r="I134" s="165"/>
      <c r="J134" s="328">
        <f>H134/DAY(B2)</f>
        <v>-62.019999999999982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2261.1999999999989</v>
      </c>
      <c r="H135" s="99">
        <f>G135+'10'!H135</f>
        <v>25717.42</v>
      </c>
      <c r="I135" s="327">
        <f>G135-(G35+G49)</f>
        <v>-335.43000000000393</v>
      </c>
      <c r="J135" s="328"/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'21'!F138</f>
        <v>865473</v>
      </c>
      <c r="F138" s="147">
        <v>865580</v>
      </c>
      <c r="G138" s="112">
        <f t="shared" ref="G138:G152" si="11">F138-E138</f>
        <v>107</v>
      </c>
      <c r="H138" s="99">
        <f>G138+'21'!H138</f>
        <v>-593</v>
      </c>
      <c r="I138" s="118"/>
      <c r="J138" s="328">
        <f>H138/DAY(B2)</f>
        <v>-26.954545454545453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'21'!F139</f>
        <v>886554</v>
      </c>
      <c r="F139" s="148">
        <v>886563</v>
      </c>
      <c r="G139" s="112">
        <f t="shared" si="11"/>
        <v>9</v>
      </c>
      <c r="H139" s="99">
        <f>G139+'21'!H139</f>
        <v>-10</v>
      </c>
      <c r="I139" s="118"/>
      <c r="J139" s="328">
        <f>H139/DAY(B2)</f>
        <v>-0.45454545454545453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'21'!F140</f>
        <v>88918.5</v>
      </c>
      <c r="F140" s="149">
        <v>88920.03</v>
      </c>
      <c r="G140" s="112">
        <f t="shared" si="11"/>
        <v>1.5299999999988358</v>
      </c>
      <c r="H140" s="99">
        <f>G140+'21'!H140</f>
        <v>-1.9700000000011642</v>
      </c>
      <c r="I140" s="118"/>
      <c r="J140" s="328">
        <f>H140/DAY(B2)</f>
        <v>-8.9545454545507455E-2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'21'!F141</f>
        <v>52924.98</v>
      </c>
      <c r="F141" s="149">
        <v>53117.62</v>
      </c>
      <c r="G141" s="112">
        <f t="shared" si="11"/>
        <v>192.63999999999942</v>
      </c>
      <c r="H141" s="99">
        <f>G141+'21'!H141</f>
        <v>-1567.9599999999991</v>
      </c>
      <c r="I141" s="118"/>
      <c r="J141" s="328">
        <f>H141/DAY(B2)</f>
        <v>-71.270909090909058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'21'!F142</f>
        <v>20501.91</v>
      </c>
      <c r="F142" s="148">
        <v>20581.73</v>
      </c>
      <c r="G142" s="112">
        <f t="shared" si="11"/>
        <v>79.819999999999709</v>
      </c>
      <c r="H142" s="99">
        <f>G142+'21'!H142</f>
        <v>-702.36999999999898</v>
      </c>
      <c r="I142" s="140"/>
      <c r="J142" s="328">
        <f>H142/DAY(B2)</f>
        <v>-31.925909090909045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'21'!F143</f>
        <v>3565.54</v>
      </c>
      <c r="F143" s="149">
        <v>3593.5</v>
      </c>
      <c r="G143" s="112">
        <f t="shared" si="11"/>
        <v>27.960000000000036</v>
      </c>
      <c r="H143" s="99">
        <f>G143+'21'!H143</f>
        <v>-241.88999999999987</v>
      </c>
      <c r="I143" s="140"/>
      <c r="J143" s="328">
        <f>H143/DAY(B2)</f>
        <v>-10.994999999999994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'21'!F144</f>
        <v>874416</v>
      </c>
      <c r="F144" s="149">
        <v>874645</v>
      </c>
      <c r="G144" s="112">
        <f t="shared" si="11"/>
        <v>229</v>
      </c>
      <c r="H144" s="99">
        <f>G144+'21'!H144</f>
        <v>-1842</v>
      </c>
      <c r="I144" s="140"/>
      <c r="J144" s="328">
        <f>H144/DAY(B2)</f>
        <v>-83.727272727272734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'21'!F145</f>
        <v>4873.3999999999996</v>
      </c>
      <c r="F145" s="149">
        <v>4888.2</v>
      </c>
      <c r="G145" s="112">
        <f t="shared" si="11"/>
        <v>14.800000000000182</v>
      </c>
      <c r="H145" s="99">
        <f>G145+'21'!H145</f>
        <v>-70.640000000000327</v>
      </c>
      <c r="I145" s="140"/>
      <c r="J145" s="328">
        <f>H145/DAY(B2)</f>
        <v>-3.2109090909091056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'21'!F146</f>
        <v>733244</v>
      </c>
      <c r="F146" s="148">
        <v>733690</v>
      </c>
      <c r="G146" s="112">
        <f t="shared" si="11"/>
        <v>446</v>
      </c>
      <c r="H146" s="99">
        <f>G146+'21'!H146</f>
        <v>-3643</v>
      </c>
      <c r="I146" s="140"/>
      <c r="J146" s="328">
        <f>H146/DAY(B2)</f>
        <v>-165.59090909090909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'21'!F147</f>
        <v>622888.12</v>
      </c>
      <c r="F147" s="148">
        <v>623380.12</v>
      </c>
      <c r="G147" s="112">
        <f t="shared" si="11"/>
        <v>492</v>
      </c>
      <c r="H147" s="99">
        <f>G147+'21'!H147</f>
        <v>-3232.4000000000233</v>
      </c>
      <c r="I147" s="140"/>
      <c r="J147" s="328">
        <f>H147/DAY(B2)</f>
        <v>-146.92727272727379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'21'!F148</f>
        <v>687496.88</v>
      </c>
      <c r="F148" s="150">
        <v>687699.44</v>
      </c>
      <c r="G148" s="112">
        <f t="shared" si="11"/>
        <v>202.55999999993946</v>
      </c>
      <c r="H148" s="99">
        <f>G148+'21'!H148</f>
        <v>-1743.5200000000186</v>
      </c>
      <c r="I148" s="124"/>
      <c r="J148" s="328">
        <f>H148/DAY(B2)</f>
        <v>-79.250909090909943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'21'!F149</f>
        <v>19600.46</v>
      </c>
      <c r="F149" s="146">
        <v>20065.8</v>
      </c>
      <c r="G149" s="112">
        <f t="shared" si="11"/>
        <v>465.34000000000015</v>
      </c>
      <c r="H149" s="99">
        <f>G149+'21'!H149</f>
        <v>-4612.4000000000015</v>
      </c>
      <c r="I149" s="119"/>
      <c r="J149" s="328">
        <f>H149/DAY(B2)</f>
        <v>-209.65454545454551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'21'!F150</f>
        <v>8639.66</v>
      </c>
      <c r="F150" s="233">
        <v>8866.56</v>
      </c>
      <c r="G150" s="112">
        <f t="shared" si="11"/>
        <v>226.89999999999964</v>
      </c>
      <c r="H150" s="99">
        <f>G150+'21'!H150</f>
        <v>-1984.2700000000004</v>
      </c>
      <c r="I150" s="119"/>
      <c r="J150" s="328">
        <f>H150/DAY(B2)</f>
        <v>-90.194090909090932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'21'!F151</f>
        <v>83038</v>
      </c>
      <c r="F151" s="233">
        <v>83257</v>
      </c>
      <c r="G151" s="112">
        <f t="shared" si="11"/>
        <v>219</v>
      </c>
      <c r="H151" s="99">
        <f>G151+'21'!H151</f>
        <v>-2223</v>
      </c>
      <c r="I151" s="119"/>
      <c r="J151" s="328">
        <f>H151/DAY(B2)</f>
        <v>-101.04545454545455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'21'!F152</f>
        <v>1482.07</v>
      </c>
      <c r="F152" s="233">
        <v>1497.94</v>
      </c>
      <c r="G152" s="112">
        <f t="shared" si="11"/>
        <v>15.870000000000118</v>
      </c>
      <c r="H152" s="99">
        <f>G152+'21'!H152</f>
        <v>-162.05999999999995</v>
      </c>
      <c r="I152" s="119"/>
      <c r="J152" s="328">
        <f>H152/DAY(B2)</f>
        <v>-7.3663636363636336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2729.4199999999373</v>
      </c>
      <c r="H153" s="363"/>
      <c r="I153" s="119">
        <f>G153-(G38+G52)</f>
        <v>942.17999999993572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'21'!F155</f>
        <v>25759.94</v>
      </c>
      <c r="F155" s="374">
        <v>26419.72</v>
      </c>
      <c r="G155" s="112">
        <f t="shared" ref="G155:G158" si="12">F155-E155</f>
        <v>659.78000000000247</v>
      </c>
      <c r="H155" s="99">
        <f>G155+'21'!H155</f>
        <v>-6525.2799999999988</v>
      </c>
      <c r="I155" s="364"/>
      <c r="J155" s="328">
        <f>H155/DAY(B2)</f>
        <v>-296.60363636363633</v>
      </c>
    </row>
    <row r="156" spans="1:10" ht="27.75" x14ac:dyDescent="0.5">
      <c r="A156" s="843" t="s">
        <v>347</v>
      </c>
      <c r="B156" s="843"/>
      <c r="C156" s="843"/>
      <c r="D156" s="117" t="s">
        <v>130</v>
      </c>
      <c r="E156" s="95">
        <f>'21'!F156</f>
        <v>2175.3200000000002</v>
      </c>
      <c r="F156" s="155">
        <v>2228.39</v>
      </c>
      <c r="G156" s="112">
        <f t="shared" si="12"/>
        <v>53.069999999999709</v>
      </c>
      <c r="H156" s="99">
        <f>G156+'21'!H156</f>
        <v>1126.3899999999999</v>
      </c>
      <c r="I156" s="165"/>
      <c r="J156" s="328">
        <f>H156/DAY(B2)</f>
        <v>51.199545454545451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>
        <f>'21'!F157</f>
        <v>2949.54</v>
      </c>
      <c r="F157" s="165">
        <v>3059.35</v>
      </c>
      <c r="G157" s="112">
        <f t="shared" si="12"/>
        <v>109.80999999999995</v>
      </c>
      <c r="H157" s="99">
        <f>G157+'21'!H157</f>
        <v>339.19000000000005</v>
      </c>
      <c r="I157" s="165"/>
      <c r="J157" s="328">
        <f>H157/DAY(B2)</f>
        <v>15.417727272727275</v>
      </c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>
        <f>'21'!F158</f>
        <v>26.84</v>
      </c>
      <c r="F158" s="165">
        <v>26.97</v>
      </c>
      <c r="G158" s="112">
        <f t="shared" si="12"/>
        <v>0.12999999999999901</v>
      </c>
      <c r="H158" s="99">
        <f>G158+'21'!H158</f>
        <v>2.629999999999999</v>
      </c>
      <c r="I158" s="165"/>
      <c r="J158" s="328">
        <f>H158/DAY(B2)</f>
        <v>0.1195454545454545</v>
      </c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'21'!F161</f>
        <v>471569</v>
      </c>
      <c r="F161" s="235">
        <v>471787</v>
      </c>
      <c r="G161" s="238">
        <f t="shared" ref="G161:G165" si="13">F161-E161</f>
        <v>218</v>
      </c>
      <c r="H161" s="99">
        <f>G161+'21'!H161</f>
        <v>-266.55999999999767</v>
      </c>
      <c r="I161" s="236"/>
      <c r="J161" s="239">
        <f>H161/DAY(B2)</f>
        <v>-12.116363636363531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'21'!F162</f>
        <v>88213.3</v>
      </c>
      <c r="F162" s="235">
        <v>88242.6</v>
      </c>
      <c r="G162" s="238">
        <f t="shared" si="13"/>
        <v>29.30000000000291</v>
      </c>
      <c r="H162" s="99">
        <f>G162+'21'!H162</f>
        <v>-273.79999999998836</v>
      </c>
      <c r="I162" s="236"/>
      <c r="J162" s="239">
        <f>H162/DAY(B2)</f>
        <v>-12.445454545454016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'21'!F163</f>
        <v>78800.600000000006</v>
      </c>
      <c r="F163" s="235">
        <v>78837.3</v>
      </c>
      <c r="G163" s="238">
        <f t="shared" si="13"/>
        <v>36.69999999999709</v>
      </c>
      <c r="H163" s="99">
        <f>G163+'21'!H163</f>
        <v>-382.80000000000291</v>
      </c>
      <c r="I163" s="236"/>
      <c r="J163" s="239">
        <f>H163/DAY(B2)</f>
        <v>-17.400000000000134</v>
      </c>
    </row>
    <row r="164" spans="1:10" ht="21.95" customHeight="1" x14ac:dyDescent="0.5">
      <c r="A164" s="242" t="s">
        <v>197</v>
      </c>
      <c r="B164" s="243"/>
      <c r="C164" s="243"/>
      <c r="D164" s="244" t="s">
        <v>180</v>
      </c>
      <c r="E164" s="95">
        <f>'21'!F164</f>
        <v>4291.1000000000004</v>
      </c>
      <c r="F164" s="235">
        <v>4292</v>
      </c>
      <c r="G164" s="238">
        <f t="shared" si="13"/>
        <v>0.8999999999996362</v>
      </c>
      <c r="H164" s="99">
        <f>G164+'21'!H164</f>
        <v>-28</v>
      </c>
      <c r="I164" s="236"/>
      <c r="J164" s="239">
        <f>H164/DAY(B2)</f>
        <v>-1.2727272727272727</v>
      </c>
    </row>
    <row r="165" spans="1:10" ht="21.95" customHeight="1" x14ac:dyDescent="0.5">
      <c r="A165" s="242" t="s">
        <v>309</v>
      </c>
      <c r="B165" s="243"/>
      <c r="C165" s="243"/>
      <c r="D165" s="244" t="s">
        <v>180</v>
      </c>
      <c r="E165" s="95">
        <f>'21'!F165</f>
        <v>29788.91</v>
      </c>
      <c r="F165" s="235">
        <v>29790.69</v>
      </c>
      <c r="G165" s="238">
        <f t="shared" si="13"/>
        <v>1.7799999999988358</v>
      </c>
      <c r="H165" s="99">
        <f>G165+'21'!H165</f>
        <v>-66.56000000000131</v>
      </c>
      <c r="I165" s="236"/>
      <c r="J165" s="239">
        <f>H165/DAY(B2)</f>
        <v>-3.0254545454546049</v>
      </c>
    </row>
    <row r="166" spans="1:10" ht="21.95" customHeight="1" x14ac:dyDescent="0.5">
      <c r="A166" s="852"/>
      <c r="B166" s="852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 x14ac:dyDescent="0.5">
      <c r="A167" s="852"/>
      <c r="B167" s="852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 x14ac:dyDescent="0.5">
      <c r="A168" s="852"/>
      <c r="B168" s="852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'21'!F173</f>
        <v>8126</v>
      </c>
      <c r="F173" s="155">
        <v>8126</v>
      </c>
      <c r="G173" s="155">
        <f>F173-E173</f>
        <v>0</v>
      </c>
      <c r="H173" s="99">
        <f>G173+'21'!H173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'21'!F174</f>
        <v>38489</v>
      </c>
      <c r="F174" s="157">
        <v>38501</v>
      </c>
      <c r="G174" s="155">
        <f t="shared" ref="G174:G175" si="14">F174-E174</f>
        <v>12</v>
      </c>
      <c r="H174" s="99">
        <f>G174+'21'!H174</f>
        <v>260</v>
      </c>
      <c r="I174" s="155"/>
      <c r="J174" s="178">
        <f>H174/DAY(B2)</f>
        <v>11.818181818181818</v>
      </c>
    </row>
    <row r="175" spans="1:10" ht="27.75" x14ac:dyDescent="0.5">
      <c r="A175" s="856" t="s">
        <v>76</v>
      </c>
      <c r="B175" s="896"/>
      <c r="C175" s="857"/>
      <c r="D175" s="228" t="s">
        <v>142</v>
      </c>
      <c r="E175" s="95">
        <f>'21'!F175</f>
        <v>21714</v>
      </c>
      <c r="F175" s="155">
        <v>21724</v>
      </c>
      <c r="G175" s="155">
        <f t="shared" si="14"/>
        <v>10</v>
      </c>
      <c r="H175" s="99">
        <f>G175+'21'!H175</f>
        <v>-89</v>
      </c>
      <c r="I175" s="155"/>
      <c r="J175" s="178">
        <f>H175/DAY(B2)</f>
        <v>-4.0454545454545459</v>
      </c>
    </row>
    <row r="176" spans="1:10" ht="27.75" x14ac:dyDescent="0.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22</v>
      </c>
      <c r="H176" s="99">
        <f>G176+'21'!H176</f>
        <v>171</v>
      </c>
      <c r="I176" s="155"/>
      <c r="J176" s="178">
        <f>H176/DAY(B2)</f>
        <v>7.7727272727272725</v>
      </c>
    </row>
    <row r="177" spans="1:10" ht="27.75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'21'!F178</f>
        <v>80790</v>
      </c>
      <c r="F178" s="155">
        <v>80790</v>
      </c>
      <c r="G178" s="155">
        <f>F178-E178</f>
        <v>0</v>
      </c>
      <c r="H178" s="99">
        <f>G178+'21'!H178</f>
        <v>-525</v>
      </c>
      <c r="I178" s="155"/>
      <c r="J178" s="178">
        <f>H178/DAY(B2)</f>
        <v>-23.863636363636363</v>
      </c>
    </row>
    <row r="179" spans="1:10" ht="27.75" x14ac:dyDescent="0.5">
      <c r="A179" s="856" t="s">
        <v>211</v>
      </c>
      <c r="B179" s="857"/>
      <c r="C179" s="333"/>
      <c r="D179" s="228" t="s">
        <v>142</v>
      </c>
      <c r="E179" s="95">
        <f>'21'!F179</f>
        <v>34356</v>
      </c>
      <c r="F179" s="155">
        <v>34370</v>
      </c>
      <c r="G179" s="155">
        <f t="shared" ref="G179:G180" si="15">F179-E179</f>
        <v>14</v>
      </c>
      <c r="H179" s="99">
        <f>G179+'21'!H179</f>
        <v>-433</v>
      </c>
      <c r="I179" s="155"/>
      <c r="J179" s="178">
        <f>H179/DAY(B2)</f>
        <v>-19.681818181818183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'21'!F180</f>
        <v>5637</v>
      </c>
      <c r="F180" s="155">
        <v>5642</v>
      </c>
      <c r="G180" s="374">
        <f t="shared" si="15"/>
        <v>5</v>
      </c>
      <c r="H180" s="99">
        <f>G180+'21'!H180</f>
        <v>-60</v>
      </c>
      <c r="I180" s="155"/>
      <c r="J180" s="178">
        <f>H180/DAY(B2)</f>
        <v>-2.7272727272727271</v>
      </c>
    </row>
    <row r="181" spans="1:10" ht="27.75" customHeight="1" x14ac:dyDescent="0.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19</v>
      </c>
      <c r="H181" s="99">
        <f>G181+'21'!H181</f>
        <v>-1018</v>
      </c>
      <c r="I181" s="155"/>
      <c r="J181" s="178">
        <f>H181/DAY(B2)</f>
        <v>-46.272727272727273</v>
      </c>
    </row>
    <row r="182" spans="1:10" ht="27.75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'21'!F183</f>
        <v>15199</v>
      </c>
      <c r="F183" s="157">
        <v>15208</v>
      </c>
      <c r="G183" s="157">
        <f>F183-E183</f>
        <v>9</v>
      </c>
      <c r="H183" s="99">
        <f>G183+'21'!H183</f>
        <v>-137</v>
      </c>
      <c r="I183" s="155"/>
      <c r="J183" s="178">
        <f>H183/DAY(B2)</f>
        <v>-6.2272727272727275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'21'!F184</f>
        <v>10429</v>
      </c>
      <c r="F184" s="157">
        <v>10433</v>
      </c>
      <c r="G184" s="157">
        <f t="shared" ref="G184:G185" si="16">F184-E184</f>
        <v>4</v>
      </c>
      <c r="H184" s="99">
        <f>G184+'21'!H184</f>
        <v>-85</v>
      </c>
      <c r="I184" s="155"/>
      <c r="J184" s="178">
        <f>H184/DAY(B2)</f>
        <v>-3.8636363636363638</v>
      </c>
    </row>
    <row r="185" spans="1:10" ht="27.75" x14ac:dyDescent="0.5">
      <c r="A185" s="856" t="s">
        <v>216</v>
      </c>
      <c r="B185" s="857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7.75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13</v>
      </c>
      <c r="H186" s="99">
        <f>G186+'21'!H186</f>
        <v>-222</v>
      </c>
      <c r="I186" s="157"/>
      <c r="J186" s="178">
        <f>H186/DAY(B2)</f>
        <v>-10.090909090909092</v>
      </c>
    </row>
    <row r="187" spans="1:10" ht="27.75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128</v>
      </c>
      <c r="H187" s="99">
        <f>G187+'21'!H187</f>
        <v>-1433</v>
      </c>
      <c r="I187" s="158"/>
      <c r="J187" s="179">
        <f>H187/DAY(B2)</f>
        <v>-65.13636363636364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123</v>
      </c>
      <c r="H188" s="99">
        <f>G188+'21'!H188</f>
        <v>955</v>
      </c>
      <c r="I188" s="158"/>
      <c r="J188" s="179">
        <f>H188/DAY(B2)</f>
        <v>43.409090909090907</v>
      </c>
    </row>
    <row r="189" spans="1:10" ht="27.75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19</v>
      </c>
      <c r="H189" s="99">
        <f>G189+'21'!H189</f>
        <v>206</v>
      </c>
      <c r="I189" s="158"/>
      <c r="J189" s="179">
        <f>H189/DAY(B2)</f>
        <v>9.3636363636363633</v>
      </c>
    </row>
    <row r="190" spans="1:10" ht="27.75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</sheetData>
  <mergeCells count="115"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zoomScale="50" zoomScaleNormal="80" zoomScaleSheetLayoutView="50" workbookViewId="0">
      <selection activeCell="I143" sqref="I143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30.75" customHeight="1" x14ac:dyDescent="0.5">
      <c r="A2" s="191" t="s">
        <v>356</v>
      </c>
      <c r="B2" s="262">
        <v>44584</v>
      </c>
      <c r="C2" s="348" t="s">
        <v>67</v>
      </c>
      <c r="D2" s="218">
        <v>0.61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24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'22'!F7</f>
        <v>496013.67</v>
      </c>
      <c r="F7" s="95">
        <v>514716.83</v>
      </c>
      <c r="G7" s="112">
        <f>F7-E7</f>
        <v>18703.160000000033</v>
      </c>
      <c r="H7" s="99">
        <f>G7+'22'!H7</f>
        <v>-136463.39999999997</v>
      </c>
      <c r="I7" s="113">
        <f>'1'!I7</f>
        <v>12000</v>
      </c>
      <c r="J7" s="175">
        <f>H7/DAY(B2)</f>
        <v>-5933.1913043478244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'22'!F8</f>
        <v>550326.51</v>
      </c>
      <c r="F8" s="95">
        <v>569714.82999999996</v>
      </c>
      <c r="G8" s="115">
        <f>F8-E8</f>
        <v>19388.319999999949</v>
      </c>
      <c r="H8" s="99">
        <f>G8+'22'!H8</f>
        <v>-138833.32000000007</v>
      </c>
      <c r="I8" s="116"/>
      <c r="J8" s="175">
        <f>H8/DAY(B2)</f>
        <v>-6036.2313043478289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'22'!F9</f>
        <v>156266.35</v>
      </c>
      <c r="F9" s="598">
        <v>168518.39</v>
      </c>
      <c r="G9" s="112">
        <f>F9-E9</f>
        <v>12252.040000000008</v>
      </c>
      <c r="H9" s="99">
        <f>G9+'22'!H9</f>
        <v>-113735.45999999999</v>
      </c>
      <c r="I9" s="124">
        <f>I7-J7</f>
        <v>17933.191304347823</v>
      </c>
      <c r="J9" s="175">
        <f>H9/DAY(B2)</f>
        <v>-4945.0199999999995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'22'!F10</f>
        <v>80607.3</v>
      </c>
      <c r="F10" s="353">
        <v>86539.68</v>
      </c>
      <c r="G10" s="112">
        <f t="shared" ref="G10:G12" si="0">F10-E10</f>
        <v>5932.3799999999901</v>
      </c>
      <c r="H10" s="99">
        <f>G10+'22'!H10</f>
        <v>-18719.290000000008</v>
      </c>
      <c r="I10" s="282"/>
      <c r="J10" s="175">
        <f>H10/DAY(B2)</f>
        <v>-813.88217391304386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'22'!F11</f>
        <v>37170</v>
      </c>
      <c r="F11" s="95">
        <v>37170</v>
      </c>
      <c r="G11" s="112">
        <f t="shared" si="0"/>
        <v>0</v>
      </c>
      <c r="H11" s="99">
        <f>G11+'22'!H11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f t="shared" si="0"/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18184.419999999998</v>
      </c>
      <c r="H13" s="99">
        <f>G13+'22'!H13</f>
        <v>-149209.18</v>
      </c>
      <c r="I13" s="120">
        <f>G7-G13</f>
        <v>518.74000000003434</v>
      </c>
      <c r="J13" s="175">
        <f>H13/DAY(B2)</f>
        <v>-6487.3556521739129</v>
      </c>
      <c r="K13" s="79"/>
      <c r="L13" s="66"/>
      <c r="N13" s="87"/>
      <c r="O13" s="71"/>
    </row>
    <row r="14" spans="1:15" ht="30.75" customHeight="1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'22'!F15</f>
        <v>1898097</v>
      </c>
      <c r="F15" s="123">
        <v>1899076.92</v>
      </c>
      <c r="G15" s="112">
        <f>(F15-E15)</f>
        <v>979.91999999992549</v>
      </c>
      <c r="H15" s="99">
        <f>G15+'22'!H15</f>
        <v>23020.152999999933</v>
      </c>
      <c r="I15" s="113">
        <f>'1'!I15</f>
        <v>800</v>
      </c>
      <c r="J15" s="175">
        <f>H15/DAY(B2)</f>
        <v>1000.8762173913015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-200.87621739130145</v>
      </c>
      <c r="J16" s="176"/>
      <c r="K16" s="79"/>
      <c r="L16" s="66"/>
      <c r="N16" s="87"/>
      <c r="O16" s="71"/>
    </row>
    <row r="17" spans="1:15" ht="30.75" customHeight="1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84" t="s">
        <v>141</v>
      </c>
      <c r="B18" s="885"/>
      <c r="C18" s="886"/>
      <c r="D18" s="151" t="s">
        <v>142</v>
      </c>
      <c r="E18" s="95">
        <f>'22'!F18</f>
        <v>12</v>
      </c>
      <c r="F18" s="122">
        <v>16</v>
      </c>
      <c r="G18" s="119">
        <f>F18*10</f>
        <v>160</v>
      </c>
      <c r="H18" s="99">
        <f>G18+'22'!H18</f>
        <v>3860</v>
      </c>
      <c r="I18" s="113">
        <f>'1'!I18</f>
        <v>65</v>
      </c>
      <c r="J18" s="175">
        <f>H18/DAY(B2)</f>
        <v>167.82608695652175</v>
      </c>
      <c r="K18" s="79"/>
      <c r="L18" s="66"/>
      <c r="N18" s="87"/>
      <c r="O18" s="71"/>
    </row>
    <row r="19" spans="1:15" ht="30.75" customHeight="1" x14ac:dyDescent="0.5">
      <c r="A19" s="884" t="s">
        <v>69</v>
      </c>
      <c r="B19" s="885"/>
      <c r="C19" s="886"/>
      <c r="D19" s="151" t="s">
        <v>142</v>
      </c>
      <c r="E19" s="95">
        <f>'22'!F19</f>
        <v>153405</v>
      </c>
      <c r="F19" s="122">
        <v>153461</v>
      </c>
      <c r="G19" s="112">
        <f t="shared" ref="G19" si="1">F19-E19</f>
        <v>56</v>
      </c>
      <c r="H19" s="99">
        <f>G19+'22'!H19</f>
        <v>-430</v>
      </c>
      <c r="I19" s="335"/>
      <c r="J19" s="175">
        <f>H19/DAY(B2)</f>
        <v>-18.695652173913043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216</v>
      </c>
      <c r="H20" s="99">
        <f>G20+'22'!H20</f>
        <v>3430</v>
      </c>
      <c r="I20" s="336">
        <f>I18-J20</f>
        <v>-84.130434782608688</v>
      </c>
      <c r="J20" s="175">
        <f>H20/DAY(B2)</f>
        <v>149.13043478260869</v>
      </c>
      <c r="K20" s="79"/>
      <c r="L20" s="66"/>
      <c r="N20" s="87"/>
      <c r="O20" s="71"/>
    </row>
    <row r="21" spans="1:15" ht="30.75" customHeight="1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110</v>
      </c>
      <c r="I23" s="118"/>
      <c r="J23" s="175">
        <f>H23/DAY(B2)</f>
        <v>4.7826086956521738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110</v>
      </c>
      <c r="I24" s="118"/>
      <c r="J24" s="175">
        <f>H24/DAY(B2)</f>
        <v>4.7826086956521738</v>
      </c>
      <c r="K24" s="79"/>
      <c r="L24" s="66"/>
      <c r="N24" s="87"/>
      <c r="O24" s="71"/>
    </row>
    <row r="25" spans="1:15" s="88" customFormat="1" ht="30.75" customHeight="1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19388.319999999949</v>
      </c>
      <c r="F27" s="136">
        <v>9</v>
      </c>
      <c r="G27" s="137">
        <f>E27*F27</f>
        <v>174494.87999999954</v>
      </c>
      <c r="H27" s="99">
        <f>G27+'22'!H27</f>
        <v>-1249499.8800000004</v>
      </c>
      <c r="I27" s="138"/>
      <c r="J27" s="175">
        <f>H27/DAY(B2)</f>
        <v>-54326.081739130452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979.91999999992549</v>
      </c>
      <c r="F28" s="136">
        <v>52</v>
      </c>
      <c r="G28" s="137">
        <f>E28*F28</f>
        <v>50955.839999996126</v>
      </c>
      <c r="H28" s="99">
        <f>G28+'22'!H28</f>
        <v>1230401.9559999965</v>
      </c>
      <c r="I28" s="140"/>
      <c r="J28" s="175">
        <f>H28/DAY(B2)</f>
        <v>53495.73721739115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7590</v>
      </c>
      <c r="I29" s="140"/>
      <c r="J29" s="175">
        <f>H29/DAY(B2)</f>
        <v>330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G30+'22'!H30</f>
        <v>-70590</v>
      </c>
      <c r="I30" s="140"/>
      <c r="J30" s="175">
        <f>H30/DAY(B2)</f>
        <v>-3069.1304347826085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G31+'22'!H31</f>
        <v>308800</v>
      </c>
      <c r="I31" s="140"/>
      <c r="J31" s="175">
        <f>H31/DAY(B2)</f>
        <v>13426.08695652174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246426.71999999566</v>
      </c>
      <c r="H32" s="99">
        <f>G32+'22'!H32</f>
        <v>226702.07599999604</v>
      </c>
      <c r="I32" s="144"/>
      <c r="J32" s="175">
        <f>H32/DAY(B2)</f>
        <v>9856.6119999998282</v>
      </c>
      <c r="K32" s="63"/>
      <c r="L32" s="89"/>
      <c r="N32" s="87"/>
      <c r="O32" s="71"/>
    </row>
    <row r="33" spans="1:15" ht="30.7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'22'!F35</f>
        <v>20670.580000000002</v>
      </c>
      <c r="F35" s="145">
        <v>22026.29</v>
      </c>
      <c r="G35" s="112">
        <f t="shared" ref="G35:G46" si="3">F35-E35</f>
        <v>1355.7099999999991</v>
      </c>
      <c r="H35" s="99">
        <f>G35+'22'!H35</f>
        <v>-9978.6899999999951</v>
      </c>
      <c r="I35" s="95"/>
      <c r="J35" s="175">
        <f>H35/DAY(B2)</f>
        <v>-433.85608695652155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'22'!F36</f>
        <v>36828.019999999997</v>
      </c>
      <c r="F36" s="145">
        <v>37983.300000000003</v>
      </c>
      <c r="G36" s="112">
        <f t="shared" si="3"/>
        <v>1155.2800000000061</v>
      </c>
      <c r="H36" s="99">
        <f>G36+'22'!H36</f>
        <v>-5475.4399999999951</v>
      </c>
      <c r="I36" s="95"/>
      <c r="J36" s="175">
        <f>H36/DAY(B2)</f>
        <v>-238.06260869565196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'22'!F37</f>
        <v>21170.51</v>
      </c>
      <c r="F37" s="145">
        <v>22742.49</v>
      </c>
      <c r="G37" s="112">
        <f t="shared" si="3"/>
        <v>1571.9800000000032</v>
      </c>
      <c r="H37" s="99">
        <f>G37+'22'!H37</f>
        <v>-12682.599999999995</v>
      </c>
      <c r="I37" s="95"/>
      <c r="J37" s="175">
        <f>H37/DAY(B2)</f>
        <v>-551.41739130434757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'22'!F38</f>
        <v>22559.54</v>
      </c>
      <c r="F38" s="108">
        <v>24491.61</v>
      </c>
      <c r="G38" s="112">
        <f t="shared" si="3"/>
        <v>1932.0699999999997</v>
      </c>
      <c r="H38" s="99">
        <f>G38+'22'!H38</f>
        <v>-13884.82</v>
      </c>
      <c r="I38" s="95"/>
      <c r="J38" s="175">
        <f>H38/DAY(B2)</f>
        <v>-603.68782608695653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'22'!F39</f>
        <v>35754.550000000003</v>
      </c>
      <c r="F39" s="145">
        <v>38330.800000000003</v>
      </c>
      <c r="G39" s="112">
        <f t="shared" si="3"/>
        <v>2576.25</v>
      </c>
      <c r="H39" s="99">
        <f>G39+'22'!H39</f>
        <v>-20842.490000000002</v>
      </c>
      <c r="I39" s="95"/>
      <c r="J39" s="175">
        <f>H39/DAY(B2)</f>
        <v>-906.19521739130437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'22'!F40</f>
        <v>15149.86</v>
      </c>
      <c r="F40" s="145">
        <v>15533.76</v>
      </c>
      <c r="G40" s="112">
        <f t="shared" si="3"/>
        <v>383.89999999999964</v>
      </c>
      <c r="H40" s="99">
        <f>G40+'22'!H40</f>
        <v>-6583.2300000000014</v>
      </c>
      <c r="I40" s="95"/>
      <c r="J40" s="175">
        <f>H40/DAY(B2)</f>
        <v>-286.22739130434786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'22'!F41</f>
        <v>0</v>
      </c>
      <c r="F41" s="145">
        <v>0</v>
      </c>
      <c r="G41" s="112">
        <f t="shared" si="3"/>
        <v>0</v>
      </c>
      <c r="H41" s="99">
        <f>G41+'22'!H41</f>
        <v>-62.73</v>
      </c>
      <c r="I41" s="95"/>
      <c r="J41" s="175">
        <f>H41/DAY(B2)</f>
        <v>-2.727391304347826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'22'!F42</f>
        <v>73808.600000000006</v>
      </c>
      <c r="F42" s="145">
        <v>73808.600000000006</v>
      </c>
      <c r="G42" s="112">
        <f t="shared" si="3"/>
        <v>0</v>
      </c>
      <c r="H42" s="99">
        <f>G42+'22'!H42</f>
        <v>35730.86</v>
      </c>
      <c r="I42" s="95"/>
      <c r="J42" s="175">
        <f>H42/DAY(B2)</f>
        <v>1553.5156521739132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'22'!F43</f>
        <v>96740.35</v>
      </c>
      <c r="F43" s="145">
        <v>99079.59</v>
      </c>
      <c r="G43" s="112">
        <f t="shared" si="3"/>
        <v>2339.2399999999907</v>
      </c>
      <c r="H43" s="99">
        <f>G43+'22'!H43</f>
        <v>50256.989999999991</v>
      </c>
      <c r="I43" s="95"/>
      <c r="J43" s="175">
        <f>H43/DAY(B2)</f>
        <v>2185.0865217391301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11314.429999999998</v>
      </c>
      <c r="H47" s="99">
        <f>G47+'22'!H47</f>
        <v>16477.850000000006</v>
      </c>
      <c r="I47" s="95"/>
      <c r="J47" s="175">
        <f>H47/DAY(B2)</f>
        <v>716.42826086956552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'22'!F49</f>
        <v>17066.73</v>
      </c>
      <c r="F49" s="145">
        <v>18159.7</v>
      </c>
      <c r="G49" s="112">
        <f t="shared" ref="G49:G58" si="4">F49-E49</f>
        <v>1092.9700000000012</v>
      </c>
      <c r="H49" s="99">
        <f>G49+'22'!H49</f>
        <v>-6836.489999999998</v>
      </c>
      <c r="I49" s="95"/>
      <c r="J49" s="175">
        <f>H49/DAY(B2)</f>
        <v>-297.23869565217382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'22'!F50</f>
        <v>46607.1</v>
      </c>
      <c r="F50" s="145">
        <v>48234.36</v>
      </c>
      <c r="G50" s="112">
        <f t="shared" si="4"/>
        <v>1627.260000000002</v>
      </c>
      <c r="H50" s="99">
        <f>G50+'22'!H50</f>
        <v>-8152.2699999999968</v>
      </c>
      <c r="I50" s="95"/>
      <c r="J50" s="175">
        <f>H50/DAY(B2)</f>
        <v>-354.44652173913028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'22'!F51</f>
        <v>0</v>
      </c>
      <c r="F51" s="145">
        <v>0</v>
      </c>
      <c r="G51" s="112">
        <f t="shared" si="4"/>
        <v>0</v>
      </c>
      <c r="H51" s="99">
        <f>G51+'22'!H51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'22'!F52</f>
        <v>0</v>
      </c>
      <c r="F52" s="145">
        <v>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'22'!F54</f>
        <v>5147.42</v>
      </c>
      <c r="F54" s="145">
        <v>5147.42</v>
      </c>
      <c r="G54" s="112">
        <f t="shared" si="4"/>
        <v>0</v>
      </c>
      <c r="H54" s="99">
        <f>G54+'22'!H54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'22'!F55</f>
        <v>69186.45</v>
      </c>
      <c r="F55" s="145">
        <v>71881.67</v>
      </c>
      <c r="G55" s="112">
        <f t="shared" si="4"/>
        <v>2695.2200000000012</v>
      </c>
      <c r="H55" s="99">
        <f>G55+'22'!H55</f>
        <v>-2484.4400000000023</v>
      </c>
      <c r="I55" s="95"/>
      <c r="J55" s="175">
        <f>H55/DAY(B2)</f>
        <v>-108.01913043478271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'22'!F56</f>
        <v>8610.5400000000009</v>
      </c>
      <c r="F56" s="145">
        <v>8610.5400000000009</v>
      </c>
      <c r="G56" s="112">
        <f t="shared" si="4"/>
        <v>0</v>
      </c>
      <c r="H56" s="99">
        <f>G56+'22'!H56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'22'!F58</f>
        <v>3044.63</v>
      </c>
      <c r="F58" s="145">
        <v>3270.59</v>
      </c>
      <c r="G58" s="112">
        <f t="shared" si="4"/>
        <v>225.96000000000004</v>
      </c>
      <c r="H58" s="99">
        <f>G58+'22'!H58</f>
        <v>-1525.62</v>
      </c>
      <c r="I58" s="95"/>
      <c r="J58" s="175">
        <f>H58/DAY(B2)</f>
        <v>-66.331304347826077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5641.4100000000044</v>
      </c>
      <c r="H59" s="99">
        <f>G59+'22'!H59</f>
        <v>-18998.820000000014</v>
      </c>
      <c r="I59" s="95">
        <f>G7-G60</f>
        <v>1747.3200000000288</v>
      </c>
      <c r="J59" s="175">
        <f>H59/DAY(B2)</f>
        <v>-826.03565217391372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16955.840000000004</v>
      </c>
      <c r="H60" s="99">
        <f>G60+'22'!H60</f>
        <v>-2520.9700000000157</v>
      </c>
      <c r="I60" s="95">
        <f>G13-G60</f>
        <v>1228.5799999999945</v>
      </c>
      <c r="J60" s="175">
        <f>H60/DAY(B2)</f>
        <v>-109.60739130434851</v>
      </c>
      <c r="K60" s="79"/>
      <c r="L60" s="66"/>
      <c r="N60" s="87"/>
      <c r="O60" s="71"/>
    </row>
    <row r="61" spans="1:15" s="68" customFormat="1" ht="30.75" customHeight="1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884" t="s">
        <v>198</v>
      </c>
      <c r="B62" s="885"/>
      <c r="C62" s="886"/>
      <c r="D62" s="151" t="s">
        <v>142</v>
      </c>
      <c r="E62" s="95">
        <f>'22'!F62</f>
        <v>268569</v>
      </c>
      <c r="F62" s="122">
        <v>268688</v>
      </c>
      <c r="G62" s="112">
        <f t="shared" ref="G62:G63" si="5">F62-E62</f>
        <v>119</v>
      </c>
      <c r="H62" s="99">
        <f>G62+'22'!H62</f>
        <v>-828</v>
      </c>
      <c r="I62" s="118"/>
      <c r="J62" s="175">
        <f>H62/DAY(B2)</f>
        <v>-36</v>
      </c>
      <c r="K62" s="80"/>
      <c r="L62" s="66"/>
      <c r="N62" s="87"/>
      <c r="O62" s="71"/>
    </row>
    <row r="63" spans="1:15" ht="30.75" customHeight="1" x14ac:dyDescent="0.5">
      <c r="A63" s="884" t="s">
        <v>199</v>
      </c>
      <c r="B63" s="885"/>
      <c r="C63" s="886"/>
      <c r="D63" s="151" t="s">
        <v>142</v>
      </c>
      <c r="E63" s="95">
        <f>'22'!F63</f>
        <v>214644</v>
      </c>
      <c r="F63" s="122">
        <v>214770</v>
      </c>
      <c r="G63" s="112">
        <f t="shared" si="5"/>
        <v>126</v>
      </c>
      <c r="H63" s="99">
        <f>G63+'22'!H63</f>
        <v>2694</v>
      </c>
      <c r="I63" s="118"/>
      <c r="J63" s="175">
        <f>H63/DAY(B2)</f>
        <v>117.1304347826087</v>
      </c>
      <c r="K63" s="69"/>
      <c r="L63" s="66"/>
      <c r="N63" s="87"/>
      <c r="O63" s="71"/>
    </row>
    <row r="64" spans="1:15" ht="30.75" customHeight="1" x14ac:dyDescent="0.5">
      <c r="A64" s="893" t="s">
        <v>200</v>
      </c>
      <c r="B64" s="894"/>
      <c r="C64" s="895"/>
      <c r="D64" s="151"/>
      <c r="E64" s="95">
        <f>'22'!F64</f>
        <v>0</v>
      </c>
      <c r="F64" s="122"/>
      <c r="G64" s="112">
        <f>G62+G63</f>
        <v>245</v>
      </c>
      <c r="H64" s="99">
        <f>G64+'22'!H64</f>
        <v>1866</v>
      </c>
      <c r="I64" s="118"/>
      <c r="J64" s="175">
        <f>H64/DAY(B2)</f>
        <v>81.130434782608702</v>
      </c>
      <c r="K64" s="69"/>
      <c r="L64" s="66"/>
      <c r="N64" s="87"/>
      <c r="O64" s="71"/>
    </row>
    <row r="65" spans="1:15" ht="30.75" customHeight="1" x14ac:dyDescent="0.5">
      <c r="A65" s="884" t="s">
        <v>201</v>
      </c>
      <c r="B65" s="885"/>
      <c r="C65" s="886"/>
      <c r="D65" s="151" t="s">
        <v>142</v>
      </c>
      <c r="E65" s="95">
        <f>'22'!F65</f>
        <v>434138</v>
      </c>
      <c r="F65" s="122">
        <v>434226</v>
      </c>
      <c r="G65" s="112">
        <f t="shared" ref="G65:G70" si="6">F65-E65</f>
        <v>88</v>
      </c>
      <c r="H65" s="99">
        <f>G65+'22'!H65</f>
        <v>-697</v>
      </c>
      <c r="I65" s="118"/>
      <c r="J65" s="175">
        <f>H65/DAY(B2)</f>
        <v>-30.304347826086957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'22'!F66</f>
        <v>107570</v>
      </c>
      <c r="F66" s="122">
        <v>107593</v>
      </c>
      <c r="G66" s="112">
        <f t="shared" si="6"/>
        <v>23</v>
      </c>
      <c r="H66" s="99">
        <f>G66+'22'!H66</f>
        <v>-150</v>
      </c>
      <c r="I66" s="118"/>
      <c r="J66" s="175">
        <f>H66/DAY(B2)</f>
        <v>-6.5217391304347823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'22'!F67</f>
        <v>104430</v>
      </c>
      <c r="F67" s="150">
        <v>104455</v>
      </c>
      <c r="G67" s="112">
        <f t="shared" si="6"/>
        <v>25</v>
      </c>
      <c r="H67" s="99">
        <f>G67+'22'!H67</f>
        <v>-193</v>
      </c>
      <c r="I67" s="118"/>
      <c r="J67" s="175">
        <f>H67/DAY(B2)</f>
        <v>-8.3913043478260878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'22'!F68</f>
        <v>157272</v>
      </c>
      <c r="F68" s="122">
        <v>157314</v>
      </c>
      <c r="G68" s="112">
        <f t="shared" si="6"/>
        <v>42</v>
      </c>
      <c r="H68" s="99">
        <f>G68+'22'!H68</f>
        <v>-383</v>
      </c>
      <c r="I68" s="118"/>
      <c r="J68" s="175">
        <f>H68/DAY(B2)</f>
        <v>-16.652173913043477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'22'!F69</f>
        <v>10427</v>
      </c>
      <c r="F69" s="122">
        <v>10458</v>
      </c>
      <c r="G69" s="112">
        <f t="shared" si="6"/>
        <v>31</v>
      </c>
      <c r="H69" s="99">
        <f>G69+'22'!H69</f>
        <v>-83</v>
      </c>
      <c r="I69" s="118"/>
      <c r="J69" s="175">
        <f>H69/DAY(B2)</f>
        <v>-3.6086956521739131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'22'!F70</f>
        <v>8016</v>
      </c>
      <c r="F70" s="150">
        <v>8022</v>
      </c>
      <c r="G70" s="112">
        <f t="shared" si="6"/>
        <v>6</v>
      </c>
      <c r="H70" s="99">
        <f>G70+'22'!H70</f>
        <v>-98</v>
      </c>
      <c r="I70" s="118"/>
      <c r="J70" s="175">
        <f>H70/DAY(B2)</f>
        <v>-4.2608695652173916</v>
      </c>
      <c r="K70" s="69"/>
      <c r="L70" s="66"/>
      <c r="N70" s="87"/>
      <c r="O70" s="71"/>
    </row>
    <row r="71" spans="1:15" ht="30.75" customHeight="1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215</v>
      </c>
      <c r="H71" s="99">
        <f>G71+'22'!H71</f>
        <v>-1604</v>
      </c>
      <c r="I71" s="154"/>
      <c r="J71" s="175">
        <f>H71/DAY(B2)</f>
        <v>-69.739130434782609</v>
      </c>
      <c r="K71" s="69"/>
      <c r="L71" s="66"/>
      <c r="N71" s="87"/>
      <c r="O71" s="71"/>
    </row>
    <row r="72" spans="1:15" s="88" customFormat="1" ht="30.75" customHeight="1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884" t="s">
        <v>220</v>
      </c>
      <c r="B74" s="885"/>
      <c r="C74" s="886"/>
      <c r="D74" s="151" t="s">
        <v>139</v>
      </c>
      <c r="E74" s="95">
        <f>'22'!F74</f>
        <v>898570.12</v>
      </c>
      <c r="F74" s="117">
        <v>898862.81</v>
      </c>
      <c r="G74" s="112">
        <f t="shared" ref="G74:G78" si="7">F74-E74</f>
        <v>292.69000000006054</v>
      </c>
      <c r="H74" s="99">
        <f>G74+'22'!H74</f>
        <v>-2443.3389999999199</v>
      </c>
      <c r="I74" s="154"/>
      <c r="J74" s="175">
        <f>H74/DAY(B2)</f>
        <v>-106.23213043477912</v>
      </c>
      <c r="K74" s="69"/>
      <c r="L74" s="66"/>
      <c r="N74" s="87"/>
      <c r="O74" s="71"/>
    </row>
    <row r="75" spans="1:15" ht="30.75" customHeight="1" x14ac:dyDescent="0.5">
      <c r="A75" s="884" t="s">
        <v>221</v>
      </c>
      <c r="B75" s="885"/>
      <c r="C75" s="886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881" t="s">
        <v>222</v>
      </c>
      <c r="B76" s="882"/>
      <c r="C76" s="883"/>
      <c r="D76" s="151" t="s">
        <v>139</v>
      </c>
      <c r="E76" s="95">
        <f>'22'!F76</f>
        <v>169102.67</v>
      </c>
      <c r="F76" s="123">
        <v>169204</v>
      </c>
      <c r="G76" s="112">
        <f t="shared" si="7"/>
        <v>101.32999999998719</v>
      </c>
      <c r="H76" s="99">
        <f>G76+'22'!H76</f>
        <v>-771</v>
      </c>
      <c r="I76" s="154"/>
      <c r="J76" s="175">
        <f>H76/DAY(B2)</f>
        <v>-33.521739130434781</v>
      </c>
      <c r="K76" s="69"/>
      <c r="L76" s="66"/>
      <c r="N76" s="87"/>
      <c r="O76" s="71"/>
    </row>
    <row r="77" spans="1:15" ht="30.75" customHeight="1" x14ac:dyDescent="0.5">
      <c r="A77" s="881" t="s">
        <v>223</v>
      </c>
      <c r="B77" s="882"/>
      <c r="C77" s="883"/>
      <c r="D77" s="151" t="s">
        <v>139</v>
      </c>
      <c r="E77" s="95">
        <f>'22'!F77</f>
        <v>40987</v>
      </c>
      <c r="F77" s="123">
        <v>41023</v>
      </c>
      <c r="G77" s="112">
        <f t="shared" si="7"/>
        <v>36</v>
      </c>
      <c r="H77" s="99">
        <f>G77+'22'!H77</f>
        <v>-279.19999999999709</v>
      </c>
      <c r="I77" s="154"/>
      <c r="J77" s="175">
        <f>H77/DAY(B2)</f>
        <v>-12.139130434782482</v>
      </c>
      <c r="K77" s="69"/>
      <c r="L77" s="66"/>
      <c r="N77" s="87"/>
      <c r="O77" s="71"/>
    </row>
    <row r="78" spans="1:15" ht="30.75" customHeight="1" x14ac:dyDescent="0.5">
      <c r="A78" s="881" t="s">
        <v>224</v>
      </c>
      <c r="B78" s="882"/>
      <c r="C78" s="883"/>
      <c r="D78" s="151" t="s">
        <v>139</v>
      </c>
      <c r="E78" s="95">
        <f>'22'!F78</f>
        <v>9506</v>
      </c>
      <c r="F78" s="123">
        <v>9507</v>
      </c>
      <c r="G78" s="112">
        <f t="shared" si="7"/>
        <v>1</v>
      </c>
      <c r="H78" s="99">
        <f>G78+'22'!H78</f>
        <v>-9</v>
      </c>
      <c r="I78" s="118"/>
      <c r="J78" s="175">
        <f>H78/DAY(B2)</f>
        <v>-0.39130434782608697</v>
      </c>
      <c r="K78" s="69"/>
      <c r="L78" s="66"/>
      <c r="N78" s="87"/>
      <c r="O78" s="71"/>
    </row>
    <row r="79" spans="1:15" s="57" customFormat="1" ht="30.75" customHeight="1" x14ac:dyDescent="0.5">
      <c r="A79" s="881" t="s">
        <v>225</v>
      </c>
      <c r="B79" s="882"/>
      <c r="C79" s="883"/>
      <c r="D79" s="151"/>
      <c r="E79" s="95">
        <f>'22'!F79</f>
        <v>0</v>
      </c>
      <c r="F79" s="123"/>
      <c r="G79" s="112">
        <f>G15-SUM(G74:G78)</f>
        <v>548.89999999987776</v>
      </c>
      <c r="H79" s="99">
        <f>G79+'22'!H79</f>
        <v>26522.69199999985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979.91999999992549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'22'!F84</f>
        <v>41675.4</v>
      </c>
      <c r="F84" s="164">
        <v>41675.4</v>
      </c>
      <c r="G84" s="112">
        <f t="shared" si="8"/>
        <v>0</v>
      </c>
      <c r="H84" s="99">
        <f>G84+'22'!H84</f>
        <v>0.40000000000145519</v>
      </c>
      <c r="I84" s="118"/>
      <c r="J84" s="175">
        <f>H84/DAY(B2)</f>
        <v>1.7391304347889356E-2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'22'!F85</f>
        <v>2096.56</v>
      </c>
      <c r="F85" s="164">
        <v>2096.56</v>
      </c>
      <c r="G85" s="112">
        <f t="shared" si="8"/>
        <v>0</v>
      </c>
      <c r="H85" s="99">
        <f>G85+'22'!H85</f>
        <v>-163.86000000000013</v>
      </c>
      <c r="I85" s="118">
        <f>G82+G83+G84+G85</f>
        <v>0</v>
      </c>
      <c r="J85" s="175">
        <f>H85/DAY(B2)</f>
        <v>-7.1243478260869617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'22'!F86</f>
        <v>43393.86</v>
      </c>
      <c r="F86" s="164">
        <v>43418.11</v>
      </c>
      <c r="G86" s="112">
        <f t="shared" si="8"/>
        <v>24.25</v>
      </c>
      <c r="H86" s="99">
        <f>G86+'22'!H86</f>
        <v>-23.889999999999418</v>
      </c>
      <c r="I86" s="118"/>
      <c r="J86" s="175">
        <f>H86/DAY(B2)</f>
        <v>-1.0386956521738877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'22'!F87</f>
        <v>34598.550000000003</v>
      </c>
      <c r="F87" s="164">
        <v>34598.550000000003</v>
      </c>
      <c r="G87" s="112">
        <f t="shared" si="8"/>
        <v>0</v>
      </c>
      <c r="H87" s="99">
        <f>G87+'22'!H87</f>
        <v>5.0000000002910383E-2</v>
      </c>
      <c r="I87" s="118"/>
      <c r="J87" s="175">
        <f>H87/DAY(B2)</f>
        <v>2.1739130436047994E-3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'22'!F88</f>
        <v>24061.37</v>
      </c>
      <c r="F88" s="164">
        <v>24063.38</v>
      </c>
      <c r="G88" s="112">
        <f t="shared" si="8"/>
        <v>2.0100000000020373</v>
      </c>
      <c r="H88" s="99">
        <f>G88+'22'!H88</f>
        <v>-4.9999999999272404E-2</v>
      </c>
      <c r="I88" s="118">
        <f>G86+G87+G88</f>
        <v>26.260000000002037</v>
      </c>
      <c r="J88" s="175">
        <f>H88/DAY(B2)</f>
        <v>-2.1739130434466265E-3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'22'!F89</f>
        <v>25810.44</v>
      </c>
      <c r="F89" s="164">
        <v>25818.61</v>
      </c>
      <c r="G89" s="112">
        <f t="shared" si="8"/>
        <v>8.1700000000018917</v>
      </c>
      <c r="H89" s="99">
        <f>G89+'22'!H89</f>
        <v>-72.509999999998399</v>
      </c>
      <c r="I89" s="118"/>
      <c r="J89" s="175">
        <f>H89/DAY(B2)</f>
        <v>-3.1526086956521042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'22'!F90</f>
        <v>71141.88</v>
      </c>
      <c r="F90" s="164">
        <v>71143.37</v>
      </c>
      <c r="G90" s="112">
        <f t="shared" si="8"/>
        <v>1.4899999999906868</v>
      </c>
      <c r="H90" s="99">
        <f>G90+'22'!H90</f>
        <v>-19.950000000011642</v>
      </c>
      <c r="I90" s="118">
        <f>G89+G90</f>
        <v>9.6599999999925785</v>
      </c>
      <c r="J90" s="175">
        <f>H90/DAY(B2)</f>
        <v>-0.86739130434833223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'22'!F91</f>
        <v>3226.32</v>
      </c>
      <c r="F91" s="122">
        <v>3226.32</v>
      </c>
      <c r="G91" s="112">
        <f t="shared" si="8"/>
        <v>0</v>
      </c>
      <c r="H91" s="99">
        <f>G91+'22'!H91</f>
        <v>-24.769999999999982</v>
      </c>
      <c r="I91" s="165"/>
      <c r="J91" s="175">
        <f>H91/DAY(B2)</f>
        <v>-1.0769565217391297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'22'!F92</f>
        <v>5667.45</v>
      </c>
      <c r="F92" s="122">
        <v>5677.67</v>
      </c>
      <c r="G92" s="112">
        <f t="shared" si="8"/>
        <v>10.220000000000255</v>
      </c>
      <c r="H92" s="99">
        <f>G92+'22'!H92</f>
        <v>-63.399999999999636</v>
      </c>
      <c r="I92" s="165"/>
      <c r="J92" s="175">
        <f>H92/DAY(B2)</f>
        <v>-2.7565217391304189</v>
      </c>
      <c r="O92" s="71"/>
    </row>
    <row r="93" spans="1:15" ht="30.75" customHeight="1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4787.919999999991</v>
      </c>
      <c r="H94" s="99">
        <f>G94+'22'!H94</f>
        <v>33441.81</v>
      </c>
      <c r="I94" s="118"/>
      <c r="J94" s="175">
        <f>H94/DAY(B2)</f>
        <v>1453.9917391304348</v>
      </c>
      <c r="K94" s="69"/>
      <c r="L94" s="66"/>
      <c r="O94" s="71"/>
    </row>
    <row r="95" spans="1:15" ht="30.75" customHeight="1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0.25599524358450565</v>
      </c>
      <c r="H95" s="99">
        <f>G95+'22'!H95</f>
        <v>5.8293546985395457</v>
      </c>
      <c r="I95" s="167"/>
      <c r="J95" s="175">
        <f>H95/DAY(B2)</f>
        <v>0.25345020428432807</v>
      </c>
      <c r="K95" s="69"/>
      <c r="L95" s="66"/>
      <c r="O95" s="71"/>
    </row>
    <row r="96" spans="1:15" ht="30.75" customHeight="1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2695.2200000000012</v>
      </c>
      <c r="H96" s="99">
        <f>G96+'22'!H96</f>
        <v>33183.689999999995</v>
      </c>
      <c r="I96" s="118"/>
      <c r="J96" s="175">
        <f>H96/DAY(B2)</f>
        <v>1442.7691304347825</v>
      </c>
      <c r="K96" s="69"/>
      <c r="L96" s="66"/>
      <c r="O96" s="71"/>
    </row>
    <row r="97" spans="1:15" ht="30.75" customHeight="1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0.14410506032135728</v>
      </c>
      <c r="H97" s="99">
        <f>G97+'22'!H97</f>
        <v>4.1495571511434042</v>
      </c>
      <c r="I97" s="167"/>
      <c r="J97" s="175">
        <f>H97/DAY(B2)</f>
        <v>0.1804155283105828</v>
      </c>
      <c r="K97" s="69"/>
      <c r="L97" s="66"/>
      <c r="O97" s="71"/>
    </row>
    <row r="98" spans="1:15" ht="30.75" customHeight="1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2576.25</v>
      </c>
      <c r="H98" s="99">
        <f>G98+'22'!H98</f>
        <v>-20842.490000000002</v>
      </c>
      <c r="I98" s="168"/>
      <c r="J98" s="175">
        <f>H98/DAY(B2)</f>
        <v>-906.19521739130437</v>
      </c>
      <c r="K98" s="69"/>
      <c r="L98" s="66"/>
      <c r="O98" s="71"/>
    </row>
    <row r="99" spans="1:15" ht="30.75" customHeight="1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0.13774410313551269</v>
      </c>
      <c r="H99" s="99">
        <f>G99+'22'!H99</f>
        <v>3.3478552841764624</v>
      </c>
      <c r="I99" s="168"/>
      <c r="J99" s="175">
        <f>H99/DAY(B2)</f>
        <v>0.14555892539897664</v>
      </c>
      <c r="O99" s="71"/>
    </row>
    <row r="100" spans="1:15" ht="30.75" customHeight="1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1932.0699999999997</v>
      </c>
      <c r="H100" s="99">
        <f>G100+'22'!H100</f>
        <v>-13884.82</v>
      </c>
      <c r="I100" s="118"/>
      <c r="J100" s="175">
        <f>H100/DAY(B2)</f>
        <v>-603.68782608695653</v>
      </c>
      <c r="K100" s="70"/>
      <c r="O100" s="71"/>
    </row>
    <row r="101" spans="1:15" ht="30.75" customHeight="1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0.1033017949907928</v>
      </c>
      <c r="H101" s="99">
        <f>G101+'22'!H101</f>
        <v>2.1769134278109616</v>
      </c>
      <c r="I101" s="168"/>
      <c r="J101" s="175">
        <f>H101/DAY(B2)</f>
        <v>9.4648409904824413E-2</v>
      </c>
      <c r="O101" s="71"/>
    </row>
    <row r="102" spans="1:15" ht="30.75" customHeight="1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2782.5400000000081</v>
      </c>
      <c r="H102" s="99">
        <f>G102+'22'!H102</f>
        <v>-13627.709999999992</v>
      </c>
      <c r="I102" s="168"/>
      <c r="J102" s="175">
        <f>H102/DAY(B2)</f>
        <v>-592.50913043478226</v>
      </c>
      <c r="O102" s="71"/>
    </row>
    <row r="103" spans="1:15" ht="30.75" customHeight="1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0.14877379009750241</v>
      </c>
      <c r="H103" s="99">
        <f>G103+'22'!H103</f>
        <v>2.4060913838191138</v>
      </c>
      <c r="I103" s="118"/>
      <c r="J103" s="175">
        <f>H103/DAY(B2)</f>
        <v>0.10461266886170061</v>
      </c>
      <c r="O103" s="71"/>
    </row>
    <row r="104" spans="1:15" ht="30.75" customHeight="1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1571.9800000000032</v>
      </c>
      <c r="H104" s="99">
        <f>G104+'22'!H104</f>
        <v>-12682.599999999995</v>
      </c>
      <c r="I104" s="118"/>
      <c r="J104" s="175">
        <f>H104/DAY(B2)</f>
        <v>-551.41739130434757</v>
      </c>
      <c r="O104" s="71"/>
    </row>
    <row r="105" spans="1:15" ht="30.75" customHeight="1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8.4048898688777754E-2</v>
      </c>
      <c r="H105" s="99">
        <f>G105+'22'!H105</f>
        <v>1.9408802764235884</v>
      </c>
      <c r="I105" s="187"/>
      <c r="J105" s="188">
        <f>H105/DAY(B2)</f>
        <v>8.4386098974938623E-2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30.75" customHeight="1" x14ac:dyDescent="0.5">
      <c r="A109" s="901"/>
      <c r="B109" s="901"/>
    </row>
    <row r="110" spans="1:15" ht="30.75" customHeight="1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30.75" customHeight="1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863" t="s">
        <v>252</v>
      </c>
      <c r="B112" s="864"/>
      <c r="C112" s="865"/>
      <c r="D112" s="146" t="s">
        <v>183</v>
      </c>
      <c r="E112" s="95">
        <f>'22'!F112</f>
        <v>57358.06</v>
      </c>
      <c r="F112" s="237">
        <v>57434.45</v>
      </c>
      <c r="G112" s="112">
        <f t="shared" ref="G112:G123" si="9">F112-E112</f>
        <v>76.389999999999418</v>
      </c>
      <c r="H112" s="99">
        <f>G112+'22'!H112</f>
        <v>-619.55000000000291</v>
      </c>
      <c r="I112" s="165"/>
      <c r="J112" s="328">
        <f>H112/DAY(B2)</f>
        <v>-26.936956521739258</v>
      </c>
    </row>
    <row r="113" spans="1:18" ht="30.75" customHeight="1" x14ac:dyDescent="0.5">
      <c r="A113" s="863" t="s">
        <v>253</v>
      </c>
      <c r="B113" s="864"/>
      <c r="C113" s="865"/>
      <c r="D113" s="146" t="s">
        <v>183</v>
      </c>
      <c r="E113" s="95">
        <f>'22'!F113</f>
        <v>42213.68</v>
      </c>
      <c r="F113" s="237">
        <v>42682.3</v>
      </c>
      <c r="G113" s="112">
        <f t="shared" si="9"/>
        <v>468.62000000000262</v>
      </c>
      <c r="H113" s="99">
        <f>G113+'22'!H113</f>
        <v>-3718.5899999999965</v>
      </c>
      <c r="I113" s="165"/>
      <c r="J113" s="328">
        <f>H113/DAY(B2)</f>
        <v>-161.67782608695637</v>
      </c>
    </row>
    <row r="114" spans="1:18" ht="30.75" customHeight="1" x14ac:dyDescent="0.5">
      <c r="A114" s="863" t="s">
        <v>254</v>
      </c>
      <c r="B114" s="864"/>
      <c r="C114" s="865"/>
      <c r="D114" s="146" t="s">
        <v>183</v>
      </c>
      <c r="E114" s="95">
        <f>'22'!F114</f>
        <v>30820.69</v>
      </c>
      <c r="F114" s="237">
        <v>31084.35</v>
      </c>
      <c r="G114" s="112">
        <f t="shared" si="9"/>
        <v>263.65999999999985</v>
      </c>
      <c r="H114" s="99">
        <f>G114+'22'!H114</f>
        <v>-2209.2500000000018</v>
      </c>
      <c r="I114" s="165"/>
      <c r="J114" s="328">
        <f>H114/DAY(B2)</f>
        <v>-96.054347826087039</v>
      </c>
    </row>
    <row r="115" spans="1:18" ht="30.75" customHeight="1" x14ac:dyDescent="0.5">
      <c r="A115" s="863" t="s">
        <v>255</v>
      </c>
      <c r="B115" s="864"/>
      <c r="C115" s="865"/>
      <c r="D115" s="146" t="s">
        <v>183</v>
      </c>
      <c r="E115" s="95">
        <f>'22'!F115</f>
        <v>9008.8799999999992</v>
      </c>
      <c r="F115" s="237">
        <v>9020.7800000000007</v>
      </c>
      <c r="G115" s="112">
        <f t="shared" si="9"/>
        <v>11.900000000001455</v>
      </c>
      <c r="H115" s="99">
        <f>G115+'22'!H115</f>
        <v>-73.869999999998981</v>
      </c>
      <c r="I115" s="165"/>
      <c r="J115" s="328">
        <f>H115/DAY(B2)</f>
        <v>-3.2117391304347382</v>
      </c>
    </row>
    <row r="116" spans="1:18" ht="30.75" customHeight="1" x14ac:dyDescent="0.5">
      <c r="A116" s="870" t="s">
        <v>96</v>
      </c>
      <c r="B116" s="871"/>
      <c r="C116" s="872"/>
      <c r="D116" s="146" t="s">
        <v>183</v>
      </c>
      <c r="E116" s="95">
        <f>'22'!F116</f>
        <v>0</v>
      </c>
      <c r="F116" s="237">
        <v>0</v>
      </c>
      <c r="G116" s="112">
        <f t="shared" si="9"/>
        <v>0</v>
      </c>
      <c r="H116" s="99">
        <f>G116+'22'!H116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30.75" customHeight="1" x14ac:dyDescent="0.5">
      <c r="A117" s="870" t="s">
        <v>184</v>
      </c>
      <c r="B117" s="871"/>
      <c r="C117" s="872"/>
      <c r="D117" s="146" t="s">
        <v>183</v>
      </c>
      <c r="E117" s="95">
        <f>'22'!F117</f>
        <v>3115.38</v>
      </c>
      <c r="F117" s="237">
        <v>3138.48</v>
      </c>
      <c r="G117" s="112">
        <f t="shared" si="9"/>
        <v>23.099999999999909</v>
      </c>
      <c r="H117" s="99">
        <f>G117+'22'!H117</f>
        <v>-199.4699999999998</v>
      </c>
      <c r="I117" s="165"/>
      <c r="J117" s="328">
        <f>H117/DAY(B2)</f>
        <v>-8.6726086956521655</v>
      </c>
      <c r="Q117" s="863" t="s">
        <v>312</v>
      </c>
      <c r="R117" s="865"/>
    </row>
    <row r="118" spans="1:18" ht="30.75" customHeight="1" x14ac:dyDescent="0.5">
      <c r="A118" s="862" t="s">
        <v>97</v>
      </c>
      <c r="B118" s="862"/>
      <c r="C118" s="862"/>
      <c r="D118" s="151" t="s">
        <v>183</v>
      </c>
      <c r="E118" s="95">
        <f>'22'!F118</f>
        <v>249390.73</v>
      </c>
      <c r="F118" s="237">
        <v>249730.91</v>
      </c>
      <c r="G118" s="112">
        <f t="shared" si="9"/>
        <v>340.17999999999302</v>
      </c>
      <c r="H118" s="99">
        <f>G118+'22'!H118</f>
        <v>-2721.3999999999942</v>
      </c>
      <c r="I118" s="165"/>
      <c r="J118" s="328">
        <f>H118/DAY(B2)</f>
        <v>-118.32173913043452</v>
      </c>
      <c r="Q118" s="863" t="s">
        <v>311</v>
      </c>
      <c r="R118" s="865"/>
    </row>
    <row r="119" spans="1:18" ht="30.75" customHeight="1" x14ac:dyDescent="0.5">
      <c r="A119" s="862" t="s">
        <v>98</v>
      </c>
      <c r="B119" s="862"/>
      <c r="C119" s="862"/>
      <c r="D119" s="151" t="s">
        <v>183</v>
      </c>
      <c r="E119" s="95">
        <f>'22'!F119</f>
        <v>254407.65</v>
      </c>
      <c r="F119" s="237">
        <v>254824.83</v>
      </c>
      <c r="G119" s="112">
        <f t="shared" si="9"/>
        <v>417.17999999999302</v>
      </c>
      <c r="H119" s="99">
        <f>G119+'22'!H119</f>
        <v>-3323.7200000000012</v>
      </c>
      <c r="I119" s="165"/>
      <c r="J119" s="328">
        <f>H119/DAY(B2)</f>
        <v>-144.50956521739135</v>
      </c>
    </row>
    <row r="120" spans="1:18" ht="30.75" customHeight="1" x14ac:dyDescent="0.5">
      <c r="A120" s="862" t="s">
        <v>99</v>
      </c>
      <c r="B120" s="862"/>
      <c r="C120" s="862"/>
      <c r="D120" s="151" t="s">
        <v>183</v>
      </c>
      <c r="E120" s="95">
        <f>'22'!F120</f>
        <v>39225.410000000003</v>
      </c>
      <c r="F120" s="237">
        <v>39631.870000000003</v>
      </c>
      <c r="G120" s="112">
        <f t="shared" si="9"/>
        <v>406.45999999999913</v>
      </c>
      <c r="H120" s="99">
        <f>G120+'22'!H120</f>
        <v>-3327.739999999998</v>
      </c>
      <c r="I120" s="165"/>
      <c r="J120" s="328">
        <f>H120/DAY(B2)</f>
        <v>-144.68434782608688</v>
      </c>
    </row>
    <row r="121" spans="1:18" ht="30.75" customHeight="1" x14ac:dyDescent="0.5">
      <c r="A121" s="862" t="s">
        <v>100</v>
      </c>
      <c r="B121" s="862"/>
      <c r="C121" s="862"/>
      <c r="D121" s="151" t="s">
        <v>183</v>
      </c>
      <c r="E121" s="95">
        <f>'22'!F121</f>
        <v>391729.91</v>
      </c>
      <c r="F121" s="237">
        <v>392394.07</v>
      </c>
      <c r="G121" s="112">
        <f t="shared" si="9"/>
        <v>664.1600000000326</v>
      </c>
      <c r="H121" s="99">
        <f>G121+'22'!H121</f>
        <v>-5640.359999999986</v>
      </c>
      <c r="I121" s="165"/>
      <c r="J121" s="328">
        <f>H121/DAY(B2)</f>
        <v>-245.23304347826027</v>
      </c>
    </row>
    <row r="122" spans="1:18" ht="30.75" customHeight="1" x14ac:dyDescent="0.5">
      <c r="A122" s="862" t="s">
        <v>101</v>
      </c>
      <c r="B122" s="862"/>
      <c r="C122" s="862"/>
      <c r="D122" s="151" t="s">
        <v>183</v>
      </c>
      <c r="E122" s="95">
        <f>'22'!F122</f>
        <v>124455.62</v>
      </c>
      <c r="F122" s="237">
        <v>124665.59</v>
      </c>
      <c r="G122" s="112">
        <f t="shared" si="9"/>
        <v>209.97000000000116</v>
      </c>
      <c r="H122" s="99">
        <f>G122+'22'!H122</f>
        <v>-1520.5899999999965</v>
      </c>
      <c r="I122" s="165"/>
      <c r="J122" s="328">
        <f>H122/DAY(B2)</f>
        <v>-66.112608695652028</v>
      </c>
    </row>
    <row r="123" spans="1:18" ht="30.75" customHeight="1" x14ac:dyDescent="0.5">
      <c r="A123" s="862" t="s">
        <v>102</v>
      </c>
      <c r="B123" s="862"/>
      <c r="C123" s="862"/>
      <c r="D123" s="151" t="s">
        <v>183</v>
      </c>
      <c r="E123" s="95">
        <f>'22'!F123</f>
        <v>151591.79999999999</v>
      </c>
      <c r="F123" s="237">
        <v>151865.10999999999</v>
      </c>
      <c r="G123" s="112">
        <f t="shared" si="9"/>
        <v>273.30999999999767</v>
      </c>
      <c r="H123" s="99">
        <f>G123+'22'!H123</f>
        <v>-2181.8400000000256</v>
      </c>
      <c r="I123" s="165"/>
      <c r="J123" s="328">
        <f>H123/DAY(B2)</f>
        <v>-94.862608695653293</v>
      </c>
    </row>
    <row r="124" spans="1:18" ht="30.75" customHeight="1" x14ac:dyDescent="0.5">
      <c r="A124" s="867"/>
      <c r="B124" s="868"/>
      <c r="C124" s="869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3154.9300000000198</v>
      </c>
      <c r="H125" s="156"/>
      <c r="I125" s="327">
        <f>G125-(G39+G53)</f>
        <v>578.68000000001985</v>
      </c>
      <c r="J125" s="327"/>
    </row>
    <row r="126" spans="1:18" ht="30.75" customHeight="1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30.75" customHeight="1" x14ac:dyDescent="0.5">
      <c r="A127" s="852"/>
      <c r="B127" s="852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 x14ac:dyDescent="0.5">
      <c r="A128" s="863" t="s">
        <v>318</v>
      </c>
      <c r="B128" s="864"/>
      <c r="C128" s="865"/>
      <c r="D128" s="151" t="s">
        <v>183</v>
      </c>
      <c r="E128" s="95">
        <f>'22'!F128</f>
        <v>44929.03</v>
      </c>
      <c r="F128" s="155">
        <v>45277.1</v>
      </c>
      <c r="G128" s="112">
        <f t="shared" ref="G128:G134" si="10">F128-E128</f>
        <v>348.06999999999971</v>
      </c>
      <c r="H128" s="99">
        <f>G128+'22'!H128</f>
        <v>-2468.9000000000015</v>
      </c>
      <c r="I128" s="165"/>
      <c r="J128" s="328">
        <f>H128/DAY(B2)</f>
        <v>-107.34347826086963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'22'!F129</f>
        <v>25169.919999999998</v>
      </c>
      <c r="F129" s="155">
        <v>25350.19</v>
      </c>
      <c r="G129" s="112">
        <f t="shared" si="10"/>
        <v>180.27000000000044</v>
      </c>
      <c r="H129" s="99">
        <f>G129+'22'!H129</f>
        <v>-1560.6800000000003</v>
      </c>
      <c r="I129" s="165"/>
      <c r="J129" s="328">
        <f>H129/DAY(B2)</f>
        <v>-67.855652173913057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'22'!F130</f>
        <v>31373.81</v>
      </c>
      <c r="F130" s="155">
        <v>31919.45</v>
      </c>
      <c r="G130" s="112">
        <f t="shared" si="10"/>
        <v>545.63999999999942</v>
      </c>
      <c r="H130" s="99">
        <f>G130+'22'!H130</f>
        <v>-3774.5499999999993</v>
      </c>
      <c r="I130" s="165"/>
      <c r="J130" s="328">
        <f>H130/DAY(B2)</f>
        <v>-164.11086956521737</v>
      </c>
      <c r="N130" s="240"/>
      <c r="O130" s="241"/>
    </row>
    <row r="131" spans="1:15" ht="30.75" customHeight="1" x14ac:dyDescent="0.5">
      <c r="A131" s="863" t="s">
        <v>321</v>
      </c>
      <c r="B131" s="864"/>
      <c r="C131" s="865"/>
      <c r="D131" s="151" t="s">
        <v>183</v>
      </c>
      <c r="E131" s="95">
        <f>'22'!F131</f>
        <v>14758.15</v>
      </c>
      <c r="F131" s="155">
        <v>14834.07</v>
      </c>
      <c r="G131" s="112">
        <f t="shared" si="10"/>
        <v>75.920000000000073</v>
      </c>
      <c r="H131" s="99">
        <f>G131+'22'!H131</f>
        <v>-473.61000000000058</v>
      </c>
      <c r="I131" s="165"/>
      <c r="J131" s="328">
        <f>H131/DAY(B2)</f>
        <v>-20.591739130434807</v>
      </c>
      <c r="N131" s="240"/>
      <c r="O131" s="241"/>
    </row>
    <row r="132" spans="1:15" ht="30.75" customHeight="1" x14ac:dyDescent="0.5">
      <c r="A132" s="863" t="s">
        <v>322</v>
      </c>
      <c r="B132" s="864"/>
      <c r="C132" s="865"/>
      <c r="D132" s="151" t="s">
        <v>183</v>
      </c>
      <c r="E132" s="95">
        <f>'22'!F132</f>
        <v>50351.33</v>
      </c>
      <c r="F132" s="155">
        <v>50518.21</v>
      </c>
      <c r="G132" s="112">
        <f t="shared" si="10"/>
        <v>166.87999999999738</v>
      </c>
      <c r="H132" s="99">
        <f>G132+'22'!H132</f>
        <v>-1330.0900000000038</v>
      </c>
      <c r="I132" s="165"/>
      <c r="J132" s="328">
        <f>H132/DAY(B2)</f>
        <v>-57.830000000000162</v>
      </c>
    </row>
    <row r="133" spans="1:15" ht="30.75" customHeight="1" x14ac:dyDescent="0.5">
      <c r="A133" s="863" t="s">
        <v>362</v>
      </c>
      <c r="B133" s="864"/>
      <c r="C133" s="865"/>
      <c r="D133" s="151" t="s">
        <v>183</v>
      </c>
      <c r="E133" s="95">
        <f>'22'!F133</f>
        <v>101216.1</v>
      </c>
      <c r="F133" s="155">
        <v>101877.43</v>
      </c>
      <c r="G133" s="112">
        <f t="shared" si="10"/>
        <v>661.32999999998719</v>
      </c>
      <c r="H133" s="99">
        <f>G133+'22'!H133</f>
        <v>-3466.2700000000041</v>
      </c>
      <c r="I133" s="165"/>
      <c r="J133" s="328">
        <f>H133/DAY(B2)</f>
        <v>-150.70739130434799</v>
      </c>
    </row>
    <row r="134" spans="1:15" ht="30.75" customHeight="1" x14ac:dyDescent="0.5">
      <c r="A134" s="863" t="s">
        <v>340</v>
      </c>
      <c r="B134" s="864"/>
      <c r="C134" s="865"/>
      <c r="D134" s="151" t="s">
        <v>183</v>
      </c>
      <c r="E134" s="95">
        <f>'22'!F134</f>
        <v>7236.79</v>
      </c>
      <c r="F134" s="374">
        <v>7394.85</v>
      </c>
      <c r="G134" s="112">
        <f t="shared" si="10"/>
        <v>158.0600000000004</v>
      </c>
      <c r="H134" s="99">
        <f>G134+'22'!H134</f>
        <v>-1206.3799999999992</v>
      </c>
      <c r="I134" s="165"/>
      <c r="J134" s="328">
        <f>H134/DAY(B2)</f>
        <v>-52.451304347826053</v>
      </c>
    </row>
    <row r="135" spans="1:15" ht="30.75" customHeight="1" x14ac:dyDescent="0.5">
      <c r="A135" s="847" t="s">
        <v>196</v>
      </c>
      <c r="B135" s="848"/>
      <c r="C135" s="331"/>
      <c r="D135" s="151"/>
      <c r="E135" s="95"/>
      <c r="F135" s="591"/>
      <c r="G135" s="112">
        <f>SUM(G128:G134)</f>
        <v>2136.1699999999846</v>
      </c>
      <c r="H135" s="99">
        <f>G135+'10'!H135</f>
        <v>25592.389999999985</v>
      </c>
      <c r="I135" s="327">
        <f>G135-(G35+G49)</f>
        <v>-312.51000000001568</v>
      </c>
      <c r="J135" s="328"/>
    </row>
    <row r="136" spans="1:15" ht="30.75" customHeight="1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 x14ac:dyDescent="0.5">
      <c r="A138" s="862" t="s">
        <v>185</v>
      </c>
      <c r="B138" s="862"/>
      <c r="C138" s="862"/>
      <c r="D138" s="151" t="s">
        <v>183</v>
      </c>
      <c r="E138" s="95">
        <f>'22'!F138</f>
        <v>865580</v>
      </c>
      <c r="F138" s="147">
        <v>865689</v>
      </c>
      <c r="G138" s="112">
        <f t="shared" ref="G138:G152" si="11">F138-E138</f>
        <v>109</v>
      </c>
      <c r="H138" s="99">
        <f>G138+'22'!H138</f>
        <v>-484</v>
      </c>
      <c r="I138" s="118"/>
      <c r="J138" s="328">
        <f>H138/DAY(B2)</f>
        <v>-21.043478260869566</v>
      </c>
    </row>
    <row r="139" spans="1:15" ht="30.75" customHeight="1" x14ac:dyDescent="0.5">
      <c r="A139" s="862" t="s">
        <v>186</v>
      </c>
      <c r="B139" s="862"/>
      <c r="C139" s="862"/>
      <c r="D139" s="151" t="s">
        <v>183</v>
      </c>
      <c r="E139" s="95">
        <f>'22'!F139</f>
        <v>886563</v>
      </c>
      <c r="F139" s="148">
        <v>886568</v>
      </c>
      <c r="G139" s="112">
        <f t="shared" si="11"/>
        <v>5</v>
      </c>
      <c r="H139" s="99">
        <f>G139+'22'!H139</f>
        <v>-5</v>
      </c>
      <c r="I139" s="118"/>
      <c r="J139" s="328">
        <f>H139/DAY(B2)</f>
        <v>-0.21739130434782608</v>
      </c>
    </row>
    <row r="140" spans="1:15" ht="30.75" customHeight="1" x14ac:dyDescent="0.5">
      <c r="A140" s="862" t="s">
        <v>187</v>
      </c>
      <c r="B140" s="862"/>
      <c r="C140" s="862"/>
      <c r="D140" s="151" t="s">
        <v>183</v>
      </c>
      <c r="E140" s="95">
        <f>'22'!F140</f>
        <v>88920.03</v>
      </c>
      <c r="F140" s="149">
        <v>88922.03</v>
      </c>
      <c r="G140" s="112">
        <f t="shared" si="11"/>
        <v>2</v>
      </c>
      <c r="H140" s="99">
        <f>G140+'22'!H140</f>
        <v>2.9999999998835847E-2</v>
      </c>
      <c r="I140" s="118"/>
      <c r="J140" s="328">
        <f>H140/DAY(B2)</f>
        <v>1.3043478260363411E-3</v>
      </c>
    </row>
    <row r="141" spans="1:15" ht="30.75" customHeight="1" x14ac:dyDescent="0.5">
      <c r="A141" s="843" t="s">
        <v>188</v>
      </c>
      <c r="B141" s="843"/>
      <c r="C141" s="843"/>
      <c r="D141" s="151" t="s">
        <v>183</v>
      </c>
      <c r="E141" s="95">
        <f>'22'!F141</f>
        <v>53117.62</v>
      </c>
      <c r="F141" s="149">
        <v>53301.33</v>
      </c>
      <c r="G141" s="112">
        <f t="shared" si="11"/>
        <v>183.70999999999913</v>
      </c>
      <c r="H141" s="99">
        <f>G141+'22'!H141</f>
        <v>-1384.25</v>
      </c>
      <c r="I141" s="118"/>
      <c r="J141" s="328">
        <f>H141/DAY(B2)</f>
        <v>-60.184782608695649</v>
      </c>
    </row>
    <row r="142" spans="1:15" ht="30.75" customHeight="1" x14ac:dyDescent="0.5">
      <c r="A142" s="843" t="s">
        <v>189</v>
      </c>
      <c r="B142" s="843"/>
      <c r="C142" s="843"/>
      <c r="D142" s="151" t="s">
        <v>183</v>
      </c>
      <c r="E142" s="95">
        <f>'22'!F142</f>
        <v>20581.73</v>
      </c>
      <c r="F142" s="148">
        <v>20660.27</v>
      </c>
      <c r="G142" s="112">
        <f t="shared" si="11"/>
        <v>78.540000000000873</v>
      </c>
      <c r="H142" s="99">
        <f>G142+'22'!H142</f>
        <v>-623.82999999999811</v>
      </c>
      <c r="I142" s="140"/>
      <c r="J142" s="328">
        <f>H142/DAY(B2)</f>
        <v>-27.123043478260787</v>
      </c>
    </row>
    <row r="143" spans="1:15" ht="30.75" customHeight="1" x14ac:dyDescent="0.5">
      <c r="A143" s="862" t="s">
        <v>91</v>
      </c>
      <c r="B143" s="862"/>
      <c r="C143" s="862"/>
      <c r="D143" s="151" t="s">
        <v>183</v>
      </c>
      <c r="E143" s="95">
        <f>'22'!F143</f>
        <v>3593.5</v>
      </c>
      <c r="F143" s="149">
        <v>3620.62</v>
      </c>
      <c r="G143" s="112">
        <f t="shared" si="11"/>
        <v>27.119999999999891</v>
      </c>
      <c r="H143" s="99">
        <f>G143+'22'!H143</f>
        <v>-214.76999999999998</v>
      </c>
      <c r="I143" s="140"/>
      <c r="J143" s="328">
        <f>H143/DAY(B2)</f>
        <v>-9.3378260869565217</v>
      </c>
    </row>
    <row r="144" spans="1:15" ht="30.75" customHeight="1" x14ac:dyDescent="0.5">
      <c r="A144" s="843" t="s">
        <v>90</v>
      </c>
      <c r="B144" s="843"/>
      <c r="C144" s="843"/>
      <c r="D144" s="151" t="s">
        <v>183</v>
      </c>
      <c r="E144" s="95">
        <f>'22'!F144</f>
        <v>874645</v>
      </c>
      <c r="F144" s="149">
        <v>874866</v>
      </c>
      <c r="G144" s="112">
        <f t="shared" si="11"/>
        <v>221</v>
      </c>
      <c r="H144" s="99">
        <f>G144+'22'!H144</f>
        <v>-1621</v>
      </c>
      <c r="I144" s="140"/>
      <c r="J144" s="328">
        <f>H144/DAY(B2)</f>
        <v>-70.478260869565219</v>
      </c>
    </row>
    <row r="145" spans="1:10" ht="30.75" customHeight="1" x14ac:dyDescent="0.5">
      <c r="A145" s="862" t="s">
        <v>190</v>
      </c>
      <c r="B145" s="862"/>
      <c r="C145" s="862"/>
      <c r="D145" s="152" t="s">
        <v>183</v>
      </c>
      <c r="E145" s="95">
        <f>'22'!F145</f>
        <v>4888.2</v>
      </c>
      <c r="F145" s="149">
        <v>4902.26</v>
      </c>
      <c r="G145" s="112">
        <f t="shared" si="11"/>
        <v>14.0600000000004</v>
      </c>
      <c r="H145" s="99">
        <f>G145+'22'!H145</f>
        <v>-56.579999999999927</v>
      </c>
      <c r="I145" s="140"/>
      <c r="J145" s="328">
        <f>H145/DAY(B2)</f>
        <v>-2.4599999999999969</v>
      </c>
    </row>
    <row r="146" spans="1:10" ht="30.75" customHeight="1" x14ac:dyDescent="0.5">
      <c r="A146" s="897" t="s">
        <v>191</v>
      </c>
      <c r="B146" s="882"/>
      <c r="C146" s="883"/>
      <c r="D146" s="152" t="s">
        <v>183</v>
      </c>
      <c r="E146" s="95">
        <f>'22'!F146</f>
        <v>733690</v>
      </c>
      <c r="F146" s="148">
        <v>734107</v>
      </c>
      <c r="G146" s="112">
        <f t="shared" si="11"/>
        <v>417</v>
      </c>
      <c r="H146" s="99">
        <f>G146+'22'!H146</f>
        <v>-3226</v>
      </c>
      <c r="I146" s="140"/>
      <c r="J146" s="328">
        <f>H146/DAY(B2)</f>
        <v>-140.2608695652174</v>
      </c>
    </row>
    <row r="147" spans="1:10" ht="30.75" customHeight="1" x14ac:dyDescent="0.5">
      <c r="A147" s="843" t="s">
        <v>192</v>
      </c>
      <c r="B147" s="843"/>
      <c r="C147" s="843"/>
      <c r="D147" s="152" t="s">
        <v>183</v>
      </c>
      <c r="E147" s="95">
        <f>'22'!F147</f>
        <v>623380.12</v>
      </c>
      <c r="F147" s="148">
        <v>623801.96</v>
      </c>
      <c r="G147" s="112">
        <f t="shared" si="11"/>
        <v>421.8399999999674</v>
      </c>
      <c r="H147" s="99">
        <f>G147+'22'!H147</f>
        <v>-2810.5600000000559</v>
      </c>
      <c r="I147" s="140"/>
      <c r="J147" s="328">
        <f>H147/DAY(B2)</f>
        <v>-122.19826086956765</v>
      </c>
    </row>
    <row r="148" spans="1:10" ht="30.75" customHeight="1" x14ac:dyDescent="0.5">
      <c r="A148" s="844" t="s">
        <v>193</v>
      </c>
      <c r="B148" s="845"/>
      <c r="C148" s="846"/>
      <c r="D148" s="123" t="s">
        <v>130</v>
      </c>
      <c r="E148" s="95">
        <f>'22'!F148</f>
        <v>687699.44</v>
      </c>
      <c r="F148" s="150">
        <v>687966.96</v>
      </c>
      <c r="G148" s="112">
        <f t="shared" si="11"/>
        <v>267.52000000001863</v>
      </c>
      <c r="H148" s="99">
        <f>G148+'22'!H148</f>
        <v>-1476</v>
      </c>
      <c r="I148" s="124"/>
      <c r="J148" s="328">
        <f>H148/DAY(B2)</f>
        <v>-64.173913043478265</v>
      </c>
    </row>
    <row r="149" spans="1:10" ht="30.75" customHeight="1" x14ac:dyDescent="0.5">
      <c r="A149" s="844" t="s">
        <v>336</v>
      </c>
      <c r="B149" s="845"/>
      <c r="C149" s="846"/>
      <c r="D149" s="227" t="s">
        <v>130</v>
      </c>
      <c r="E149" s="95">
        <f>'22'!F149</f>
        <v>20065.8</v>
      </c>
      <c r="F149" s="227">
        <v>20624.12</v>
      </c>
      <c r="G149" s="112">
        <f t="shared" si="11"/>
        <v>558.31999999999971</v>
      </c>
      <c r="H149" s="99">
        <f>G149+'22'!H149</f>
        <v>-4054.0800000000017</v>
      </c>
      <c r="I149" s="119"/>
      <c r="J149" s="328">
        <f>H149/DAY(B2)</f>
        <v>-176.26434782608703</v>
      </c>
    </row>
    <row r="150" spans="1:10" ht="30.75" customHeight="1" x14ac:dyDescent="0.5">
      <c r="A150" s="844" t="s">
        <v>337</v>
      </c>
      <c r="B150" s="845"/>
      <c r="C150" s="846"/>
      <c r="D150" s="117" t="s">
        <v>130</v>
      </c>
      <c r="E150" s="95">
        <f>'22'!F150</f>
        <v>8866.56</v>
      </c>
      <c r="F150" s="233">
        <v>9087.73</v>
      </c>
      <c r="G150" s="112">
        <f t="shared" si="11"/>
        <v>221.17000000000007</v>
      </c>
      <c r="H150" s="99">
        <f>G150+'22'!H150</f>
        <v>-1763.1000000000004</v>
      </c>
      <c r="I150" s="119"/>
      <c r="J150" s="328">
        <f>H150/DAY(B2)</f>
        <v>-76.656521739130454</v>
      </c>
    </row>
    <row r="151" spans="1:10" ht="30.75" customHeight="1" x14ac:dyDescent="0.5">
      <c r="A151" s="844" t="s">
        <v>338</v>
      </c>
      <c r="B151" s="845"/>
      <c r="C151" s="846"/>
      <c r="D151" s="117" t="s">
        <v>130</v>
      </c>
      <c r="E151" s="95">
        <f>'22'!F151</f>
        <v>83257</v>
      </c>
      <c r="F151" s="233">
        <v>83495</v>
      </c>
      <c r="G151" s="112">
        <f t="shared" si="11"/>
        <v>238</v>
      </c>
      <c r="H151" s="99">
        <f>G151+'22'!H151</f>
        <v>-1985</v>
      </c>
      <c r="I151" s="119"/>
      <c r="J151" s="328">
        <f>H151/DAY(B2)</f>
        <v>-86.304347826086953</v>
      </c>
    </row>
    <row r="152" spans="1:10" ht="30.75" customHeight="1" x14ac:dyDescent="0.5">
      <c r="A152" s="844" t="s">
        <v>339</v>
      </c>
      <c r="B152" s="845"/>
      <c r="C152" s="846"/>
      <c r="D152" s="117" t="s">
        <v>130</v>
      </c>
      <c r="E152" s="95">
        <f>'22'!F152</f>
        <v>1497.94</v>
      </c>
      <c r="F152" s="233">
        <v>1515.98</v>
      </c>
      <c r="G152" s="112">
        <f t="shared" si="11"/>
        <v>18.039999999999964</v>
      </c>
      <c r="H152" s="99">
        <f>G152+'22'!H152</f>
        <v>-144.01999999999998</v>
      </c>
      <c r="I152" s="119"/>
      <c r="J152" s="328">
        <f>H152/DAY(B2)</f>
        <v>-6.2617391304347816</v>
      </c>
    </row>
    <row r="153" spans="1:10" ht="30.75" customHeight="1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2782.3199999999861</v>
      </c>
      <c r="H153" s="363"/>
      <c r="I153" s="119">
        <f>G153-(G38+G52)</f>
        <v>850.24999999998636</v>
      </c>
      <c r="J153" s="366"/>
    </row>
    <row r="154" spans="1:10" ht="30.75" customHeight="1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0.75" customHeight="1" x14ac:dyDescent="0.55000000000000004">
      <c r="A155" s="843" t="s">
        <v>345</v>
      </c>
      <c r="B155" s="843"/>
      <c r="C155" s="843"/>
      <c r="D155" s="117" t="s">
        <v>130</v>
      </c>
      <c r="E155" s="95">
        <f>'22'!F155</f>
        <v>26419.72</v>
      </c>
      <c r="F155" s="374">
        <v>27083</v>
      </c>
      <c r="G155" s="112">
        <f t="shared" ref="G155:G158" si="12">F155-E155</f>
        <v>663.27999999999884</v>
      </c>
      <c r="H155" s="99">
        <f>G155+'22'!H155</f>
        <v>-5862</v>
      </c>
      <c r="I155" s="364"/>
      <c r="J155" s="161">
        <v>329</v>
      </c>
    </row>
    <row r="156" spans="1:10" ht="30.75" customHeight="1" x14ac:dyDescent="0.5">
      <c r="A156" s="843" t="s">
        <v>347</v>
      </c>
      <c r="B156" s="843"/>
      <c r="C156" s="843"/>
      <c r="D156" s="117" t="s">
        <v>130</v>
      </c>
      <c r="E156" s="95">
        <f>'22'!F156</f>
        <v>2228.39</v>
      </c>
      <c r="F156" s="374">
        <v>2279.13</v>
      </c>
      <c r="G156" s="112">
        <f t="shared" si="12"/>
        <v>50.740000000000236</v>
      </c>
      <c r="H156" s="99">
        <f>G156+'22'!H156</f>
        <v>1177.1300000000001</v>
      </c>
      <c r="I156" s="165"/>
      <c r="J156" s="328">
        <f>H156/DAY(B2)</f>
        <v>51.179565217391307</v>
      </c>
    </row>
    <row r="157" spans="1:10" ht="30.75" customHeight="1" x14ac:dyDescent="0.5">
      <c r="A157" s="844" t="s">
        <v>363</v>
      </c>
      <c r="B157" s="845"/>
      <c r="C157" s="846"/>
      <c r="D157" s="117" t="s">
        <v>130</v>
      </c>
      <c r="E157" s="95">
        <f>'22'!F157</f>
        <v>3059.35</v>
      </c>
      <c r="F157" s="95">
        <v>3168.06</v>
      </c>
      <c r="G157" s="112">
        <f t="shared" si="12"/>
        <v>108.71000000000004</v>
      </c>
      <c r="H157" s="99">
        <f>G157+'22'!H157</f>
        <v>447.90000000000009</v>
      </c>
      <c r="I157" s="165"/>
      <c r="J157" s="328">
        <f>H157/DAY(B2)</f>
        <v>19.473913043478266</v>
      </c>
    </row>
    <row r="158" spans="1:10" ht="30.75" customHeight="1" x14ac:dyDescent="0.5">
      <c r="A158" s="844" t="s">
        <v>364</v>
      </c>
      <c r="B158" s="845"/>
      <c r="C158" s="846"/>
      <c r="D158" s="117" t="s">
        <v>130</v>
      </c>
      <c r="E158" s="95">
        <f>'22'!F158</f>
        <v>26.97</v>
      </c>
      <c r="F158" s="95">
        <v>27.11</v>
      </c>
      <c r="G158" s="112">
        <f t="shared" si="12"/>
        <v>0.14000000000000057</v>
      </c>
      <c r="H158" s="99">
        <f>G158+'22'!H158</f>
        <v>2.7699999999999996</v>
      </c>
      <c r="I158" s="165"/>
      <c r="J158" s="328">
        <f>H158/DAY(B2)</f>
        <v>0.12043478260869564</v>
      </c>
    </row>
    <row r="159" spans="1:10" ht="30.75" customHeight="1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0.75" customHeight="1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'22'!F161</f>
        <v>471787</v>
      </c>
      <c r="F161" s="235">
        <v>471803</v>
      </c>
      <c r="G161" s="238">
        <f t="shared" ref="G161:G165" si="13">F161-E161</f>
        <v>16</v>
      </c>
      <c r="H161" s="99">
        <f>G161+'22'!H161</f>
        <v>-250.55999999999767</v>
      </c>
      <c r="I161" s="236"/>
      <c r="J161" s="239">
        <f>H161/DAY(B2)</f>
        <v>-10.893913043478159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'22'!F162</f>
        <v>88242.6</v>
      </c>
      <c r="F162" s="235">
        <v>88256.9</v>
      </c>
      <c r="G162" s="238">
        <f t="shared" si="13"/>
        <v>14.299999999988358</v>
      </c>
      <c r="H162" s="99">
        <f>G162+'22'!H162</f>
        <v>-259.5</v>
      </c>
      <c r="I162" s="236"/>
      <c r="J162" s="239">
        <f>H162/DAY(B2)</f>
        <v>-11.282608695652174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'22'!F163</f>
        <v>78837.3</v>
      </c>
      <c r="F163" s="235">
        <v>78871</v>
      </c>
      <c r="G163" s="238">
        <f t="shared" si="13"/>
        <v>33.69999999999709</v>
      </c>
      <c r="H163" s="99">
        <f>G163+'22'!H163</f>
        <v>-349.10000000000582</v>
      </c>
      <c r="I163" s="236"/>
      <c r="J163" s="239">
        <f>H163/DAY(B2)</f>
        <v>-15.17826086956547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'22'!F164</f>
        <v>4292</v>
      </c>
      <c r="F164" s="235">
        <v>4293.3999999999996</v>
      </c>
      <c r="G164" s="238">
        <f t="shared" si="13"/>
        <v>1.3999999999996362</v>
      </c>
      <c r="H164" s="99">
        <f>G164+'22'!H164</f>
        <v>-26.600000000000364</v>
      </c>
      <c r="I164" s="236"/>
      <c r="J164" s="239">
        <f>H164/DAY(B2)</f>
        <v>-1.1565217391304505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'22'!F165</f>
        <v>29790.69</v>
      </c>
      <c r="F165" s="235">
        <v>29792.66</v>
      </c>
      <c r="G165" s="238">
        <f t="shared" si="13"/>
        <v>1.9700000000011642</v>
      </c>
      <c r="H165" s="99">
        <f>G165+'22'!H165</f>
        <v>-64.590000000000146</v>
      </c>
      <c r="I165" s="236"/>
      <c r="J165" s="239">
        <f>H165/DAY(B2)</f>
        <v>-2.8082608695652236</v>
      </c>
    </row>
    <row r="166" spans="1:10" ht="30.75" customHeight="1" x14ac:dyDescent="0.5">
      <c r="A166" s="852"/>
      <c r="B166" s="852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 x14ac:dyDescent="0.5">
      <c r="A167" s="852"/>
      <c r="B167" s="852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 x14ac:dyDescent="0.5">
      <c r="A168" s="852"/>
      <c r="B168" s="852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30.75" customHeight="1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56" t="s">
        <v>209</v>
      </c>
      <c r="B173" s="857"/>
      <c r="C173" s="333"/>
      <c r="D173" s="228" t="s">
        <v>142</v>
      </c>
      <c r="E173" s="95">
        <f>'22'!F173</f>
        <v>8126</v>
      </c>
      <c r="F173" s="155">
        <v>8126</v>
      </c>
      <c r="G173" s="155">
        <f>F173-E173</f>
        <v>0</v>
      </c>
      <c r="H173" s="99">
        <f>G173+'22'!H173</f>
        <v>0</v>
      </c>
      <c r="I173" s="155"/>
      <c r="J173" s="178">
        <f>H173/DAY(B2)</f>
        <v>0</v>
      </c>
    </row>
    <row r="174" spans="1:10" ht="30.75" customHeight="1" x14ac:dyDescent="0.5">
      <c r="A174" s="856" t="s">
        <v>75</v>
      </c>
      <c r="B174" s="857"/>
      <c r="C174" s="333"/>
      <c r="D174" s="228" t="s">
        <v>142</v>
      </c>
      <c r="E174" s="95">
        <f>'22'!F174</f>
        <v>38501</v>
      </c>
      <c r="F174" s="157">
        <v>38514</v>
      </c>
      <c r="G174" s="155">
        <f t="shared" ref="G174:G175" si="14">F174-E174</f>
        <v>13</v>
      </c>
      <c r="H174" s="99">
        <f>G174+'22'!H174</f>
        <v>273</v>
      </c>
      <c r="I174" s="155"/>
      <c r="J174" s="178">
        <f>H174/DAY(B2)</f>
        <v>11.869565217391305</v>
      </c>
    </row>
    <row r="175" spans="1:10" ht="30.75" customHeight="1" x14ac:dyDescent="0.5">
      <c r="A175" s="856" t="s">
        <v>76</v>
      </c>
      <c r="B175" s="896"/>
      <c r="C175" s="857"/>
      <c r="D175" s="228" t="s">
        <v>142</v>
      </c>
      <c r="E175" s="95">
        <f>'22'!F175</f>
        <v>21724</v>
      </c>
      <c r="F175" s="155">
        <v>21735</v>
      </c>
      <c r="G175" s="155">
        <f t="shared" si="14"/>
        <v>11</v>
      </c>
      <c r="H175" s="99">
        <f>G175+'22'!H175</f>
        <v>-78</v>
      </c>
      <c r="I175" s="155"/>
      <c r="J175" s="178">
        <f>H175/DAY(B2)</f>
        <v>-3.3913043478260869</v>
      </c>
    </row>
    <row r="176" spans="1:10" ht="30.75" customHeight="1" x14ac:dyDescent="0.5">
      <c r="A176" s="847" t="s">
        <v>196</v>
      </c>
      <c r="B176" s="848"/>
      <c r="C176" s="483"/>
      <c r="D176" s="228"/>
      <c r="E176" s="95"/>
      <c r="F176" s="155"/>
      <c r="G176" s="155">
        <f>SUM(G173:G175)</f>
        <v>24</v>
      </c>
      <c r="H176" s="99">
        <f>G176+'22'!H176</f>
        <v>195</v>
      </c>
      <c r="I176" s="155"/>
      <c r="J176" s="178">
        <f>H176/DAY(B2)</f>
        <v>8.4782608695652169</v>
      </c>
    </row>
    <row r="177" spans="1:10" ht="30.75" customHeight="1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 x14ac:dyDescent="0.5">
      <c r="A178" s="856" t="s">
        <v>210</v>
      </c>
      <c r="B178" s="857"/>
      <c r="C178" s="333"/>
      <c r="D178" s="228" t="s">
        <v>142</v>
      </c>
      <c r="E178" s="95">
        <f>'22'!F178</f>
        <v>80790</v>
      </c>
      <c r="F178" s="155">
        <v>80894</v>
      </c>
      <c r="G178" s="155">
        <f>F178-E178</f>
        <v>104</v>
      </c>
      <c r="H178" s="99">
        <f>G178+'22'!H178</f>
        <v>-421</v>
      </c>
      <c r="I178" s="155"/>
      <c r="J178" s="178">
        <f>H178/DAY(B2)</f>
        <v>-18.304347826086957</v>
      </c>
    </row>
    <row r="179" spans="1:10" ht="30.75" customHeight="1" x14ac:dyDescent="0.5">
      <c r="A179" s="856" t="s">
        <v>211</v>
      </c>
      <c r="B179" s="857"/>
      <c r="C179" s="333"/>
      <c r="D179" s="228" t="s">
        <v>142</v>
      </c>
      <c r="E179" s="95">
        <f>'22'!F179</f>
        <v>34370</v>
      </c>
      <c r="F179" s="155">
        <v>34422</v>
      </c>
      <c r="G179" s="155">
        <f t="shared" ref="G179:G180" si="15">F179-E179</f>
        <v>52</v>
      </c>
      <c r="H179" s="99">
        <f>G179+'22'!H179</f>
        <v>-381</v>
      </c>
      <c r="I179" s="155"/>
      <c r="J179" s="178">
        <f>H179/DAY(B2)</f>
        <v>-16.565217391304348</v>
      </c>
    </row>
    <row r="180" spans="1:10" ht="30.75" customHeight="1" x14ac:dyDescent="0.5">
      <c r="A180" s="856" t="s">
        <v>212</v>
      </c>
      <c r="B180" s="857"/>
      <c r="C180" s="333"/>
      <c r="D180" s="228" t="s">
        <v>142</v>
      </c>
      <c r="E180" s="95">
        <f>'22'!F180</f>
        <v>5642</v>
      </c>
      <c r="F180" s="155">
        <v>5644</v>
      </c>
      <c r="G180" s="155">
        <f t="shared" si="15"/>
        <v>2</v>
      </c>
      <c r="H180" s="99">
        <f>G180+'22'!H180</f>
        <v>-58</v>
      </c>
      <c r="I180" s="155"/>
      <c r="J180" s="178">
        <f>H180/DAY(B2)</f>
        <v>-2.5217391304347827</v>
      </c>
    </row>
    <row r="181" spans="1:10" ht="30.75" customHeight="1" x14ac:dyDescent="0.5">
      <c r="A181" s="858" t="s">
        <v>108</v>
      </c>
      <c r="B181" s="859"/>
      <c r="C181" s="483"/>
      <c r="D181" s="228"/>
      <c r="E181" s="95"/>
      <c r="F181" s="155"/>
      <c r="G181" s="155">
        <f>SUM(G178:G180)</f>
        <v>158</v>
      </c>
      <c r="H181" s="99">
        <f>G181+'22'!H181</f>
        <v>-860</v>
      </c>
      <c r="I181" s="155"/>
      <c r="J181" s="178">
        <f>H181/DAY(B2)</f>
        <v>-37.391304347826086</v>
      </c>
    </row>
    <row r="182" spans="1:10" ht="30.75" customHeight="1" x14ac:dyDescent="0.5">
      <c r="A182" s="856" t="s">
        <v>213</v>
      </c>
      <c r="B182" s="857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 x14ac:dyDescent="0.5">
      <c r="A183" s="856" t="s">
        <v>214</v>
      </c>
      <c r="B183" s="857"/>
      <c r="C183" s="334"/>
      <c r="D183" s="228" t="s">
        <v>142</v>
      </c>
      <c r="E183" s="95">
        <f>'22'!F183</f>
        <v>15208</v>
      </c>
      <c r="F183" s="157">
        <v>15244</v>
      </c>
      <c r="G183" s="157">
        <f>F183-E183</f>
        <v>36</v>
      </c>
      <c r="H183" s="99">
        <f>G183+'22'!H183</f>
        <v>-101</v>
      </c>
      <c r="I183" s="155"/>
      <c r="J183" s="178">
        <f>H183/DAY(B2)</f>
        <v>-4.3913043478260869</v>
      </c>
    </row>
    <row r="184" spans="1:10" ht="30.75" customHeight="1" x14ac:dyDescent="0.5">
      <c r="A184" s="856" t="s">
        <v>215</v>
      </c>
      <c r="B184" s="857"/>
      <c r="C184" s="334"/>
      <c r="D184" s="228" t="s">
        <v>142</v>
      </c>
      <c r="E184" s="95">
        <f>'22'!F184</f>
        <v>10433</v>
      </c>
      <c r="F184" s="157">
        <v>10439</v>
      </c>
      <c r="G184" s="157">
        <f t="shared" ref="G184:G185" si="16">F184-E184</f>
        <v>6</v>
      </c>
      <c r="H184" s="99">
        <f>G184+'22'!H184</f>
        <v>-79</v>
      </c>
      <c r="I184" s="155"/>
      <c r="J184" s="178">
        <f>H184/DAY(B2)</f>
        <v>-3.4347826086956523</v>
      </c>
    </row>
    <row r="185" spans="1:10" ht="30.75" customHeight="1" x14ac:dyDescent="0.5">
      <c r="A185" s="856" t="s">
        <v>216</v>
      </c>
      <c r="B185" s="857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 x14ac:dyDescent="0.5">
      <c r="A186" s="847" t="s">
        <v>196</v>
      </c>
      <c r="B186" s="848"/>
      <c r="C186" s="482"/>
      <c r="D186" s="229"/>
      <c r="E186" s="95"/>
      <c r="F186" s="157"/>
      <c r="G186" s="157">
        <f>SUM(G183:G185)</f>
        <v>42</v>
      </c>
      <c r="H186" s="99">
        <f>G186+'22'!H186</f>
        <v>-180</v>
      </c>
      <c r="I186" s="157"/>
      <c r="J186" s="178">
        <f>H186/DAY(B2)</f>
        <v>-7.8260869565217392</v>
      </c>
    </row>
    <row r="187" spans="1:10" ht="30.75" customHeight="1" x14ac:dyDescent="0.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175</v>
      </c>
      <c r="H187" s="99">
        <f>G187+'22'!H187</f>
        <v>-1258</v>
      </c>
      <c r="I187" s="158"/>
      <c r="J187" s="179">
        <f>H187/DAY(B2)</f>
        <v>-54.695652173913047</v>
      </c>
    </row>
    <row r="188" spans="1:10" ht="30.75" customHeight="1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173</v>
      </c>
      <c r="H188" s="99">
        <f>G188+'22'!H188</f>
        <v>1128</v>
      </c>
      <c r="I188" s="158"/>
      <c r="J188" s="179">
        <f>H188/DAY(B2)</f>
        <v>49.043478260869563</v>
      </c>
    </row>
    <row r="189" spans="1:10" ht="30.75" customHeight="1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158</v>
      </c>
      <c r="H189" s="99">
        <f>G189+'22'!H189</f>
        <v>364</v>
      </c>
      <c r="I189" s="158"/>
      <c r="J189" s="179">
        <f>H189/DAY(B2)</f>
        <v>15.826086956521738</v>
      </c>
    </row>
    <row r="190" spans="1:10" ht="30.75" customHeight="1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zoomScale="60" zoomScaleNormal="44" workbookViewId="0">
      <selection activeCell="F159" sqref="F159"/>
    </sheetView>
  </sheetViews>
  <sheetFormatPr defaultColWidth="22.33203125" defaultRowHeight="21.95" customHeight="1" x14ac:dyDescent="0.5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357</v>
      </c>
      <c r="B2" s="262">
        <v>44585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21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0.75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'23'!F7</f>
        <v>514716.83</v>
      </c>
      <c r="F7" s="95">
        <v>531080</v>
      </c>
      <c r="G7" s="112">
        <f>F7-E7</f>
        <v>16363.169999999984</v>
      </c>
      <c r="H7" s="99">
        <f>G7+'23'!H7</f>
        <v>-120100.22999999998</v>
      </c>
      <c r="I7" s="113">
        <f>'1'!I7</f>
        <v>12000</v>
      </c>
      <c r="J7" s="175">
        <f>H7/DAY(B2)</f>
        <v>-5004.1762499999995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'23'!F8</f>
        <v>569714.82999999996</v>
      </c>
      <c r="F8" s="95">
        <v>586591</v>
      </c>
      <c r="G8" s="115">
        <f>F8-E8</f>
        <v>16876.170000000042</v>
      </c>
      <c r="H8" s="99">
        <f>G8+'23'!H8</f>
        <v>-121957.15000000002</v>
      </c>
      <c r="I8" s="116"/>
      <c r="J8" s="175">
        <f>H8/DAY(B2)</f>
        <v>-5081.5479166666673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'23'!F9</f>
        <v>168518.39</v>
      </c>
      <c r="F9" s="598">
        <v>179760</v>
      </c>
      <c r="G9" s="112">
        <f>F9-E9</f>
        <v>11241.609999999986</v>
      </c>
      <c r="H9" s="99">
        <f>G9+'23'!H9</f>
        <v>-102493.85</v>
      </c>
      <c r="I9" s="124">
        <f>I7-J7</f>
        <v>17004.17625</v>
      </c>
      <c r="J9" s="175">
        <f>H9/DAY(B2)</f>
        <v>-4270.5770833333336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'23'!F10</f>
        <v>86539.68</v>
      </c>
      <c r="F10" s="353">
        <v>91182</v>
      </c>
      <c r="G10" s="112">
        <f t="shared" ref="G10:G12" si="0">F10-E10</f>
        <v>4642.320000000007</v>
      </c>
      <c r="H10" s="99">
        <f>G10+'23'!H10</f>
        <v>-14076.970000000001</v>
      </c>
      <c r="I10" s="282"/>
      <c r="J10" s="175">
        <f>H10/DAY(B2)</f>
        <v>-586.54041666666672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'23'!F11</f>
        <v>37170</v>
      </c>
      <c r="F11" s="95">
        <v>37170</v>
      </c>
      <c r="G11" s="112">
        <f t="shared" si="0"/>
        <v>0</v>
      </c>
      <c r="H11" s="99">
        <f>G11+'23'!H11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15883.929999999993</v>
      </c>
      <c r="H13" s="99">
        <f>G13+'23'!H13</f>
        <v>-133325.25</v>
      </c>
      <c r="I13" s="120">
        <f>G7-G13</f>
        <v>479.23999999999069</v>
      </c>
      <c r="J13" s="175">
        <f>H13/DAY(B2)</f>
        <v>-5555.21875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'23'!F15</f>
        <v>1899076.92</v>
      </c>
      <c r="F15" s="123">
        <v>1900114</v>
      </c>
      <c r="G15" s="112">
        <f>(F15-E15)</f>
        <v>1037.0800000000745</v>
      </c>
      <c r="H15" s="99">
        <f>G15+'23'!H15</f>
        <v>24057.233000000007</v>
      </c>
      <c r="I15" s="113">
        <f>'1'!I15</f>
        <v>800</v>
      </c>
      <c r="J15" s="175">
        <f>H15/DAY(B2)</f>
        <v>1002.3847083333336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-202.38470833333361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'23'!F18</f>
        <v>16</v>
      </c>
      <c r="F18" s="122">
        <v>16</v>
      </c>
      <c r="G18" s="119">
        <f>F18*10</f>
        <v>160</v>
      </c>
      <c r="H18" s="99">
        <f>G18+'23'!H18</f>
        <v>4020</v>
      </c>
      <c r="I18" s="113">
        <f>'1'!I18</f>
        <v>65</v>
      </c>
      <c r="J18" s="175">
        <f>H18/DAY(B2)</f>
        <v>167.5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'23'!F19</f>
        <v>153461</v>
      </c>
      <c r="F19" s="122">
        <v>153513</v>
      </c>
      <c r="G19" s="112">
        <f t="shared" ref="G19" si="1">F19-E19</f>
        <v>52</v>
      </c>
      <c r="H19" s="99">
        <f>G19+'23'!H19</f>
        <v>-378</v>
      </c>
      <c r="I19" s="335"/>
      <c r="J19" s="175">
        <f>H19/DAY(B2)</f>
        <v>-15.75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212</v>
      </c>
      <c r="H20" s="99">
        <f>G20+'23'!H20</f>
        <v>3642</v>
      </c>
      <c r="I20" s="336">
        <f>I18-J20</f>
        <v>-86.75</v>
      </c>
      <c r="J20" s="175">
        <f>H20/DAY(B2)</f>
        <v>151.75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110</v>
      </c>
      <c r="I23" s="118"/>
      <c r="J23" s="175">
        <f>H23/DAY(B2)</f>
        <v>4.583333333333333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110</v>
      </c>
      <c r="I24" s="118"/>
      <c r="J24" s="175">
        <f>H24/DAY(B2)</f>
        <v>4.583333333333333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16876.170000000042</v>
      </c>
      <c r="F27" s="136">
        <v>9</v>
      </c>
      <c r="G27" s="137">
        <f>E27*F27</f>
        <v>151885.53000000038</v>
      </c>
      <c r="H27" s="99">
        <f>G27+'23'!H27</f>
        <v>-1097614.3500000001</v>
      </c>
      <c r="I27" s="138"/>
      <c r="J27" s="175">
        <f>H27/DAY(B2)</f>
        <v>-45733.931250000001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1037.0800000000745</v>
      </c>
      <c r="F28" s="136">
        <v>52</v>
      </c>
      <c r="G28" s="137">
        <f>E28*F28</f>
        <v>53928.160000003874</v>
      </c>
      <c r="H28" s="99">
        <f>G28+'23'!H28</f>
        <v>1284330.1160000004</v>
      </c>
      <c r="I28" s="140"/>
      <c r="J28" s="175">
        <f>H28/DAY(B2)</f>
        <v>53513.754833333347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7590</v>
      </c>
      <c r="I29" s="140"/>
      <c r="J29" s="175">
        <f>H29/DAY(B2)</f>
        <v>316.25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G30+'23'!H30</f>
        <v>-62998</v>
      </c>
      <c r="I30" s="140"/>
      <c r="J30" s="175">
        <f>H30/DAY(B2)</f>
        <v>-2624.9166666666665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G31+'23'!H31</f>
        <v>321600</v>
      </c>
      <c r="I31" s="140"/>
      <c r="J31" s="175">
        <f>H31/DAY(B2)</f>
        <v>13400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226205.69000000425</v>
      </c>
      <c r="H32" s="99">
        <f>G32+'23'!H32</f>
        <v>452907.76600000029</v>
      </c>
      <c r="I32" s="144"/>
      <c r="J32" s="175">
        <f>H32/DAY(B2)</f>
        <v>18871.156916666678</v>
      </c>
      <c r="K32" s="63"/>
      <c r="L32" s="89"/>
      <c r="N32" s="87"/>
      <c r="O32" s="71"/>
    </row>
    <row r="33" spans="1:15" ht="25.5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'23'!F35</f>
        <v>22026.29</v>
      </c>
      <c r="F35" s="145">
        <v>23208</v>
      </c>
      <c r="G35" s="112">
        <f t="shared" ref="G35:G46" si="3">F35-E35</f>
        <v>1181.7099999999991</v>
      </c>
      <c r="H35" s="99">
        <f>G35+'23'!H35</f>
        <v>-8796.9799999999959</v>
      </c>
      <c r="I35" s="95"/>
      <c r="J35" s="175">
        <f>H35/DAY(B2)</f>
        <v>-366.54083333333318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'23'!F36</f>
        <v>37983.300000000003</v>
      </c>
      <c r="F36" s="145">
        <v>38640</v>
      </c>
      <c r="G36" s="112">
        <f t="shared" si="3"/>
        <v>656.69999999999709</v>
      </c>
      <c r="H36" s="99">
        <f>G36+'23'!H36</f>
        <v>-4818.739999999998</v>
      </c>
      <c r="I36" s="95"/>
      <c r="J36" s="175">
        <f>H36/DAY(B2)</f>
        <v>-200.78083333333325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'23'!F37</f>
        <v>22742.49</v>
      </c>
      <c r="F37" s="145">
        <v>24388</v>
      </c>
      <c r="G37" s="112">
        <f t="shared" si="3"/>
        <v>1645.5099999999984</v>
      </c>
      <c r="H37" s="99">
        <f>G37+'23'!H37</f>
        <v>-11037.089999999997</v>
      </c>
      <c r="I37" s="95"/>
      <c r="J37" s="175">
        <f>H37/DAY(B2)</f>
        <v>-459.87874999999985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'23'!F38</f>
        <v>24491.61</v>
      </c>
      <c r="F38" s="108">
        <v>26318</v>
      </c>
      <c r="G38" s="112">
        <f t="shared" si="3"/>
        <v>1826.3899999999994</v>
      </c>
      <c r="H38" s="99">
        <f>G38+'23'!H38</f>
        <v>-12058.43</v>
      </c>
      <c r="I38" s="95"/>
      <c r="J38" s="175">
        <f>H38/DAY(B2)</f>
        <v>-502.43458333333336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'23'!F39</f>
        <v>38330.800000000003</v>
      </c>
      <c r="F39" s="145">
        <v>40938</v>
      </c>
      <c r="G39" s="112">
        <f t="shared" si="3"/>
        <v>2607.1999999999971</v>
      </c>
      <c r="H39" s="99">
        <f>G39+'23'!H39</f>
        <v>-18235.290000000005</v>
      </c>
      <c r="I39" s="95"/>
      <c r="J39" s="175">
        <f>H39/DAY(B2)</f>
        <v>-759.80375000000015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'23'!F40</f>
        <v>15533.76</v>
      </c>
      <c r="F40" s="145">
        <v>16184</v>
      </c>
      <c r="G40" s="112">
        <f t="shared" si="3"/>
        <v>650.23999999999978</v>
      </c>
      <c r="H40" s="99">
        <f>G40+'23'!H40</f>
        <v>-5932.9900000000016</v>
      </c>
      <c r="I40" s="95"/>
      <c r="J40" s="175">
        <f>H40/DAY(B2)</f>
        <v>-247.20791666666673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'23'!F41</f>
        <v>0</v>
      </c>
      <c r="F41" s="145">
        <v>0</v>
      </c>
      <c r="G41" s="112">
        <f t="shared" si="3"/>
        <v>0</v>
      </c>
      <c r="H41" s="99">
        <f>G41+'23'!H41</f>
        <v>-62.73</v>
      </c>
      <c r="I41" s="95"/>
      <c r="J41" s="175">
        <f>H41/DAY(B2)</f>
        <v>-2.61375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'23'!F42</f>
        <v>73808.600000000006</v>
      </c>
      <c r="F42" s="145">
        <v>73808.600000000006</v>
      </c>
      <c r="G42" s="112">
        <f t="shared" si="3"/>
        <v>0</v>
      </c>
      <c r="H42" s="99">
        <f>G42+'23'!H42</f>
        <v>35730.86</v>
      </c>
      <c r="I42" s="95"/>
      <c r="J42" s="175">
        <f>H42/DAY(B2)</f>
        <v>1488.7858333333334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'23'!F43</f>
        <v>99079.59</v>
      </c>
      <c r="F43" s="145">
        <v>101167</v>
      </c>
      <c r="G43" s="112">
        <f t="shared" si="3"/>
        <v>2087.4100000000035</v>
      </c>
      <c r="H43" s="99">
        <f>G43+'23'!H43</f>
        <v>52344.399999999994</v>
      </c>
      <c r="I43" s="95"/>
      <c r="J43" s="175">
        <f>H43/DAY(B2)</f>
        <v>2181.0166666666664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10655.159999999994</v>
      </c>
      <c r="H47" s="99">
        <f>G47+'23'!H47</f>
        <v>27133.010000000002</v>
      </c>
      <c r="I47" s="95"/>
      <c r="J47" s="175">
        <f>H47/DAY(B2)</f>
        <v>1130.5420833333335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'23'!F49</f>
        <v>18159.7</v>
      </c>
      <c r="F49" s="145">
        <v>19015</v>
      </c>
      <c r="G49" s="112">
        <f t="shared" ref="G49:G58" si="4">F49-E49</f>
        <v>855.29999999999927</v>
      </c>
      <c r="H49" s="99">
        <f>G49+'23'!H49</f>
        <v>-5981.1899999999987</v>
      </c>
      <c r="I49" s="95"/>
      <c r="J49" s="175">
        <f>H49/DAY(B2)</f>
        <v>-249.21624999999995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'23'!F50</f>
        <v>48234.36</v>
      </c>
      <c r="F50" s="145">
        <v>49249</v>
      </c>
      <c r="G50" s="112">
        <f t="shared" si="4"/>
        <v>1014.6399999999994</v>
      </c>
      <c r="H50" s="99">
        <f>G50+'23'!H50</f>
        <v>-7137.6299999999974</v>
      </c>
      <c r="I50" s="95"/>
      <c r="J50" s="175">
        <f>H50/DAY(B2)</f>
        <v>-297.40124999999989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'23'!F51</f>
        <v>0</v>
      </c>
      <c r="F51" s="145">
        <v>0</v>
      </c>
      <c r="G51" s="112">
        <f t="shared" si="4"/>
        <v>0</v>
      </c>
      <c r="H51" s="99">
        <f>G51+'23'!H51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'23'!F52</f>
        <v>0</v>
      </c>
      <c r="F52" s="145">
        <v>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'23'!F54</f>
        <v>5147.42</v>
      </c>
      <c r="F54" s="145">
        <v>5147</v>
      </c>
      <c r="G54" s="112">
        <f t="shared" si="4"/>
        <v>-0.42000000000007276</v>
      </c>
      <c r="H54" s="99">
        <f>G54+'23'!H54</f>
        <v>-0.42000000000007276</v>
      </c>
      <c r="I54" s="95"/>
      <c r="J54" s="175">
        <f>H54/DAY(B2)</f>
        <v>-1.750000000000303E-2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'23'!F55</f>
        <v>71881.67</v>
      </c>
      <c r="F55" s="145">
        <v>74366</v>
      </c>
      <c r="G55" s="112">
        <f t="shared" si="4"/>
        <v>2484.3300000000017</v>
      </c>
      <c r="H55" s="99">
        <f>G55+'23'!H55</f>
        <v>-0.11000000000058208</v>
      </c>
      <c r="I55" s="95"/>
      <c r="J55" s="175">
        <f>H55/DAY(B2)</f>
        <v>-4.5833333333575865E-3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'23'!F56</f>
        <v>8610.5400000000009</v>
      </c>
      <c r="F56" s="145">
        <v>8610.5400000000009</v>
      </c>
      <c r="G56" s="112">
        <f t="shared" si="4"/>
        <v>0</v>
      </c>
      <c r="H56" s="99">
        <f>G56+'23'!H56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'23'!F58</f>
        <v>3270.59</v>
      </c>
      <c r="F58" s="145">
        <v>3485</v>
      </c>
      <c r="G58" s="112">
        <f t="shared" si="4"/>
        <v>214.40999999999985</v>
      </c>
      <c r="H58" s="99">
        <f>G58+'23'!H58</f>
        <v>-1311.21</v>
      </c>
      <c r="I58" s="95"/>
      <c r="J58" s="175">
        <f>H58/DAY(B2)</f>
        <v>-54.633749999999999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4568.26</v>
      </c>
      <c r="H59" s="99">
        <f>G59+'23'!H59</f>
        <v>-14430.560000000014</v>
      </c>
      <c r="I59" s="95">
        <f>G7-G60</f>
        <v>1139.7499999999891</v>
      </c>
      <c r="J59" s="175">
        <f>H59/DAY(B2)</f>
        <v>-601.27333333333388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15223.419999999995</v>
      </c>
      <c r="H60" s="99">
        <f>G60+'23'!H60</f>
        <v>12702.449999999979</v>
      </c>
      <c r="I60" s="95">
        <f>G13-G60</f>
        <v>660.5099999999984</v>
      </c>
      <c r="J60" s="175">
        <f>H60/DAY(B2)</f>
        <v>529.26874999999916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'23'!F62</f>
        <v>268688</v>
      </c>
      <c r="F62" s="122">
        <v>268812</v>
      </c>
      <c r="G62" s="112">
        <f t="shared" ref="G62:G63" si="5">F62-E62</f>
        <v>124</v>
      </c>
      <c r="H62" s="99">
        <f>G62+'23'!H62</f>
        <v>-704</v>
      </c>
      <c r="I62" s="118"/>
      <c r="J62" s="175">
        <f>H62/DAY(B2)</f>
        <v>-29.333333333333332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'23'!F63</f>
        <v>214770</v>
      </c>
      <c r="F63" s="122">
        <v>214838</v>
      </c>
      <c r="G63" s="112">
        <f t="shared" si="5"/>
        <v>68</v>
      </c>
      <c r="H63" s="99">
        <f>G63+'23'!H63</f>
        <v>2762</v>
      </c>
      <c r="I63" s="118"/>
      <c r="J63" s="175">
        <f>H63/DAY(B2)</f>
        <v>115.08333333333333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'23'!F64</f>
        <v>0</v>
      </c>
      <c r="F64" s="122"/>
      <c r="G64" s="112">
        <f>G62+G63</f>
        <v>192</v>
      </c>
      <c r="H64" s="99">
        <f>G64+'23'!H64</f>
        <v>2058</v>
      </c>
      <c r="I64" s="118"/>
      <c r="J64" s="175">
        <f>H64/DAY(B2)</f>
        <v>85.75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'23'!F65</f>
        <v>434226</v>
      </c>
      <c r="F65" s="122">
        <v>434329</v>
      </c>
      <c r="G65" s="112">
        <f t="shared" ref="G65:G70" si="6">F65-E65</f>
        <v>103</v>
      </c>
      <c r="H65" s="99">
        <f>G65+'23'!H65</f>
        <v>-594</v>
      </c>
      <c r="I65" s="118"/>
      <c r="J65" s="175">
        <f>H65/DAY(B2)</f>
        <v>-24.75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'23'!F66</f>
        <v>107593</v>
      </c>
      <c r="F66" s="122">
        <v>107607</v>
      </c>
      <c r="G66" s="112">
        <f t="shared" si="6"/>
        <v>14</v>
      </c>
      <c r="H66" s="99">
        <f>G66+'23'!H66</f>
        <v>-136</v>
      </c>
      <c r="I66" s="118"/>
      <c r="J66" s="175">
        <f>H66/DAY(B2)</f>
        <v>-5.666666666666667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'23'!F67</f>
        <v>104455</v>
      </c>
      <c r="F67" s="122">
        <v>104480</v>
      </c>
      <c r="G67" s="112">
        <f t="shared" si="6"/>
        <v>25</v>
      </c>
      <c r="H67" s="99">
        <f>G67+'23'!H67</f>
        <v>-168</v>
      </c>
      <c r="I67" s="118"/>
      <c r="J67" s="175">
        <f>H67/DAY(B2)</f>
        <v>-7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'23'!F68</f>
        <v>157314</v>
      </c>
      <c r="F68" s="122">
        <v>157347</v>
      </c>
      <c r="G68" s="112">
        <f t="shared" si="6"/>
        <v>33</v>
      </c>
      <c r="H68" s="99">
        <f>G68+'23'!H68</f>
        <v>-350</v>
      </c>
      <c r="I68" s="118"/>
      <c r="J68" s="175">
        <f>H68/DAY(B2)</f>
        <v>-14.583333333333334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'23'!F69</f>
        <v>10458</v>
      </c>
      <c r="F69" s="122">
        <v>10489</v>
      </c>
      <c r="G69" s="112">
        <f t="shared" si="6"/>
        <v>31</v>
      </c>
      <c r="H69" s="99">
        <f>G69+'23'!H69</f>
        <v>-52</v>
      </c>
      <c r="I69" s="118"/>
      <c r="J69" s="175">
        <f>H69/DAY(B2)</f>
        <v>-2.1666666666666665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'23'!F70</f>
        <v>8022</v>
      </c>
      <c r="F70" s="122">
        <v>8030</v>
      </c>
      <c r="G70" s="112">
        <f t="shared" si="6"/>
        <v>8</v>
      </c>
      <c r="H70" s="99">
        <f>G70+'23'!H70</f>
        <v>-90</v>
      </c>
      <c r="I70" s="118"/>
      <c r="J70" s="175">
        <f>H70/DAY(B2)</f>
        <v>-3.75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214</v>
      </c>
      <c r="H71" s="99">
        <f>G71+'23'!H71</f>
        <v>-1390</v>
      </c>
      <c r="I71" s="154"/>
      <c r="J71" s="175">
        <f>H71/DAY(B2)</f>
        <v>-57.916666666666664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'23'!F74</f>
        <v>898862.81</v>
      </c>
      <c r="F74" s="117">
        <v>899174</v>
      </c>
      <c r="G74" s="112">
        <f t="shared" ref="G74:G78" si="7">F74-E74</f>
        <v>311.18999999994412</v>
      </c>
      <c r="H74" s="99">
        <f>G74+'23'!H74</f>
        <v>-2132.1489999999758</v>
      </c>
      <c r="I74" s="154"/>
      <c r="J74" s="175">
        <f>H74/DAY(B2)</f>
        <v>-88.839541666665653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'23'!F76</f>
        <v>169204</v>
      </c>
      <c r="F76" s="123">
        <v>169318</v>
      </c>
      <c r="G76" s="112">
        <f t="shared" si="7"/>
        <v>114</v>
      </c>
      <c r="H76" s="99">
        <f>G76+'23'!H76</f>
        <v>-657</v>
      </c>
      <c r="I76" s="154"/>
      <c r="J76" s="175">
        <f>H76/DAY(B2)</f>
        <v>-27.375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'23'!F77</f>
        <v>41023</v>
      </c>
      <c r="F77" s="123">
        <v>41057</v>
      </c>
      <c r="G77" s="112">
        <f t="shared" si="7"/>
        <v>34</v>
      </c>
      <c r="H77" s="99">
        <f>G77+'23'!H77</f>
        <v>-245.19999999999709</v>
      </c>
      <c r="I77" s="154"/>
      <c r="J77" s="175">
        <f>H77/DAY(B2)</f>
        <v>-10.216666666666546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'23'!F78</f>
        <v>9507</v>
      </c>
      <c r="F78" s="123">
        <v>9508</v>
      </c>
      <c r="G78" s="112">
        <f t="shared" si="7"/>
        <v>1</v>
      </c>
      <c r="H78" s="99">
        <f>G78+'23'!H78</f>
        <v>-8</v>
      </c>
      <c r="I78" s="118"/>
      <c r="J78" s="175">
        <f>H78/DAY(B2)</f>
        <v>-0.33333333333333331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'23'!F79</f>
        <v>0</v>
      </c>
      <c r="F79" s="117"/>
      <c r="G79" s="112">
        <f>G15-SUM(G74:G78)</f>
        <v>576.89000000013039</v>
      </c>
      <c r="H79" s="99">
        <f>G79+'23'!H79</f>
        <v>27099.58199999998</v>
      </c>
      <c r="I79" s="118"/>
      <c r="J79" s="175">
        <f>H79/DAY(B2)</f>
        <v>1129.1492499999993</v>
      </c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1037.0800000000745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'23'!F84</f>
        <v>41675.4</v>
      </c>
      <c r="F84" s="164">
        <v>41675</v>
      </c>
      <c r="G84" s="112">
        <f t="shared" si="8"/>
        <v>-0.40000000000145519</v>
      </c>
      <c r="H84" s="99">
        <f>G84+'23'!H84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'23'!F85</f>
        <v>2096.56</v>
      </c>
      <c r="F85" s="164">
        <v>2096.56</v>
      </c>
      <c r="G85" s="112">
        <f t="shared" si="8"/>
        <v>0</v>
      </c>
      <c r="H85" s="99">
        <f>G85+'23'!H85</f>
        <v>-163.86000000000013</v>
      </c>
      <c r="I85" s="118">
        <f>G82+G83+G84+G85</f>
        <v>-0.40000000000145519</v>
      </c>
      <c r="J85" s="175">
        <f>H85/DAY(B2)</f>
        <v>-6.827500000000005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'23'!F86</f>
        <v>43418.11</v>
      </c>
      <c r="F86" s="164">
        <v>43442</v>
      </c>
      <c r="G86" s="112">
        <f t="shared" si="8"/>
        <v>23.889999999999418</v>
      </c>
      <c r="H86" s="99">
        <f>G86+'23'!H86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'23'!F87</f>
        <v>34598.550000000003</v>
      </c>
      <c r="F87" s="164">
        <v>34598.550000000003</v>
      </c>
      <c r="G87" s="112">
        <f t="shared" si="8"/>
        <v>0</v>
      </c>
      <c r="H87" s="99">
        <f>G87+'23'!H87</f>
        <v>5.0000000002910383E-2</v>
      </c>
      <c r="I87" s="118"/>
      <c r="J87" s="175">
        <f>H87/DAY(B2)</f>
        <v>2.0833333334545991E-3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'23'!F88</f>
        <v>24063.38</v>
      </c>
      <c r="F88" s="164">
        <v>24063</v>
      </c>
      <c r="G88" s="112">
        <f t="shared" si="8"/>
        <v>-0.38000000000101863</v>
      </c>
      <c r="H88" s="99">
        <f>G88+'23'!H88</f>
        <v>-0.43000000000029104</v>
      </c>
      <c r="I88" s="118">
        <f>G86+G87+G88</f>
        <v>23.509999999998399</v>
      </c>
      <c r="J88" s="175">
        <f>H88/DAY(B2)</f>
        <v>-1.7916666666678793E-2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'23'!F89</f>
        <v>25818.61</v>
      </c>
      <c r="F89" s="164">
        <v>25829</v>
      </c>
      <c r="G89" s="112">
        <f t="shared" si="8"/>
        <v>10.389999999999418</v>
      </c>
      <c r="H89" s="99">
        <f>G89+'23'!H89</f>
        <v>-62.119999999998981</v>
      </c>
      <c r="I89" s="118"/>
      <c r="J89" s="175">
        <f>H89/DAY(B2)</f>
        <v>-2.5883333333332907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'23'!F90</f>
        <v>71143.37</v>
      </c>
      <c r="F90" s="164">
        <v>71146</v>
      </c>
      <c r="G90" s="112">
        <f t="shared" si="8"/>
        <v>2.6300000000046566</v>
      </c>
      <c r="H90" s="99">
        <f>G90+'23'!H90</f>
        <v>-17.320000000006985</v>
      </c>
      <c r="I90" s="118">
        <f>G89+G90</f>
        <v>13.020000000004075</v>
      </c>
      <c r="J90" s="175">
        <f>H90/DAY(B2)</f>
        <v>-0.72166666666695767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'23'!F91</f>
        <v>3226.32</v>
      </c>
      <c r="F91" s="122">
        <v>3226.32</v>
      </c>
      <c r="G91" s="112">
        <f t="shared" si="8"/>
        <v>0</v>
      </c>
      <c r="H91" s="99">
        <f>G91+'23'!H91</f>
        <v>-24.769999999999982</v>
      </c>
      <c r="I91" s="165"/>
      <c r="J91" s="175">
        <f>H91/DAY(B2)</f>
        <v>-1.0320833333333326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'23'!F92</f>
        <v>5677.67</v>
      </c>
      <c r="F92" s="122">
        <v>5689</v>
      </c>
      <c r="G92" s="112">
        <f t="shared" si="8"/>
        <v>11.329999999999927</v>
      </c>
      <c r="H92" s="99">
        <f>G92+'23'!H92</f>
        <v>-52.069999999999709</v>
      </c>
      <c r="I92" s="165"/>
      <c r="J92" s="175">
        <f>H92/DAY(B2)</f>
        <v>-2.1695833333333212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4124.4200000000019</v>
      </c>
      <c r="H94" s="99">
        <f>G94+'23'!H94</f>
        <v>37566.229999999996</v>
      </c>
      <c r="I94" s="118"/>
      <c r="J94" s="175">
        <f>H94/DAY(B2)</f>
        <v>1565.2595833333332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0.25205507245845432</v>
      </c>
      <c r="H95" s="99">
        <f>G95+'23'!H95</f>
        <v>6.0814097709980004</v>
      </c>
      <c r="I95" s="167"/>
      <c r="J95" s="175">
        <f>H95/DAY(B2)</f>
        <v>0.25339207379158335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2484.3300000000017</v>
      </c>
      <c r="H96" s="99">
        <f>G96+'23'!H96</f>
        <v>35668.019999999997</v>
      </c>
      <c r="I96" s="118"/>
      <c r="J96" s="175">
        <f>H96/DAY(B2)</f>
        <v>1486.1674999999998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0.15182449366473638</v>
      </c>
      <c r="H97" s="99">
        <f>G97+'23'!H97</f>
        <v>4.3013816448081403</v>
      </c>
      <c r="I97" s="167"/>
      <c r="J97" s="175">
        <f>H97/DAY(B2)</f>
        <v>0.17922423520033917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2607.1999999999971</v>
      </c>
      <c r="H98" s="99">
        <f>G98+'23'!H98</f>
        <v>-18235.290000000005</v>
      </c>
      <c r="I98" s="168"/>
      <c r="J98" s="175">
        <f>H98/DAY(B2)</f>
        <v>-759.80375000000015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0.15933342989164079</v>
      </c>
      <c r="H99" s="99">
        <f>G99+'23'!H99</f>
        <v>3.5071887140681031</v>
      </c>
      <c r="I99" s="168"/>
      <c r="J99" s="175">
        <f>H99/DAY(B2)</f>
        <v>0.14613286308617096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1826.3899999999994</v>
      </c>
      <c r="H100" s="99">
        <f>G100+'23'!H100</f>
        <v>-12058.43</v>
      </c>
      <c r="I100" s="118"/>
      <c r="J100" s="175">
        <f>H100/DAY(B2)</f>
        <v>-502.43458333333336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0.11161590327546565</v>
      </c>
      <c r="H101" s="99">
        <f>G101+'23'!H101</f>
        <v>2.2885293310864272</v>
      </c>
      <c r="I101" s="168"/>
      <c r="J101" s="175">
        <f>H101/DAY(B2)</f>
        <v>9.5355388795267795E-2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1671.3399999999965</v>
      </c>
      <c r="H102" s="99">
        <f>G102+'23'!H102</f>
        <v>-11956.369999999995</v>
      </c>
      <c r="I102" s="168"/>
      <c r="J102" s="175">
        <f>H102/DAY(B2)</f>
        <v>-498.18208333333314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0.1021403554445745</v>
      </c>
      <c r="H103" s="99">
        <f>G103+'23'!H103</f>
        <v>2.5082317392636884</v>
      </c>
      <c r="I103" s="118"/>
      <c r="J103" s="175">
        <f>H103/DAY(B2)</f>
        <v>0.10450965580265369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1645.5099999999984</v>
      </c>
      <c r="H104" s="99">
        <f>G104+'23'!H104</f>
        <v>-11037.089999999997</v>
      </c>
      <c r="I104" s="118"/>
      <c r="J104" s="175">
        <f>H104/DAY(B2)</f>
        <v>-459.87874999999985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0.10056181045604244</v>
      </c>
      <c r="H105" s="99">
        <f>G105+'23'!H105</f>
        <v>2.041442086879631</v>
      </c>
      <c r="I105" s="187"/>
      <c r="J105" s="188">
        <f>H105/DAY(B2)</f>
        <v>8.5060086953317959E-2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'23'!F112</f>
        <v>57434.45</v>
      </c>
      <c r="F112" s="237">
        <v>57510</v>
      </c>
      <c r="G112" s="112">
        <f t="shared" ref="G112:G123" si="9">F112-E112</f>
        <v>75.55000000000291</v>
      </c>
      <c r="H112" s="99">
        <f>G112+'23'!H112</f>
        <v>-544</v>
      </c>
      <c r="I112" s="165"/>
      <c r="J112" s="328">
        <f>H112/DAY(B2)</f>
        <v>-22.666666666666668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'23'!F113</f>
        <v>42682.3</v>
      </c>
      <c r="F113" s="237">
        <v>43154</v>
      </c>
      <c r="G113" s="112">
        <f t="shared" si="9"/>
        <v>471.69999999999709</v>
      </c>
      <c r="H113" s="99">
        <f>G113+'23'!H113</f>
        <v>-3246.8899999999994</v>
      </c>
      <c r="I113" s="165"/>
      <c r="J113" s="328">
        <f>H113/DAY(B2)</f>
        <v>-135.2870833333333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'23'!F114</f>
        <v>31084.35</v>
      </c>
      <c r="F114" s="237">
        <v>31346</v>
      </c>
      <c r="G114" s="112">
        <f t="shared" si="9"/>
        <v>261.65000000000146</v>
      </c>
      <c r="H114" s="99">
        <f>G114+'23'!H114</f>
        <v>-1947.6000000000004</v>
      </c>
      <c r="I114" s="165"/>
      <c r="J114" s="328">
        <f>H114/DAY(B2)</f>
        <v>-81.15000000000002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'23'!F115</f>
        <v>9020.7800000000007</v>
      </c>
      <c r="F115" s="237">
        <v>9029</v>
      </c>
      <c r="G115" s="112">
        <f t="shared" si="9"/>
        <v>8.2199999999993452</v>
      </c>
      <c r="H115" s="99">
        <f>G115+'23'!H115</f>
        <v>-65.649999999999636</v>
      </c>
      <c r="I115" s="165"/>
      <c r="J115" s="328">
        <f>H115/DAY(B2)</f>
        <v>-2.7354166666666515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'23'!F116</f>
        <v>0</v>
      </c>
      <c r="F116" s="237">
        <v>0</v>
      </c>
      <c r="G116" s="112">
        <f t="shared" si="9"/>
        <v>0</v>
      </c>
      <c r="H116" s="99">
        <f>G116+'23'!H116</f>
        <v>0</v>
      </c>
      <c r="I116" s="165"/>
      <c r="J116" s="328">
        <f>H116/DAY(B2)</f>
        <v>0</v>
      </c>
      <c r="Q116" s="863"/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'23'!F117</f>
        <v>3138.48</v>
      </c>
      <c r="F117" s="237">
        <v>3161</v>
      </c>
      <c r="G117" s="112">
        <f t="shared" si="9"/>
        <v>22.519999999999982</v>
      </c>
      <c r="H117" s="99">
        <f>G117+'23'!H117</f>
        <v>-176.94999999999982</v>
      </c>
      <c r="I117" s="165"/>
      <c r="J117" s="328">
        <f>H117/DAY(B2)</f>
        <v>-7.3729166666666588</v>
      </c>
      <c r="Q117" s="863"/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'23'!F118</f>
        <v>249730.91</v>
      </c>
      <c r="F118" s="237">
        <v>250107</v>
      </c>
      <c r="G118" s="112">
        <f t="shared" si="9"/>
        <v>376.08999999999651</v>
      </c>
      <c r="H118" s="99">
        <f>G118+'23'!H118</f>
        <v>-2345.3099999999977</v>
      </c>
      <c r="I118" s="165"/>
      <c r="J118" s="328">
        <f>H118/DAY(B2)</f>
        <v>-97.721249999999898</v>
      </c>
      <c r="Q118" s="863"/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'23'!F119</f>
        <v>254824.83</v>
      </c>
      <c r="F119" s="237">
        <v>255232</v>
      </c>
      <c r="G119" s="112">
        <f t="shared" si="9"/>
        <v>407.17000000001281</v>
      </c>
      <c r="H119" s="99">
        <f>G119+'23'!H119</f>
        <v>-2916.5499999999884</v>
      </c>
      <c r="I119" s="165"/>
      <c r="J119" s="328">
        <f>H119/DAY(B2)</f>
        <v>-121.52291666666618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'23'!F120</f>
        <v>39631.870000000003</v>
      </c>
      <c r="F120" s="237">
        <v>40045.769999999997</v>
      </c>
      <c r="G120" s="112">
        <f t="shared" si="9"/>
        <v>413.89999999999418</v>
      </c>
      <c r="H120" s="99">
        <f>G120+'23'!H120</f>
        <v>-2913.8400000000038</v>
      </c>
      <c r="I120" s="165"/>
      <c r="J120" s="328">
        <f>H120/DAY(B2)</f>
        <v>-121.41000000000015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'23'!F121</f>
        <v>392394.07</v>
      </c>
      <c r="F121" s="237">
        <v>393054</v>
      </c>
      <c r="G121" s="112">
        <f t="shared" si="9"/>
        <v>659.92999999999302</v>
      </c>
      <c r="H121" s="99">
        <f>G121+'23'!H121</f>
        <v>-4980.429999999993</v>
      </c>
      <c r="I121" s="165"/>
      <c r="J121" s="328">
        <f>H121/DAY(B2)</f>
        <v>-207.51791666666637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'23'!F122</f>
        <v>124665.59</v>
      </c>
      <c r="F122" s="237">
        <v>124853</v>
      </c>
      <c r="G122" s="112">
        <f t="shared" si="9"/>
        <v>187.41000000000349</v>
      </c>
      <c r="H122" s="99">
        <f>G122+'23'!H122</f>
        <v>-1333.179999999993</v>
      </c>
      <c r="I122" s="165"/>
      <c r="J122" s="328">
        <f>H122/DAY(B2)</f>
        <v>-55.549166666666373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'23'!F123</f>
        <v>151865.10999999999</v>
      </c>
      <c r="F123" s="237">
        <v>152131</v>
      </c>
      <c r="G123" s="112">
        <f t="shared" si="9"/>
        <v>265.89000000001397</v>
      </c>
      <c r="H123" s="99">
        <f>G123+'23'!H123</f>
        <v>-1915.9500000000116</v>
      </c>
      <c r="I123" s="165"/>
      <c r="J123" s="328">
        <f>H123/DAY(B2)</f>
        <v>-79.83125000000048</v>
      </c>
    </row>
    <row r="124" spans="1:18" ht="29.25" customHeight="1" x14ac:dyDescent="0.5">
      <c r="A124" s="867"/>
      <c r="B124" s="868"/>
      <c r="C124" s="869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3150.0300000000148</v>
      </c>
      <c r="H125" s="156"/>
      <c r="I125" s="327">
        <f>G125-(G39+G53)</f>
        <v>542.83000000001766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'23'!F128</f>
        <v>45277.1</v>
      </c>
      <c r="F128" s="165">
        <v>45611</v>
      </c>
      <c r="G128" s="112">
        <f t="shared" ref="G128:G134" si="10">F128-E128</f>
        <v>333.90000000000146</v>
      </c>
      <c r="H128" s="99">
        <f>G128+'23'!H128</f>
        <v>-2135</v>
      </c>
      <c r="I128" s="165"/>
      <c r="J128" s="328">
        <f>H128/DAY(B2)</f>
        <v>-88.958333333333329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'23'!F129</f>
        <v>25350.19</v>
      </c>
      <c r="F129" s="165">
        <v>25528</v>
      </c>
      <c r="G129" s="112">
        <f t="shared" si="10"/>
        <v>177.81000000000131</v>
      </c>
      <c r="H129" s="99">
        <f>G129+'23'!H129</f>
        <v>-1382.869999999999</v>
      </c>
      <c r="I129" s="165"/>
      <c r="J129" s="328">
        <f>H129/DAY(B2)</f>
        <v>-57.619583333333289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'23'!F130</f>
        <v>31919.45</v>
      </c>
      <c r="F130" s="165">
        <v>32314</v>
      </c>
      <c r="G130" s="112">
        <f t="shared" si="10"/>
        <v>394.54999999999927</v>
      </c>
      <c r="H130" s="99">
        <f>G130+'23'!H130</f>
        <v>-3380</v>
      </c>
      <c r="I130" s="165"/>
      <c r="J130" s="328">
        <f>H130/DAY(B2)</f>
        <v>-140.83333333333334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'23'!F131</f>
        <v>14834.07</v>
      </c>
      <c r="F131" s="165">
        <v>14903</v>
      </c>
      <c r="G131" s="112">
        <f t="shared" si="10"/>
        <v>68.930000000000291</v>
      </c>
      <c r="H131" s="99">
        <f>G131+'23'!H131</f>
        <v>-404.68000000000029</v>
      </c>
      <c r="I131" s="165"/>
      <c r="J131" s="328">
        <f>H131/DAY(B2)</f>
        <v>-16.861666666666679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'23'!F132</f>
        <v>50518.21</v>
      </c>
      <c r="F132" s="165">
        <v>50682</v>
      </c>
      <c r="G132" s="112">
        <f t="shared" si="10"/>
        <v>163.79000000000087</v>
      </c>
      <c r="H132" s="99">
        <f>G132+'23'!H132</f>
        <v>-1166.3000000000029</v>
      </c>
      <c r="I132" s="165"/>
      <c r="J132" s="328">
        <f>H132/DAY(B2)</f>
        <v>-48.595833333333452</v>
      </c>
    </row>
    <row r="133" spans="1:15" ht="27.75" x14ac:dyDescent="0.5">
      <c r="A133" s="863" t="s">
        <v>362</v>
      </c>
      <c r="B133" s="864"/>
      <c r="C133" s="865"/>
      <c r="D133" s="151" t="s">
        <v>183</v>
      </c>
      <c r="E133" s="95">
        <f>'23'!F133</f>
        <v>101877.43</v>
      </c>
      <c r="F133" s="165">
        <v>102315</v>
      </c>
      <c r="G133" s="112">
        <f t="shared" si="10"/>
        <v>437.57000000000698</v>
      </c>
      <c r="H133" s="99">
        <f>G133+'23'!H133</f>
        <v>-3028.6999999999971</v>
      </c>
      <c r="I133" s="165"/>
      <c r="J133" s="328">
        <f>H133/DAY(B2)</f>
        <v>-126.19583333333321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'23'!F134</f>
        <v>7394.85</v>
      </c>
      <c r="F134" s="500">
        <v>7550</v>
      </c>
      <c r="G134" s="112">
        <f t="shared" si="10"/>
        <v>155.14999999999964</v>
      </c>
      <c r="H134" s="99">
        <f>G134+'23'!H134</f>
        <v>-1051.2299999999996</v>
      </c>
      <c r="I134" s="165"/>
      <c r="J134" s="328">
        <f>H134/DAY(B2)</f>
        <v>-43.801249999999982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1731.7000000000098</v>
      </c>
      <c r="H135" s="99">
        <f>G135+'23'!H135</f>
        <v>27324.089999999997</v>
      </c>
      <c r="I135" s="327">
        <f>G135-(G35+G49)</f>
        <v>-305.30999999998858</v>
      </c>
      <c r="J135" s="328"/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'23'!F138</f>
        <v>865689</v>
      </c>
      <c r="F138" s="147">
        <v>865753</v>
      </c>
      <c r="G138" s="112">
        <f t="shared" ref="G138:G152" si="11">F138-E138</f>
        <v>64</v>
      </c>
      <c r="H138" s="99">
        <f>G138+'23'!H138</f>
        <v>-420</v>
      </c>
      <c r="I138" s="118"/>
      <c r="J138" s="328">
        <f>H138/DAY(B2)</f>
        <v>-17.5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'23'!F139</f>
        <v>886568</v>
      </c>
      <c r="F139" s="148">
        <v>886568</v>
      </c>
      <c r="G139" s="112">
        <f t="shared" si="11"/>
        <v>0</v>
      </c>
      <c r="H139" s="99">
        <f>G139+'23'!H139</f>
        <v>-5</v>
      </c>
      <c r="I139" s="118"/>
      <c r="J139" s="328">
        <f>H139/DAY(B2)</f>
        <v>-0.20833333333333334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'23'!F140</f>
        <v>88922.03</v>
      </c>
      <c r="F140" s="149">
        <v>88922</v>
      </c>
      <c r="G140" s="112">
        <f t="shared" si="11"/>
        <v>-2.9999999998835847E-2</v>
      </c>
      <c r="H140" s="99">
        <f>G140+'23'!H140</f>
        <v>0</v>
      </c>
      <c r="I140" s="118"/>
      <c r="J140" s="328">
        <f>H140/DAY(B2)</f>
        <v>0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'23'!F141</f>
        <v>53301.33</v>
      </c>
      <c r="F141" s="149">
        <v>53475</v>
      </c>
      <c r="G141" s="112">
        <f t="shared" si="11"/>
        <v>173.66999999999825</v>
      </c>
      <c r="H141" s="99">
        <f>G141+'23'!H141</f>
        <v>-1210.5800000000017</v>
      </c>
      <c r="I141" s="118"/>
      <c r="J141" s="328">
        <f>H141/DAY(B2)</f>
        <v>-50.440833333333408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'23'!F142</f>
        <v>20660.27</v>
      </c>
      <c r="F142" s="148">
        <v>20742</v>
      </c>
      <c r="G142" s="112">
        <f t="shared" si="11"/>
        <v>81.729999999999563</v>
      </c>
      <c r="H142" s="99">
        <f>G142+'23'!H142</f>
        <v>-542.09999999999854</v>
      </c>
      <c r="I142" s="140"/>
      <c r="J142" s="328">
        <f>H142/DAY(B2)</f>
        <v>-22.587499999999938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'23'!F143</f>
        <v>3620.62</v>
      </c>
      <c r="F143" s="149">
        <v>3655</v>
      </c>
      <c r="G143" s="112">
        <f t="shared" si="11"/>
        <v>34.380000000000109</v>
      </c>
      <c r="H143" s="99">
        <f>G143+'23'!H143</f>
        <v>-180.38999999999987</v>
      </c>
      <c r="I143" s="140"/>
      <c r="J143" s="328">
        <f>H143/DAY(B2)</f>
        <v>-7.516249999999995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'23'!F144</f>
        <v>874866</v>
      </c>
      <c r="F144" s="149">
        <v>875079</v>
      </c>
      <c r="G144" s="112">
        <f t="shared" si="11"/>
        <v>213</v>
      </c>
      <c r="H144" s="99">
        <f>G144+'23'!H144</f>
        <v>-1408</v>
      </c>
      <c r="I144" s="140"/>
      <c r="J144" s="328">
        <f>H144/DAY(B2)</f>
        <v>-58.666666666666664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'23'!F145</f>
        <v>4902.26</v>
      </c>
      <c r="F145" s="149">
        <v>4909</v>
      </c>
      <c r="G145" s="112">
        <f t="shared" si="11"/>
        <v>6.7399999999997817</v>
      </c>
      <c r="H145" s="99">
        <f>G145+'23'!H145</f>
        <v>-49.840000000000146</v>
      </c>
      <c r="I145" s="140"/>
      <c r="J145" s="328">
        <f>H145/DAY(B2)</f>
        <v>-2.0766666666666729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'23'!F146</f>
        <v>734107</v>
      </c>
      <c r="F146" s="148">
        <v>734505</v>
      </c>
      <c r="G146" s="112">
        <f t="shared" si="11"/>
        <v>398</v>
      </c>
      <c r="H146" s="99">
        <f>G146+'23'!H146</f>
        <v>-2828</v>
      </c>
      <c r="I146" s="140"/>
      <c r="J146" s="328">
        <f>H146/DAY(B2)</f>
        <v>-117.83333333333333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'23'!F147</f>
        <v>623801.96</v>
      </c>
      <c r="F147" s="148">
        <v>624120</v>
      </c>
      <c r="G147" s="112">
        <f t="shared" si="11"/>
        <v>318.04000000003725</v>
      </c>
      <c r="H147" s="99">
        <f>G147+'23'!H147</f>
        <v>-2492.5200000000186</v>
      </c>
      <c r="I147" s="140"/>
      <c r="J147" s="328">
        <f>H147/DAY(B2)</f>
        <v>-103.85500000000077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'23'!F148</f>
        <v>687966.96</v>
      </c>
      <c r="F148" s="150">
        <v>688121</v>
      </c>
      <c r="G148" s="112">
        <f t="shared" si="11"/>
        <v>154.04000000003725</v>
      </c>
      <c r="H148" s="99">
        <f>G148+'23'!H148</f>
        <v>-1321.9599999999627</v>
      </c>
      <c r="I148" s="124"/>
      <c r="J148" s="328">
        <f>H148/DAY(B2)</f>
        <v>-55.081666666665114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'23'!F149</f>
        <v>20624.12</v>
      </c>
      <c r="F149" s="146">
        <v>21180</v>
      </c>
      <c r="G149" s="112">
        <f t="shared" si="11"/>
        <v>555.88000000000102</v>
      </c>
      <c r="H149" s="99">
        <f>G149+'23'!H149</f>
        <v>-3498.2000000000007</v>
      </c>
      <c r="I149" s="119"/>
      <c r="J149" s="328">
        <f>H149/DAY(B2)</f>
        <v>-145.75833333333335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'23'!F150</f>
        <v>9087.73</v>
      </c>
      <c r="F150" s="233">
        <v>9307</v>
      </c>
      <c r="G150" s="112">
        <f t="shared" si="11"/>
        <v>219.27000000000044</v>
      </c>
      <c r="H150" s="99">
        <f>G150+'23'!H150</f>
        <v>-1543.83</v>
      </c>
      <c r="I150" s="119"/>
      <c r="J150" s="328">
        <f>H150/DAY(B2)</f>
        <v>-64.326250000000002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'23'!F151</f>
        <v>83495</v>
      </c>
      <c r="F151" s="233">
        <v>83702</v>
      </c>
      <c r="G151" s="112">
        <f t="shared" si="11"/>
        <v>207</v>
      </c>
      <c r="H151" s="99">
        <f>G151+'23'!H151</f>
        <v>-1778</v>
      </c>
      <c r="I151" s="119"/>
      <c r="J151" s="328">
        <f>H151/DAY(B2)</f>
        <v>-74.083333333333329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'23'!F152</f>
        <v>1515.98</v>
      </c>
      <c r="F152" s="233">
        <v>1531</v>
      </c>
      <c r="G152" s="112">
        <f t="shared" si="11"/>
        <v>15.019999999999982</v>
      </c>
      <c r="H152" s="99">
        <f>G152+'23'!H152</f>
        <v>-129</v>
      </c>
      <c r="I152" s="119"/>
      <c r="J152" s="328">
        <f>H152/DAY(B2)</f>
        <v>-5.375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2440.7400000000748</v>
      </c>
      <c r="H153" s="363"/>
      <c r="I153" s="119">
        <f>G153-(G38+G52)</f>
        <v>614.3500000000754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'23'!F155</f>
        <v>27083</v>
      </c>
      <c r="F155" s="503">
        <v>27719</v>
      </c>
      <c r="G155" s="112">
        <f t="shared" ref="G155:G158" si="12">F155-E155</f>
        <v>636</v>
      </c>
      <c r="H155" s="99">
        <f>G155+'23'!H155</f>
        <v>-5226</v>
      </c>
      <c r="I155" s="364"/>
      <c r="J155" s="328">
        <f>H155/DAY(B2)</f>
        <v>-217.75</v>
      </c>
    </row>
    <row r="156" spans="1:10" ht="27.75" x14ac:dyDescent="0.5">
      <c r="A156" s="843" t="s">
        <v>347</v>
      </c>
      <c r="B156" s="843"/>
      <c r="C156" s="843"/>
      <c r="D156" s="117" t="s">
        <v>130</v>
      </c>
      <c r="E156" s="95">
        <f>'23'!F156</f>
        <v>2279.13</v>
      </c>
      <c r="F156" s="155">
        <v>2333</v>
      </c>
      <c r="G156" s="112">
        <f t="shared" si="12"/>
        <v>53.869999999999891</v>
      </c>
      <c r="H156" s="99">
        <f>G156+'23'!H156</f>
        <v>1231</v>
      </c>
      <c r="I156" s="165"/>
      <c r="J156" s="328">
        <f>H156/DAY(B2)</f>
        <v>51.291666666666664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>
        <f>'23'!F157</f>
        <v>3168.06</v>
      </c>
      <c r="F157" s="155">
        <v>3292</v>
      </c>
      <c r="G157" s="112">
        <f t="shared" si="12"/>
        <v>123.94000000000005</v>
      </c>
      <c r="H157" s="99">
        <f>G157+'23'!H157</f>
        <v>571.84000000000015</v>
      </c>
      <c r="I157" s="165"/>
      <c r="J157" s="328"/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>
        <f>'23'!F158</f>
        <v>27.11</v>
      </c>
      <c r="F158" s="155">
        <v>43</v>
      </c>
      <c r="G158" s="112">
        <f t="shared" si="12"/>
        <v>15.89</v>
      </c>
      <c r="H158" s="99">
        <f>G158+'23'!H158</f>
        <v>18.66</v>
      </c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'23'!F161</f>
        <v>471803</v>
      </c>
      <c r="F161" s="235">
        <v>471872.52</v>
      </c>
      <c r="G161" s="238">
        <f t="shared" ref="G161:G165" si="13">F161-E161</f>
        <v>69.520000000018626</v>
      </c>
      <c r="H161" s="99">
        <f>G161+'23'!H161</f>
        <v>-181.03999999997905</v>
      </c>
      <c r="I161" s="236"/>
      <c r="J161" s="239">
        <f>H161/DAY(B2)</f>
        <v>-7.5433333333324599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'23'!F162</f>
        <v>88256.9</v>
      </c>
      <c r="F162" s="235">
        <v>88291</v>
      </c>
      <c r="G162" s="238">
        <f t="shared" si="13"/>
        <v>34.100000000005821</v>
      </c>
      <c r="H162" s="99">
        <f>G162+'23'!H162</f>
        <v>-225.39999999999418</v>
      </c>
      <c r="I162" s="236"/>
      <c r="J162" s="239">
        <f>H162/DAY(B2)</f>
        <v>-9.3916666666664241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'23'!F163</f>
        <v>78871</v>
      </c>
      <c r="F163" s="235">
        <v>78929</v>
      </c>
      <c r="G163" s="238">
        <f t="shared" si="13"/>
        <v>58</v>
      </c>
      <c r="H163" s="99">
        <f>G163+'23'!H163</f>
        <v>-291.10000000000582</v>
      </c>
      <c r="I163" s="236"/>
      <c r="J163" s="239">
        <f>H163/DAY(B2)</f>
        <v>-12.12916666666691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'23'!F164</f>
        <v>4293.3999999999996</v>
      </c>
      <c r="F164" s="235">
        <v>4307</v>
      </c>
      <c r="G164" s="238">
        <f t="shared" si="13"/>
        <v>13.600000000000364</v>
      </c>
      <c r="H164" s="99">
        <f>G164+'23'!H164</f>
        <v>-13</v>
      </c>
      <c r="I164" s="236"/>
      <c r="J164" s="239">
        <f>H164/DAY(B2)</f>
        <v>-0.54166666666666663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'23'!F165</f>
        <v>29792.66</v>
      </c>
      <c r="F165" s="235">
        <v>29801</v>
      </c>
      <c r="G165" s="238">
        <f t="shared" si="13"/>
        <v>8.3400000000001455</v>
      </c>
      <c r="H165" s="99">
        <f>G165+'23'!H165</f>
        <v>-56.25</v>
      </c>
      <c r="I165" s="236"/>
      <c r="J165" s="239">
        <f>H165/DAY(B2)</f>
        <v>-2.34375</v>
      </c>
    </row>
    <row r="166" spans="1:10" ht="29.25" x14ac:dyDescent="0.5">
      <c r="A166" s="852"/>
      <c r="B166" s="852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1.75" customHeight="1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 x14ac:dyDescent="0.5">
      <c r="A173" s="856" t="s">
        <v>209</v>
      </c>
      <c r="B173" s="857"/>
      <c r="C173" s="333"/>
      <c r="D173" s="228" t="s">
        <v>142</v>
      </c>
      <c r="E173" s="95">
        <f>'23'!F173</f>
        <v>8126</v>
      </c>
      <c r="F173" s="155">
        <v>8126</v>
      </c>
      <c r="G173" s="155">
        <f>F173-E173</f>
        <v>0</v>
      </c>
      <c r="H173" s="99">
        <f>G173+'23'!H173</f>
        <v>0</v>
      </c>
      <c r="I173" s="155"/>
      <c r="J173" s="178">
        <f>H173/DAY(B2)</f>
        <v>0</v>
      </c>
    </row>
    <row r="174" spans="1:10" ht="27" customHeight="1" x14ac:dyDescent="0.5">
      <c r="A174" s="856" t="s">
        <v>75</v>
      </c>
      <c r="B174" s="857"/>
      <c r="C174" s="333"/>
      <c r="D174" s="228" t="s">
        <v>142</v>
      </c>
      <c r="E174" s="95">
        <f>'23'!F174</f>
        <v>38514</v>
      </c>
      <c r="F174" s="157">
        <v>38528</v>
      </c>
      <c r="G174" s="155">
        <f t="shared" ref="G174:G175" si="14">F174-E174</f>
        <v>14</v>
      </c>
      <c r="H174" s="99">
        <f>G174+'23'!H174</f>
        <v>287</v>
      </c>
      <c r="I174" s="155"/>
      <c r="J174" s="178">
        <f>H174/DAY(B2)</f>
        <v>11.958333333333334</v>
      </c>
    </row>
    <row r="175" spans="1:10" ht="27" customHeight="1" x14ac:dyDescent="0.5">
      <c r="A175" s="856" t="s">
        <v>76</v>
      </c>
      <c r="B175" s="896"/>
      <c r="C175" s="857"/>
      <c r="D175" s="228" t="s">
        <v>142</v>
      </c>
      <c r="E175" s="95">
        <f>'23'!F175</f>
        <v>21735</v>
      </c>
      <c r="F175" s="155">
        <v>21745</v>
      </c>
      <c r="G175" s="155">
        <f t="shared" si="14"/>
        <v>10</v>
      </c>
      <c r="H175" s="99">
        <f>G175+'23'!H175</f>
        <v>-68</v>
      </c>
      <c r="I175" s="155"/>
      <c r="J175" s="178">
        <f>H175/DAY(B2)</f>
        <v>-2.8333333333333335</v>
      </c>
    </row>
    <row r="176" spans="1:10" ht="21.75" customHeight="1" x14ac:dyDescent="0.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24</v>
      </c>
      <c r="H176" s="99">
        <f>G176+'23'!H176</f>
        <v>219</v>
      </c>
      <c r="I176" s="155"/>
      <c r="J176" s="178">
        <f>H176/DAY(B2)</f>
        <v>9.125</v>
      </c>
    </row>
    <row r="177" spans="1:10" ht="21.75" customHeight="1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'23'!F178</f>
        <v>80894</v>
      </c>
      <c r="F178" s="155">
        <v>80936</v>
      </c>
      <c r="G178" s="155">
        <f>F178-E178</f>
        <v>42</v>
      </c>
      <c r="H178" s="99">
        <f>G178+'23'!H178</f>
        <v>-379</v>
      </c>
      <c r="I178" s="155"/>
      <c r="J178" s="178">
        <f>H178/DAY(B2)</f>
        <v>-15.791666666666666</v>
      </c>
    </row>
    <row r="179" spans="1:10" ht="24" customHeight="1" x14ac:dyDescent="0.5">
      <c r="A179" s="856" t="s">
        <v>211</v>
      </c>
      <c r="B179" s="857"/>
      <c r="C179" s="333"/>
      <c r="D179" s="228" t="s">
        <v>142</v>
      </c>
      <c r="E179" s="95">
        <f>'23'!F179</f>
        <v>34422</v>
      </c>
      <c r="F179" s="155">
        <v>34452</v>
      </c>
      <c r="G179" s="155">
        <f t="shared" ref="G179:G180" si="15">F179-E179</f>
        <v>30</v>
      </c>
      <c r="H179" s="99">
        <f>G179+'23'!H179</f>
        <v>-351</v>
      </c>
      <c r="I179" s="155"/>
      <c r="J179" s="178">
        <f>H179/DAY(B2)</f>
        <v>-14.625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'23'!F180</f>
        <v>5644</v>
      </c>
      <c r="F180" s="155">
        <v>5651</v>
      </c>
      <c r="G180" s="155">
        <f t="shared" si="15"/>
        <v>7</v>
      </c>
      <c r="H180" s="99">
        <f>G180+'23'!H180</f>
        <v>-51</v>
      </c>
      <c r="I180" s="155"/>
      <c r="J180" s="178">
        <f>H180/DAY(B2)</f>
        <v>-2.125</v>
      </c>
    </row>
    <row r="181" spans="1:10" ht="27.75" x14ac:dyDescent="0.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79</v>
      </c>
      <c r="H181" s="99">
        <f>G181+'23'!H181</f>
        <v>-781</v>
      </c>
      <c r="I181" s="155"/>
      <c r="J181" s="178">
        <f>H181/DAY(B2)</f>
        <v>-32.541666666666664</v>
      </c>
    </row>
    <row r="182" spans="1:10" ht="27.75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'23'!F183</f>
        <v>15244</v>
      </c>
      <c r="F183" s="157">
        <v>15279</v>
      </c>
      <c r="G183" s="157">
        <f>F183-E183</f>
        <v>35</v>
      </c>
      <c r="H183" s="99">
        <f>G183+'23'!H183</f>
        <v>-66</v>
      </c>
      <c r="I183" s="155"/>
      <c r="J183" s="178">
        <f>H183/DAY(B2)</f>
        <v>-2.75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'23'!F184</f>
        <v>10439</v>
      </c>
      <c r="F184" s="157">
        <v>10442</v>
      </c>
      <c r="G184" s="157">
        <f t="shared" ref="G184:G185" si="16">F184-E184</f>
        <v>3</v>
      </c>
      <c r="H184" s="99">
        <f>G184+'23'!H184</f>
        <v>-76</v>
      </c>
      <c r="I184" s="155"/>
      <c r="J184" s="178">
        <f>H184/DAY(B2)</f>
        <v>-3.1666666666666665</v>
      </c>
    </row>
    <row r="185" spans="1:10" ht="26.25" customHeight="1" x14ac:dyDescent="0.5">
      <c r="A185" s="856" t="s">
        <v>216</v>
      </c>
      <c r="B185" s="857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7.75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38</v>
      </c>
      <c r="H186" s="99">
        <f>G186+'23'!H186</f>
        <v>-142</v>
      </c>
      <c r="I186" s="157"/>
      <c r="J186" s="178">
        <f>H186/DAY(B2)</f>
        <v>-5.916666666666667</v>
      </c>
    </row>
    <row r="187" spans="1:10" ht="27.75" x14ac:dyDescent="0.5">
      <c r="A187" s="849" t="s">
        <v>217</v>
      </c>
      <c r="B187" s="850"/>
      <c r="C187" s="333"/>
      <c r="D187" s="230" t="s">
        <v>142</v>
      </c>
      <c r="E187" s="95">
        <f>'23'!F187</f>
        <v>0</v>
      </c>
      <c r="F187" s="159"/>
      <c r="G187" s="460">
        <f>G62+G19</f>
        <v>176</v>
      </c>
      <c r="H187" s="99">
        <f>G187+'23'!H187</f>
        <v>-1082</v>
      </c>
      <c r="I187" s="158"/>
      <c r="J187" s="179">
        <f>H187/DAY(B2)</f>
        <v>-45.083333333333336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>
        <f>'23'!F188</f>
        <v>0</v>
      </c>
      <c r="F188" s="159"/>
      <c r="G188" s="460">
        <f>G65+G66+G67+G69+G70</f>
        <v>181</v>
      </c>
      <c r="H188" s="99">
        <f>G188+'23'!H188</f>
        <v>1309</v>
      </c>
      <c r="I188" s="158"/>
      <c r="J188" s="179">
        <f>H188/DAY(B2)</f>
        <v>54.541666666666664</v>
      </c>
    </row>
    <row r="189" spans="1:10" ht="27.75" x14ac:dyDescent="0.5">
      <c r="A189" s="849" t="s">
        <v>219</v>
      </c>
      <c r="B189" s="850"/>
      <c r="C189" s="333"/>
      <c r="D189" s="230" t="s">
        <v>142</v>
      </c>
      <c r="E189" s="95">
        <f>'23'!F189</f>
        <v>0</v>
      </c>
      <c r="F189" s="157"/>
      <c r="G189" s="457">
        <f>G181</f>
        <v>79</v>
      </c>
      <c r="H189" s="99">
        <f>G189+'23'!H189</f>
        <v>443</v>
      </c>
      <c r="I189" s="158"/>
      <c r="J189" s="179">
        <f>H189/DAY(B2)</f>
        <v>18.458333333333332</v>
      </c>
    </row>
    <row r="190" spans="1:10" ht="27.75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zoomScale="55" zoomScaleNormal="49" zoomScaleSheetLayoutView="55" workbookViewId="0">
      <selection activeCell="G69" sqref="G69"/>
    </sheetView>
  </sheetViews>
  <sheetFormatPr defaultColWidth="22.33203125" defaultRowHeight="21.95" customHeight="1" x14ac:dyDescent="0.5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357</v>
      </c>
      <c r="B2" s="262">
        <v>44586</v>
      </c>
      <c r="C2" s="34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'24'!F7</f>
        <v>531080</v>
      </c>
      <c r="F7" s="95">
        <v>547409</v>
      </c>
      <c r="G7" s="112">
        <f>F7-E7</f>
        <v>16329</v>
      </c>
      <c r="H7" s="99">
        <f>G7+'24'!H7</f>
        <v>-103771.22999999998</v>
      </c>
      <c r="I7" s="113">
        <f>'1'!I7</f>
        <v>12000</v>
      </c>
      <c r="J7" s="175">
        <f>H7/DAY(B2)</f>
        <v>-4150.8491999999997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'24'!F8</f>
        <v>586591</v>
      </c>
      <c r="F8" s="601">
        <v>603218</v>
      </c>
      <c r="G8" s="115">
        <f>F8-E8</f>
        <v>16627</v>
      </c>
      <c r="H8" s="99">
        <f>G8+'24'!H8</f>
        <v>-105330.15000000002</v>
      </c>
      <c r="I8" s="116"/>
      <c r="J8" s="175">
        <f>H8/DAY(B2)</f>
        <v>-4213.206000000001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'24'!F9</f>
        <v>179760</v>
      </c>
      <c r="F9" s="598">
        <v>193704</v>
      </c>
      <c r="G9" s="112">
        <f>F9-E9</f>
        <v>13944</v>
      </c>
      <c r="H9" s="99">
        <f>G9+'24'!H9</f>
        <v>-88549.85</v>
      </c>
      <c r="I9" s="124">
        <f>I7-J7</f>
        <v>16150.849200000001</v>
      </c>
      <c r="J9" s="175">
        <f>H9/DAY(B2)</f>
        <v>-3541.9940000000001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'24'!F10</f>
        <v>91182</v>
      </c>
      <c r="F10" s="353">
        <v>93083</v>
      </c>
      <c r="G10" s="112">
        <f t="shared" ref="G10:G12" si="0">F10-E10</f>
        <v>1901</v>
      </c>
      <c r="H10" s="99">
        <f>G10+'24'!H10</f>
        <v>-12175.970000000001</v>
      </c>
      <c r="I10" s="282"/>
      <c r="J10" s="175">
        <f>H10/DAY(B2)</f>
        <v>-487.03880000000004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'24'!F11</f>
        <v>37170</v>
      </c>
      <c r="F11" s="95">
        <v>37170</v>
      </c>
      <c r="G11" s="112">
        <f t="shared" si="0"/>
        <v>0</v>
      </c>
      <c r="H11" s="99">
        <f>G11+'24'!H11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15845</v>
      </c>
      <c r="H13" s="99">
        <f>G13+'24'!H13</f>
        <v>-117480.25</v>
      </c>
      <c r="I13" s="120">
        <f>G7-G13</f>
        <v>484</v>
      </c>
      <c r="J13" s="175">
        <f>H13/DAY(B2)</f>
        <v>-4699.21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'24'!F15</f>
        <v>1900114</v>
      </c>
      <c r="F15" s="123">
        <v>1900929</v>
      </c>
      <c r="G15" s="112">
        <f>(F15-E15)</f>
        <v>815</v>
      </c>
      <c r="H15" s="99">
        <f>G15+'24'!H15</f>
        <v>24872.233000000007</v>
      </c>
      <c r="I15" s="113">
        <f>'1'!I15</f>
        <v>800</v>
      </c>
      <c r="J15" s="175">
        <f>H15/DAY(B2)</f>
        <v>994.88932000000034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-194.88932000000034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'24'!F18</f>
        <v>16</v>
      </c>
      <c r="F18" s="122">
        <v>14</v>
      </c>
      <c r="G18" s="119">
        <f>F18*10</f>
        <v>140</v>
      </c>
      <c r="H18" s="99">
        <f>G18+'24'!H18</f>
        <v>4160</v>
      </c>
      <c r="I18" s="113">
        <f>'1'!I18</f>
        <v>65</v>
      </c>
      <c r="J18" s="175">
        <f>H18/DAY(B2)</f>
        <v>166.4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'24'!F19</f>
        <v>153513</v>
      </c>
      <c r="F19" s="122">
        <v>153563</v>
      </c>
      <c r="G19" s="112">
        <f t="shared" ref="G19" si="1">F19-E19</f>
        <v>50</v>
      </c>
      <c r="H19" s="99">
        <f>G19+'24'!H19</f>
        <v>-328</v>
      </c>
      <c r="I19" s="335"/>
      <c r="J19" s="175">
        <f>H19/DAY(B2)</f>
        <v>-13.12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190</v>
      </c>
      <c r="H20" s="99">
        <f>G20+'24'!H20</f>
        <v>3832</v>
      </c>
      <c r="I20" s="336">
        <f>I18-J20</f>
        <v>-88.28</v>
      </c>
      <c r="J20" s="175">
        <f>H20/DAY(B2)</f>
        <v>153.28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110</v>
      </c>
      <c r="I23" s="118"/>
      <c r="J23" s="175">
        <f>H23/DAY(B2)</f>
        <v>4.4000000000000004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110</v>
      </c>
      <c r="I24" s="118"/>
      <c r="J24" s="175">
        <f>H24/DAY(B2)</f>
        <v>4.4000000000000004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16627</v>
      </c>
      <c r="F27" s="136">
        <v>9</v>
      </c>
      <c r="G27" s="137">
        <f>E27*F27</f>
        <v>149643</v>
      </c>
      <c r="H27" s="99">
        <f>G27+'24'!H27</f>
        <v>-947971.35000000009</v>
      </c>
      <c r="I27" s="138"/>
      <c r="J27" s="175">
        <f>H27/DAY(B2)</f>
        <v>-37918.854000000007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815</v>
      </c>
      <c r="F28" s="136">
        <v>52</v>
      </c>
      <c r="G28" s="137">
        <f>E28*F28</f>
        <v>42380</v>
      </c>
      <c r="H28" s="99">
        <f>G28+'24'!H28</f>
        <v>1326710.1160000004</v>
      </c>
      <c r="I28" s="140"/>
      <c r="J28" s="175">
        <f>H28/DAY(B2)</f>
        <v>53068.404640000015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7590</v>
      </c>
      <c r="I29" s="140"/>
      <c r="J29" s="175">
        <f>H29/DAY(B2)</f>
        <v>303.60000000000002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G30+'24'!H30</f>
        <v>-55698</v>
      </c>
      <c r="I30" s="140"/>
      <c r="J30" s="175">
        <f>H30/DAY(B2)</f>
        <v>-2227.92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G31+'24'!H31</f>
        <v>332800</v>
      </c>
      <c r="I31" s="140"/>
      <c r="J31" s="175">
        <f>H31/DAY(B2)</f>
        <v>13312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210523</v>
      </c>
      <c r="H32" s="99">
        <f>G32+'24'!H32</f>
        <v>663430.76600000029</v>
      </c>
      <c r="I32" s="144"/>
      <c r="J32" s="175">
        <f>H32/DAY(B2)</f>
        <v>26537.230640000012</v>
      </c>
      <c r="K32" s="63"/>
      <c r="L32" s="89"/>
      <c r="N32" s="87"/>
      <c r="O32" s="71"/>
    </row>
    <row r="33" spans="1:15" ht="25.5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'24'!F35</f>
        <v>23208</v>
      </c>
      <c r="F35" s="145">
        <v>24516</v>
      </c>
      <c r="G35" s="112">
        <f t="shared" ref="G35:G46" si="3">F35-E35</f>
        <v>1308</v>
      </c>
      <c r="H35" s="99">
        <f>G35+'24'!H35</f>
        <v>-7488.9799999999959</v>
      </c>
      <c r="I35" s="95"/>
      <c r="J35" s="175">
        <f>H35/DAY(B2)</f>
        <v>-299.55919999999986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'24'!F36</f>
        <v>38640</v>
      </c>
      <c r="F36" s="145">
        <v>39240</v>
      </c>
      <c r="G36" s="112">
        <f t="shared" si="3"/>
        <v>600</v>
      </c>
      <c r="H36" s="99">
        <f>G36+'24'!H36</f>
        <v>-4218.739999999998</v>
      </c>
      <c r="I36" s="95"/>
      <c r="J36" s="175">
        <f>H36/DAY(B2)</f>
        <v>-168.74959999999993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'24'!F37</f>
        <v>24388</v>
      </c>
      <c r="F37" s="145">
        <v>25996</v>
      </c>
      <c r="G37" s="112">
        <f t="shared" si="3"/>
        <v>1608</v>
      </c>
      <c r="H37" s="99">
        <f>G37+'24'!H37</f>
        <v>-9429.0899999999965</v>
      </c>
      <c r="I37" s="95"/>
      <c r="J37" s="175">
        <f>H37/DAY(B2)</f>
        <v>-377.16359999999986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'24'!F38</f>
        <v>26318</v>
      </c>
      <c r="F38" s="108">
        <v>28079</v>
      </c>
      <c r="G38" s="112">
        <f t="shared" si="3"/>
        <v>1761</v>
      </c>
      <c r="H38" s="99">
        <f>G38+'24'!H38</f>
        <v>-10297.43</v>
      </c>
      <c r="I38" s="95"/>
      <c r="J38" s="175">
        <f>H38/DAY(B2)</f>
        <v>-411.8972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'24'!F39</f>
        <v>40938</v>
      </c>
      <c r="F39" s="145">
        <v>43529</v>
      </c>
      <c r="G39" s="112">
        <f t="shared" si="3"/>
        <v>2591</v>
      </c>
      <c r="H39" s="99">
        <f>G39+'24'!H39</f>
        <v>-15644.290000000005</v>
      </c>
      <c r="I39" s="95"/>
      <c r="J39" s="175">
        <f>H39/DAY(B2)</f>
        <v>-625.77160000000015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'24'!F40</f>
        <v>16184</v>
      </c>
      <c r="F40" s="145">
        <v>16777</v>
      </c>
      <c r="G40" s="112">
        <f t="shared" si="3"/>
        <v>593</v>
      </c>
      <c r="H40" s="99">
        <f>G40+'24'!H40</f>
        <v>-5339.9900000000016</v>
      </c>
      <c r="I40" s="95"/>
      <c r="J40" s="175">
        <f>H40/DAY(B2)</f>
        <v>-213.59960000000007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'24'!F41</f>
        <v>0</v>
      </c>
      <c r="F41" s="145">
        <v>0</v>
      </c>
      <c r="G41" s="112">
        <f t="shared" si="3"/>
        <v>0</v>
      </c>
      <c r="H41" s="99">
        <f>G41+'24'!H41</f>
        <v>-62.73</v>
      </c>
      <c r="I41" s="95"/>
      <c r="J41" s="175">
        <f>H41/DAY(B2)</f>
        <v>-2.5091999999999999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'24'!F42</f>
        <v>73808.600000000006</v>
      </c>
      <c r="F42" s="145">
        <v>76837</v>
      </c>
      <c r="G42" s="112">
        <f t="shared" si="3"/>
        <v>3028.3999999999942</v>
      </c>
      <c r="H42" s="99">
        <f>G42+'24'!H42</f>
        <v>38759.259999999995</v>
      </c>
      <c r="I42" s="95"/>
      <c r="J42" s="175">
        <f>H42/DAY(B2)</f>
        <v>1550.3703999999998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'24'!F43</f>
        <v>101167</v>
      </c>
      <c r="F43" s="145">
        <v>103125</v>
      </c>
      <c r="G43" s="112">
        <f t="shared" si="3"/>
        <v>1958</v>
      </c>
      <c r="H43" s="99">
        <f>G43+'24'!H43</f>
        <v>54302.399999999994</v>
      </c>
      <c r="I43" s="95"/>
      <c r="J43" s="175">
        <f>H43/DAY(B2)</f>
        <v>2172.0959999999995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13447.399999999994</v>
      </c>
      <c r="H47" s="99">
        <f>G47+'24'!H47</f>
        <v>40580.409999999996</v>
      </c>
      <c r="I47" s="95"/>
      <c r="J47" s="175">
        <f>H47/DAY(B2)</f>
        <v>1623.2163999999998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'24'!F49</f>
        <v>19015</v>
      </c>
      <c r="F49" s="145">
        <v>19847</v>
      </c>
      <c r="G49" s="112">
        <f t="shared" ref="G49:G58" si="4">F49-E49</f>
        <v>832</v>
      </c>
      <c r="H49" s="99">
        <f>G49+'24'!H49</f>
        <v>-5149.1899999999987</v>
      </c>
      <c r="I49" s="95"/>
      <c r="J49" s="175">
        <f>H49/DAY(B2)</f>
        <v>-205.96759999999995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'24'!F50</f>
        <v>49249</v>
      </c>
      <c r="F50" s="145">
        <v>50260</v>
      </c>
      <c r="G50" s="112">
        <f t="shared" si="4"/>
        <v>1011</v>
      </c>
      <c r="H50" s="99">
        <f>G50+'24'!H50</f>
        <v>-6126.6299999999974</v>
      </c>
      <c r="I50" s="95"/>
      <c r="J50" s="175">
        <f>H50/DAY(B2)</f>
        <v>-245.06519999999989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'24'!F51</f>
        <v>0</v>
      </c>
      <c r="F51" s="145">
        <v>0</v>
      </c>
      <c r="G51" s="112">
        <f t="shared" si="4"/>
        <v>0</v>
      </c>
      <c r="H51" s="99">
        <f>G51+'24'!H51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'24'!F52</f>
        <v>0</v>
      </c>
      <c r="F52" s="145">
        <v>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'24'!F54</f>
        <v>5147</v>
      </c>
      <c r="F54" s="145">
        <v>5147</v>
      </c>
      <c r="G54" s="112">
        <f t="shared" si="4"/>
        <v>0</v>
      </c>
      <c r="H54" s="99">
        <f>G54+'24'!H54</f>
        <v>-0.42000000000007276</v>
      </c>
      <c r="I54" s="95"/>
      <c r="J54" s="175">
        <f>H54/DAY(B2)</f>
        <v>-1.680000000000291E-2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'24'!F55</f>
        <v>74366</v>
      </c>
      <c r="F55" s="145">
        <v>74366</v>
      </c>
      <c r="G55" s="112">
        <f t="shared" si="4"/>
        <v>0</v>
      </c>
      <c r="H55" s="99">
        <f>G55+'24'!H55</f>
        <v>-0.11000000000058208</v>
      </c>
      <c r="I55" s="95"/>
      <c r="J55" s="175">
        <f>H55/DAY(B2)</f>
        <v>-4.4000000000232829E-3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'24'!F56</f>
        <v>8610.5400000000009</v>
      </c>
      <c r="F56" s="145">
        <v>8610.5400000000009</v>
      </c>
      <c r="G56" s="112">
        <f t="shared" si="4"/>
        <v>0</v>
      </c>
      <c r="H56" s="99">
        <f>G56+'24'!H56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'24'!F58</f>
        <v>3485</v>
      </c>
      <c r="F58" s="145">
        <v>3595</v>
      </c>
      <c r="G58" s="112">
        <f t="shared" si="4"/>
        <v>110</v>
      </c>
      <c r="H58" s="99">
        <f>G58+'24'!H58</f>
        <v>-1201.21</v>
      </c>
      <c r="I58" s="95"/>
      <c r="J58" s="175">
        <f>H58/DAY(B2)</f>
        <v>-48.048400000000001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1953</v>
      </c>
      <c r="H59" s="99">
        <f>G59+'24'!H59</f>
        <v>-12477.560000000014</v>
      </c>
      <c r="I59" s="95">
        <f>G7-G60</f>
        <v>928.60000000000582</v>
      </c>
      <c r="J59" s="175">
        <f>H59/DAY(B2)</f>
        <v>-499.10240000000056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15400.399999999994</v>
      </c>
      <c r="H60" s="99">
        <f>G60+'24'!H60</f>
        <v>28102.849999999973</v>
      </c>
      <c r="I60" s="95">
        <f>G13-G60</f>
        <v>444.60000000000582</v>
      </c>
      <c r="J60" s="175">
        <f>H60/DAY(B2)</f>
        <v>1124.1139999999989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'24'!F62</f>
        <v>268812</v>
      </c>
      <c r="F62" s="122">
        <v>268914</v>
      </c>
      <c r="G62" s="112">
        <f t="shared" ref="G62:G63" si="5">F62-E62</f>
        <v>102</v>
      </c>
      <c r="H62" s="99">
        <f>G62+'24'!H62</f>
        <v>-602</v>
      </c>
      <c r="I62" s="118"/>
      <c r="J62" s="175">
        <f>H62/DAY(B2)</f>
        <v>-24.08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'24'!F63</f>
        <v>214838</v>
      </c>
      <c r="F63" s="122">
        <v>215002</v>
      </c>
      <c r="G63" s="112">
        <f t="shared" si="5"/>
        <v>164</v>
      </c>
      <c r="H63" s="99">
        <f>G63+'24'!H63</f>
        <v>2926</v>
      </c>
      <c r="I63" s="118"/>
      <c r="J63" s="175">
        <f>H63/DAY(B2)</f>
        <v>117.04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'24'!F64</f>
        <v>0</v>
      </c>
      <c r="F64" s="122"/>
      <c r="G64" s="112">
        <f>G62+G63</f>
        <v>266</v>
      </c>
      <c r="H64" s="99">
        <f>G64+'24'!H64</f>
        <v>2324</v>
      </c>
      <c r="I64" s="118"/>
      <c r="J64" s="175">
        <f>H64/DAY(B2)</f>
        <v>92.96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'24'!F65</f>
        <v>434329</v>
      </c>
      <c r="F65" s="122">
        <v>434415</v>
      </c>
      <c r="G65" s="112">
        <f t="shared" ref="G65:G70" si="6">F65-E65</f>
        <v>86</v>
      </c>
      <c r="H65" s="99">
        <f>G65+'24'!H65</f>
        <v>-508</v>
      </c>
      <c r="I65" s="118"/>
      <c r="J65" s="175">
        <f>H65/DAY(B2)</f>
        <v>-20.32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'24'!F66</f>
        <v>107607</v>
      </c>
      <c r="F66" s="122">
        <v>107618</v>
      </c>
      <c r="G66" s="112">
        <f t="shared" si="6"/>
        <v>11</v>
      </c>
      <c r="H66" s="99">
        <f>G66+'24'!H66</f>
        <v>-125</v>
      </c>
      <c r="I66" s="118"/>
      <c r="J66" s="175">
        <f>H66/DAY(B2)</f>
        <v>-5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'24'!F67</f>
        <v>104480</v>
      </c>
      <c r="F67" s="122">
        <v>104500</v>
      </c>
      <c r="G67" s="112">
        <f t="shared" si="6"/>
        <v>20</v>
      </c>
      <c r="H67" s="99">
        <f>G67+'24'!H67</f>
        <v>-148</v>
      </c>
      <c r="I67" s="118"/>
      <c r="J67" s="175">
        <f>H67/DAY(B2)</f>
        <v>-5.92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'24'!F68</f>
        <v>157347</v>
      </c>
      <c r="F68" s="122">
        <v>157420</v>
      </c>
      <c r="G68" s="112">
        <v>73</v>
      </c>
      <c r="H68" s="99">
        <f>G68+'24'!H68</f>
        <v>-277</v>
      </c>
      <c r="I68" s="118"/>
      <c r="J68" s="175">
        <f>H68/DAY(B2)</f>
        <v>-11.08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'24'!F69</f>
        <v>10489</v>
      </c>
      <c r="F69" s="122">
        <v>10494</v>
      </c>
      <c r="G69" s="112">
        <f t="shared" si="6"/>
        <v>5</v>
      </c>
      <c r="H69" s="99">
        <f>G69+'24'!H69</f>
        <v>-47</v>
      </c>
      <c r="I69" s="118"/>
      <c r="J69" s="175">
        <f>H69/DAY(B2)</f>
        <v>-1.88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'24'!F70</f>
        <v>8030</v>
      </c>
      <c r="F70" s="122">
        <v>8042</v>
      </c>
      <c r="G70" s="112">
        <f t="shared" si="6"/>
        <v>12</v>
      </c>
      <c r="H70" s="99">
        <f>G70+'24'!H70</f>
        <v>-78</v>
      </c>
      <c r="I70" s="118"/>
      <c r="J70" s="175">
        <f>H70/DAY(B2)</f>
        <v>-3.12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207</v>
      </c>
      <c r="H71" s="99">
        <f>G71+'24'!H71</f>
        <v>-1183</v>
      </c>
      <c r="I71" s="154"/>
      <c r="J71" s="175">
        <f>H71/DAY(B2)</f>
        <v>-47.32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'24'!F74</f>
        <v>899174</v>
      </c>
      <c r="F74" s="123">
        <v>899470</v>
      </c>
      <c r="G74" s="112">
        <f t="shared" ref="G74:G78" si="7">F74-E74</f>
        <v>296</v>
      </c>
      <c r="H74" s="99">
        <f>G74+'24'!H74</f>
        <v>-1836.1489999999758</v>
      </c>
      <c r="I74" s="154"/>
      <c r="J74" s="175">
        <f>H74/DAY(B2)</f>
        <v>-73.445959999999033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'24'!F75</f>
        <v>73586.8</v>
      </c>
      <c r="F75" s="123">
        <v>73586.8</v>
      </c>
      <c r="G75" s="112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'24'!F76</f>
        <v>169318</v>
      </c>
      <c r="F76" s="123">
        <v>169420</v>
      </c>
      <c r="G76" s="112">
        <f t="shared" si="7"/>
        <v>102</v>
      </c>
      <c r="H76" s="99">
        <f>G76+'24'!H76</f>
        <v>-555</v>
      </c>
      <c r="I76" s="154"/>
      <c r="J76" s="175">
        <f>H76/DAY(B2)</f>
        <v>-22.2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'24'!F77</f>
        <v>41057</v>
      </c>
      <c r="F77" s="232">
        <v>41085</v>
      </c>
      <c r="G77" s="112">
        <f t="shared" si="7"/>
        <v>28</v>
      </c>
      <c r="H77" s="99">
        <f>G77+'24'!H77</f>
        <v>-217.19999999999709</v>
      </c>
      <c r="I77" s="154"/>
      <c r="J77" s="175">
        <f>H77/DAY(B2)</f>
        <v>-8.6879999999998834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'24'!F78</f>
        <v>9508</v>
      </c>
      <c r="F78" s="123">
        <v>9508</v>
      </c>
      <c r="G78" s="112">
        <f t="shared" si="7"/>
        <v>0</v>
      </c>
      <c r="H78" s="99">
        <f>G78+'24'!H78</f>
        <v>-8</v>
      </c>
      <c r="I78" s="118"/>
      <c r="J78" s="175">
        <f>H78/DAY(B2)</f>
        <v>-0.32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'24'!F79</f>
        <v>0</v>
      </c>
      <c r="F79" s="117"/>
      <c r="G79" s="112">
        <f>G15-SUM(G74:G78)</f>
        <v>389</v>
      </c>
      <c r="H79" s="99">
        <f>G79+'24'!H79</f>
        <v>27488.58199999998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815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'24'!F84</f>
        <v>41675</v>
      </c>
      <c r="F84" s="164">
        <v>41675.4</v>
      </c>
      <c r="G84" s="112">
        <f t="shared" si="8"/>
        <v>0.40000000000145519</v>
      </c>
      <c r="H84" s="99">
        <f>G84+'24'!H84</f>
        <v>0.40000000000145519</v>
      </c>
      <c r="I84" s="118"/>
      <c r="J84" s="175">
        <f>H84/DAY(B2)</f>
        <v>1.6000000000058207E-2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'24'!F85</f>
        <v>2096.56</v>
      </c>
      <c r="F85" s="164">
        <v>2118</v>
      </c>
      <c r="G85" s="112">
        <f t="shared" si="8"/>
        <v>21.440000000000055</v>
      </c>
      <c r="H85" s="99">
        <f>G85+'24'!H85</f>
        <v>-142.42000000000007</v>
      </c>
      <c r="I85" s="118">
        <f>G82+G83+G84+G85</f>
        <v>21.84000000000151</v>
      </c>
      <c r="J85" s="175">
        <f>H85/DAY(B2)</f>
        <v>-5.6968000000000032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'24'!F86</f>
        <v>43442</v>
      </c>
      <c r="F86" s="164">
        <v>43442</v>
      </c>
      <c r="G86" s="112">
        <f t="shared" si="8"/>
        <v>0</v>
      </c>
      <c r="H86" s="99">
        <f>G86+'24'!H86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'24'!F87</f>
        <v>34598.550000000003</v>
      </c>
      <c r="F87" s="164">
        <v>34598.550000000003</v>
      </c>
      <c r="G87" s="112">
        <f t="shared" si="8"/>
        <v>0</v>
      </c>
      <c r="H87" s="99">
        <f>G87+'24'!H87</f>
        <v>5.0000000002910383E-2</v>
      </c>
      <c r="I87" s="118"/>
      <c r="J87" s="175">
        <f>H87/DAY(B2)</f>
        <v>2.0000000001164152E-3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'24'!F88</f>
        <v>24063</v>
      </c>
      <c r="F88" s="164">
        <v>24063</v>
      </c>
      <c r="G88" s="112">
        <f t="shared" si="8"/>
        <v>0</v>
      </c>
      <c r="H88" s="99">
        <f>G88+'24'!H88</f>
        <v>-0.43000000000029104</v>
      </c>
      <c r="I88" s="118">
        <f>G86+G87+G88</f>
        <v>0</v>
      </c>
      <c r="J88" s="175">
        <f>H88/DAY(B2)</f>
        <v>-1.720000000001164E-2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'24'!F89</f>
        <v>25829</v>
      </c>
      <c r="F89" s="164">
        <v>25833.98</v>
      </c>
      <c r="G89" s="112">
        <f t="shared" si="8"/>
        <v>4.9799999999995634</v>
      </c>
      <c r="H89" s="99">
        <f>G89+'24'!H89</f>
        <v>-57.139999999999418</v>
      </c>
      <c r="I89" s="118"/>
      <c r="J89" s="175">
        <f>H89/DAY(B2)</f>
        <v>-2.2855999999999765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'24'!F90</f>
        <v>71146</v>
      </c>
      <c r="F90" s="164">
        <v>71150</v>
      </c>
      <c r="G90" s="112">
        <f t="shared" si="8"/>
        <v>4</v>
      </c>
      <c r="H90" s="99">
        <f>G90+'24'!H90</f>
        <v>-13.320000000006985</v>
      </c>
      <c r="I90" s="118">
        <f>G89+G90</f>
        <v>8.9799999999995634</v>
      </c>
      <c r="J90" s="175">
        <f>H90/DAY(B2)</f>
        <v>-0.53280000000027938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'24'!F91</f>
        <v>3226.32</v>
      </c>
      <c r="F91" s="122">
        <v>3226</v>
      </c>
      <c r="G91" s="112">
        <f t="shared" si="8"/>
        <v>-0.32000000000016371</v>
      </c>
      <c r="H91" s="99">
        <f>G91+'24'!H91</f>
        <v>-25.090000000000146</v>
      </c>
      <c r="I91" s="165"/>
      <c r="J91" s="175">
        <f>H91/DAY(B2)</f>
        <v>-1.0036000000000058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'24'!F92</f>
        <v>5689</v>
      </c>
      <c r="F92" s="122">
        <v>5699</v>
      </c>
      <c r="G92" s="112">
        <f t="shared" si="8"/>
        <v>10</v>
      </c>
      <c r="H92" s="99">
        <f>G92+'24'!H92</f>
        <v>-42.069999999999709</v>
      </c>
      <c r="I92" s="165"/>
      <c r="J92" s="175">
        <f>H92/DAY(B2)</f>
        <v>-1.6827999999999883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4098</v>
      </c>
      <c r="H94" s="99">
        <f>G94+'24'!H94</f>
        <v>41664.229999999996</v>
      </c>
      <c r="I94" s="118"/>
      <c r="J94" s="175">
        <f>H94/DAY(B2)</f>
        <v>1666.5691999999999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0.25096454161308102</v>
      </c>
      <c r="H95" s="99">
        <f>G95+'24'!H95</f>
        <v>6.3323743126110816</v>
      </c>
      <c r="I95" s="167"/>
      <c r="J95" s="175">
        <f>H95/DAY(B2)</f>
        <v>0.25329497250444327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3028.3999999999942</v>
      </c>
      <c r="H96" s="99">
        <f>G96+'24'!H96</f>
        <v>38696.419999999991</v>
      </c>
      <c r="I96" s="118"/>
      <c r="J96" s="175">
        <f>H96/DAY(B2)</f>
        <v>1547.8567999999996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0.18546144895584507</v>
      </c>
      <c r="H97" s="99">
        <f>G97+'24'!H97</f>
        <v>4.4868430937639854</v>
      </c>
      <c r="I97" s="167"/>
      <c r="J97" s="175">
        <f>H97/DAY(B2)</f>
        <v>0.17947372375055942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2591</v>
      </c>
      <c r="H98" s="99">
        <f>G98+'24'!H98</f>
        <v>-15644.290000000005</v>
      </c>
      <c r="I98" s="168"/>
      <c r="J98" s="175">
        <f>H98/DAY(B2)</f>
        <v>-625.77160000000015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0.15867475044399534</v>
      </c>
      <c r="H99" s="99">
        <f>G99+'24'!H99</f>
        <v>3.6658634645120984</v>
      </c>
      <c r="I99" s="168"/>
      <c r="J99" s="175">
        <f>H99/DAY(B2)</f>
        <v>0.14663453858048395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1761</v>
      </c>
      <c r="H100" s="99">
        <f>G100+'24'!H100</f>
        <v>-10297.43</v>
      </c>
      <c r="I100" s="118"/>
      <c r="J100" s="175">
        <f>H100/DAY(B2)</f>
        <v>-411.8972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0.10784493845305898</v>
      </c>
      <c r="H101" s="99">
        <f>G101+'24'!H101</f>
        <v>2.3963742695394861</v>
      </c>
      <c r="I101" s="168"/>
      <c r="J101" s="175">
        <f>H101/DAY(B2)</f>
        <v>9.5854970781579438E-2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1611</v>
      </c>
      <c r="H102" s="99">
        <f>G102+'24'!H102</f>
        <v>-10345.369999999995</v>
      </c>
      <c r="I102" s="168"/>
      <c r="J102" s="175">
        <f>H102/DAY(B2)</f>
        <v>-413.81479999999982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9.8658827852287342E-2</v>
      </c>
      <c r="H103" s="99">
        <f>G103+'24'!H103</f>
        <v>2.6068905671159759</v>
      </c>
      <c r="I103" s="118"/>
      <c r="J103" s="175">
        <f>H103/DAY(B2)</f>
        <v>0.10427562268463904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1608</v>
      </c>
      <c r="H104" s="99">
        <f>G104+'24'!H104</f>
        <v>-9429.0899999999965</v>
      </c>
      <c r="I104" s="118"/>
      <c r="J104" s="175">
        <f>H104/DAY(B2)</f>
        <v>-377.16359999999986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9.8475105640271912E-2</v>
      </c>
      <c r="H105" s="99">
        <f>G105+'24'!H105</f>
        <v>2.1399171925199028</v>
      </c>
      <c r="I105" s="187"/>
      <c r="J105" s="188">
        <f>H105/DAY(B2)</f>
        <v>8.5596687700796106E-2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'24'!F112</f>
        <v>57510</v>
      </c>
      <c r="F112" s="237">
        <v>57588</v>
      </c>
      <c r="G112" s="112">
        <f t="shared" ref="G112:G123" si="9">F112-E112</f>
        <v>78</v>
      </c>
      <c r="H112" s="99">
        <f>G112+'24'!H112</f>
        <v>-466</v>
      </c>
      <c r="I112" s="165"/>
      <c r="J112" s="328">
        <f>H112/DAY(B2)</f>
        <v>-18.64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'24'!F113</f>
        <v>43154</v>
      </c>
      <c r="F113" s="237">
        <v>43624</v>
      </c>
      <c r="G113" s="112">
        <f t="shared" si="9"/>
        <v>470</v>
      </c>
      <c r="H113" s="99">
        <f>G113+'24'!H113</f>
        <v>-2776.8899999999994</v>
      </c>
      <c r="I113" s="165"/>
      <c r="J113" s="328">
        <f>H113/DAY(B2)</f>
        <v>-111.07559999999998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'24'!F114</f>
        <v>31346</v>
      </c>
      <c r="F114" s="237">
        <v>31608</v>
      </c>
      <c r="G114" s="112">
        <f t="shared" si="9"/>
        <v>262</v>
      </c>
      <c r="H114" s="99">
        <f>G114+'24'!H114</f>
        <v>-1685.6000000000004</v>
      </c>
      <c r="I114" s="165"/>
      <c r="J114" s="328">
        <f>H114/DAY(B2)</f>
        <v>-67.424000000000021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'24'!F115</f>
        <v>9029</v>
      </c>
      <c r="F115" s="237">
        <v>9038</v>
      </c>
      <c r="G115" s="112">
        <f t="shared" si="9"/>
        <v>9</v>
      </c>
      <c r="H115" s="99">
        <f>G115+'24'!H115</f>
        <v>-56.649999999999636</v>
      </c>
      <c r="I115" s="165"/>
      <c r="J115" s="328">
        <f>H115/DAY(B2)</f>
        <v>-2.2659999999999854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'24'!F116</f>
        <v>0</v>
      </c>
      <c r="F116" s="237">
        <v>0</v>
      </c>
      <c r="G116" s="112">
        <f t="shared" si="9"/>
        <v>0</v>
      </c>
      <c r="H116" s="99">
        <f>G116+'24'!H116</f>
        <v>0</v>
      </c>
      <c r="I116" s="165"/>
      <c r="J116" s="328">
        <f>H116/DAY(B2)</f>
        <v>0</v>
      </c>
      <c r="Q116" s="863"/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'24'!F117</f>
        <v>3161</v>
      </c>
      <c r="F117" s="237">
        <v>3184</v>
      </c>
      <c r="G117" s="112">
        <f t="shared" si="9"/>
        <v>23</v>
      </c>
      <c r="H117" s="99">
        <f>G117+'24'!H117</f>
        <v>-153.94999999999982</v>
      </c>
      <c r="I117" s="165"/>
      <c r="J117" s="328">
        <f>H117/DAY(B2)</f>
        <v>-6.1579999999999924</v>
      </c>
      <c r="Q117" s="863"/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'24'!F118</f>
        <v>250107</v>
      </c>
      <c r="F118" s="237">
        <v>250445</v>
      </c>
      <c r="G118" s="112">
        <f t="shared" si="9"/>
        <v>338</v>
      </c>
      <c r="H118" s="99">
        <f>G118+'24'!H118</f>
        <v>-2007.3099999999977</v>
      </c>
      <c r="I118" s="165"/>
      <c r="J118" s="328">
        <f>H118/DAY(B2)</f>
        <v>-80.292399999999901</v>
      </c>
      <c r="Q118" s="863"/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'24'!F119</f>
        <v>255232</v>
      </c>
      <c r="F119" s="237">
        <v>255651</v>
      </c>
      <c r="G119" s="112">
        <f t="shared" si="9"/>
        <v>419</v>
      </c>
      <c r="H119" s="99">
        <f>G119+'24'!H119</f>
        <v>-2497.5499999999884</v>
      </c>
      <c r="I119" s="165"/>
      <c r="J119" s="328">
        <f>H119/DAY(B2)</f>
        <v>-99.901999999999532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'24'!F120</f>
        <v>40045.769999999997</v>
      </c>
      <c r="F120" s="237">
        <v>40452</v>
      </c>
      <c r="G120" s="112">
        <f t="shared" si="9"/>
        <v>406.2300000000032</v>
      </c>
      <c r="H120" s="99">
        <f>G120+'24'!H120</f>
        <v>-2507.6100000000006</v>
      </c>
      <c r="I120" s="165"/>
      <c r="J120" s="328">
        <f>H120/DAY(B2)</f>
        <v>-100.30440000000003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'24'!F121</f>
        <v>393054</v>
      </c>
      <c r="F121" s="237">
        <v>393764</v>
      </c>
      <c r="G121" s="112">
        <f t="shared" si="9"/>
        <v>710</v>
      </c>
      <c r="H121" s="99">
        <f>G121+'24'!H121</f>
        <v>-4270.429999999993</v>
      </c>
      <c r="I121" s="165"/>
      <c r="J121" s="328">
        <f>H121/DAY(B2)</f>
        <v>-170.81719999999973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'24'!F122</f>
        <v>124853</v>
      </c>
      <c r="F122" s="237">
        <v>125032</v>
      </c>
      <c r="G122" s="112">
        <f t="shared" si="9"/>
        <v>179</v>
      </c>
      <c r="H122" s="99">
        <f>G122+'24'!H122</f>
        <v>-1154.179999999993</v>
      </c>
      <c r="I122" s="165"/>
      <c r="J122" s="328">
        <f>H122/DAY(B2)</f>
        <v>-46.167199999999724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'24'!F123</f>
        <v>152131</v>
      </c>
      <c r="F123" s="237">
        <v>152394</v>
      </c>
      <c r="G123" s="112">
        <f t="shared" si="9"/>
        <v>263</v>
      </c>
      <c r="H123" s="99">
        <f>G123+'24'!H123</f>
        <v>-1652.9500000000116</v>
      </c>
      <c r="I123" s="165"/>
      <c r="J123" s="328">
        <f>H123/DAY(B2)</f>
        <v>-66.118000000000464</v>
      </c>
    </row>
    <row r="124" spans="1:18" ht="29.25" customHeight="1" x14ac:dyDescent="0.5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3157.2300000000032</v>
      </c>
      <c r="H125" s="156"/>
      <c r="I125" s="327">
        <f>G125-(G39+G53)</f>
        <v>566.2300000000032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'24'!F128</f>
        <v>45611</v>
      </c>
      <c r="F128" s="155">
        <v>45920</v>
      </c>
      <c r="G128" s="112">
        <f t="shared" ref="G128:G134" si="10">F128-E128</f>
        <v>309</v>
      </c>
      <c r="H128" s="99">
        <f>G128+'24'!H128</f>
        <v>-1826</v>
      </c>
      <c r="I128" s="165"/>
      <c r="J128" s="328">
        <f>H128/DAY(B2)</f>
        <v>-73.040000000000006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'24'!F129</f>
        <v>25528</v>
      </c>
      <c r="F129" s="155">
        <v>25739</v>
      </c>
      <c r="G129" s="112">
        <f t="shared" si="10"/>
        <v>211</v>
      </c>
      <c r="H129" s="99">
        <f>G129+'24'!H129</f>
        <v>-1171.869999999999</v>
      </c>
      <c r="I129" s="165"/>
      <c r="J129" s="328">
        <f>H129/DAY(B2)</f>
        <v>-46.874799999999958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'24'!F130</f>
        <v>32314</v>
      </c>
      <c r="F130" s="155">
        <v>32848</v>
      </c>
      <c r="G130" s="112">
        <f t="shared" si="10"/>
        <v>534</v>
      </c>
      <c r="H130" s="99">
        <f>G130+'24'!H130</f>
        <v>-2846</v>
      </c>
      <c r="I130" s="165"/>
      <c r="J130" s="328">
        <f>H130/DAY(B2)</f>
        <v>-113.84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'24'!F131</f>
        <v>14903</v>
      </c>
      <c r="F131" s="155">
        <v>14961</v>
      </c>
      <c r="G131" s="112">
        <f t="shared" si="10"/>
        <v>58</v>
      </c>
      <c r="H131" s="99">
        <f>G131+'24'!H131</f>
        <v>-346.68000000000029</v>
      </c>
      <c r="I131" s="165"/>
      <c r="J131" s="328">
        <f>H131/DAY(B2)</f>
        <v>-13.867200000000011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'24'!F132</f>
        <v>50682</v>
      </c>
      <c r="F132" s="155">
        <v>50849</v>
      </c>
      <c r="G132" s="112">
        <f t="shared" si="10"/>
        <v>167</v>
      </c>
      <c r="H132" s="99">
        <f>G132+'24'!H132</f>
        <v>-999.30000000000291</v>
      </c>
      <c r="I132" s="165"/>
      <c r="J132" s="328">
        <f>H132/DAY(B2)</f>
        <v>-39.972000000000115</v>
      </c>
    </row>
    <row r="133" spans="1:15" ht="27.75" x14ac:dyDescent="0.5">
      <c r="A133" s="863" t="s">
        <v>362</v>
      </c>
      <c r="B133" s="864"/>
      <c r="C133" s="865"/>
      <c r="D133" s="151" t="s">
        <v>183</v>
      </c>
      <c r="E133" s="95">
        <f>'24'!F133</f>
        <v>102315</v>
      </c>
      <c r="F133" s="155">
        <v>102712</v>
      </c>
      <c r="G133" s="112">
        <f t="shared" si="10"/>
        <v>397</v>
      </c>
      <c r="H133" s="99">
        <f>G133+'24'!H133</f>
        <v>-2631.6999999999971</v>
      </c>
      <c r="I133" s="165"/>
      <c r="J133" s="328">
        <f>H133/DAY(B2)</f>
        <v>-105.26799999999989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'24'!F134</f>
        <v>7550</v>
      </c>
      <c r="F134" s="551">
        <v>7700</v>
      </c>
      <c r="G134" s="112">
        <f t="shared" si="10"/>
        <v>150</v>
      </c>
      <c r="H134" s="99">
        <f>G134+'24'!H134</f>
        <v>-901.22999999999956</v>
      </c>
      <c r="I134" s="165"/>
      <c r="J134" s="328">
        <f>H134/DAY(B2)</f>
        <v>-36.049199999999985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1826</v>
      </c>
      <c r="H135" s="99">
        <f>G135+'23'!H135</f>
        <v>27418.389999999985</v>
      </c>
      <c r="I135" s="327">
        <f>G135-(G35+G49)</f>
        <v>-314</v>
      </c>
      <c r="J135" s="328"/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'24'!F138</f>
        <v>865753</v>
      </c>
      <c r="F138" s="147">
        <v>865829</v>
      </c>
      <c r="G138" s="112">
        <f t="shared" ref="G138:G152" si="11">F138-E138</f>
        <v>76</v>
      </c>
      <c r="H138" s="99">
        <f>G138+'24'!H138</f>
        <v>-344</v>
      </c>
      <c r="I138" s="118"/>
      <c r="J138" s="328">
        <f>H138/DAY(B2)</f>
        <v>-13.76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'24'!F139</f>
        <v>886568</v>
      </c>
      <c r="F139" s="148">
        <v>886569</v>
      </c>
      <c r="G139" s="112">
        <f t="shared" si="11"/>
        <v>1</v>
      </c>
      <c r="H139" s="99">
        <f>G139+'24'!H139</f>
        <v>-4</v>
      </c>
      <c r="I139" s="118"/>
      <c r="J139" s="328">
        <f>H139/DAY(B2)</f>
        <v>-0.16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'24'!F140</f>
        <v>88922</v>
      </c>
      <c r="F140" s="149">
        <v>88922</v>
      </c>
      <c r="G140" s="112">
        <f t="shared" si="11"/>
        <v>0</v>
      </c>
      <c r="H140" s="99">
        <f>G140+'24'!H140</f>
        <v>0</v>
      </c>
      <c r="I140" s="118"/>
      <c r="J140" s="328">
        <f>H140/DAY(B2)</f>
        <v>0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'24'!F141</f>
        <v>53475</v>
      </c>
      <c r="F141" s="149">
        <v>53648</v>
      </c>
      <c r="G141" s="112">
        <f t="shared" si="11"/>
        <v>173</v>
      </c>
      <c r="H141" s="99">
        <f>G141+'24'!H141</f>
        <v>-1037.5800000000017</v>
      </c>
      <c r="I141" s="118"/>
      <c r="J141" s="328">
        <f>H141/DAY(B2)</f>
        <v>-41.503200000000071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'24'!F142</f>
        <v>20742</v>
      </c>
      <c r="F142" s="148">
        <v>20807</v>
      </c>
      <c r="G142" s="112">
        <f t="shared" si="11"/>
        <v>65</v>
      </c>
      <c r="H142" s="99">
        <f>G142+'24'!H142</f>
        <v>-477.09999999999854</v>
      </c>
      <c r="I142" s="140"/>
      <c r="J142" s="328">
        <f>H142/DAY(B2)</f>
        <v>-19.083999999999943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'24'!F143</f>
        <v>3655</v>
      </c>
      <c r="F143" s="149">
        <v>3681</v>
      </c>
      <c r="G143" s="112">
        <f t="shared" si="11"/>
        <v>26</v>
      </c>
      <c r="H143" s="99">
        <f>G143+'24'!H143</f>
        <v>-154.38999999999987</v>
      </c>
      <c r="I143" s="140"/>
      <c r="J143" s="328">
        <f>H143/DAY(B2)</f>
        <v>-6.1755999999999949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'24'!F144</f>
        <v>875079</v>
      </c>
      <c r="F144" s="149">
        <v>875283</v>
      </c>
      <c r="G144" s="112">
        <f t="shared" si="11"/>
        <v>204</v>
      </c>
      <c r="H144" s="99">
        <f>G144+'24'!H144</f>
        <v>-1204</v>
      </c>
      <c r="I144" s="140"/>
      <c r="J144" s="328">
        <f>H144/DAY(B2)</f>
        <v>-48.16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'24'!F145</f>
        <v>4909</v>
      </c>
      <c r="F145" s="149">
        <v>4915</v>
      </c>
      <c r="G145" s="112">
        <f t="shared" si="11"/>
        <v>6</v>
      </c>
      <c r="H145" s="99">
        <f>G145+'24'!H145</f>
        <v>-43.840000000000146</v>
      </c>
      <c r="I145" s="140"/>
      <c r="J145" s="328">
        <f>H145/DAY(B2)</f>
        <v>-1.7536000000000058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'24'!F146</f>
        <v>734505</v>
      </c>
      <c r="F146" s="148">
        <v>734907</v>
      </c>
      <c r="G146" s="112">
        <f t="shared" si="11"/>
        <v>402</v>
      </c>
      <c r="H146" s="99">
        <f>G146+'24'!H146</f>
        <v>-2426</v>
      </c>
      <c r="I146" s="140"/>
      <c r="J146" s="328">
        <f>H146/DAY(B2)</f>
        <v>-97.04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'24'!F147</f>
        <v>624120</v>
      </c>
      <c r="F147" s="148">
        <v>624485</v>
      </c>
      <c r="G147" s="112">
        <f t="shared" si="11"/>
        <v>365</v>
      </c>
      <c r="H147" s="99">
        <f>G147+'24'!H147</f>
        <v>-2127.5200000000186</v>
      </c>
      <c r="I147" s="140"/>
      <c r="J147" s="328">
        <f>H147/DAY(B2)</f>
        <v>-85.100800000000746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'24'!F148</f>
        <v>688121</v>
      </c>
      <c r="F148" s="486">
        <v>688279</v>
      </c>
      <c r="G148" s="112">
        <f t="shared" si="11"/>
        <v>158</v>
      </c>
      <c r="H148" s="99">
        <f>G148+'24'!H148</f>
        <v>-1163.9599999999627</v>
      </c>
      <c r="I148" s="124"/>
      <c r="J148" s="328">
        <f>H148/DAY(B2)</f>
        <v>-46.558399999998507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'24'!F149</f>
        <v>21180</v>
      </c>
      <c r="F149" s="146">
        <v>21699</v>
      </c>
      <c r="G149" s="112">
        <f t="shared" si="11"/>
        <v>519</v>
      </c>
      <c r="H149" s="99">
        <f>G149+'24'!H149</f>
        <v>-2979.2000000000007</v>
      </c>
      <c r="I149" s="119"/>
      <c r="J149" s="328">
        <f>H149/DAY(B2)</f>
        <v>-119.16800000000003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'24'!F150</f>
        <v>9307</v>
      </c>
      <c r="F150" s="233">
        <v>9524</v>
      </c>
      <c r="G150" s="112">
        <f t="shared" si="11"/>
        <v>217</v>
      </c>
      <c r="H150" s="99">
        <f>G150+'24'!H150</f>
        <v>-1326.83</v>
      </c>
      <c r="I150" s="119"/>
      <c r="J150" s="328">
        <f>H150/DAY(B2)</f>
        <v>-53.0732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'24'!F151</f>
        <v>83702</v>
      </c>
      <c r="F151" s="233">
        <v>83952</v>
      </c>
      <c r="G151" s="112">
        <f t="shared" si="11"/>
        <v>250</v>
      </c>
      <c r="H151" s="99">
        <f>G151+'24'!H151</f>
        <v>-1528</v>
      </c>
      <c r="I151" s="119"/>
      <c r="J151" s="328">
        <f>H151/DAY(B2)</f>
        <v>-61.12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'24'!F152</f>
        <v>1531</v>
      </c>
      <c r="F152" s="233">
        <v>1547</v>
      </c>
      <c r="G152" s="112">
        <f t="shared" si="11"/>
        <v>16</v>
      </c>
      <c r="H152" s="99">
        <f>G152+'24'!H152</f>
        <v>-113</v>
      </c>
      <c r="I152" s="119"/>
      <c r="J152" s="328">
        <f>H152/DAY(B2)</f>
        <v>-4.5199999999999996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2478</v>
      </c>
      <c r="H153" s="363"/>
      <c r="I153" s="119">
        <f>G153-(G38+G52)</f>
        <v>717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'24'!F155</f>
        <v>27719</v>
      </c>
      <c r="F155" s="364">
        <v>28381</v>
      </c>
      <c r="G155" s="112">
        <f t="shared" ref="G155:G158" si="12">F155-E155</f>
        <v>662</v>
      </c>
      <c r="H155" s="99">
        <f>G155+'24'!H155</f>
        <v>-4564</v>
      </c>
      <c r="I155" s="364"/>
      <c r="J155" s="328">
        <f>H155/DAY(B2)</f>
        <v>-182.56</v>
      </c>
    </row>
    <row r="156" spans="1:10" ht="27.75" x14ac:dyDescent="0.5">
      <c r="A156" s="843" t="s">
        <v>347</v>
      </c>
      <c r="B156" s="843"/>
      <c r="C156" s="843"/>
      <c r="D156" s="117" t="s">
        <v>130</v>
      </c>
      <c r="E156" s="95">
        <f>'24'!F156</f>
        <v>2333</v>
      </c>
      <c r="F156" s="155">
        <v>2391</v>
      </c>
      <c r="G156" s="112">
        <f t="shared" si="12"/>
        <v>58</v>
      </c>
      <c r="H156" s="99">
        <f>G156+'24'!H156</f>
        <v>1289</v>
      </c>
      <c r="I156" s="165"/>
      <c r="J156" s="328">
        <f>H156/DAY(B2)</f>
        <v>51.56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>
        <f>'24'!F157</f>
        <v>3292</v>
      </c>
      <c r="F157" s="155">
        <v>3410</v>
      </c>
      <c r="G157" s="112">
        <f t="shared" si="12"/>
        <v>118</v>
      </c>
      <c r="H157" s="99">
        <f>G157+'24'!H157</f>
        <v>689.84000000000015</v>
      </c>
      <c r="I157" s="165"/>
      <c r="J157" s="328"/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>
        <f>'24'!F158</f>
        <v>43</v>
      </c>
      <c r="F158" s="155">
        <v>43.75</v>
      </c>
      <c r="G158" s="112">
        <f t="shared" si="12"/>
        <v>0.75</v>
      </c>
      <c r="H158" s="99">
        <f>G158+'24'!H158</f>
        <v>19.41</v>
      </c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'24'!F161</f>
        <v>471872.52</v>
      </c>
      <c r="F161" s="235">
        <v>471893</v>
      </c>
      <c r="G161" s="238">
        <f t="shared" ref="G161:G165" si="13">F161-E161</f>
        <v>20.479999999981374</v>
      </c>
      <c r="H161" s="99">
        <f>G161+'24'!H161</f>
        <v>-160.55999999999767</v>
      </c>
      <c r="I161" s="236"/>
      <c r="J161" s="239">
        <f>H161/DAY(B2)</f>
        <v>-6.4223999999999073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'24'!F162</f>
        <v>88291</v>
      </c>
      <c r="F162" s="235">
        <v>88329</v>
      </c>
      <c r="G162" s="238">
        <f t="shared" si="13"/>
        <v>38</v>
      </c>
      <c r="H162" s="99">
        <f>G162+'24'!H162</f>
        <v>-187.39999999999418</v>
      </c>
      <c r="I162" s="236"/>
      <c r="J162" s="239">
        <f>H162/DAY(B2)</f>
        <v>-7.4959999999997668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'24'!F163</f>
        <v>78929</v>
      </c>
      <c r="F163" s="235">
        <v>78964</v>
      </c>
      <c r="G163" s="238">
        <f t="shared" si="13"/>
        <v>35</v>
      </c>
      <c r="H163" s="99">
        <f>G163+'24'!H163</f>
        <v>-256.10000000000582</v>
      </c>
      <c r="I163" s="236"/>
      <c r="J163" s="239">
        <f>H163/DAY(B2)</f>
        <v>-10.244000000000232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'24'!F164</f>
        <v>4307</v>
      </c>
      <c r="F164" s="235">
        <v>4308</v>
      </c>
      <c r="G164" s="238">
        <f t="shared" si="13"/>
        <v>1</v>
      </c>
      <c r="H164" s="99">
        <f>G164+'24'!H164</f>
        <v>-12</v>
      </c>
      <c r="I164" s="236"/>
      <c r="J164" s="239">
        <f>H164/DAY(B2)</f>
        <v>-0.48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'24'!F165</f>
        <v>29801</v>
      </c>
      <c r="F165" s="235">
        <v>29809</v>
      </c>
      <c r="G165" s="238">
        <f t="shared" si="13"/>
        <v>8</v>
      </c>
      <c r="H165" s="99">
        <f>G165+'24'!H165</f>
        <v>-48.25</v>
      </c>
      <c r="I165" s="236"/>
      <c r="J165" s="239">
        <f>H165/DAY(B2)</f>
        <v>-1.93</v>
      </c>
    </row>
    <row r="166" spans="1:10" ht="29.25" x14ac:dyDescent="0.5">
      <c r="A166" s="852"/>
      <c r="B166" s="852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9.25" x14ac:dyDescent="0.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 x14ac:dyDescent="0.5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1.75" customHeight="1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 x14ac:dyDescent="0.5">
      <c r="A173" s="856" t="s">
        <v>209</v>
      </c>
      <c r="B173" s="857"/>
      <c r="C173" s="333"/>
      <c r="D173" s="228" t="s">
        <v>142</v>
      </c>
      <c r="E173" s="95">
        <f>'24'!F173</f>
        <v>8126</v>
      </c>
      <c r="F173" s="155">
        <v>8126</v>
      </c>
      <c r="G173" s="155">
        <f>F173-E173</f>
        <v>0</v>
      </c>
      <c r="H173" s="99">
        <f>G173+'24'!H173</f>
        <v>0</v>
      </c>
      <c r="I173" s="155"/>
      <c r="J173" s="178">
        <f>H173/DAY(B2)</f>
        <v>0</v>
      </c>
    </row>
    <row r="174" spans="1:10" ht="27.75" customHeight="1" x14ac:dyDescent="0.5">
      <c r="A174" s="856" t="s">
        <v>75</v>
      </c>
      <c r="B174" s="857"/>
      <c r="C174" s="333"/>
      <c r="D174" s="228" t="s">
        <v>142</v>
      </c>
      <c r="E174" s="95">
        <f>'24'!F174</f>
        <v>38528</v>
      </c>
      <c r="F174" s="157">
        <v>38536</v>
      </c>
      <c r="G174" s="155">
        <f t="shared" ref="G174:G175" si="14">F174-E174</f>
        <v>8</v>
      </c>
      <c r="H174" s="99">
        <f>G174+'24'!H174</f>
        <v>295</v>
      </c>
      <c r="I174" s="155"/>
      <c r="J174" s="178">
        <f>H174/DAY(B2)</f>
        <v>11.8</v>
      </c>
    </row>
    <row r="175" spans="1:10" ht="21.75" customHeight="1" x14ac:dyDescent="0.5">
      <c r="A175" s="856" t="s">
        <v>76</v>
      </c>
      <c r="B175" s="896"/>
      <c r="C175" s="857"/>
      <c r="D175" s="228" t="s">
        <v>142</v>
      </c>
      <c r="E175" s="95">
        <f>'24'!F175</f>
        <v>21745</v>
      </c>
      <c r="F175" s="155">
        <v>21753</v>
      </c>
      <c r="G175" s="155">
        <f t="shared" si="14"/>
        <v>8</v>
      </c>
      <c r="H175" s="99">
        <f>G175+'24'!H175</f>
        <v>-60</v>
      </c>
      <c r="I175" s="155"/>
      <c r="J175" s="178">
        <f>H175/DAY(B2)</f>
        <v>-2.4</v>
      </c>
    </row>
    <row r="176" spans="1:10" ht="23.25" customHeight="1" x14ac:dyDescent="0.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16</v>
      </c>
      <c r="H176" s="99">
        <f>G176+'24'!H176</f>
        <v>235</v>
      </c>
      <c r="I176" s="155"/>
      <c r="J176" s="178">
        <f>H176/DAY(B2)</f>
        <v>9.4</v>
      </c>
    </row>
    <row r="177" spans="1:10" ht="21.75" customHeight="1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'24'!F178</f>
        <v>80936</v>
      </c>
      <c r="F178" s="155">
        <v>80957</v>
      </c>
      <c r="G178" s="155">
        <f>F178-E178</f>
        <v>21</v>
      </c>
      <c r="H178" s="99">
        <f>G178+'24'!H178</f>
        <v>-358</v>
      </c>
      <c r="I178" s="155"/>
      <c r="J178" s="178">
        <f>H178/DAY(B2)</f>
        <v>-14.32</v>
      </c>
    </row>
    <row r="179" spans="1:10" ht="24" customHeight="1" x14ac:dyDescent="0.5">
      <c r="A179" s="856" t="s">
        <v>211</v>
      </c>
      <c r="B179" s="857"/>
      <c r="C179" s="333"/>
      <c r="D179" s="228" t="s">
        <v>142</v>
      </c>
      <c r="E179" s="95">
        <f>'24'!F179</f>
        <v>34452</v>
      </c>
      <c r="F179" s="155">
        <v>34532</v>
      </c>
      <c r="G179" s="155">
        <f t="shared" ref="G179:G180" si="15">F179-E179</f>
        <v>80</v>
      </c>
      <c r="H179" s="99">
        <f>G179+'24'!H179</f>
        <v>-271</v>
      </c>
      <c r="I179" s="155"/>
      <c r="J179" s="178">
        <f>H179/DAY(B2)</f>
        <v>-10.84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'24'!F180</f>
        <v>5651</v>
      </c>
      <c r="F180" s="155">
        <v>5658</v>
      </c>
      <c r="G180" s="155">
        <f t="shared" si="15"/>
        <v>7</v>
      </c>
      <c r="H180" s="99">
        <f>G180+'24'!H180</f>
        <v>-44</v>
      </c>
      <c r="I180" s="155"/>
      <c r="J180" s="178">
        <f>H180/DAY(B2)</f>
        <v>-1.76</v>
      </c>
    </row>
    <row r="181" spans="1:10" ht="27.75" x14ac:dyDescent="0.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108</v>
      </c>
      <c r="H181" s="99">
        <f>G181+'24'!H181</f>
        <v>-673</v>
      </c>
      <c r="I181" s="155"/>
      <c r="J181" s="178">
        <f>H181/DAY(B2)</f>
        <v>-26.92</v>
      </c>
    </row>
    <row r="182" spans="1:10" ht="27.75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'24'!F183</f>
        <v>15279</v>
      </c>
      <c r="F183" s="157">
        <v>15286</v>
      </c>
      <c r="G183" s="157">
        <f>F183-E183</f>
        <v>7</v>
      </c>
      <c r="H183" s="99">
        <f>G183+'24'!H183</f>
        <v>-59</v>
      </c>
      <c r="I183" s="155"/>
      <c r="J183" s="178">
        <f>H183/DAY(B2)</f>
        <v>-2.36</v>
      </c>
    </row>
    <row r="184" spans="1:10" ht="30.75" customHeight="1" x14ac:dyDescent="0.5">
      <c r="A184" s="856" t="s">
        <v>215</v>
      </c>
      <c r="B184" s="857"/>
      <c r="C184" s="334"/>
      <c r="D184" s="228" t="s">
        <v>142</v>
      </c>
      <c r="E184" s="95">
        <f>'24'!F184</f>
        <v>10442</v>
      </c>
      <c r="F184" s="157">
        <v>10454</v>
      </c>
      <c r="G184" s="157">
        <f t="shared" ref="G184:G185" si="16">F184-E184</f>
        <v>12</v>
      </c>
      <c r="H184" s="99">
        <f>G184+'24'!H184</f>
        <v>-64</v>
      </c>
      <c r="I184" s="155"/>
      <c r="J184" s="178">
        <f>H184/DAY(B2)</f>
        <v>-2.56</v>
      </c>
    </row>
    <row r="185" spans="1:10" ht="23.25" customHeight="1" x14ac:dyDescent="0.5">
      <c r="A185" s="856" t="s">
        <v>216</v>
      </c>
      <c r="B185" s="857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7.75" x14ac:dyDescent="0.5">
      <c r="A186" s="847" t="s">
        <v>196</v>
      </c>
      <c r="B186" s="848"/>
      <c r="C186" s="482"/>
      <c r="D186" s="228" t="s">
        <v>142</v>
      </c>
      <c r="E186" s="95"/>
      <c r="F186" s="157">
        <v>0</v>
      </c>
      <c r="G186" s="157">
        <f>SUM(G183:G185)</f>
        <v>19</v>
      </c>
      <c r="H186" s="99">
        <f>G186+'24'!H186</f>
        <v>-123</v>
      </c>
      <c r="I186" s="157"/>
      <c r="J186" s="178">
        <f>H186/DAY(B2)</f>
        <v>-4.92</v>
      </c>
    </row>
    <row r="187" spans="1:10" ht="27.75" x14ac:dyDescent="0.5">
      <c r="A187" s="849" t="s">
        <v>217</v>
      </c>
      <c r="B187" s="850"/>
      <c r="C187" s="333"/>
      <c r="D187" s="228" t="s">
        <v>142</v>
      </c>
      <c r="E187" s="95">
        <f>'24'!F187</f>
        <v>0</v>
      </c>
      <c r="F187" s="159"/>
      <c r="G187" s="460">
        <f>G62+G19</f>
        <v>152</v>
      </c>
      <c r="H187" s="99">
        <f>G187+'24'!H187</f>
        <v>-930</v>
      </c>
      <c r="I187" s="158"/>
      <c r="J187" s="179">
        <f>H187/DAY(B2)</f>
        <v>-37.200000000000003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>
        <f>'24'!F188</f>
        <v>0</v>
      </c>
      <c r="F188" s="159"/>
      <c r="G188" s="460">
        <f>G65+G66+G67+G69+G70</f>
        <v>134</v>
      </c>
      <c r="H188" s="99">
        <f>G188+'24'!H188</f>
        <v>1443</v>
      </c>
      <c r="I188" s="158"/>
      <c r="J188" s="179">
        <f>H188/DAY(B2)</f>
        <v>57.72</v>
      </c>
    </row>
    <row r="189" spans="1:10" ht="27.75" x14ac:dyDescent="0.5">
      <c r="A189" s="849" t="s">
        <v>219</v>
      </c>
      <c r="B189" s="850"/>
      <c r="C189" s="333"/>
      <c r="D189" s="230" t="s">
        <v>142</v>
      </c>
      <c r="E189" s="95">
        <f>'24'!F189</f>
        <v>0</v>
      </c>
      <c r="F189" s="157"/>
      <c r="G189" s="457">
        <f>G181</f>
        <v>108</v>
      </c>
      <c r="H189" s="99">
        <f>G189+'24'!H189</f>
        <v>551</v>
      </c>
      <c r="I189" s="158"/>
      <c r="J189" s="179">
        <f>H189/DAY(B2)</f>
        <v>22.04</v>
      </c>
    </row>
    <row r="190" spans="1:10" ht="27.75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</mergeCells>
  <pageMargins left="0.22" right="0.17" top="0.14000000000000001" bottom="0.2" header="0.2" footer="0.2"/>
  <pageSetup paperSize="5" scale="1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zoomScale="60" workbookViewId="0">
      <selection activeCell="G11" sqref="G11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357</v>
      </c>
      <c r="B2" s="262">
        <v>44587</v>
      </c>
      <c r="C2" s="348" t="s">
        <v>67</v>
      </c>
      <c r="D2" s="218">
        <v>0.87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'25'!F7</f>
        <v>547409</v>
      </c>
      <c r="F7" s="95">
        <v>563863</v>
      </c>
      <c r="G7" s="112">
        <f>F7-E7</f>
        <v>16454</v>
      </c>
      <c r="H7" s="99">
        <f>G7+'25'!H7</f>
        <v>-87317.229999999981</v>
      </c>
      <c r="I7" s="113">
        <f>'1'!I7</f>
        <v>12000</v>
      </c>
      <c r="J7" s="175">
        <f>H7/DAY(B2)</f>
        <v>-3358.3549999999991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'25'!F8</f>
        <v>603218</v>
      </c>
      <c r="F8" s="95">
        <v>620110</v>
      </c>
      <c r="G8" s="115">
        <f>F8-E8</f>
        <v>16892</v>
      </c>
      <c r="H8" s="99">
        <f>G8+'25'!H8</f>
        <v>-88438.150000000023</v>
      </c>
      <c r="I8" s="116"/>
      <c r="J8" s="175">
        <f>H8/DAY(B2)</f>
        <v>-3401.4673076923086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'25'!F9</f>
        <v>193704</v>
      </c>
      <c r="F9" s="598">
        <v>207852</v>
      </c>
      <c r="G9" s="112">
        <f>F9-E9</f>
        <v>14148</v>
      </c>
      <c r="H9" s="99">
        <f>G9+'25'!H9</f>
        <v>-74401.850000000006</v>
      </c>
      <c r="I9" s="124">
        <f>I7-J7</f>
        <v>15358.355</v>
      </c>
      <c r="J9" s="175">
        <f>H9/DAY(B2)</f>
        <v>-2861.6096153846156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'25'!F10</f>
        <v>93083</v>
      </c>
      <c r="F10" s="353">
        <v>95081</v>
      </c>
      <c r="G10" s="112">
        <f t="shared" ref="G10:G12" si="0">F10-E10</f>
        <v>1998</v>
      </c>
      <c r="H10" s="99">
        <f>G10+'25'!H10</f>
        <v>-10177.970000000001</v>
      </c>
      <c r="I10" s="282"/>
      <c r="J10" s="175">
        <f>H10/DAY(B2)</f>
        <v>-391.46038461538467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'25'!F11</f>
        <v>37170</v>
      </c>
      <c r="F11" s="95">
        <v>37170</v>
      </c>
      <c r="G11" s="112">
        <f t="shared" si="0"/>
        <v>0</v>
      </c>
      <c r="H11" s="99">
        <f>G11+'25'!H11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16146</v>
      </c>
      <c r="H13" s="99">
        <f>G13+'25'!H13</f>
        <v>-101334.25</v>
      </c>
      <c r="I13" s="120">
        <f>G7-G13</f>
        <v>308</v>
      </c>
      <c r="J13" s="175">
        <f>H13/DAY(B2)</f>
        <v>-3897.4711538461538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'25'!F15</f>
        <v>1900929</v>
      </c>
      <c r="F15" s="123">
        <v>1901865</v>
      </c>
      <c r="G15" s="112">
        <f>(F15-E15)</f>
        <v>936</v>
      </c>
      <c r="H15" s="99">
        <f>G15+'25'!H15</f>
        <v>25808.233000000007</v>
      </c>
      <c r="I15" s="113">
        <f>'1'!I15</f>
        <v>800</v>
      </c>
      <c r="J15" s="175">
        <f>H15/DAY(B2)</f>
        <v>992.62434615384643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-192.62434615384643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'25'!F18</f>
        <v>14</v>
      </c>
      <c r="F18" s="122">
        <v>12</v>
      </c>
      <c r="G18" s="119">
        <f>F18*10</f>
        <v>120</v>
      </c>
      <c r="H18" s="99">
        <f>G18+'25'!H18</f>
        <v>4280</v>
      </c>
      <c r="I18" s="113">
        <f>'1'!I18</f>
        <v>65</v>
      </c>
      <c r="J18" s="175">
        <f>H18/DAY(B2)</f>
        <v>164.61538461538461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'25'!F19</f>
        <v>153563</v>
      </c>
      <c r="F19" s="122">
        <v>153618</v>
      </c>
      <c r="G19" s="112">
        <f t="shared" ref="G19" si="1">F19-E19</f>
        <v>55</v>
      </c>
      <c r="H19" s="99">
        <f>G19+'25'!H19</f>
        <v>-273</v>
      </c>
      <c r="I19" s="335"/>
      <c r="J19" s="175">
        <f>H19/DAY(B2)</f>
        <v>-10.5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175</v>
      </c>
      <c r="H20" s="99">
        <f>G20+'25'!H20</f>
        <v>4007</v>
      </c>
      <c r="I20" s="336">
        <f>I18-J20</f>
        <v>-89.115384615384613</v>
      </c>
      <c r="J20" s="175">
        <f>H20/DAY(B2)</f>
        <v>154.11538461538461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110</v>
      </c>
      <c r="I23" s="118"/>
      <c r="J23" s="175">
        <f>H23/DAY(B2)</f>
        <v>4.2307692307692308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110</v>
      </c>
      <c r="I24" s="118"/>
      <c r="J24" s="175">
        <f>H24/DAY(B2)</f>
        <v>4.2307692307692308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16892</v>
      </c>
      <c r="F27" s="136">
        <v>9</v>
      </c>
      <c r="G27" s="137">
        <f>E27*F27</f>
        <v>152028</v>
      </c>
      <c r="H27" s="99">
        <f>G27+'25'!H27</f>
        <v>-795943.35000000009</v>
      </c>
      <c r="I27" s="138"/>
      <c r="J27" s="175">
        <f>H27/DAY(B2)</f>
        <v>-30613.205769230772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936</v>
      </c>
      <c r="F28" s="136">
        <v>52</v>
      </c>
      <c r="G28" s="137">
        <f>E28*F28</f>
        <v>48672</v>
      </c>
      <c r="H28" s="99">
        <f>G28+'25'!H28</f>
        <v>1375382.1160000004</v>
      </c>
      <c r="I28" s="140"/>
      <c r="J28" s="175">
        <f>H28/DAY(B2)</f>
        <v>52899.312153846171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7590</v>
      </c>
      <c r="I29" s="140"/>
      <c r="J29" s="175">
        <f>H29/DAY(B2)</f>
        <v>291.92307692307691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G30+'25'!H30</f>
        <v>-47668</v>
      </c>
      <c r="I30" s="140"/>
      <c r="J30" s="175">
        <f>H30/DAY(B2)</f>
        <v>-1833.3846153846155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G31+'25'!H31</f>
        <v>342400</v>
      </c>
      <c r="I31" s="140"/>
      <c r="J31" s="175">
        <f>H31/DAY(B2)</f>
        <v>13169.23076923077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218330</v>
      </c>
      <c r="H32" s="99">
        <f>G32+'25'!H32</f>
        <v>881760.76600000029</v>
      </c>
      <c r="I32" s="144"/>
      <c r="J32" s="175">
        <f>H32/DAY(B2)</f>
        <v>33913.875615384626</v>
      </c>
      <c r="K32" s="63"/>
      <c r="L32" s="89"/>
      <c r="N32" s="87"/>
      <c r="O32" s="71"/>
    </row>
    <row r="33" spans="1:15" ht="25.5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'25'!F35</f>
        <v>24516</v>
      </c>
      <c r="F35" s="145">
        <v>25764</v>
      </c>
      <c r="G35" s="112">
        <f t="shared" ref="G35:G46" si="3">F35-E35</f>
        <v>1248</v>
      </c>
      <c r="H35" s="99">
        <f>G35+'25'!H35</f>
        <v>-6240.9799999999959</v>
      </c>
      <c r="I35" s="95"/>
      <c r="J35" s="175">
        <f>H35/DAY(B2)</f>
        <v>-240.03769230769214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'25'!F36</f>
        <v>39240</v>
      </c>
      <c r="F36" s="145">
        <v>39883</v>
      </c>
      <c r="G36" s="112">
        <f t="shared" si="3"/>
        <v>643</v>
      </c>
      <c r="H36" s="99">
        <f>G36+'25'!H36</f>
        <v>-3575.739999999998</v>
      </c>
      <c r="I36" s="95"/>
      <c r="J36" s="175">
        <f>H36/DAY(B2)</f>
        <v>-137.52846153846147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'25'!F37</f>
        <v>25996</v>
      </c>
      <c r="F37" s="145">
        <v>27515</v>
      </c>
      <c r="G37" s="112">
        <f t="shared" si="3"/>
        <v>1519</v>
      </c>
      <c r="H37" s="99">
        <f>G37+'25'!H37</f>
        <v>-7910.0899999999965</v>
      </c>
      <c r="I37" s="95"/>
      <c r="J37" s="175">
        <f>H37/DAY(B2)</f>
        <v>-304.23423076923063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'25'!F38</f>
        <v>28079</v>
      </c>
      <c r="F38" s="108">
        <v>29825</v>
      </c>
      <c r="G38" s="112">
        <f t="shared" si="3"/>
        <v>1746</v>
      </c>
      <c r="H38" s="99">
        <f>G38+'25'!H38</f>
        <v>-8551.43</v>
      </c>
      <c r="I38" s="95"/>
      <c r="J38" s="175">
        <f>H38/DAY(B2)</f>
        <v>-328.90115384615387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'25'!F39</f>
        <v>43529</v>
      </c>
      <c r="F39" s="145">
        <v>46086</v>
      </c>
      <c r="G39" s="112">
        <f t="shared" si="3"/>
        <v>2557</v>
      </c>
      <c r="H39" s="99">
        <f>G39+'25'!H39</f>
        <v>-13087.290000000005</v>
      </c>
      <c r="I39" s="95"/>
      <c r="J39" s="175">
        <f>H39/DAY(B2)</f>
        <v>-503.35730769230787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'25'!F40</f>
        <v>16777</v>
      </c>
      <c r="F40" s="145">
        <v>17469</v>
      </c>
      <c r="G40" s="112">
        <f t="shared" si="3"/>
        <v>692</v>
      </c>
      <c r="H40" s="99">
        <f>G40+'25'!H40</f>
        <v>-4647.9900000000016</v>
      </c>
      <c r="I40" s="95"/>
      <c r="J40" s="175">
        <f>H40/DAY(B2)</f>
        <v>-178.76884615384623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'25'!F41</f>
        <v>0</v>
      </c>
      <c r="F41" s="145">
        <v>0</v>
      </c>
      <c r="G41" s="112">
        <f t="shared" si="3"/>
        <v>0</v>
      </c>
      <c r="H41" s="99">
        <f>G41+'25'!H41</f>
        <v>-62.73</v>
      </c>
      <c r="I41" s="95"/>
      <c r="J41" s="175">
        <f>H41/DAY(B2)</f>
        <v>-2.4126923076923075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'25'!F42</f>
        <v>76837</v>
      </c>
      <c r="F42" s="145">
        <v>80285</v>
      </c>
      <c r="G42" s="112">
        <f t="shared" si="3"/>
        <v>3448</v>
      </c>
      <c r="H42" s="99">
        <f>G42+'25'!H42</f>
        <v>42207.259999999995</v>
      </c>
      <c r="I42" s="95"/>
      <c r="J42" s="175">
        <f>H42/DAY(B2)</f>
        <v>1623.3561538461536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'25'!F43</f>
        <v>103125</v>
      </c>
      <c r="F43" s="145">
        <v>105073</v>
      </c>
      <c r="G43" s="112">
        <f t="shared" si="3"/>
        <v>1948</v>
      </c>
      <c r="H43" s="99">
        <f>G43+'25'!H43</f>
        <v>56250.399999999994</v>
      </c>
      <c r="I43" s="95"/>
      <c r="J43" s="175">
        <f>H43/DAY(B2)</f>
        <v>2163.476923076923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11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11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13801</v>
      </c>
      <c r="H47" s="99">
        <f>G47+'25'!H47</f>
        <v>54381.409999999996</v>
      </c>
      <c r="I47" s="95"/>
      <c r="J47" s="175">
        <f>H47/DAY(B2)</f>
        <v>2091.5926923076922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'25'!F49</f>
        <v>19847</v>
      </c>
      <c r="F49" s="145">
        <v>20678</v>
      </c>
      <c r="G49" s="112">
        <f t="shared" ref="G49:G58" si="4">F49-E49</f>
        <v>831</v>
      </c>
      <c r="H49" s="99">
        <f>G49+'25'!H49</f>
        <v>-4318.1899999999987</v>
      </c>
      <c r="I49" s="95"/>
      <c r="J49" s="175">
        <f>H49/DAY(B2)</f>
        <v>-166.08423076923071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'25'!F50</f>
        <v>50260</v>
      </c>
      <c r="F50" s="145">
        <v>51269</v>
      </c>
      <c r="G50" s="112">
        <f t="shared" si="4"/>
        <v>1009</v>
      </c>
      <c r="H50" s="99">
        <f>G50+'25'!H50</f>
        <v>-5117.6299999999974</v>
      </c>
      <c r="I50" s="95"/>
      <c r="J50" s="175">
        <f>H50/DAY(B2)</f>
        <v>-196.83192307692298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'25'!F51</f>
        <v>0</v>
      </c>
      <c r="F51" s="145">
        <v>0</v>
      </c>
      <c r="G51" s="112">
        <f t="shared" si="4"/>
        <v>0</v>
      </c>
      <c r="H51" s="99">
        <f>G51+'25'!H51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'25'!F52</f>
        <v>0</v>
      </c>
      <c r="F52" s="145">
        <v>0</v>
      </c>
      <c r="G52" s="11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11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'25'!F54</f>
        <v>5147</v>
      </c>
      <c r="F54" s="145">
        <v>5147</v>
      </c>
      <c r="G54" s="112">
        <f t="shared" si="4"/>
        <v>0</v>
      </c>
      <c r="H54" s="99">
        <f>G54+'25'!H54</f>
        <v>-0.42000000000007276</v>
      </c>
      <c r="I54" s="95"/>
      <c r="J54" s="175">
        <f>H54/DAY(B2)</f>
        <v>-1.6153846153848954E-2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'25'!F55</f>
        <v>74366</v>
      </c>
      <c r="F55" s="145">
        <v>74366</v>
      </c>
      <c r="G55" s="112">
        <f t="shared" si="4"/>
        <v>0</v>
      </c>
      <c r="H55" s="99">
        <f>G55+'25'!H55</f>
        <v>-0.11000000000058208</v>
      </c>
      <c r="I55" s="95"/>
      <c r="J55" s="175">
        <f>H55/DAY(B2)</f>
        <v>-4.2307692307916181E-3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'25'!F56</f>
        <v>8610.5400000000009</v>
      </c>
      <c r="F56" s="145">
        <v>8610.5400000000009</v>
      </c>
      <c r="G56" s="112">
        <f t="shared" si="4"/>
        <v>0</v>
      </c>
      <c r="H56" s="99">
        <f>G56+'25'!H56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112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'25'!F58</f>
        <v>3595</v>
      </c>
      <c r="F58" s="145">
        <v>3797</v>
      </c>
      <c r="G58" s="112">
        <f t="shared" si="4"/>
        <v>202</v>
      </c>
      <c r="H58" s="99">
        <f>G58+'25'!H58</f>
        <v>-999.21</v>
      </c>
      <c r="I58" s="95"/>
      <c r="J58" s="175">
        <f>H58/DAY(B2)</f>
        <v>-38.431153846153848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2042</v>
      </c>
      <c r="H59" s="99">
        <f>G59+'25'!H59</f>
        <v>-10435.560000000014</v>
      </c>
      <c r="I59" s="95">
        <f>G7-G60</f>
        <v>611</v>
      </c>
      <c r="J59" s="175">
        <f>H59/DAY(B2)</f>
        <v>-401.36769230769283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15843</v>
      </c>
      <c r="H60" s="99">
        <f>G60+'25'!H60</f>
        <v>43945.849999999977</v>
      </c>
      <c r="I60" s="95">
        <f>G13-G60</f>
        <v>303</v>
      </c>
      <c r="J60" s="175">
        <f>H60/DAY(B2)</f>
        <v>1690.224999999999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'25'!F62</f>
        <v>268914</v>
      </c>
      <c r="F62" s="122">
        <v>269007</v>
      </c>
      <c r="G62" s="112">
        <f t="shared" ref="G62:G63" si="5">F62-E62</f>
        <v>93</v>
      </c>
      <c r="H62" s="99">
        <f>G62+'25'!H62</f>
        <v>-509</v>
      </c>
      <c r="I62" s="118"/>
      <c r="J62" s="175">
        <f>H62/DAY(B2)</f>
        <v>-19.576923076923077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'25'!F63</f>
        <v>215002</v>
      </c>
      <c r="F63" s="122">
        <v>215129</v>
      </c>
      <c r="G63" s="112">
        <f t="shared" si="5"/>
        <v>127</v>
      </c>
      <c r="H63" s="99">
        <f>G63+'25'!H63</f>
        <v>3053</v>
      </c>
      <c r="I63" s="118"/>
      <c r="J63" s="175">
        <f>H63/DAY(B2)</f>
        <v>117.42307692307692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'25'!F64</f>
        <v>0</v>
      </c>
      <c r="F64" s="122"/>
      <c r="G64" s="112">
        <f>G62+G63</f>
        <v>220</v>
      </c>
      <c r="H64" s="99">
        <f>G64+'25'!H64</f>
        <v>2544</v>
      </c>
      <c r="I64" s="118"/>
      <c r="J64" s="175">
        <f>H64/DAY(B2)</f>
        <v>97.84615384615384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'25'!F65</f>
        <v>434415</v>
      </c>
      <c r="F65" s="122">
        <v>434499</v>
      </c>
      <c r="G65" s="112">
        <f t="shared" ref="G65:G70" si="6">F65-E65</f>
        <v>84</v>
      </c>
      <c r="H65" s="99">
        <f>G65+'25'!H65</f>
        <v>-424</v>
      </c>
      <c r="I65" s="118"/>
      <c r="J65" s="175">
        <f>H65/DAY(B2)</f>
        <v>-16.307692307692307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'25'!F66</f>
        <v>107618</v>
      </c>
      <c r="F66" s="122">
        <v>107637</v>
      </c>
      <c r="G66" s="112">
        <f t="shared" si="6"/>
        <v>19</v>
      </c>
      <c r="H66" s="99">
        <f>G66+'25'!H66</f>
        <v>-106</v>
      </c>
      <c r="I66" s="118"/>
      <c r="J66" s="175">
        <f>H66/DAY(B2)</f>
        <v>-4.0769230769230766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'25'!F67</f>
        <v>104500</v>
      </c>
      <c r="F67" s="122">
        <v>104526</v>
      </c>
      <c r="G67" s="112">
        <f t="shared" si="6"/>
        <v>26</v>
      </c>
      <c r="H67" s="99">
        <f>G67+'25'!H67</f>
        <v>-122</v>
      </c>
      <c r="I67" s="118"/>
      <c r="J67" s="175">
        <f>H67/DAY(B2)</f>
        <v>-4.6923076923076925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'25'!F68</f>
        <v>157420</v>
      </c>
      <c r="F68" s="122">
        <v>157470</v>
      </c>
      <c r="G68" s="112">
        <f t="shared" si="6"/>
        <v>50</v>
      </c>
      <c r="H68" s="99">
        <f>G68+'25'!H68</f>
        <v>-227</v>
      </c>
      <c r="I68" s="118"/>
      <c r="J68" s="175">
        <f>H68/DAY(B2)</f>
        <v>-8.7307692307692299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'25'!F69</f>
        <v>10494</v>
      </c>
      <c r="F69" s="122">
        <v>10502</v>
      </c>
      <c r="G69" s="112">
        <f t="shared" si="6"/>
        <v>8</v>
      </c>
      <c r="H69" s="99">
        <f>G69+'25'!H69</f>
        <v>-39</v>
      </c>
      <c r="I69" s="118"/>
      <c r="J69" s="175">
        <f>H69/DAY(B2)</f>
        <v>-1.5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'25'!F70</f>
        <v>8042</v>
      </c>
      <c r="F70" s="122">
        <v>8055</v>
      </c>
      <c r="G70" s="112">
        <f t="shared" si="6"/>
        <v>13</v>
      </c>
      <c r="H70" s="99">
        <f>G70+'25'!H70</f>
        <v>-65</v>
      </c>
      <c r="I70" s="118"/>
      <c r="J70" s="175">
        <f>H70/DAY(B2)</f>
        <v>-2.5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200</v>
      </c>
      <c r="H71" s="99">
        <f>G71+'25'!H71</f>
        <v>-983</v>
      </c>
      <c r="I71" s="154"/>
      <c r="J71" s="175">
        <f>H71/DAY(B2)</f>
        <v>-37.807692307692307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'25'!F74</f>
        <v>899470</v>
      </c>
      <c r="F74" s="123">
        <v>899756</v>
      </c>
      <c r="G74" s="112">
        <f t="shared" ref="G74:G78" si="7">F74-E74</f>
        <v>286</v>
      </c>
      <c r="H74" s="99">
        <f>G74+'25'!H74</f>
        <v>-1550.1489999999758</v>
      </c>
      <c r="I74" s="154"/>
      <c r="J74" s="175">
        <f>H74/DAY(B2)</f>
        <v>-59.621115384614455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'25'!F75</f>
        <v>73586.8</v>
      </c>
      <c r="F75" s="123">
        <v>73586.8</v>
      </c>
      <c r="G75" s="11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'25'!F76</f>
        <v>169420</v>
      </c>
      <c r="F76" s="123">
        <v>169525</v>
      </c>
      <c r="G76" s="112">
        <f t="shared" si="7"/>
        <v>105</v>
      </c>
      <c r="H76" s="99">
        <f>G76+'25'!H76</f>
        <v>-450</v>
      </c>
      <c r="I76" s="154"/>
      <c r="J76" s="175">
        <f>H76/DAY(B2)</f>
        <v>-17.307692307692307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'25'!F77</f>
        <v>41085</v>
      </c>
      <c r="F77" s="123">
        <v>41116</v>
      </c>
      <c r="G77" s="112">
        <f t="shared" si="7"/>
        <v>31</v>
      </c>
      <c r="H77" s="99">
        <f>G77+'25'!H77</f>
        <v>-186.19999999999709</v>
      </c>
      <c r="I77" s="154"/>
      <c r="J77" s="175">
        <f>H77/DAY(B2)</f>
        <v>-7.1615384615383499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'25'!F78</f>
        <v>9508</v>
      </c>
      <c r="F78" s="123">
        <v>9509</v>
      </c>
      <c r="G78" s="112">
        <f t="shared" si="7"/>
        <v>1</v>
      </c>
      <c r="H78" s="99">
        <f>G78+'25'!H78</f>
        <v>-7</v>
      </c>
      <c r="I78" s="118"/>
      <c r="J78" s="175">
        <f>H78/DAY(B2)</f>
        <v>-0.26923076923076922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'25'!F79</f>
        <v>0</v>
      </c>
      <c r="F79" s="117"/>
      <c r="G79" s="112">
        <f>G15-SUM(G74:G78)</f>
        <v>513</v>
      </c>
      <c r="H79" s="99">
        <f>G79+'25'!H79</f>
        <v>28001.58199999998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936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'25'!F84</f>
        <v>41675.4</v>
      </c>
      <c r="F84" s="164">
        <v>41675.4</v>
      </c>
      <c r="G84" s="112">
        <f t="shared" si="8"/>
        <v>0</v>
      </c>
      <c r="H84" s="99">
        <f>G84+'25'!H84</f>
        <v>0.40000000000145519</v>
      </c>
      <c r="I84" s="118"/>
      <c r="J84" s="175">
        <f>H84/DAY(B2)</f>
        <v>1.5384615384671353E-2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'25'!F85</f>
        <v>2118</v>
      </c>
      <c r="F85" s="164">
        <v>2142</v>
      </c>
      <c r="G85" s="112">
        <f t="shared" si="8"/>
        <v>24</v>
      </c>
      <c r="H85" s="99">
        <f>G85+'25'!H85</f>
        <v>-118.42000000000007</v>
      </c>
      <c r="I85" s="118">
        <f>G82+G83+G84+G85</f>
        <v>24</v>
      </c>
      <c r="J85" s="175">
        <f>H85/DAY(B2)</f>
        <v>-4.5546153846153876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'25'!F86</f>
        <v>43442</v>
      </c>
      <c r="F86" s="164">
        <v>43442</v>
      </c>
      <c r="G86" s="112">
        <f t="shared" si="8"/>
        <v>0</v>
      </c>
      <c r="H86" s="99">
        <f>G86+'25'!H86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'25'!F87</f>
        <v>34598.550000000003</v>
      </c>
      <c r="F87" s="164">
        <v>34598.550000000003</v>
      </c>
      <c r="G87" s="112">
        <f t="shared" si="8"/>
        <v>0</v>
      </c>
      <c r="H87" s="99">
        <f>G87+'25'!H87</f>
        <v>5.0000000002910383E-2</v>
      </c>
      <c r="I87" s="118"/>
      <c r="J87" s="175">
        <f>H87/DAY(B2)</f>
        <v>1.923076923188861E-3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'25'!F88</f>
        <v>24063</v>
      </c>
      <c r="F88" s="164">
        <v>24063</v>
      </c>
      <c r="G88" s="112">
        <f t="shared" si="8"/>
        <v>0</v>
      </c>
      <c r="H88" s="99">
        <f>G88+'25'!H88</f>
        <v>-0.43000000000029104</v>
      </c>
      <c r="I88" s="118">
        <f>G86+G87+G88</f>
        <v>0</v>
      </c>
      <c r="J88" s="175">
        <f>H88/DAY(B2)</f>
        <v>-1.6538461538472733E-2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'25'!F89</f>
        <v>25833.98</v>
      </c>
      <c r="F89" s="164">
        <v>25843</v>
      </c>
      <c r="G89" s="112">
        <f t="shared" si="8"/>
        <v>9.0200000000004366</v>
      </c>
      <c r="H89" s="99">
        <f>G89+'25'!H89</f>
        <v>-48.119999999998981</v>
      </c>
      <c r="I89" s="118"/>
      <c r="J89" s="175">
        <f>H89/DAY(B2)</f>
        <v>-1.8507692307691916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'25'!F90</f>
        <v>71150</v>
      </c>
      <c r="F90" s="164">
        <v>71153</v>
      </c>
      <c r="G90" s="112">
        <f t="shared" si="8"/>
        <v>3</v>
      </c>
      <c r="H90" s="99">
        <f>G90+'25'!H90</f>
        <v>-10.320000000006985</v>
      </c>
      <c r="I90" s="118">
        <f>G89+G90</f>
        <v>12.020000000000437</v>
      </c>
      <c r="J90" s="175">
        <f>H90/DAY(B2)</f>
        <v>-0.39692307692334555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'25'!F91</f>
        <v>3226</v>
      </c>
      <c r="F91" s="122">
        <v>3226</v>
      </c>
      <c r="G91" s="112">
        <f t="shared" si="8"/>
        <v>0</v>
      </c>
      <c r="H91" s="99">
        <f>G91+'25'!H91</f>
        <v>-25.090000000000146</v>
      </c>
      <c r="I91" s="165"/>
      <c r="J91" s="175">
        <f>H91/DAY(B2)</f>
        <v>-0.96500000000000563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'25'!F92</f>
        <v>5699</v>
      </c>
      <c r="F92" s="122">
        <v>5710</v>
      </c>
      <c r="G92" s="112">
        <f t="shared" si="8"/>
        <v>11</v>
      </c>
      <c r="H92" s="99">
        <f>G92+'25'!H92</f>
        <v>-31.069999999999709</v>
      </c>
      <c r="I92" s="165"/>
      <c r="J92" s="175">
        <f>H92/DAY(B2)</f>
        <v>-1.1949999999999887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4027</v>
      </c>
      <c r="H94" s="99">
        <f>G94+'25'!H94</f>
        <v>45691.229999999996</v>
      </c>
      <c r="I94" s="118"/>
      <c r="J94" s="175">
        <f>H94/DAY(B2)</f>
        <v>1757.3549999999998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0.24474291965479519</v>
      </c>
      <c r="H95" s="99">
        <f>G95+'25'!H95</f>
        <v>6.5771172322658771</v>
      </c>
      <c r="I95" s="167"/>
      <c r="J95" s="175">
        <f>H95/DAY(B2)</f>
        <v>0.25296604739484141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3448</v>
      </c>
      <c r="H96" s="99">
        <f>G96+'25'!H96</f>
        <v>42144.419999999991</v>
      </c>
      <c r="I96" s="118"/>
      <c r="J96" s="175">
        <f>H96/DAY(B2)</f>
        <v>1620.9392307692303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0.2095539078643491</v>
      </c>
      <c r="H97" s="99">
        <f>G97+'25'!H97</f>
        <v>4.6963970016283341</v>
      </c>
      <c r="I97" s="167"/>
      <c r="J97" s="175">
        <f>H97/DAY(B2)</f>
        <v>0.18063065390878208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2557</v>
      </c>
      <c r="H98" s="99">
        <f>G98+'25'!H98</f>
        <v>-13087.290000000005</v>
      </c>
      <c r="I98" s="168"/>
      <c r="J98" s="175">
        <f>H98/DAY(B2)</f>
        <v>-503.35730769230787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0.15540294153397349</v>
      </c>
      <c r="H99" s="99">
        <f>G99+'25'!H99</f>
        <v>3.8212664060460719</v>
      </c>
      <c r="I99" s="168"/>
      <c r="J99" s="175">
        <f>H99/DAY(B2)</f>
        <v>0.14697178484792583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1746</v>
      </c>
      <c r="H100" s="99">
        <f>G100+'25'!H100</f>
        <v>-8551.43</v>
      </c>
      <c r="I100" s="118"/>
      <c r="J100" s="175">
        <f>H100/DAY(B2)</f>
        <v>-328.90115384615387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0.10611401482922085</v>
      </c>
      <c r="H101" s="99">
        <f>G101+'25'!H101</f>
        <v>2.5024882843687069</v>
      </c>
      <c r="I101" s="168"/>
      <c r="J101" s="175">
        <f>H101/DAY(B2)</f>
        <v>9.6249549398796416E-2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1652</v>
      </c>
      <c r="H102" s="99">
        <f>G102+'25'!H102</f>
        <v>-8693.3699999999953</v>
      </c>
      <c r="I102" s="168"/>
      <c r="J102" s="175">
        <f>H102/DAY(B2)</f>
        <v>-334.36038461538442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0.1004011182691139</v>
      </c>
      <c r="H103" s="99">
        <f>G103+'25'!H103</f>
        <v>2.7072916853850897</v>
      </c>
      <c r="I103" s="118"/>
      <c r="J103" s="175">
        <f>H103/DAY(B2)</f>
        <v>0.10412660328404191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1519</v>
      </c>
      <c r="H104" s="99">
        <f>G104+'25'!H104</f>
        <v>-7910.0899999999965</v>
      </c>
      <c r="I104" s="118"/>
      <c r="J104" s="175">
        <f>H104/DAY(B2)</f>
        <v>-304.23423076923063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9.2317977391515746E-2</v>
      </c>
      <c r="H105" s="99">
        <f>G105+'25'!H105</f>
        <v>2.2322351699114185</v>
      </c>
      <c r="I105" s="187"/>
      <c r="J105" s="188">
        <f>H105/DAY(B2)</f>
        <v>8.5855198842746866E-2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'25'!F112</f>
        <v>57588</v>
      </c>
      <c r="F112" s="237">
        <v>57672</v>
      </c>
      <c r="G112" s="112">
        <f t="shared" ref="G112:G123" si="9">F112-E112</f>
        <v>84</v>
      </c>
      <c r="H112" s="99">
        <f>G112+'25'!H112</f>
        <v>-382</v>
      </c>
      <c r="I112" s="165"/>
      <c r="J112" s="328">
        <f>H112/DAY(B2)</f>
        <v>-14.692307692307692</v>
      </c>
    </row>
    <row r="113" spans="1:18" ht="27.75" x14ac:dyDescent="0.5">
      <c r="A113" s="863" t="s">
        <v>253</v>
      </c>
      <c r="B113" s="864"/>
      <c r="C113" s="865"/>
      <c r="D113" s="146" t="s">
        <v>183</v>
      </c>
      <c r="E113" s="95">
        <f>'25'!F113</f>
        <v>43624</v>
      </c>
      <c r="F113" s="237">
        <v>44098</v>
      </c>
      <c r="G113" s="112">
        <f t="shared" si="9"/>
        <v>474</v>
      </c>
      <c r="H113" s="99">
        <f>G113+'25'!H113</f>
        <v>-2302.8899999999994</v>
      </c>
      <c r="I113" s="165"/>
      <c r="J113" s="328">
        <f>H113/DAY(B2)</f>
        <v>-88.572692307692279</v>
      </c>
    </row>
    <row r="114" spans="1:18" ht="27.75" x14ac:dyDescent="0.5">
      <c r="A114" s="863" t="s">
        <v>254</v>
      </c>
      <c r="B114" s="864"/>
      <c r="C114" s="865"/>
      <c r="D114" s="146" t="s">
        <v>183</v>
      </c>
      <c r="E114" s="95">
        <f>'25'!F114</f>
        <v>31608</v>
      </c>
      <c r="F114" s="237">
        <v>31873</v>
      </c>
      <c r="G114" s="112">
        <f t="shared" si="9"/>
        <v>265</v>
      </c>
      <c r="H114" s="99">
        <f>G114+'25'!H114</f>
        <v>-1420.6000000000004</v>
      </c>
      <c r="I114" s="165"/>
      <c r="J114" s="328">
        <f>H114/DAY(B2)</f>
        <v>-54.638461538461556</v>
      </c>
    </row>
    <row r="115" spans="1:18" ht="27.75" x14ac:dyDescent="0.5">
      <c r="A115" s="863" t="s">
        <v>255</v>
      </c>
      <c r="B115" s="864"/>
      <c r="C115" s="865"/>
      <c r="D115" s="146" t="s">
        <v>183</v>
      </c>
      <c r="E115" s="95">
        <f>'25'!F115</f>
        <v>9038</v>
      </c>
      <c r="F115" s="237">
        <v>9047</v>
      </c>
      <c r="G115" s="112">
        <f t="shared" si="9"/>
        <v>9</v>
      </c>
      <c r="H115" s="99">
        <f>G115+'25'!H115</f>
        <v>-47.649999999999636</v>
      </c>
      <c r="I115" s="165"/>
      <c r="J115" s="328">
        <f>H115/DAY(B2)</f>
        <v>-1.8326923076922936</v>
      </c>
    </row>
    <row r="116" spans="1:18" ht="27.75" x14ac:dyDescent="0.5">
      <c r="A116" s="870" t="s">
        <v>96</v>
      </c>
      <c r="B116" s="871"/>
      <c r="C116" s="872"/>
      <c r="D116" s="146" t="s">
        <v>183</v>
      </c>
      <c r="E116" s="95">
        <f>'25'!F116</f>
        <v>0</v>
      </c>
      <c r="F116" s="237">
        <v>0</v>
      </c>
      <c r="G116" s="112">
        <f t="shared" si="9"/>
        <v>0</v>
      </c>
      <c r="H116" s="99">
        <f>G116+'25'!H116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27.75" x14ac:dyDescent="0.5">
      <c r="A117" s="870" t="s">
        <v>184</v>
      </c>
      <c r="B117" s="871"/>
      <c r="C117" s="872"/>
      <c r="D117" s="146" t="s">
        <v>183</v>
      </c>
      <c r="E117" s="95">
        <f>'25'!F117</f>
        <v>3184</v>
      </c>
      <c r="F117" s="237">
        <v>3211</v>
      </c>
      <c r="G117" s="112">
        <f t="shared" si="9"/>
        <v>27</v>
      </c>
      <c r="H117" s="99">
        <f>G117+'25'!H117</f>
        <v>-126.94999999999982</v>
      </c>
      <c r="I117" s="165"/>
      <c r="J117" s="328">
        <f>H117/DAY(B2)</f>
        <v>-4.8826923076923006</v>
      </c>
      <c r="Q117" s="863" t="s">
        <v>312</v>
      </c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'25'!F118</f>
        <v>250445</v>
      </c>
      <c r="F118" s="237">
        <v>250782</v>
      </c>
      <c r="G118" s="112">
        <f t="shared" si="9"/>
        <v>337</v>
      </c>
      <c r="H118" s="99">
        <f>G118+'25'!H118</f>
        <v>-1670.3099999999977</v>
      </c>
      <c r="I118" s="165"/>
      <c r="J118" s="328">
        <f>H118/DAY(B2)</f>
        <v>-64.242692307692224</v>
      </c>
      <c r="Q118" s="863" t="s">
        <v>311</v>
      </c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'25'!F119</f>
        <v>255651</v>
      </c>
      <c r="F119" s="237">
        <v>256078</v>
      </c>
      <c r="G119" s="112">
        <f t="shared" si="9"/>
        <v>427</v>
      </c>
      <c r="H119" s="99">
        <f>G119+'25'!H119</f>
        <v>-2070.5499999999884</v>
      </c>
      <c r="I119" s="165"/>
      <c r="J119" s="328">
        <f>H119/DAY(B2)</f>
        <v>-79.636538461538009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'25'!F120</f>
        <v>40452</v>
      </c>
      <c r="F120" s="237">
        <v>40875</v>
      </c>
      <c r="G120" s="112">
        <f t="shared" si="9"/>
        <v>423</v>
      </c>
      <c r="H120" s="99">
        <f>G120+'25'!H120</f>
        <v>-2084.6100000000006</v>
      </c>
      <c r="I120" s="165"/>
      <c r="J120" s="328">
        <f>H120/DAY(B2)</f>
        <v>-80.177307692307721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'25'!F121</f>
        <v>393764</v>
      </c>
      <c r="F121" s="237">
        <v>394601</v>
      </c>
      <c r="G121" s="112">
        <f t="shared" si="9"/>
        <v>837</v>
      </c>
      <c r="H121" s="99">
        <f>G121+'25'!H121</f>
        <v>-3433.429999999993</v>
      </c>
      <c r="I121" s="165"/>
      <c r="J121" s="328">
        <f>H121/DAY(B2)</f>
        <v>-132.05499999999972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'25'!F122</f>
        <v>125032</v>
      </c>
      <c r="F122" s="237">
        <v>125189</v>
      </c>
      <c r="G122" s="112">
        <f t="shared" si="9"/>
        <v>157</v>
      </c>
      <c r="H122" s="99">
        <f>G122+'25'!H122</f>
        <v>-997.17999999999302</v>
      </c>
      <c r="I122" s="165"/>
      <c r="J122" s="328">
        <f>H122/DAY(B2)</f>
        <v>-38.353076923076657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'25'!F123</f>
        <v>152394</v>
      </c>
      <c r="F123" s="237">
        <v>152660</v>
      </c>
      <c r="G123" s="112">
        <f t="shared" si="9"/>
        <v>266</v>
      </c>
      <c r="H123" s="99">
        <f>G123+'25'!H123</f>
        <v>-1386.9500000000116</v>
      </c>
      <c r="I123" s="165"/>
      <c r="J123" s="328">
        <f>H123/DAY(B2)</f>
        <v>-53.344230769231217</v>
      </c>
    </row>
    <row r="124" spans="1:18" ht="27.75" x14ac:dyDescent="0.5">
      <c r="A124" s="867"/>
      <c r="B124" s="868"/>
      <c r="C124" s="869"/>
      <c r="D124" s="165"/>
      <c r="E124" s="95">
        <f>'25'!F124</f>
        <v>0</v>
      </c>
      <c r="F124" s="165"/>
      <c r="G124" s="327"/>
      <c r="H124" s="156"/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3306</v>
      </c>
      <c r="H125" s="156"/>
      <c r="I125" s="327">
        <f>G125-(G39+G53)</f>
        <v>749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G127+'25'!H127</f>
        <v>0</v>
      </c>
      <c r="I127" s="165"/>
      <c r="J127" s="328">
        <f>H127/DAY(B2)</f>
        <v>0</v>
      </c>
    </row>
    <row r="128" spans="1:18" ht="27.75" x14ac:dyDescent="0.5">
      <c r="A128" s="863" t="s">
        <v>318</v>
      </c>
      <c r="B128" s="864"/>
      <c r="C128" s="865"/>
      <c r="D128" s="151" t="s">
        <v>183</v>
      </c>
      <c r="E128" s="95">
        <f>'25'!F128</f>
        <v>45920</v>
      </c>
      <c r="F128" s="165">
        <v>46244</v>
      </c>
      <c r="G128" s="112">
        <f t="shared" ref="G128:G134" si="10">F128-E128</f>
        <v>324</v>
      </c>
      <c r="H128" s="99">
        <f>G128+'25'!H128</f>
        <v>-1502</v>
      </c>
      <c r="I128" s="165"/>
      <c r="J128" s="328">
        <f>H128/DAY(B2)</f>
        <v>-57.769230769230766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'25'!F129</f>
        <v>25739</v>
      </c>
      <c r="F129" s="165">
        <v>25957</v>
      </c>
      <c r="G129" s="112">
        <f t="shared" si="10"/>
        <v>218</v>
      </c>
      <c r="H129" s="99">
        <f>G129+'25'!H129</f>
        <v>-953.86999999999898</v>
      </c>
      <c r="I129" s="165"/>
      <c r="J129" s="328">
        <f>H129/DAY(B2)</f>
        <v>-36.687307692307655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'25'!F130</f>
        <v>32848</v>
      </c>
      <c r="F130" s="165">
        <v>33360</v>
      </c>
      <c r="G130" s="112">
        <f t="shared" si="10"/>
        <v>512</v>
      </c>
      <c r="H130" s="99">
        <f>G130+'25'!H130</f>
        <v>-2334</v>
      </c>
      <c r="I130" s="165"/>
      <c r="J130" s="328">
        <f>H130/DAY(B2)</f>
        <v>-89.769230769230774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'25'!F131</f>
        <v>14961</v>
      </c>
      <c r="F131" s="165">
        <v>15020</v>
      </c>
      <c r="G131" s="112">
        <f t="shared" si="10"/>
        <v>59</v>
      </c>
      <c r="H131" s="99">
        <f>G131+'25'!H131</f>
        <v>-287.68000000000029</v>
      </c>
      <c r="I131" s="165"/>
      <c r="J131" s="328">
        <f>H131/DAY(B2)</f>
        <v>-11.064615384615395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'25'!F132</f>
        <v>50849</v>
      </c>
      <c r="F132" s="165">
        <v>51045</v>
      </c>
      <c r="G132" s="112">
        <f t="shared" si="10"/>
        <v>196</v>
      </c>
      <c r="H132" s="99">
        <f>G132+'25'!H132</f>
        <v>-803.30000000000291</v>
      </c>
      <c r="I132" s="165"/>
      <c r="J132" s="328">
        <f>H132/DAY(B2)</f>
        <v>-30.896153846153958</v>
      </c>
    </row>
    <row r="133" spans="1:15" ht="27.75" x14ac:dyDescent="0.5">
      <c r="A133" s="863" t="s">
        <v>362</v>
      </c>
      <c r="B133" s="864"/>
      <c r="C133" s="865"/>
      <c r="D133" s="151" t="s">
        <v>183</v>
      </c>
      <c r="E133" s="95">
        <f>'25'!F133</f>
        <v>102712</v>
      </c>
      <c r="F133" s="165">
        <v>103140</v>
      </c>
      <c r="G133" s="112">
        <f t="shared" si="10"/>
        <v>428</v>
      </c>
      <c r="H133" s="99">
        <f>G133+'25'!H133</f>
        <v>-2203.6999999999971</v>
      </c>
      <c r="I133" s="165"/>
      <c r="J133" s="328">
        <f>H133/DAY(B2)</f>
        <v>-84.757692307692196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'25'!F134</f>
        <v>7700</v>
      </c>
      <c r="F134" s="165">
        <v>7872</v>
      </c>
      <c r="G134" s="112">
        <f t="shared" si="10"/>
        <v>172</v>
      </c>
      <c r="H134" s="99">
        <f>G134+'25'!H134</f>
        <v>-729.22999999999956</v>
      </c>
      <c r="I134" s="165"/>
      <c r="J134" s="328">
        <f>H134/DAY(B2)</f>
        <v>-28.047307692307676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1909</v>
      </c>
      <c r="H135" s="99">
        <f>G135+'23'!H135</f>
        <v>27501.389999999985</v>
      </c>
      <c r="I135" s="327">
        <f>G135-(G35+G49)</f>
        <v>-170</v>
      </c>
      <c r="J135" s="328"/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'25'!F138</f>
        <v>865829</v>
      </c>
      <c r="F138" s="147">
        <v>865891</v>
      </c>
      <c r="G138" s="112">
        <f t="shared" ref="G138:G152" si="11">F138-E138</f>
        <v>62</v>
      </c>
      <c r="H138" s="99">
        <f>G138+'25'!H138</f>
        <v>-282</v>
      </c>
      <c r="I138" s="118"/>
      <c r="J138" s="328">
        <f>H138/DAY(B2)</f>
        <v>-10.846153846153847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'25'!F139</f>
        <v>886569</v>
      </c>
      <c r="F139" s="148">
        <v>886569</v>
      </c>
      <c r="G139" s="112">
        <f t="shared" si="11"/>
        <v>0</v>
      </c>
      <c r="H139" s="99">
        <f>G139+'25'!H139</f>
        <v>-4</v>
      </c>
      <c r="I139" s="118"/>
      <c r="J139" s="328">
        <f>H139/DAY(B2)</f>
        <v>-0.15384615384615385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'25'!F140</f>
        <v>88922</v>
      </c>
      <c r="F140" s="149">
        <v>88922</v>
      </c>
      <c r="G140" s="112">
        <f t="shared" si="11"/>
        <v>0</v>
      </c>
      <c r="H140" s="99">
        <f>G140+'25'!H140</f>
        <v>0</v>
      </c>
      <c r="I140" s="118"/>
      <c r="J140" s="328">
        <f>H140/DAY(B2)</f>
        <v>0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'25'!F141</f>
        <v>53648</v>
      </c>
      <c r="F141" s="149">
        <v>53837</v>
      </c>
      <c r="G141" s="112">
        <f t="shared" si="11"/>
        <v>189</v>
      </c>
      <c r="H141" s="99">
        <f>G141+'25'!H141</f>
        <v>-848.58000000000175</v>
      </c>
      <c r="I141" s="118"/>
      <c r="J141" s="328">
        <f>H141/DAY(B2)</f>
        <v>-32.637692307692376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'25'!F142</f>
        <v>20807</v>
      </c>
      <c r="F142" s="148">
        <v>20902</v>
      </c>
      <c r="G142" s="112">
        <f t="shared" si="11"/>
        <v>95</v>
      </c>
      <c r="H142" s="99">
        <f>G142+'25'!H142</f>
        <v>-382.09999999999854</v>
      </c>
      <c r="I142" s="140"/>
      <c r="J142" s="328">
        <f>H142/DAY(B2)</f>
        <v>-14.69615384615379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'25'!F143</f>
        <v>3681</v>
      </c>
      <c r="F143" s="149">
        <v>3711</v>
      </c>
      <c r="G143" s="112">
        <f t="shared" si="11"/>
        <v>30</v>
      </c>
      <c r="H143" s="99">
        <f>G143+'25'!H143</f>
        <v>-124.38999999999987</v>
      </c>
      <c r="I143" s="140"/>
      <c r="J143" s="328">
        <f>H143/DAY(B2)</f>
        <v>-4.7842307692307644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'25'!F144</f>
        <v>875283</v>
      </c>
      <c r="F144" s="149">
        <v>875477</v>
      </c>
      <c r="G144" s="112">
        <f t="shared" si="11"/>
        <v>194</v>
      </c>
      <c r="H144" s="99">
        <f>G144+'25'!H144</f>
        <v>-1010</v>
      </c>
      <c r="I144" s="140"/>
      <c r="J144" s="328">
        <f>H144/DAY(B2)</f>
        <v>-38.846153846153847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'25'!F145</f>
        <v>4915</v>
      </c>
      <c r="F145" s="149">
        <v>4921</v>
      </c>
      <c r="G145" s="112">
        <f t="shared" si="11"/>
        <v>6</v>
      </c>
      <c r="H145" s="99">
        <f>G145+'25'!H145</f>
        <v>-37.840000000000146</v>
      </c>
      <c r="I145" s="140"/>
      <c r="J145" s="328">
        <f>H145/DAY(B2)</f>
        <v>-1.455384615384621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'25'!F146</f>
        <v>734907</v>
      </c>
      <c r="F146" s="148">
        <v>735287</v>
      </c>
      <c r="G146" s="112">
        <f t="shared" si="11"/>
        <v>380</v>
      </c>
      <c r="H146" s="99">
        <f>G146+'25'!H146</f>
        <v>-2046</v>
      </c>
      <c r="I146" s="140"/>
      <c r="J146" s="328">
        <f>H146/DAY(B2)</f>
        <v>-78.692307692307693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'25'!F147</f>
        <v>624485</v>
      </c>
      <c r="F147" s="148">
        <v>624833</v>
      </c>
      <c r="G147" s="112">
        <f t="shared" si="11"/>
        <v>348</v>
      </c>
      <c r="H147" s="99">
        <f>G147+'25'!H147</f>
        <v>-1779.5200000000186</v>
      </c>
      <c r="I147" s="140"/>
      <c r="J147" s="328">
        <f>H147/DAY(B2)</f>
        <v>-68.443076923077641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'25'!F148</f>
        <v>688279</v>
      </c>
      <c r="F148" s="150">
        <v>688470</v>
      </c>
      <c r="G148" s="112">
        <f t="shared" si="11"/>
        <v>191</v>
      </c>
      <c r="H148" s="99">
        <f>G148+'25'!H148</f>
        <v>-972.95999999996275</v>
      </c>
      <c r="I148" s="124"/>
      <c r="J148" s="328">
        <f>H148/DAY(B2)</f>
        <v>-37.421538461537025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'25'!F149</f>
        <v>21699</v>
      </c>
      <c r="F149" s="146">
        <v>22268</v>
      </c>
      <c r="G149" s="112">
        <f t="shared" si="11"/>
        <v>569</v>
      </c>
      <c r="H149" s="99">
        <f>G149+'25'!H149</f>
        <v>-2410.2000000000007</v>
      </c>
      <c r="I149" s="119"/>
      <c r="J149" s="328">
        <f>H149/DAY(B2)</f>
        <v>-92.700000000000031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'25'!F150</f>
        <v>9524</v>
      </c>
      <c r="F150" s="233">
        <v>9782</v>
      </c>
      <c r="G150" s="112">
        <f t="shared" si="11"/>
        <v>258</v>
      </c>
      <c r="H150" s="99">
        <f>G150+'25'!H150</f>
        <v>-1068.83</v>
      </c>
      <c r="I150" s="119"/>
      <c r="J150" s="328">
        <f>H150/DAY(B2)</f>
        <v>-41.108846153846152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'25'!F151</f>
        <v>83952</v>
      </c>
      <c r="F151" s="233">
        <v>84184</v>
      </c>
      <c r="G151" s="112">
        <f t="shared" si="11"/>
        <v>232</v>
      </c>
      <c r="H151" s="99">
        <f>G151+'25'!H151</f>
        <v>-1296</v>
      </c>
      <c r="I151" s="119"/>
      <c r="J151" s="328">
        <f>H151/DAY(B2)</f>
        <v>-49.846153846153847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'25'!F152</f>
        <v>1547</v>
      </c>
      <c r="F152" s="233">
        <v>1573</v>
      </c>
      <c r="G152" s="112">
        <f t="shared" si="11"/>
        <v>26</v>
      </c>
      <c r="H152" s="99">
        <f>G152+'25'!H152</f>
        <v>-87</v>
      </c>
      <c r="I152" s="119"/>
      <c r="J152" s="328">
        <f>H152/DAY(B2)</f>
        <v>-3.3461538461538463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2580</v>
      </c>
      <c r="H153" s="363"/>
      <c r="I153" s="119">
        <f>G153-(G38+G52)</f>
        <v>834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'25'!F155</f>
        <v>28381</v>
      </c>
      <c r="F155" s="592">
        <v>28985</v>
      </c>
      <c r="G155" s="112">
        <f t="shared" ref="G155:G158" si="12">F155-E155</f>
        <v>604</v>
      </c>
      <c r="H155" s="99">
        <f>G155+'25'!H155</f>
        <v>-3960</v>
      </c>
      <c r="I155" s="364"/>
      <c r="J155" s="328">
        <f>H155/DAY(B2)</f>
        <v>-152.30769230769232</v>
      </c>
    </row>
    <row r="156" spans="1:10" ht="27.75" x14ac:dyDescent="0.5">
      <c r="A156" s="843" t="s">
        <v>347</v>
      </c>
      <c r="B156" s="843"/>
      <c r="C156" s="843"/>
      <c r="D156" s="117" t="s">
        <v>130</v>
      </c>
      <c r="E156" s="95">
        <f>'25'!F156</f>
        <v>2391</v>
      </c>
      <c r="F156" s="155">
        <v>2460</v>
      </c>
      <c r="G156" s="112">
        <f t="shared" si="12"/>
        <v>69</v>
      </c>
      <c r="H156" s="99">
        <f>G156+'25'!H156</f>
        <v>1358</v>
      </c>
      <c r="I156" s="165"/>
      <c r="J156" s="328">
        <f>H156/DAY(B2)</f>
        <v>52.230769230769234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>
        <f>'25'!F157</f>
        <v>3410</v>
      </c>
      <c r="F157" s="155">
        <v>3487</v>
      </c>
      <c r="G157" s="112">
        <f t="shared" si="12"/>
        <v>77</v>
      </c>
      <c r="H157" s="99">
        <f>G157+'25'!H157</f>
        <v>766.84000000000015</v>
      </c>
      <c r="I157" s="165"/>
      <c r="J157" s="328"/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>
        <f>'25'!F158</f>
        <v>43.75</v>
      </c>
      <c r="F158" s="155">
        <v>44.99</v>
      </c>
      <c r="G158" s="112">
        <f t="shared" si="12"/>
        <v>1.240000000000002</v>
      </c>
      <c r="H158" s="99">
        <f>G158+'25'!H158</f>
        <v>20.650000000000002</v>
      </c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'25'!F161</f>
        <v>471893</v>
      </c>
      <c r="F161" s="235">
        <v>471909</v>
      </c>
      <c r="G161" s="238">
        <f t="shared" ref="G161:G165" si="13">F161-E161</f>
        <v>16</v>
      </c>
      <c r="H161" s="99">
        <f>G161+'25'!H161</f>
        <v>-144.55999999999767</v>
      </c>
      <c r="I161" s="236"/>
      <c r="J161" s="239">
        <f>H161/DAY(B2)</f>
        <v>-5.5599999999999108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'25'!F162</f>
        <v>88329</v>
      </c>
      <c r="F162" s="235">
        <v>88359</v>
      </c>
      <c r="G162" s="238">
        <f t="shared" si="13"/>
        <v>30</v>
      </c>
      <c r="H162" s="99">
        <f>G162+'25'!H162</f>
        <v>-157.39999999999418</v>
      </c>
      <c r="I162" s="236"/>
      <c r="J162" s="239">
        <f>H162/DAY(B2)</f>
        <v>-6.0538461538459298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'25'!F163</f>
        <v>78964</v>
      </c>
      <c r="F163" s="235">
        <v>78997</v>
      </c>
      <c r="G163" s="238">
        <f t="shared" si="13"/>
        <v>33</v>
      </c>
      <c r="H163" s="99">
        <f>G163+'25'!H163</f>
        <v>-223.10000000000582</v>
      </c>
      <c r="I163" s="236"/>
      <c r="J163" s="239">
        <f>H163/DAY(B2)</f>
        <v>-8.5807692307694552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'25'!F164</f>
        <v>4308</v>
      </c>
      <c r="F164" s="235">
        <v>4309</v>
      </c>
      <c r="G164" s="238">
        <f t="shared" si="13"/>
        <v>1</v>
      </c>
      <c r="H164" s="99">
        <f>G164+'25'!H164</f>
        <v>-11</v>
      </c>
      <c r="I164" s="236"/>
      <c r="J164" s="239">
        <f>H164/DAY(B2)</f>
        <v>-0.42307692307692307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'25'!F165</f>
        <v>29809</v>
      </c>
      <c r="F165" s="235">
        <v>29811</v>
      </c>
      <c r="G165" s="238">
        <f t="shared" si="13"/>
        <v>2</v>
      </c>
      <c r="H165" s="99">
        <f>G165+'25'!H165</f>
        <v>-46.25</v>
      </c>
      <c r="I165" s="236"/>
      <c r="J165" s="239">
        <f>H165/DAY(B2)</f>
        <v>-1.7788461538461537</v>
      </c>
    </row>
    <row r="166" spans="1:10" ht="29.25" x14ac:dyDescent="0.5">
      <c r="A166" s="852"/>
      <c r="B166" s="852"/>
      <c r="C166" s="246"/>
      <c r="D166" s="244" t="s">
        <v>180</v>
      </c>
      <c r="E166" s="95">
        <f>'25'!F166</f>
        <v>0</v>
      </c>
      <c r="F166" s="165"/>
      <c r="G166" s="165"/>
      <c r="H166" s="99">
        <f>G166+'25'!H166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'25'!F167</f>
        <v>0</v>
      </c>
      <c r="F167" s="165"/>
      <c r="G167" s="165"/>
      <c r="H167" s="99">
        <f>G167+'25'!H167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'25'!F168</f>
        <v>0</v>
      </c>
      <c r="F168" s="165"/>
      <c r="G168" s="165"/>
      <c r="H168" s="99">
        <f>G168+'25'!H168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'25'!F173</f>
        <v>8126</v>
      </c>
      <c r="F173" s="155">
        <v>8126</v>
      </c>
      <c r="G173" s="155">
        <f>F173-E173</f>
        <v>0</v>
      </c>
      <c r="H173" s="99">
        <f>G173+'25'!H173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'25'!F174</f>
        <v>38536</v>
      </c>
      <c r="F174" s="157">
        <v>38548</v>
      </c>
      <c r="G174" s="155">
        <f t="shared" ref="G174:G175" si="14">F174-E174</f>
        <v>12</v>
      </c>
      <c r="H174" s="99">
        <f>G174+'25'!H174</f>
        <v>307</v>
      </c>
      <c r="I174" s="155"/>
      <c r="J174" s="178">
        <f>H174/DAY(B2)</f>
        <v>11.807692307692308</v>
      </c>
    </row>
    <row r="175" spans="1:10" ht="27.75" x14ac:dyDescent="0.5">
      <c r="A175" s="856" t="s">
        <v>76</v>
      </c>
      <c r="B175" s="896"/>
      <c r="C175" s="857"/>
      <c r="D175" s="228" t="s">
        <v>142</v>
      </c>
      <c r="E175" s="95">
        <f>'25'!F175</f>
        <v>21753</v>
      </c>
      <c r="F175" s="155">
        <v>21763</v>
      </c>
      <c r="G175" s="155">
        <f t="shared" si="14"/>
        <v>10</v>
      </c>
      <c r="H175" s="99">
        <f>G175+'25'!H175</f>
        <v>-50</v>
      </c>
      <c r="I175" s="155"/>
      <c r="J175" s="178">
        <f>H175/DAY(B2)</f>
        <v>-1.9230769230769231</v>
      </c>
    </row>
    <row r="176" spans="1:10" ht="27.75" x14ac:dyDescent="0.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22</v>
      </c>
      <c r="H176" s="99">
        <f>G176+'25'!H176</f>
        <v>257</v>
      </c>
      <c r="I176" s="155"/>
      <c r="J176" s="178">
        <f>H176/DAY(B2)</f>
        <v>9.884615384615385</v>
      </c>
    </row>
    <row r="177" spans="1:10" ht="27.75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G177+'25'!H177</f>
        <v>0</v>
      </c>
      <c r="I177" s="155"/>
      <c r="J177" s="178">
        <f>H177/DAY(B2)</f>
        <v>0</v>
      </c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'25'!F178</f>
        <v>80957</v>
      </c>
      <c r="F178" s="155">
        <v>81012</v>
      </c>
      <c r="G178" s="155">
        <f>F178-E178</f>
        <v>55</v>
      </c>
      <c r="H178" s="99">
        <f>G178+'25'!H178</f>
        <v>-303</v>
      </c>
      <c r="I178" s="155"/>
      <c r="J178" s="178">
        <f>H178/DAY(B2)</f>
        <v>-11.653846153846153</v>
      </c>
    </row>
    <row r="179" spans="1:10" ht="27.75" x14ac:dyDescent="0.5">
      <c r="A179" s="856" t="s">
        <v>211</v>
      </c>
      <c r="B179" s="857"/>
      <c r="C179" s="333"/>
      <c r="D179" s="228" t="s">
        <v>142</v>
      </c>
      <c r="E179" s="95">
        <f>'25'!F179</f>
        <v>34532</v>
      </c>
      <c r="F179" s="155">
        <v>34580</v>
      </c>
      <c r="G179" s="155">
        <f t="shared" ref="G179:G180" si="15">F179-E179</f>
        <v>48</v>
      </c>
      <c r="H179" s="99">
        <f>G179+'25'!H179</f>
        <v>-223</v>
      </c>
      <c r="I179" s="155"/>
      <c r="J179" s="178">
        <f>H179/DAY(B2)</f>
        <v>-8.5769230769230766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'25'!F180</f>
        <v>5658</v>
      </c>
      <c r="F180" s="155">
        <v>5658</v>
      </c>
      <c r="G180" s="155">
        <f t="shared" si="15"/>
        <v>0</v>
      </c>
      <c r="H180" s="99">
        <f>G180+'25'!H180</f>
        <v>-44</v>
      </c>
      <c r="I180" s="155"/>
      <c r="J180" s="178">
        <f>H180/DAY(B2)</f>
        <v>-1.6923076923076923</v>
      </c>
    </row>
    <row r="181" spans="1:10" ht="27.75" x14ac:dyDescent="0.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103</v>
      </c>
      <c r="H181" s="99">
        <f>G181+'25'!H181</f>
        <v>-570</v>
      </c>
      <c r="I181" s="155"/>
      <c r="J181" s="178">
        <f>H181/DAY(B2)</f>
        <v>-21.923076923076923</v>
      </c>
    </row>
    <row r="182" spans="1:10" ht="27.75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G182+'25'!H182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'25'!F183</f>
        <v>15286</v>
      </c>
      <c r="F183" s="157">
        <v>15296</v>
      </c>
      <c r="G183" s="157">
        <f>F183-E183</f>
        <v>10</v>
      </c>
      <c r="H183" s="99">
        <f>G183+'25'!H183</f>
        <v>-49</v>
      </c>
      <c r="I183" s="155"/>
      <c r="J183" s="178">
        <f>H183/DAY(B2)</f>
        <v>-1.8846153846153846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'25'!F184</f>
        <v>10454</v>
      </c>
      <c r="F184" s="157">
        <v>10461</v>
      </c>
      <c r="G184" s="157">
        <f t="shared" ref="G184:G185" si="16">F184-E184</f>
        <v>7</v>
      </c>
      <c r="H184" s="99">
        <f>G184+'25'!H184</f>
        <v>-57</v>
      </c>
      <c r="I184" s="155"/>
      <c r="J184" s="178">
        <f>H184/DAY(B2)</f>
        <v>-2.1923076923076925</v>
      </c>
    </row>
    <row r="185" spans="1:10" ht="27.75" x14ac:dyDescent="0.5">
      <c r="A185" s="856" t="s">
        <v>216</v>
      </c>
      <c r="B185" s="857"/>
      <c r="C185" s="334"/>
      <c r="D185" s="228" t="s">
        <v>142</v>
      </c>
      <c r="E185" s="95">
        <f>'25'!F185</f>
        <v>0</v>
      </c>
      <c r="F185" s="157"/>
      <c r="G185" s="157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7.75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17</v>
      </c>
      <c r="H186" s="99">
        <f>G186+'25'!H186</f>
        <v>-106</v>
      </c>
      <c r="I186" s="157"/>
      <c r="J186" s="178">
        <f>H186/DAY(B2)</f>
        <v>-4.0769230769230766</v>
      </c>
    </row>
    <row r="187" spans="1:10" ht="27.75" x14ac:dyDescent="0.5">
      <c r="A187" s="849" t="s">
        <v>217</v>
      </c>
      <c r="B187" s="850"/>
      <c r="C187" s="333"/>
      <c r="D187" s="228" t="s">
        <v>142</v>
      </c>
      <c r="E187" s="95">
        <f>'25'!F187</f>
        <v>0</v>
      </c>
      <c r="F187" s="159"/>
      <c r="G187" s="460">
        <f>G62+G19</f>
        <v>148</v>
      </c>
      <c r="H187" s="99">
        <f>G187+'25'!H187</f>
        <v>-782</v>
      </c>
      <c r="I187" s="158"/>
      <c r="J187" s="179">
        <f>H187/DAY(B2)</f>
        <v>-30.076923076923077</v>
      </c>
    </row>
    <row r="188" spans="1:10" ht="27.75" x14ac:dyDescent="0.5">
      <c r="A188" s="849" t="s">
        <v>218</v>
      </c>
      <c r="B188" s="850"/>
      <c r="C188" s="333"/>
      <c r="D188" s="228" t="s">
        <v>142</v>
      </c>
      <c r="E188" s="95">
        <f>'25'!F188</f>
        <v>0</v>
      </c>
      <c r="F188" s="159"/>
      <c r="G188" s="460">
        <f>G65+G66+G67+G69+G70</f>
        <v>150</v>
      </c>
      <c r="H188" s="99">
        <f>G188+'25'!H188</f>
        <v>1593</v>
      </c>
      <c r="I188" s="158"/>
      <c r="J188" s="179">
        <f>H188/DAY(B2)</f>
        <v>61.269230769230766</v>
      </c>
    </row>
    <row r="189" spans="1:10" ht="27.75" x14ac:dyDescent="0.5">
      <c r="A189" s="849" t="s">
        <v>219</v>
      </c>
      <c r="B189" s="850"/>
      <c r="C189" s="333"/>
      <c r="D189" s="228" t="s">
        <v>142</v>
      </c>
      <c r="E189" s="95">
        <f>'25'!F189</f>
        <v>0</v>
      </c>
      <c r="F189" s="157"/>
      <c r="G189" s="457">
        <f>G181</f>
        <v>103</v>
      </c>
      <c r="H189" s="99">
        <f>G189+'25'!H189</f>
        <v>654</v>
      </c>
      <c r="I189" s="158"/>
      <c r="J189" s="179">
        <f>H189/DAY(B2)</f>
        <v>25.153846153846153</v>
      </c>
    </row>
    <row r="190" spans="1:10" ht="27.75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1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zoomScale="55" zoomScaleSheetLayoutView="55" workbookViewId="0">
      <selection activeCell="G188" sqref="G18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357</v>
      </c>
      <c r="B2" s="262">
        <v>44588</v>
      </c>
      <c r="C2" s="348" t="s">
        <v>67</v>
      </c>
      <c r="D2" s="218">
        <v>0.74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v>563862</v>
      </c>
      <c r="F7" s="95">
        <v>581470</v>
      </c>
      <c r="G7" s="112">
        <f>F7-E7</f>
        <v>17608</v>
      </c>
      <c r="H7" s="99">
        <f>G7+'26'!H7</f>
        <v>-69709.229999999981</v>
      </c>
      <c r="I7" s="113">
        <f>'1'!I7</f>
        <v>12000</v>
      </c>
      <c r="J7" s="175">
        <f>H7/DAY(B2)</f>
        <v>-2581.8233333333328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'26'!F8</f>
        <v>620110</v>
      </c>
      <c r="F8" s="95">
        <v>637811</v>
      </c>
      <c r="G8" s="115">
        <f>F8-E8</f>
        <v>17701</v>
      </c>
      <c r="H8" s="99">
        <f>G8+'26'!H8</f>
        <v>-70737.150000000023</v>
      </c>
      <c r="I8" s="116"/>
      <c r="J8" s="175">
        <f>H8/DAY(B2)</f>
        <v>-2619.8944444444455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'26'!F9</f>
        <v>207852</v>
      </c>
      <c r="F9" s="598">
        <v>222801</v>
      </c>
      <c r="G9" s="112">
        <f>F9-E9</f>
        <v>14949</v>
      </c>
      <c r="H9" s="99">
        <f>G9+'26'!H9</f>
        <v>-59452.850000000006</v>
      </c>
      <c r="I9" s="124">
        <f>I7-J7</f>
        <v>14581.823333333334</v>
      </c>
      <c r="J9" s="175">
        <f>H9/DAY(B2)</f>
        <v>-2201.9574074074076</v>
      </c>
      <c r="K9" s="79">
        <f>K8-100</f>
        <v>1715817</v>
      </c>
      <c r="L9" s="66"/>
      <c r="N9" s="87"/>
      <c r="O9" s="71">
        <f>G8-G7</f>
        <v>93</v>
      </c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'26'!F10</f>
        <v>95081</v>
      </c>
      <c r="F10" s="353">
        <v>97037</v>
      </c>
      <c r="G10" s="112">
        <f t="shared" ref="G10:G12" si="0">F10-E10</f>
        <v>1956</v>
      </c>
      <c r="H10" s="99">
        <f>G10+'26'!H10</f>
        <v>-8221.9700000000012</v>
      </c>
      <c r="I10" s="282"/>
      <c r="J10" s="175">
        <f>H10/DAY(B2)</f>
        <v>-304.51740740740746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'26'!F11</f>
        <v>37170</v>
      </c>
      <c r="F11" s="95">
        <v>37170</v>
      </c>
      <c r="G11" s="112">
        <f t="shared" si="0"/>
        <v>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40010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16905</v>
      </c>
      <c r="H13" s="99">
        <f>G13+'26'!H13</f>
        <v>-84429.25</v>
      </c>
      <c r="I13" s="120">
        <f>G7-G13</f>
        <v>703</v>
      </c>
      <c r="J13" s="175">
        <f>H13/DAY(B2)</f>
        <v>-3127.0092592592591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'26'!F15</f>
        <v>1901865</v>
      </c>
      <c r="F15" s="123">
        <v>1902819</v>
      </c>
      <c r="G15" s="112">
        <f>(F15-E15)</f>
        <v>954</v>
      </c>
      <c r="H15" s="99">
        <f>G15+'26'!H15</f>
        <v>26762.233000000007</v>
      </c>
      <c r="I15" s="113">
        <f>'1'!I15</f>
        <v>800</v>
      </c>
      <c r="J15" s="175">
        <f>H15/DAY(B2)</f>
        <v>991.19381481481514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-191.19381481481514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'26'!F18</f>
        <v>12</v>
      </c>
      <c r="F18" s="122">
        <v>12</v>
      </c>
      <c r="G18" s="119">
        <f>F18*10</f>
        <v>120</v>
      </c>
      <c r="H18" s="99">
        <f>G18+'26'!H18</f>
        <v>4400</v>
      </c>
      <c r="I18" s="113">
        <f>'1'!I18</f>
        <v>65</v>
      </c>
      <c r="J18" s="175">
        <f>H18/DAY(B2)</f>
        <v>162.96296296296296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'26'!F19</f>
        <v>153618</v>
      </c>
      <c r="F19" s="122">
        <v>153675</v>
      </c>
      <c r="G19" s="112">
        <f t="shared" ref="G19" si="1">F19-E19</f>
        <v>57</v>
      </c>
      <c r="H19" s="99">
        <f>G19+'26'!H19</f>
        <v>-216</v>
      </c>
      <c r="I19" s="335"/>
      <c r="J19" s="175">
        <f>H19/DAY(B2)</f>
        <v>-8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177</v>
      </c>
      <c r="H20" s="99">
        <f>G20+'26'!H20</f>
        <v>4184</v>
      </c>
      <c r="I20" s="336">
        <f>I18-J20</f>
        <v>-89.962962962962962</v>
      </c>
      <c r="J20" s="175">
        <f>H20/DAY(B2)</f>
        <v>154.96296296296296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9">
        <f t="shared" ref="G22" si="2">(F22-E22)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'26'!F23</f>
        <v>2000</v>
      </c>
      <c r="F23" s="122">
        <v>2000</v>
      </c>
      <c r="G23" s="119">
        <v>0</v>
      </c>
      <c r="H23" s="99">
        <f>G23+'26'!H23</f>
        <v>110</v>
      </c>
      <c r="I23" s="118"/>
      <c r="J23" s="175">
        <f>H23/DAY(B2)</f>
        <v>4.0740740740740744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4970</v>
      </c>
      <c r="G24" s="119">
        <v>0</v>
      </c>
      <c r="H24" s="99">
        <f>G24+'26'!H24</f>
        <v>110</v>
      </c>
      <c r="I24" s="118"/>
      <c r="J24" s="175">
        <f>H24/DAY(B2)</f>
        <v>4.0740740740740744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17701</v>
      </c>
      <c r="F27" s="136">
        <v>9</v>
      </c>
      <c r="G27" s="137">
        <f>E27*F27</f>
        <v>159309</v>
      </c>
      <c r="H27" s="99">
        <f>G27+'26'!H27</f>
        <v>-636634.35000000009</v>
      </c>
      <c r="I27" s="138"/>
      <c r="J27" s="175">
        <f>H27/DAY(B2)</f>
        <v>-23579.050000000003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954</v>
      </c>
      <c r="F28" s="136">
        <v>52</v>
      </c>
      <c r="G28" s="137">
        <f>E28*F28</f>
        <v>49608</v>
      </c>
      <c r="H28" s="99">
        <f>G28+'26'!H28</f>
        <v>1424990.1160000004</v>
      </c>
      <c r="I28" s="140"/>
      <c r="J28" s="175">
        <f>H28/DAY(B2)</f>
        <v>52777.411703703721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7590</v>
      </c>
      <c r="I29" s="140"/>
      <c r="J29" s="175">
        <f>H29/DAY(B2)</f>
        <v>281.11111111111109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G30+'26'!H30</f>
        <v>-39346</v>
      </c>
      <c r="I30" s="140"/>
      <c r="J30" s="175">
        <f>H30/DAY(B2)</f>
        <v>-1457.2592592592594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G31+'26'!H31</f>
        <v>352000</v>
      </c>
      <c r="I31" s="140"/>
      <c r="J31" s="175">
        <f>H31/DAY(B2)</f>
        <v>13037.037037037036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226839</v>
      </c>
      <c r="H32" s="99">
        <f>G32+'26'!H32</f>
        <v>1108599.7660000003</v>
      </c>
      <c r="I32" s="144"/>
      <c r="J32" s="175">
        <f>H32/DAY(B2)</f>
        <v>41059.250592592602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'26'!F35</f>
        <v>25764</v>
      </c>
      <c r="F35" s="145">
        <v>27038</v>
      </c>
      <c r="G35" s="112">
        <f t="shared" ref="G35:G46" si="3">F35-E35</f>
        <v>1274</v>
      </c>
      <c r="H35" s="99">
        <f>G35+'26'!H35</f>
        <v>-4966.9799999999959</v>
      </c>
      <c r="I35" s="95"/>
      <c r="J35" s="175">
        <f>H35/DAY(B2)</f>
        <v>-183.96222222222207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'26'!F36</f>
        <v>39883</v>
      </c>
      <c r="F36" s="145">
        <v>40590</v>
      </c>
      <c r="G36" s="112">
        <f t="shared" si="3"/>
        <v>707</v>
      </c>
      <c r="H36" s="99">
        <f>G36+'26'!H36</f>
        <v>-2868.739999999998</v>
      </c>
      <c r="I36" s="95"/>
      <c r="J36" s="175">
        <f>H36/DAY(B2)</f>
        <v>-106.24962962962955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'26'!F37</f>
        <v>27515</v>
      </c>
      <c r="F37" s="145">
        <v>29097</v>
      </c>
      <c r="G37" s="112">
        <f t="shared" si="3"/>
        <v>1582</v>
      </c>
      <c r="H37" s="99">
        <f>G37+'26'!H37</f>
        <v>-6328.0899999999965</v>
      </c>
      <c r="I37" s="95"/>
      <c r="J37" s="175">
        <f>H37/DAY(B2)</f>
        <v>-234.37370370370357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'26'!F38</f>
        <v>29825</v>
      </c>
      <c r="F38" s="108">
        <v>31617</v>
      </c>
      <c r="G38" s="112">
        <f t="shared" si="3"/>
        <v>1792</v>
      </c>
      <c r="H38" s="99">
        <f>G38+'26'!H38</f>
        <v>-6759.43</v>
      </c>
      <c r="I38" s="95"/>
      <c r="J38" s="175">
        <f>H38/DAY(B2)</f>
        <v>-250.34925925925927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'26'!F39</f>
        <v>46086</v>
      </c>
      <c r="F39" s="145">
        <v>48698</v>
      </c>
      <c r="G39" s="112">
        <f t="shared" si="3"/>
        <v>2612</v>
      </c>
      <c r="H39" s="99">
        <f>G39+'26'!H39</f>
        <v>-10475.290000000005</v>
      </c>
      <c r="I39" s="95"/>
      <c r="J39" s="175">
        <f>H39/DAY(B2)</f>
        <v>-387.97370370370385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'26'!F40</f>
        <v>17469</v>
      </c>
      <c r="F40" s="145">
        <v>18283</v>
      </c>
      <c r="G40" s="112">
        <f t="shared" si="3"/>
        <v>814</v>
      </c>
      <c r="H40" s="99">
        <f>G40+'26'!H40</f>
        <v>-3833.9900000000016</v>
      </c>
      <c r="I40" s="95"/>
      <c r="J40" s="175">
        <f>H40/DAY(B2)</f>
        <v>-141.99962962962968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'26'!F41</f>
        <v>0</v>
      </c>
      <c r="F41" s="145">
        <v>0</v>
      </c>
      <c r="G41" s="112">
        <f t="shared" si="3"/>
        <v>0</v>
      </c>
      <c r="H41" s="99">
        <f>G41+'26'!H41</f>
        <v>-62.73</v>
      </c>
      <c r="I41" s="95"/>
      <c r="J41" s="175">
        <f>H41/DAY(B2)</f>
        <v>-2.3233333333333333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'26'!F42</f>
        <v>80285</v>
      </c>
      <c r="F42" s="145">
        <v>84219</v>
      </c>
      <c r="G42" s="112">
        <f t="shared" si="3"/>
        <v>3934</v>
      </c>
      <c r="H42" s="99">
        <f>G42+'26'!H42</f>
        <v>46141.259999999995</v>
      </c>
      <c r="I42" s="95"/>
      <c r="J42" s="175">
        <f>H42/DAY(B2)</f>
        <v>1708.9355555555553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'26'!F43</f>
        <v>105073</v>
      </c>
      <c r="F43" s="145">
        <v>107042</v>
      </c>
      <c r="G43" s="112">
        <f t="shared" si="3"/>
        <v>1969</v>
      </c>
      <c r="H43" s="99">
        <f>G43+'26'!H43</f>
        <v>58219.399999999994</v>
      </c>
      <c r="I43" s="95"/>
      <c r="J43" s="175">
        <f>H43/DAY(B2)</f>
        <v>2156.2740740740737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14684</v>
      </c>
      <c r="H47" s="99">
        <f>G47+'26'!H47</f>
        <v>69065.41</v>
      </c>
      <c r="I47" s="95"/>
      <c r="J47" s="175">
        <f>H47/DAY(B2)</f>
        <v>2557.9781481481482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'26'!F49</f>
        <v>20678</v>
      </c>
      <c r="F49" s="145">
        <v>21515</v>
      </c>
      <c r="G49" s="112">
        <f t="shared" ref="G49:G58" si="4">F49-E49</f>
        <v>837</v>
      </c>
      <c r="H49" s="99">
        <f>G49+'26'!H49</f>
        <v>-3481.1899999999987</v>
      </c>
      <c r="I49" s="95"/>
      <c r="J49" s="175">
        <f>H49/DAY(B2)</f>
        <v>-128.9329629629629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'26'!F50</f>
        <v>51269</v>
      </c>
      <c r="F50" s="145">
        <v>52246</v>
      </c>
      <c r="G50" s="112">
        <f t="shared" si="4"/>
        <v>977</v>
      </c>
      <c r="H50" s="99">
        <f>G50+'26'!H50</f>
        <v>-4140.6299999999974</v>
      </c>
      <c r="I50" s="95"/>
      <c r="J50" s="175">
        <f>H50/DAY(B2)</f>
        <v>-153.35666666666657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'26'!F51</f>
        <v>0</v>
      </c>
      <c r="F51" s="145">
        <v>0</v>
      </c>
      <c r="G51" s="112">
        <f t="shared" si="4"/>
        <v>0</v>
      </c>
      <c r="H51" s="99">
        <f>G51+'26'!H51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'26'!F52</f>
        <v>0</v>
      </c>
      <c r="F52" s="145">
        <v>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'26'!F54</f>
        <v>5147</v>
      </c>
      <c r="F54" s="145">
        <v>5147</v>
      </c>
      <c r="G54" s="112">
        <f t="shared" si="4"/>
        <v>0</v>
      </c>
      <c r="H54" s="99">
        <f>G54+'26'!H54</f>
        <v>-0.42000000000007276</v>
      </c>
      <c r="I54" s="95"/>
      <c r="J54" s="175">
        <f>H54/DAY(B2)</f>
        <v>-1.5555555555558251E-2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'26'!F55</f>
        <v>74366</v>
      </c>
      <c r="F55" s="145">
        <v>74366</v>
      </c>
      <c r="G55" s="112">
        <f t="shared" si="4"/>
        <v>0</v>
      </c>
      <c r="H55" s="99">
        <f>G55+'26'!H55</f>
        <v>-0.11000000000058208</v>
      </c>
      <c r="I55" s="95"/>
      <c r="J55" s="175">
        <f>H55/DAY(B2)</f>
        <v>-4.0740740740956329E-3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'26'!F56</f>
        <v>8610.5400000000009</v>
      </c>
      <c r="F56" s="145">
        <v>8610.5400000000009</v>
      </c>
      <c r="G56" s="112">
        <f t="shared" si="4"/>
        <v>0</v>
      </c>
      <c r="H56" s="99">
        <f>G56+'26'!H56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'26'!F58</f>
        <v>3797</v>
      </c>
      <c r="F58" s="145">
        <v>3995</v>
      </c>
      <c r="G58" s="112">
        <f t="shared" si="4"/>
        <v>198</v>
      </c>
      <c r="H58" s="99">
        <f>G58+'26'!H58</f>
        <v>-801.21</v>
      </c>
      <c r="I58" s="95"/>
      <c r="J58" s="175">
        <f>H58/DAY(B2)</f>
        <v>-29.674444444444447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2012</v>
      </c>
      <c r="H59" s="99">
        <f>G59+'26'!H59</f>
        <v>-8423.560000000014</v>
      </c>
      <c r="I59" s="95">
        <f>G7-G60</f>
        <v>912</v>
      </c>
      <c r="J59" s="175">
        <f>H59/DAY(B2)</f>
        <v>-311.98370370370424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16696</v>
      </c>
      <c r="H60" s="99">
        <f>G60+'26'!H60</f>
        <v>60641.849999999977</v>
      </c>
      <c r="I60" s="95">
        <f>G13-G60</f>
        <v>209</v>
      </c>
      <c r="J60" s="175">
        <f>H60/DAY(B2)</f>
        <v>2245.9944444444436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'26'!F62</f>
        <v>269007</v>
      </c>
      <c r="F62" s="122">
        <v>269127</v>
      </c>
      <c r="G62" s="112">
        <f t="shared" ref="G62:G63" si="5">F62-E62</f>
        <v>120</v>
      </c>
      <c r="H62" s="99">
        <f>G62+'26'!H62</f>
        <v>-389</v>
      </c>
      <c r="I62" s="118"/>
      <c r="J62" s="175">
        <f>H62/DAY(B2)</f>
        <v>-14.407407407407407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'26'!F63</f>
        <v>215129</v>
      </c>
      <c r="F63" s="122">
        <v>215279</v>
      </c>
      <c r="G63" s="112">
        <f t="shared" si="5"/>
        <v>150</v>
      </c>
      <c r="H63" s="99">
        <f>G63+'26'!H63</f>
        <v>3203</v>
      </c>
      <c r="I63" s="118"/>
      <c r="J63" s="175">
        <f>H63/DAY(B2)</f>
        <v>118.62962962962963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'26'!F64</f>
        <v>0</v>
      </c>
      <c r="F64" s="122"/>
      <c r="G64" s="112">
        <f>G62+G63</f>
        <v>270</v>
      </c>
      <c r="H64" s="99">
        <f>G64+'26'!H64</f>
        <v>2814</v>
      </c>
      <c r="I64" s="118"/>
      <c r="J64" s="175">
        <f>H64/DAY(B2)</f>
        <v>104.22222222222223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'26'!F65</f>
        <v>434499</v>
      </c>
      <c r="F65" s="122">
        <v>434596</v>
      </c>
      <c r="G65" s="112">
        <f t="shared" ref="G65:G70" si="6">F65-E65</f>
        <v>97</v>
      </c>
      <c r="H65" s="99">
        <f>G65+'26'!H65</f>
        <v>-327</v>
      </c>
      <c r="I65" s="118"/>
      <c r="J65" s="175">
        <f>H65/DAY(B2)</f>
        <v>-12.111111111111111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'26'!F66</f>
        <v>107637</v>
      </c>
      <c r="F66" s="122">
        <v>107662</v>
      </c>
      <c r="G66" s="112">
        <f t="shared" si="6"/>
        <v>25</v>
      </c>
      <c r="H66" s="99">
        <f>G66+'26'!H66</f>
        <v>-81</v>
      </c>
      <c r="I66" s="118"/>
      <c r="J66" s="175">
        <f>H66/DAY(B2)</f>
        <v>-3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'26'!F67</f>
        <v>104526</v>
      </c>
      <c r="F67" s="122">
        <v>104548</v>
      </c>
      <c r="G67" s="112">
        <f t="shared" si="6"/>
        <v>22</v>
      </c>
      <c r="H67" s="99">
        <f>G67+'26'!H67</f>
        <v>-100</v>
      </c>
      <c r="I67" s="118"/>
      <c r="J67" s="175">
        <f>H67/DAY(B2)</f>
        <v>-3.7037037037037037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'26'!F68</f>
        <v>157470</v>
      </c>
      <c r="F68" s="122">
        <v>157527</v>
      </c>
      <c r="G68" s="112">
        <f t="shared" si="6"/>
        <v>57</v>
      </c>
      <c r="H68" s="99">
        <f>G68+'26'!H68</f>
        <v>-170</v>
      </c>
      <c r="I68" s="118"/>
      <c r="J68" s="175">
        <f>H68/DAY(B2)</f>
        <v>-6.2962962962962967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'26'!F69</f>
        <v>10502</v>
      </c>
      <c r="F69" s="122">
        <v>10511</v>
      </c>
      <c r="G69" s="112">
        <f t="shared" si="6"/>
        <v>9</v>
      </c>
      <c r="H69" s="99">
        <f>G69+'26'!H69</f>
        <v>-30</v>
      </c>
      <c r="I69" s="118"/>
      <c r="J69" s="175">
        <f>H69/DAY(B2)</f>
        <v>-1.1111111111111112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'26'!F70</f>
        <v>8055</v>
      </c>
      <c r="F70" s="122">
        <v>8066</v>
      </c>
      <c r="G70" s="112">
        <f t="shared" si="6"/>
        <v>11</v>
      </c>
      <c r="H70" s="99">
        <f>G70+'26'!H70</f>
        <v>-54</v>
      </c>
      <c r="I70" s="118"/>
      <c r="J70" s="175">
        <f>H70/DAY(B2)</f>
        <v>-2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221</v>
      </c>
      <c r="H71" s="99">
        <f>G71+'26'!H71</f>
        <v>-762</v>
      </c>
      <c r="I71" s="154"/>
      <c r="J71" s="175">
        <f>H71/DAY(B2)</f>
        <v>-28.222222222222221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'26'!F74</f>
        <v>899756</v>
      </c>
      <c r="F74" s="117">
        <v>900049</v>
      </c>
      <c r="G74" s="112">
        <f t="shared" ref="G74:G78" si="7">F74-E74</f>
        <v>293</v>
      </c>
      <c r="H74" s="99">
        <f>G74+'26'!H74</f>
        <v>-1257.1489999999758</v>
      </c>
      <c r="I74" s="154"/>
      <c r="J74" s="175">
        <f>H74/DAY(B2)</f>
        <v>-46.561074074073176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'26'!F76</f>
        <v>169525</v>
      </c>
      <c r="F76" s="123">
        <v>169624</v>
      </c>
      <c r="G76" s="112">
        <f t="shared" si="7"/>
        <v>99</v>
      </c>
      <c r="H76" s="99">
        <f>G76+'26'!H76</f>
        <v>-351</v>
      </c>
      <c r="I76" s="154"/>
      <c r="J76" s="175">
        <f>H76/DAY(B2)</f>
        <v>-13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'26'!F77</f>
        <v>41116</v>
      </c>
      <c r="F77" s="123">
        <v>41143</v>
      </c>
      <c r="G77" s="112">
        <f t="shared" si="7"/>
        <v>27</v>
      </c>
      <c r="H77" s="99">
        <f>G77+'26'!H77</f>
        <v>-159.19999999999709</v>
      </c>
      <c r="I77" s="154"/>
      <c r="J77" s="175">
        <f>H77/DAY(B2)</f>
        <v>-5.8962962962961889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'26'!F78</f>
        <v>9509</v>
      </c>
      <c r="F78" s="123">
        <v>9510</v>
      </c>
      <c r="G78" s="112">
        <f t="shared" si="7"/>
        <v>1</v>
      </c>
      <c r="H78" s="99">
        <f>G78+'26'!H78</f>
        <v>-6</v>
      </c>
      <c r="I78" s="118"/>
      <c r="J78" s="175">
        <f>H78/DAY(B2)</f>
        <v>-0.22222222222222221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'26'!F79</f>
        <v>0</v>
      </c>
      <c r="F79" s="123"/>
      <c r="G79" s="112">
        <f>G15-SUM(G74:G78)</f>
        <v>534</v>
      </c>
      <c r="H79" s="99">
        <f>G79+'26'!H79</f>
        <v>28535.58199999998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954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'26'!F84</f>
        <v>41675.4</v>
      </c>
      <c r="F84" s="164">
        <v>41675.4</v>
      </c>
      <c r="G84" s="112">
        <f t="shared" si="8"/>
        <v>0</v>
      </c>
      <c r="H84" s="99">
        <f>G84+'26'!H84</f>
        <v>0.40000000000145519</v>
      </c>
      <c r="I84" s="118"/>
      <c r="J84" s="175">
        <f>H84/DAY(B2)</f>
        <v>1.4814814814868712E-2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'26'!F85</f>
        <v>2142</v>
      </c>
      <c r="F85" s="164">
        <v>2166</v>
      </c>
      <c r="G85" s="112">
        <f t="shared" si="8"/>
        <v>24</v>
      </c>
      <c r="H85" s="99">
        <f>G85+'26'!H85</f>
        <v>-94.420000000000073</v>
      </c>
      <c r="I85" s="118">
        <f>G82+G83+G84+G85</f>
        <v>24</v>
      </c>
      <c r="J85" s="175">
        <f>H85/DAY(B2)</f>
        <v>-3.4970370370370398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'26'!F86</f>
        <v>43442</v>
      </c>
      <c r="F86" s="164">
        <v>43442</v>
      </c>
      <c r="G86" s="112">
        <f t="shared" si="8"/>
        <v>0</v>
      </c>
      <c r="H86" s="99">
        <f>G86+'26'!H86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'26'!F87</f>
        <v>34598.550000000003</v>
      </c>
      <c r="F87" s="164">
        <v>34598.550000000003</v>
      </c>
      <c r="G87" s="112">
        <f t="shared" si="8"/>
        <v>0</v>
      </c>
      <c r="H87" s="99">
        <f>G87+'26'!H87</f>
        <v>5.0000000002910383E-2</v>
      </c>
      <c r="I87" s="118"/>
      <c r="J87" s="175">
        <f>H87/DAY(B2)</f>
        <v>1.8518518519596437E-3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'26'!F88</f>
        <v>24063</v>
      </c>
      <c r="F88" s="164">
        <v>24063</v>
      </c>
      <c r="G88" s="112">
        <f t="shared" si="8"/>
        <v>0</v>
      </c>
      <c r="H88" s="99">
        <f>G88+'26'!H88</f>
        <v>-0.43000000000029104</v>
      </c>
      <c r="I88" s="118">
        <f>G86+G87+G88</f>
        <v>0</v>
      </c>
      <c r="J88" s="175">
        <f>H88/DAY(B2)</f>
        <v>-1.5925925925936706E-2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'26'!F89</f>
        <v>25843</v>
      </c>
      <c r="F89" s="164">
        <v>25853</v>
      </c>
      <c r="G89" s="112">
        <f t="shared" si="8"/>
        <v>10</v>
      </c>
      <c r="H89" s="99">
        <f>G89+'26'!H89</f>
        <v>-38.119999999998981</v>
      </c>
      <c r="I89" s="118"/>
      <c r="J89" s="175">
        <f>H89/DAY(B2)</f>
        <v>-1.4118518518518142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'26'!F90</f>
        <v>71153</v>
      </c>
      <c r="F90" s="164">
        <v>71155</v>
      </c>
      <c r="G90" s="112">
        <f t="shared" si="8"/>
        <v>2</v>
      </c>
      <c r="H90" s="99">
        <v>23</v>
      </c>
      <c r="I90" s="118">
        <f>G89+G90</f>
        <v>12</v>
      </c>
      <c r="J90" s="175">
        <f>H90/DAY(B2)</f>
        <v>0.85185185185185186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'26'!F91</f>
        <v>3226</v>
      </c>
      <c r="F91" s="122">
        <v>3226</v>
      </c>
      <c r="G91" s="112">
        <f t="shared" si="8"/>
        <v>0</v>
      </c>
      <c r="H91" s="99">
        <f>G91+'26'!H91</f>
        <v>-25.090000000000146</v>
      </c>
      <c r="I91" s="165"/>
      <c r="J91" s="175">
        <f>H91/DAY(B2)</f>
        <v>-0.92925925925926467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'26'!F92</f>
        <v>5710</v>
      </c>
      <c r="F92" s="122">
        <v>5721</v>
      </c>
      <c r="G92" s="112">
        <f t="shared" si="8"/>
        <v>11</v>
      </c>
      <c r="H92" s="99">
        <f>G92+'26'!H92</f>
        <v>-20.069999999999709</v>
      </c>
      <c r="I92" s="165"/>
      <c r="J92" s="175">
        <f>H92/DAY(B2)</f>
        <v>-0.74333333333332252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4080</v>
      </c>
      <c r="H94" s="99">
        <f>G94+'26'!H94</f>
        <v>49771.229999999996</v>
      </c>
      <c r="I94" s="118"/>
      <c r="J94" s="175">
        <f>H94/DAY(B2)</f>
        <v>1843.3788888888887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0.23171285779191278</v>
      </c>
      <c r="H95" s="99">
        <f>G95+'26'!H95</f>
        <v>6.8088300900577901</v>
      </c>
      <c r="I95" s="167"/>
      <c r="J95" s="175">
        <f>H95/DAY(B2)</f>
        <v>0.25217889222436257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3934</v>
      </c>
      <c r="H96" s="99">
        <f>G96+'26'!H96</f>
        <v>46078.419999999991</v>
      </c>
      <c r="I96" s="118"/>
      <c r="J96" s="175">
        <f>H96/DAY(B2)</f>
        <v>1706.6081481481478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0.22342117219445706</v>
      </c>
      <c r="H97" s="99">
        <f>G97+'26'!H97</f>
        <v>4.9198181738227911</v>
      </c>
      <c r="I97" s="167"/>
      <c r="J97" s="175">
        <f>H97/DAY(B2)</f>
        <v>0.18221548791936262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2612</v>
      </c>
      <c r="H98" s="99">
        <f>G98+'26'!H98</f>
        <v>-10475.290000000005</v>
      </c>
      <c r="I98" s="168"/>
      <c r="J98" s="175">
        <f>H98/DAY(B2)</f>
        <v>-387.97370370370385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0.14834166288050887</v>
      </c>
      <c r="H99" s="99">
        <f>G99+'26'!H99</f>
        <v>3.9696080689265809</v>
      </c>
      <c r="I99" s="168"/>
      <c r="J99" s="175">
        <f>H99/DAY(B2)</f>
        <v>0.14702252107135486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1792</v>
      </c>
      <c r="H100" s="99">
        <f>G100+'26'!H100</f>
        <v>-6759.43</v>
      </c>
      <c r="I100" s="118"/>
      <c r="J100" s="175">
        <f>H100/DAY(B2)</f>
        <v>-250.34925925925927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0.10177192185370286</v>
      </c>
      <c r="H101" s="99">
        <f>G101+'26'!H101</f>
        <v>2.6042602062224098</v>
      </c>
      <c r="I101" s="168"/>
      <c r="J101" s="175">
        <f>H101/DAY(B2)</f>
        <v>9.64540817119411E-2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1684</v>
      </c>
      <c r="H102" s="99">
        <f>G102+'26'!H102</f>
        <v>-7009.3699999999953</v>
      </c>
      <c r="I102" s="168"/>
      <c r="J102" s="175">
        <f>H102/DAY(B2)</f>
        <v>-259.60629629629614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9.5638346206269875E-2</v>
      </c>
      <c r="H103" s="99">
        <f>G103+'26'!H103</f>
        <v>2.8029300315913597</v>
      </c>
      <c r="I103" s="118"/>
      <c r="J103" s="175">
        <f>H103/DAY(B2)</f>
        <v>0.10381222339227258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1582</v>
      </c>
      <c r="H104" s="99">
        <f>G104+'26'!H104</f>
        <v>-6328.0899999999965</v>
      </c>
      <c r="I104" s="118"/>
      <c r="J104" s="175">
        <f>H104/DAY(B2)</f>
        <v>-234.37370370370357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8.9845524761472062E-2</v>
      </c>
      <c r="H105" s="99">
        <f>G105+'26'!H105</f>
        <v>2.3220806946728905</v>
      </c>
      <c r="I105" s="187"/>
      <c r="J105" s="188">
        <f>H105/DAY(B2)</f>
        <v>8.6002988691588539E-2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'26'!F112</f>
        <v>57672</v>
      </c>
      <c r="F112" s="237">
        <v>57745</v>
      </c>
      <c r="G112" s="112">
        <f t="shared" ref="G112:G123" si="9">F112-E112</f>
        <v>73</v>
      </c>
      <c r="H112" s="99">
        <f>G112+'26'!H112</f>
        <v>-309</v>
      </c>
      <c r="I112" s="165"/>
      <c r="J112" s="328">
        <f>H112/DAY(B2)</f>
        <v>-11.444444444444445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'26'!F113</f>
        <v>44098</v>
      </c>
      <c r="F113" s="237">
        <v>44536</v>
      </c>
      <c r="G113" s="112">
        <f t="shared" si="9"/>
        <v>438</v>
      </c>
      <c r="H113" s="99">
        <f>G113+'26'!H113</f>
        <v>-1864.8899999999994</v>
      </c>
      <c r="I113" s="165"/>
      <c r="J113" s="328">
        <f>H113/DAY(B2)</f>
        <v>-69.069999999999979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'26'!F114</f>
        <v>31873</v>
      </c>
      <c r="F114" s="237">
        <v>32124</v>
      </c>
      <c r="G114" s="112">
        <f t="shared" si="9"/>
        <v>251</v>
      </c>
      <c r="H114" s="99">
        <f>G114+'26'!H114</f>
        <v>-1169.6000000000004</v>
      </c>
      <c r="I114" s="165"/>
      <c r="J114" s="328">
        <f>H114/DAY(B2)</f>
        <v>-43.31851851851853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'26'!F115</f>
        <v>9047</v>
      </c>
      <c r="F115" s="237">
        <v>9055</v>
      </c>
      <c r="G115" s="112">
        <f t="shared" si="9"/>
        <v>8</v>
      </c>
      <c r="H115" s="99">
        <f>G115+'26'!H115</f>
        <v>-39.649999999999636</v>
      </c>
      <c r="I115" s="165"/>
      <c r="J115" s="328">
        <f>H115/DAY(B2)</f>
        <v>-1.468518518518505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'26'!F116</f>
        <v>0</v>
      </c>
      <c r="F116" s="237">
        <v>0</v>
      </c>
      <c r="G116" s="112">
        <f t="shared" si="9"/>
        <v>0</v>
      </c>
      <c r="H116" s="99">
        <f>G116+'26'!H116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'26'!F117</f>
        <v>3211</v>
      </c>
      <c r="F117" s="237">
        <v>3230</v>
      </c>
      <c r="G117" s="112">
        <f t="shared" si="9"/>
        <v>19</v>
      </c>
      <c r="H117" s="99">
        <f>G117+'26'!H117</f>
        <v>-107.94999999999982</v>
      </c>
      <c r="I117" s="165"/>
      <c r="J117" s="328">
        <f>H117/DAY(B2)</f>
        <v>-3.9981481481481413</v>
      </c>
      <c r="Q117" s="863" t="s">
        <v>312</v>
      </c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'26'!F118</f>
        <v>250782</v>
      </c>
      <c r="F118" s="237">
        <v>251137</v>
      </c>
      <c r="G118" s="112">
        <f t="shared" si="9"/>
        <v>355</v>
      </c>
      <c r="H118" s="99">
        <f>G118+'26'!H118</f>
        <v>-1315.3099999999977</v>
      </c>
      <c r="I118" s="165"/>
      <c r="J118" s="328">
        <f>H118/DAY(B2)</f>
        <v>-48.715185185185099</v>
      </c>
      <c r="Q118" s="863" t="s">
        <v>311</v>
      </c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'26'!F119</f>
        <v>256078</v>
      </c>
      <c r="F119" s="237">
        <v>256464</v>
      </c>
      <c r="G119" s="112">
        <f t="shared" si="9"/>
        <v>386</v>
      </c>
      <c r="H119" s="99">
        <f>G119+'26'!H119</f>
        <v>-1684.5499999999884</v>
      </c>
      <c r="I119" s="165"/>
      <c r="J119" s="328">
        <f>H119/DAY(B2)</f>
        <v>-62.390740740740313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'26'!F120</f>
        <v>40875</v>
      </c>
      <c r="F120" s="237">
        <v>41275</v>
      </c>
      <c r="G120" s="112">
        <f t="shared" si="9"/>
        <v>400</v>
      </c>
      <c r="H120" s="99">
        <f>G120+'26'!H120</f>
        <v>-1684.6100000000006</v>
      </c>
      <c r="I120" s="165"/>
      <c r="J120" s="328">
        <f>H120/DAY(B2)</f>
        <v>-62.392962962962983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'26'!F121</f>
        <v>394601</v>
      </c>
      <c r="F121" s="237">
        <v>395153</v>
      </c>
      <c r="G121" s="112">
        <f t="shared" si="9"/>
        <v>552</v>
      </c>
      <c r="H121" s="99">
        <f>G121+'26'!H121</f>
        <v>-2881.429999999993</v>
      </c>
      <c r="I121" s="165"/>
      <c r="J121" s="328">
        <f>H121/DAY(B2)</f>
        <v>-106.71962962962937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'26'!F122</f>
        <v>125189</v>
      </c>
      <c r="F122" s="237">
        <v>125384</v>
      </c>
      <c r="G122" s="112">
        <f t="shared" si="9"/>
        <v>195</v>
      </c>
      <c r="H122" s="99">
        <f>G122+'26'!H122</f>
        <v>-802.17999999999302</v>
      </c>
      <c r="I122" s="165"/>
      <c r="J122" s="328">
        <f>H122/DAY(B2)</f>
        <v>-29.710370370370111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'26'!F123</f>
        <v>152660</v>
      </c>
      <c r="F123" s="237">
        <v>152943</v>
      </c>
      <c r="G123" s="112">
        <f t="shared" si="9"/>
        <v>283</v>
      </c>
      <c r="H123" s="99">
        <f>G123+'26'!H123</f>
        <v>-1103.9500000000116</v>
      </c>
      <c r="I123" s="165"/>
      <c r="J123" s="328">
        <f>H123/DAY(B2)</f>
        <v>-40.887037037037466</v>
      </c>
    </row>
    <row r="124" spans="1:18" ht="29.25" customHeight="1" x14ac:dyDescent="0.5">
      <c r="A124" s="867"/>
      <c r="B124" s="868"/>
      <c r="C124" s="869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2960</v>
      </c>
      <c r="H125" s="156"/>
      <c r="I125" s="327">
        <f>G125-(G39+G53)</f>
        <v>348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'26'!F128</f>
        <v>46244</v>
      </c>
      <c r="F128" s="155">
        <v>46522</v>
      </c>
      <c r="G128" s="112">
        <f t="shared" ref="G128:G134" si="10">F128-E128</f>
        <v>278</v>
      </c>
      <c r="H128" s="99">
        <f>G128+'26'!H128</f>
        <v>-1224</v>
      </c>
      <c r="I128" s="165"/>
      <c r="J128" s="328">
        <f>H128/DAY(B2)</f>
        <v>-45.333333333333336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'26'!F129</f>
        <v>25957</v>
      </c>
      <c r="F129" s="155">
        <v>26160</v>
      </c>
      <c r="G129" s="112">
        <f t="shared" si="10"/>
        <v>203</v>
      </c>
      <c r="H129" s="99">
        <f>G129+'26'!H129</f>
        <v>-750.86999999999898</v>
      </c>
      <c r="I129" s="165"/>
      <c r="J129" s="328">
        <f>H129/DAY(B2)</f>
        <v>-27.809999999999963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'26'!F130</f>
        <v>33360</v>
      </c>
      <c r="F130" s="155">
        <v>33852</v>
      </c>
      <c r="G130" s="112">
        <f t="shared" si="10"/>
        <v>492</v>
      </c>
      <c r="H130" s="99">
        <f>G130+'26'!H130</f>
        <v>-1842</v>
      </c>
      <c r="I130" s="165"/>
      <c r="J130" s="328">
        <f>H130/DAY(B2)</f>
        <v>-68.222222222222229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'26'!F131</f>
        <v>15020</v>
      </c>
      <c r="F131" s="155">
        <v>15071</v>
      </c>
      <c r="G131" s="112">
        <f t="shared" si="10"/>
        <v>51</v>
      </c>
      <c r="H131" s="99">
        <f>G131+'26'!H131</f>
        <v>-236.68000000000029</v>
      </c>
      <c r="I131" s="165"/>
      <c r="J131" s="328">
        <f>H131/DAY(B2)</f>
        <v>-8.7659259259259361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'26'!F132</f>
        <v>51045</v>
      </c>
      <c r="F132" s="155">
        <v>51189</v>
      </c>
      <c r="G132" s="112">
        <f t="shared" si="10"/>
        <v>144</v>
      </c>
      <c r="H132" s="99">
        <f>G132+'26'!H132</f>
        <v>-659.30000000000291</v>
      </c>
      <c r="I132" s="165"/>
      <c r="J132" s="328">
        <f>H132/DAY(B2)</f>
        <v>-24.418518518518628</v>
      </c>
    </row>
    <row r="133" spans="1:15" ht="27.75" x14ac:dyDescent="0.5">
      <c r="A133" s="863" t="s">
        <v>362</v>
      </c>
      <c r="B133" s="864"/>
      <c r="C133" s="865"/>
      <c r="D133" s="151" t="s">
        <v>183</v>
      </c>
      <c r="E133" s="95">
        <f>'26'!F133</f>
        <v>103140</v>
      </c>
      <c r="F133" s="155">
        <v>103509</v>
      </c>
      <c r="G133" s="112">
        <f t="shared" si="10"/>
        <v>369</v>
      </c>
      <c r="H133" s="99">
        <f>G133+'26'!H133</f>
        <v>-1834.6999999999971</v>
      </c>
      <c r="I133" s="165"/>
      <c r="J133" s="328">
        <f>H133/DAY(B2)</f>
        <v>-67.951851851851742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'26'!F134</f>
        <v>7872</v>
      </c>
      <c r="F134" s="155">
        <v>7993</v>
      </c>
      <c r="G134" s="112">
        <f t="shared" si="10"/>
        <v>121</v>
      </c>
      <c r="H134" s="99">
        <f>G134+'26'!H134</f>
        <v>-608.22999999999956</v>
      </c>
      <c r="I134" s="165"/>
      <c r="J134" s="328">
        <f>H134/DAY(B2)</f>
        <v>-22.527037037037022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1658</v>
      </c>
      <c r="H135" s="99">
        <f>G135+'23'!H135</f>
        <v>27250.389999999985</v>
      </c>
      <c r="I135" s="327">
        <f>G135-(G35+G49)</f>
        <v>-453</v>
      </c>
      <c r="J135" s="328"/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'26'!F138</f>
        <v>865891</v>
      </c>
      <c r="F138" s="147">
        <v>865949</v>
      </c>
      <c r="G138" s="112">
        <f t="shared" ref="G138:G152" si="11">F138-E138</f>
        <v>58</v>
      </c>
      <c r="H138" s="99">
        <f>G138+'26'!H138</f>
        <v>-224</v>
      </c>
      <c r="I138" s="118"/>
      <c r="J138" s="328">
        <f>H138/DAY(B2)</f>
        <v>-8.2962962962962958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'26'!F139</f>
        <v>886569</v>
      </c>
      <c r="F139" s="148">
        <v>886570</v>
      </c>
      <c r="G139" s="112">
        <f t="shared" si="11"/>
        <v>1</v>
      </c>
      <c r="H139" s="99">
        <f>G139+'26'!H139</f>
        <v>-3</v>
      </c>
      <c r="I139" s="118"/>
      <c r="J139" s="328">
        <f>H139/DAY(B2)</f>
        <v>-0.1111111111111111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'26'!F140</f>
        <v>88922</v>
      </c>
      <c r="F140" s="149">
        <v>88922</v>
      </c>
      <c r="G140" s="112">
        <f t="shared" si="11"/>
        <v>0</v>
      </c>
      <c r="H140" s="99">
        <f>G140+'26'!H140</f>
        <v>0</v>
      </c>
      <c r="I140" s="118"/>
      <c r="J140" s="328">
        <f>H140/DAY(B2)</f>
        <v>0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'26'!F141</f>
        <v>53837</v>
      </c>
      <c r="F141" s="149">
        <v>53982</v>
      </c>
      <c r="G141" s="112">
        <f t="shared" si="11"/>
        <v>145</v>
      </c>
      <c r="H141" s="99">
        <f>G141+'26'!H141</f>
        <v>-703.58000000000175</v>
      </c>
      <c r="I141" s="118"/>
      <c r="J141" s="328">
        <f>H141/DAY(B2)</f>
        <v>-26.058518518518582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'26'!F142</f>
        <v>20902</v>
      </c>
      <c r="F142" s="148">
        <v>20972</v>
      </c>
      <c r="G142" s="112">
        <f t="shared" si="11"/>
        <v>70</v>
      </c>
      <c r="H142" s="99">
        <f>G142+'26'!H142</f>
        <v>-312.09999999999854</v>
      </c>
      <c r="I142" s="140"/>
      <c r="J142" s="328">
        <f>H142/DAY(B2)</f>
        <v>-11.559259259259205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'26'!F143</f>
        <v>3711</v>
      </c>
      <c r="F143" s="149">
        <v>3734</v>
      </c>
      <c r="G143" s="112">
        <f t="shared" si="11"/>
        <v>23</v>
      </c>
      <c r="H143" s="99">
        <f>G143+'26'!H143</f>
        <v>-101.38999999999987</v>
      </c>
      <c r="I143" s="140"/>
      <c r="J143" s="328">
        <f>H143/DAY(B2)</f>
        <v>-3.7551851851851805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'26'!F144</f>
        <v>875477</v>
      </c>
      <c r="F144" s="149">
        <v>875675</v>
      </c>
      <c r="G144" s="112">
        <f t="shared" si="11"/>
        <v>198</v>
      </c>
      <c r="H144" s="99">
        <f>G144+'26'!H144</f>
        <v>-812</v>
      </c>
      <c r="I144" s="140"/>
      <c r="J144" s="328">
        <f>H144/DAY(B2)</f>
        <v>-30.074074074074073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'26'!F145</f>
        <v>4921</v>
      </c>
      <c r="F145" s="149">
        <v>4926</v>
      </c>
      <c r="G145" s="112">
        <f t="shared" si="11"/>
        <v>5</v>
      </c>
      <c r="H145" s="99">
        <f>G145+'26'!H145</f>
        <v>-32.840000000000146</v>
      </c>
      <c r="I145" s="140"/>
      <c r="J145" s="328">
        <f>H145/DAY(B2)</f>
        <v>-1.2162962962963018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'26'!F146</f>
        <v>735287</v>
      </c>
      <c r="F146" s="148">
        <v>735677</v>
      </c>
      <c r="G146" s="112">
        <f t="shared" si="11"/>
        <v>390</v>
      </c>
      <c r="H146" s="99">
        <f>G146+'26'!H146</f>
        <v>-1656</v>
      </c>
      <c r="I146" s="140"/>
      <c r="J146" s="328">
        <f>H146/DAY(B2)</f>
        <v>-61.333333333333336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'26'!F147</f>
        <v>624833</v>
      </c>
      <c r="F147" s="148">
        <v>625172</v>
      </c>
      <c r="G147" s="112">
        <f t="shared" si="11"/>
        <v>339</v>
      </c>
      <c r="H147" s="99">
        <f>G147+'26'!H147</f>
        <v>-1440.5200000000186</v>
      </c>
      <c r="I147" s="140"/>
      <c r="J147" s="328">
        <f>H147/DAY(B2)</f>
        <v>-53.352592592593282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'26'!F148</f>
        <v>688470</v>
      </c>
      <c r="F148" s="150">
        <v>688695</v>
      </c>
      <c r="G148" s="112">
        <f t="shared" si="11"/>
        <v>225</v>
      </c>
      <c r="H148" s="99">
        <f>G148+'26'!H148</f>
        <v>-747.95999999996275</v>
      </c>
      <c r="I148" s="124"/>
      <c r="J148" s="328">
        <f>H148/DAY(B2)</f>
        <v>-27.702222222220843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'26'!F149</f>
        <v>22268</v>
      </c>
      <c r="F149" s="146">
        <v>22772</v>
      </c>
      <c r="G149" s="112">
        <f t="shared" si="11"/>
        <v>504</v>
      </c>
      <c r="H149" s="99">
        <f>G149+'26'!H149</f>
        <v>-1906.2000000000007</v>
      </c>
      <c r="I149" s="119"/>
      <c r="J149" s="328">
        <f>H149/DAY(B2)</f>
        <v>-70.600000000000023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'26'!F150</f>
        <v>9782</v>
      </c>
      <c r="F150" s="233">
        <v>9961</v>
      </c>
      <c r="G150" s="112">
        <f t="shared" si="11"/>
        <v>179</v>
      </c>
      <c r="H150" s="99">
        <f>G150+'26'!H150</f>
        <v>-889.82999999999993</v>
      </c>
      <c r="I150" s="119"/>
      <c r="J150" s="328">
        <f>H150/DAY(B2)</f>
        <v>-32.956666666666663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'26'!F151</f>
        <v>84184</v>
      </c>
      <c r="F151" s="233">
        <v>84449</v>
      </c>
      <c r="G151" s="112">
        <f t="shared" si="11"/>
        <v>265</v>
      </c>
      <c r="H151" s="99">
        <f>G151+'26'!H151</f>
        <v>-1031</v>
      </c>
      <c r="I151" s="119"/>
      <c r="J151" s="328">
        <f>H151/DAY(B2)</f>
        <v>-38.185185185185183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'26'!F152</f>
        <v>1573</v>
      </c>
      <c r="F152" s="233">
        <v>1599</v>
      </c>
      <c r="G152" s="112">
        <f t="shared" si="11"/>
        <v>26</v>
      </c>
      <c r="H152" s="99">
        <f>G152+'26'!H152</f>
        <v>-61</v>
      </c>
      <c r="I152" s="119"/>
      <c r="J152" s="328">
        <f>H152/DAY(B2)</f>
        <v>-2.2592592592592591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2428</v>
      </c>
      <c r="H153" s="363"/>
      <c r="I153" s="119">
        <f>G153-(G38+G52)</f>
        <v>636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'26'!F155</f>
        <v>28985</v>
      </c>
      <c r="F155" s="471">
        <v>29684</v>
      </c>
      <c r="G155" s="112">
        <f t="shared" ref="G155:G158" si="12">F155-E155</f>
        <v>699</v>
      </c>
      <c r="H155" s="99">
        <f>G155+'26'!H155</f>
        <v>-3261</v>
      </c>
      <c r="I155" s="364"/>
      <c r="J155" s="328">
        <f>H155/DAY(B2)</f>
        <v>-120.77777777777777</v>
      </c>
    </row>
    <row r="156" spans="1:10" ht="27.75" x14ac:dyDescent="0.5">
      <c r="A156" s="843" t="s">
        <v>347</v>
      </c>
      <c r="B156" s="843"/>
      <c r="C156" s="843"/>
      <c r="D156" s="117" t="s">
        <v>130</v>
      </c>
      <c r="E156" s="95">
        <f>'26'!F156</f>
        <v>2460</v>
      </c>
      <c r="F156" s="155">
        <v>2508</v>
      </c>
      <c r="G156" s="112">
        <f t="shared" si="12"/>
        <v>48</v>
      </c>
      <c r="H156" s="99">
        <f>G156+'26'!H156</f>
        <v>1406</v>
      </c>
      <c r="I156" s="165"/>
      <c r="J156" s="328">
        <f>H156/DAY(B2)</f>
        <v>52.074074074074076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>
        <f>'26'!F157</f>
        <v>3487</v>
      </c>
      <c r="F157" s="155">
        <v>3582</v>
      </c>
      <c r="G157" s="112">
        <f t="shared" si="12"/>
        <v>95</v>
      </c>
      <c r="H157" s="99">
        <f>G157+'26'!H157</f>
        <v>861.84000000000015</v>
      </c>
      <c r="I157" s="165"/>
      <c r="J157" s="328"/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>
        <f>'26'!F158</f>
        <v>44.99</v>
      </c>
      <c r="F158" s="155">
        <v>45.49</v>
      </c>
      <c r="G158" s="112">
        <f t="shared" si="12"/>
        <v>0.5</v>
      </c>
      <c r="H158" s="99">
        <f>G158+'26'!H158</f>
        <v>21.150000000000002</v>
      </c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'26'!F161</f>
        <v>471909</v>
      </c>
      <c r="F161" s="235">
        <v>471931</v>
      </c>
      <c r="G161" s="238">
        <f t="shared" ref="G161:G165" si="13">F161-E161</f>
        <v>22</v>
      </c>
      <c r="H161" s="99">
        <f>G161+'26'!H161</f>
        <v>-122.55999999999767</v>
      </c>
      <c r="I161" s="236"/>
      <c r="J161" s="239">
        <f>H161/DAY(B2)</f>
        <v>-4.5392592592591727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'26'!F162</f>
        <v>88359</v>
      </c>
      <c r="F162" s="235">
        <v>88400</v>
      </c>
      <c r="G162" s="238">
        <f t="shared" si="13"/>
        <v>41</v>
      </c>
      <c r="H162" s="99">
        <f>G162+'26'!H162</f>
        <v>-116.39999999999418</v>
      </c>
      <c r="I162" s="236"/>
      <c r="J162" s="239">
        <f>H162/DAY(B2)</f>
        <v>-4.311111111110896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'26'!F163</f>
        <v>78997</v>
      </c>
      <c r="F163" s="235">
        <v>79062</v>
      </c>
      <c r="G163" s="238">
        <f t="shared" si="13"/>
        <v>65</v>
      </c>
      <c r="H163" s="99">
        <f>G163+'26'!H163</f>
        <v>-158.10000000000582</v>
      </c>
      <c r="I163" s="236"/>
      <c r="J163" s="239">
        <f>H163/DAY(B2)</f>
        <v>-5.855555555555771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'26'!F164</f>
        <v>4309</v>
      </c>
      <c r="F164" s="235">
        <v>4312</v>
      </c>
      <c r="G164" s="238">
        <f t="shared" si="13"/>
        <v>3</v>
      </c>
      <c r="H164" s="99">
        <f>G164+'26'!H164</f>
        <v>-8</v>
      </c>
      <c r="I164" s="236"/>
      <c r="J164" s="239">
        <f>H164/DAY(B2)</f>
        <v>-0.29629629629629628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'26'!F165</f>
        <v>29811</v>
      </c>
      <c r="F165" s="235">
        <v>29819</v>
      </c>
      <c r="G165" s="238">
        <f t="shared" si="13"/>
        <v>8</v>
      </c>
      <c r="H165" s="99">
        <f>G165+'26'!H165</f>
        <v>-38.25</v>
      </c>
      <c r="I165" s="236"/>
      <c r="J165" s="239">
        <f>H165/DAY(B2)</f>
        <v>-1.4166666666666667</v>
      </c>
    </row>
    <row r="166" spans="1:10" ht="29.25" x14ac:dyDescent="0.5">
      <c r="A166" s="852"/>
      <c r="B166" s="852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'26'!F173</f>
        <v>8126</v>
      </c>
      <c r="F173" s="155">
        <v>8126</v>
      </c>
      <c r="G173" s="155">
        <f>F173-E173</f>
        <v>0</v>
      </c>
      <c r="H173" s="99">
        <f>G173+'26'!H173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'26'!F174</f>
        <v>38548</v>
      </c>
      <c r="F174" s="157">
        <v>38561</v>
      </c>
      <c r="G174" s="155">
        <f t="shared" ref="G174:G175" si="14">F174-E174</f>
        <v>13</v>
      </c>
      <c r="H174" s="99">
        <f>G174+'26'!H174</f>
        <v>320</v>
      </c>
      <c r="I174" s="155"/>
      <c r="J174" s="178">
        <f>H174/DAY(B2)</f>
        <v>11.851851851851851</v>
      </c>
    </row>
    <row r="175" spans="1:10" ht="27.75" x14ac:dyDescent="0.5">
      <c r="A175" s="856" t="s">
        <v>76</v>
      </c>
      <c r="B175" s="896"/>
      <c r="C175" s="857"/>
      <c r="D175" s="228" t="s">
        <v>142</v>
      </c>
      <c r="E175" s="95">
        <f>'26'!F175</f>
        <v>21763</v>
      </c>
      <c r="F175" s="155">
        <v>21774</v>
      </c>
      <c r="G175" s="155">
        <f t="shared" si="14"/>
        <v>11</v>
      </c>
      <c r="H175" s="99">
        <f>G175+'26'!H175</f>
        <v>-39</v>
      </c>
      <c r="I175" s="155"/>
      <c r="J175" s="178">
        <f>H175/DAY(B2)</f>
        <v>-1.4444444444444444</v>
      </c>
    </row>
    <row r="176" spans="1:10" ht="27.75" x14ac:dyDescent="0.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24</v>
      </c>
      <c r="H176" s="99">
        <f>G176+'26'!H176</f>
        <v>281</v>
      </c>
      <c r="I176" s="155"/>
      <c r="J176" s="178">
        <f>H176/DAY(B2)</f>
        <v>10.407407407407407</v>
      </c>
    </row>
    <row r="177" spans="1:10" ht="27.75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'26'!F178</f>
        <v>81012</v>
      </c>
      <c r="F178" s="155">
        <v>81051</v>
      </c>
      <c r="G178" s="155">
        <f>F178-E178</f>
        <v>39</v>
      </c>
      <c r="H178" s="99">
        <f>G178+'26'!H178</f>
        <v>-264</v>
      </c>
      <c r="I178" s="155"/>
      <c r="J178" s="178">
        <f>H178/DAY(B2)</f>
        <v>-9.7777777777777786</v>
      </c>
    </row>
    <row r="179" spans="1:10" ht="27.75" x14ac:dyDescent="0.5">
      <c r="A179" s="856" t="s">
        <v>211</v>
      </c>
      <c r="B179" s="857"/>
      <c r="C179" s="333"/>
      <c r="D179" s="228" t="s">
        <v>142</v>
      </c>
      <c r="E179" s="95">
        <f>'26'!F179</f>
        <v>34580</v>
      </c>
      <c r="F179" s="155">
        <v>34642</v>
      </c>
      <c r="G179" s="155">
        <f t="shared" ref="G179:G180" si="15">F179-E179</f>
        <v>62</v>
      </c>
      <c r="H179" s="99">
        <f>G179+'26'!H179</f>
        <v>-161</v>
      </c>
      <c r="I179" s="155"/>
      <c r="J179" s="178">
        <f>H179/DAY(B2)</f>
        <v>-5.9629629629629628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'26'!F180</f>
        <v>5658</v>
      </c>
      <c r="F180" s="155">
        <v>5672</v>
      </c>
      <c r="G180" s="155">
        <f t="shared" si="15"/>
        <v>14</v>
      </c>
      <c r="H180" s="99">
        <f>G180+'26'!H180</f>
        <v>-30</v>
      </c>
      <c r="I180" s="155"/>
      <c r="J180" s="178">
        <f>H180/DAY(B2)</f>
        <v>-1.1111111111111112</v>
      </c>
    </row>
    <row r="181" spans="1:10" ht="27.75" x14ac:dyDescent="0.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115</v>
      </c>
      <c r="H181" s="99">
        <f>G181+'26'!H181</f>
        <v>-455</v>
      </c>
      <c r="I181" s="155"/>
      <c r="J181" s="178">
        <f>H181/DAY(B2)</f>
        <v>-16.851851851851851</v>
      </c>
    </row>
    <row r="182" spans="1:10" ht="27.75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'26'!F183</f>
        <v>15296</v>
      </c>
      <c r="F183" s="157">
        <v>15308</v>
      </c>
      <c r="G183" s="157">
        <f>F183-E183</f>
        <v>12</v>
      </c>
      <c r="H183" s="99">
        <f>G183+'26'!H183</f>
        <v>-37</v>
      </c>
      <c r="I183" s="155"/>
      <c r="J183" s="178">
        <f>H183/DAY(B2)</f>
        <v>-1.3703703703703705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'26'!F184</f>
        <v>10461</v>
      </c>
      <c r="F184" s="157">
        <v>10476</v>
      </c>
      <c r="G184" s="157">
        <f t="shared" ref="G184:G185" si="16">F184-E184</f>
        <v>15</v>
      </c>
      <c r="H184" s="99">
        <f>G184+'26'!H184</f>
        <v>-42</v>
      </c>
      <c r="I184" s="155"/>
      <c r="J184" s="178">
        <f>H184/DAY(B2)</f>
        <v>-1.5555555555555556</v>
      </c>
    </row>
    <row r="185" spans="1:10" ht="25.5" customHeight="1" x14ac:dyDescent="0.5">
      <c r="A185" s="856" t="s">
        <v>216</v>
      </c>
      <c r="B185" s="857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7.75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27</v>
      </c>
      <c r="H186" s="99">
        <f>G186+'26'!H186</f>
        <v>-79</v>
      </c>
      <c r="I186" s="157"/>
      <c r="J186" s="178">
        <f>H186/DAY(B2)</f>
        <v>-2.925925925925926</v>
      </c>
    </row>
    <row r="187" spans="1:10" ht="27.75" x14ac:dyDescent="0.5">
      <c r="A187" s="849" t="s">
        <v>217</v>
      </c>
      <c r="B187" s="850"/>
      <c r="C187" s="333"/>
      <c r="D187" s="228" t="s">
        <v>142</v>
      </c>
      <c r="E187" s="95">
        <f>'26'!F187</f>
        <v>0</v>
      </c>
      <c r="F187" s="159"/>
      <c r="G187" s="460">
        <f>G62+G19</f>
        <v>177</v>
      </c>
      <c r="H187" s="99">
        <f>G187+'26'!H187</f>
        <v>-605</v>
      </c>
      <c r="I187" s="158"/>
      <c r="J187" s="179">
        <f>H187/DAY(B2)</f>
        <v>-22.407407407407408</v>
      </c>
    </row>
    <row r="188" spans="1:10" ht="27.75" x14ac:dyDescent="0.5">
      <c r="A188" s="849" t="s">
        <v>218</v>
      </c>
      <c r="B188" s="850"/>
      <c r="C188" s="333"/>
      <c r="D188" s="228" t="s">
        <v>142</v>
      </c>
      <c r="E188" s="95">
        <f>'26'!F188</f>
        <v>0</v>
      </c>
      <c r="F188" s="159"/>
      <c r="G188" s="460">
        <f>G65+G66+G67+G69+G70</f>
        <v>164</v>
      </c>
      <c r="H188" s="99">
        <f>G188+'26'!H188</f>
        <v>1757</v>
      </c>
      <c r="I188" s="158"/>
      <c r="J188" s="179">
        <f>H188/DAY(B2)</f>
        <v>65.074074074074076</v>
      </c>
    </row>
    <row r="189" spans="1:10" ht="27.75" x14ac:dyDescent="0.5">
      <c r="A189" s="849" t="s">
        <v>219</v>
      </c>
      <c r="B189" s="850"/>
      <c r="C189" s="333"/>
      <c r="D189" s="230" t="s">
        <v>142</v>
      </c>
      <c r="E189" s="95">
        <f>'26'!F189</f>
        <v>0</v>
      </c>
      <c r="F189" s="157"/>
      <c r="G189" s="457">
        <f>G181</f>
        <v>115</v>
      </c>
      <c r="H189" s="99">
        <f>G189+'26'!H189</f>
        <v>769</v>
      </c>
      <c r="I189" s="158"/>
      <c r="J189" s="179">
        <f>H189/DAY(B2)</f>
        <v>28.481481481481481</v>
      </c>
    </row>
    <row r="190" spans="1:10" ht="27.75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:J1"/>
    <mergeCell ref="A6:C6"/>
    <mergeCell ref="A14:C14"/>
    <mergeCell ref="A17:C17"/>
    <mergeCell ref="E3:F3"/>
    <mergeCell ref="A64:C64"/>
    <mergeCell ref="A65:C65"/>
    <mergeCell ref="A33:C33"/>
    <mergeCell ref="A61:C61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</mergeCells>
  <pageMargins left="0.23622047244094491" right="0.15748031496062992" top="0.15748031496062992" bottom="0.19685039370078741" header="0.19685039370078741" footer="0.19685039370078741"/>
  <pageSetup paperSize="5" scale="1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zoomScale="55" zoomScaleNormal="80" zoomScaleSheetLayoutView="55" workbookViewId="0">
      <selection activeCell="G112" sqref="G11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303</v>
      </c>
      <c r="B2" s="262">
        <v>44589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'27'!F7</f>
        <v>581470</v>
      </c>
      <c r="F7" s="95">
        <v>591910</v>
      </c>
      <c r="G7" s="112">
        <f>F7-E7+7214</f>
        <v>17654</v>
      </c>
      <c r="H7" s="99">
        <f>G7+'27'!H7</f>
        <v>-52055.229999999981</v>
      </c>
      <c r="I7" s="113">
        <f>'1'!I7</f>
        <v>12000</v>
      </c>
      <c r="J7" s="175">
        <f>H7/DAY(B2)</f>
        <v>-1859.1153571428565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'27'!F8</f>
        <v>637811</v>
      </c>
      <c r="F8" s="95">
        <v>655697</v>
      </c>
      <c r="G8" s="115">
        <f>F8-E8</f>
        <v>17886</v>
      </c>
      <c r="H8" s="99">
        <f>G8+'27'!H8</f>
        <v>-52851.150000000023</v>
      </c>
      <c r="I8" s="116"/>
      <c r="J8" s="175">
        <f>H8/DAY(B2)</f>
        <v>-1887.5410714285722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17686</v>
      </c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'27'!F9</f>
        <v>222801</v>
      </c>
      <c r="F9" s="598">
        <v>237905</v>
      </c>
      <c r="G9" s="112">
        <f>F9-E9</f>
        <v>15104</v>
      </c>
      <c r="H9" s="99">
        <f>G9+'27'!H9</f>
        <v>-44348.850000000006</v>
      </c>
      <c r="I9" s="124">
        <f>I7-J7</f>
        <v>13859.115357142857</v>
      </c>
      <c r="J9" s="175">
        <f>H9/DAY(B2)</f>
        <v>-1583.8875000000003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'27'!F10</f>
        <v>97037</v>
      </c>
      <c r="F10" s="353">
        <v>99061</v>
      </c>
      <c r="G10" s="112">
        <f t="shared" ref="G10:G12" si="0">F10-E10</f>
        <v>2024</v>
      </c>
      <c r="H10" s="99">
        <f>G10+'27'!H10</f>
        <v>-6197.9700000000012</v>
      </c>
      <c r="I10" s="282"/>
      <c r="J10" s="175">
        <f>H10/DAY(B2)</f>
        <v>-221.35607142857148</v>
      </c>
      <c r="K10" s="79"/>
      <c r="L10" s="66"/>
      <c r="N10" s="87"/>
      <c r="O10" s="71">
        <f>F7-O8</f>
        <v>574224</v>
      </c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'27'!F11</f>
        <v>37170</v>
      </c>
      <c r="F11" s="95">
        <v>37170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'27'!F12</f>
        <v>40010</v>
      </c>
      <c r="F12" s="117">
        <v>40010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-32</v>
      </c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17128</v>
      </c>
      <c r="H13" s="99">
        <f>G13+'27'!H13</f>
        <v>-67301.25</v>
      </c>
      <c r="I13" s="120">
        <f>G7-G13</f>
        <v>526</v>
      </c>
      <c r="J13" s="175">
        <f>H13/DAY(B2)</f>
        <v>-2403.6160714285716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'27'!F15</f>
        <v>1902819</v>
      </c>
      <c r="F15" s="123">
        <v>1903790</v>
      </c>
      <c r="G15" s="112">
        <f>(F15-E15)</f>
        <v>971</v>
      </c>
      <c r="H15" s="99">
        <f>G15+'27'!H15</f>
        <v>27733.233000000007</v>
      </c>
      <c r="I15" s="113">
        <f>'1'!I15</f>
        <v>800</v>
      </c>
      <c r="J15" s="175">
        <f>H15/DAY(B2)</f>
        <v>990.47260714285744</v>
      </c>
      <c r="K15" s="79"/>
      <c r="L15" s="66"/>
      <c r="N15" s="87"/>
      <c r="O15" s="71">
        <f>G8-200</f>
        <v>17686</v>
      </c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-190.47260714285744</v>
      </c>
      <c r="J16" s="176"/>
      <c r="K16" s="79"/>
      <c r="L16" s="66"/>
      <c r="N16" s="87"/>
      <c r="O16" s="71"/>
    </row>
    <row r="17" spans="1:16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7.75" x14ac:dyDescent="0.5">
      <c r="A18" s="884" t="s">
        <v>141</v>
      </c>
      <c r="B18" s="885"/>
      <c r="C18" s="886"/>
      <c r="D18" s="151" t="s">
        <v>142</v>
      </c>
      <c r="E18" s="95">
        <f>'27'!F18</f>
        <v>12</v>
      </c>
      <c r="F18" s="122">
        <v>4</v>
      </c>
      <c r="G18" s="119">
        <f>F18*10</f>
        <v>40</v>
      </c>
      <c r="H18" s="99">
        <f>G18+'27'!H18</f>
        <v>4440</v>
      </c>
      <c r="I18" s="113">
        <f>'1'!I18</f>
        <v>65</v>
      </c>
      <c r="J18" s="175">
        <f>H18/DAY(B2)</f>
        <v>158.57142857142858</v>
      </c>
      <c r="K18" s="79"/>
      <c r="L18" s="66"/>
      <c r="N18" s="87"/>
      <c r="O18" s="71"/>
    </row>
    <row r="19" spans="1:16" ht="27.75" x14ac:dyDescent="0.5">
      <c r="A19" s="884" t="s">
        <v>69</v>
      </c>
      <c r="B19" s="885"/>
      <c r="C19" s="886"/>
      <c r="D19" s="151" t="s">
        <v>142</v>
      </c>
      <c r="E19" s="95">
        <f>'27'!F19</f>
        <v>153675</v>
      </c>
      <c r="F19" s="122">
        <v>153727</v>
      </c>
      <c r="G19" s="112">
        <f t="shared" ref="G19" si="1">F19-E19</f>
        <v>52</v>
      </c>
      <c r="H19" s="99">
        <f>G19+'27'!H19</f>
        <v>-164</v>
      </c>
      <c r="I19" s="335"/>
      <c r="J19" s="175">
        <f>H19/DAY(B2)</f>
        <v>-5.8571428571428568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92</v>
      </c>
      <c r="H20" s="99">
        <f>G20+'27'!H20</f>
        <v>4276</v>
      </c>
      <c r="I20" s="336">
        <f>I18-J20</f>
        <v>-87.714285714285722</v>
      </c>
      <c r="J20" s="175">
        <f>H20/DAY(B2)</f>
        <v>152.71428571428572</v>
      </c>
      <c r="K20" s="79"/>
      <c r="L20" s="66"/>
      <c r="N20" s="87"/>
      <c r="O20" s="71"/>
    </row>
    <row r="21" spans="1:16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9.25" x14ac:dyDescent="0.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5" t="s">
        <v>147</v>
      </c>
      <c r="B23" s="205"/>
      <c r="C23" s="205"/>
      <c r="D23" s="151" t="s">
        <v>146</v>
      </c>
      <c r="E23" s="95">
        <f>'27'!F23</f>
        <v>2000</v>
      </c>
      <c r="F23" s="122">
        <v>2000</v>
      </c>
      <c r="G23" s="119">
        <v>0</v>
      </c>
      <c r="H23" s="99">
        <f>G23+'27'!H23</f>
        <v>110</v>
      </c>
      <c r="I23" s="118"/>
      <c r="J23" s="175">
        <f>H23/DAY(B2)</f>
        <v>3.9285714285714284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'27'!F24</f>
        <v>4970</v>
      </c>
      <c r="F24" s="128">
        <v>4970</v>
      </c>
      <c r="G24" s="119">
        <v>0</v>
      </c>
      <c r="H24" s="99">
        <f>G24+'27'!H24</f>
        <v>110</v>
      </c>
      <c r="I24" s="118"/>
      <c r="J24" s="175">
        <f>H24/DAY(B2)</f>
        <v>3.9285714285714284</v>
      </c>
      <c r="K24" s="79"/>
      <c r="L24" s="66"/>
      <c r="N24" s="87"/>
      <c r="O24" s="71"/>
    </row>
    <row r="25" spans="1:16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17886</v>
      </c>
      <c r="F27" s="136">
        <v>9</v>
      </c>
      <c r="G27" s="137">
        <f>E27*F27</f>
        <v>160974</v>
      </c>
      <c r="H27" s="99">
        <f>G27+'27'!H27</f>
        <v>-475660.35000000009</v>
      </c>
      <c r="I27" s="138"/>
      <c r="J27" s="175">
        <f>H27/DAY(B2)</f>
        <v>-16987.869642857146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971</v>
      </c>
      <c r="F28" s="136">
        <v>70.849999999999994</v>
      </c>
      <c r="G28" s="137">
        <f>E28*F28</f>
        <v>68795.349999999991</v>
      </c>
      <c r="H28" s="99">
        <f>G28+'27'!H28</f>
        <v>1493785.4660000005</v>
      </c>
      <c r="I28" s="140"/>
      <c r="J28" s="175">
        <f>H28/DAY(B2)</f>
        <v>53349.480928571444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7590</v>
      </c>
      <c r="I29" s="140"/>
      <c r="J29" s="175">
        <f>H29/DAY(B2)</f>
        <v>271.07142857142856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151.53</v>
      </c>
      <c r="G30" s="137">
        <f>E30*F30</f>
        <v>7879.56</v>
      </c>
      <c r="H30" s="99">
        <f>G30+'27'!H30</f>
        <v>-31466.44</v>
      </c>
      <c r="I30" s="140"/>
      <c r="J30" s="175">
        <f>H30/DAY(B2)</f>
        <v>-1123.8014285714285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40</v>
      </c>
      <c r="F31" s="136">
        <v>80</v>
      </c>
      <c r="G31" s="137">
        <f>E31*F31</f>
        <v>3200</v>
      </c>
      <c r="H31" s="99">
        <f>G31+'27'!H31</f>
        <v>355200</v>
      </c>
      <c r="I31" s="140"/>
      <c r="J31" s="175">
        <f>H31/DAY(B2)</f>
        <v>12685.714285714286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240848.90999999997</v>
      </c>
      <c r="H32" s="99">
        <f>G32+'27'!H32</f>
        <v>1349448.6760000002</v>
      </c>
      <c r="I32" s="144"/>
      <c r="J32" s="175">
        <f>H32/DAY(B2)</f>
        <v>48194.595571428581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'27'!F35</f>
        <v>27038</v>
      </c>
      <c r="F35" s="145">
        <v>28354</v>
      </c>
      <c r="G35" s="112">
        <f t="shared" ref="G35:G46" si="3">F35-E35</f>
        <v>1316</v>
      </c>
      <c r="H35" s="99">
        <f>G35+'27'!H35</f>
        <v>-3650.9799999999959</v>
      </c>
      <c r="I35" s="95"/>
      <c r="J35" s="175">
        <f>H35/DAY(B2)</f>
        <v>-130.39214285714272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'27'!F36</f>
        <v>40590</v>
      </c>
      <c r="F36" s="145">
        <v>41279</v>
      </c>
      <c r="G36" s="112">
        <f t="shared" si="3"/>
        <v>689</v>
      </c>
      <c r="H36" s="99">
        <f>G36+'27'!H36</f>
        <v>-2179.739999999998</v>
      </c>
      <c r="I36" s="95"/>
      <c r="J36" s="175">
        <f>H36/DAY(B2)</f>
        <v>-77.847857142857066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'27'!F37</f>
        <v>29097</v>
      </c>
      <c r="F37" s="145">
        <v>30673</v>
      </c>
      <c r="G37" s="112">
        <f t="shared" si="3"/>
        <v>1576</v>
      </c>
      <c r="H37" s="99">
        <f>G37+'27'!H37</f>
        <v>-4752.0899999999965</v>
      </c>
      <c r="I37" s="95"/>
      <c r="J37" s="175">
        <f>H37/DAY(B2)</f>
        <v>-169.71749999999989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'27'!F38</f>
        <v>31617</v>
      </c>
      <c r="F38" s="108">
        <v>33370</v>
      </c>
      <c r="G38" s="112">
        <f t="shared" si="3"/>
        <v>1753</v>
      </c>
      <c r="H38" s="99">
        <f>G38+'27'!H38</f>
        <v>-5006.43</v>
      </c>
      <c r="I38" s="95"/>
      <c r="J38" s="175">
        <f>H38/DAY(B2)</f>
        <v>-178.80107142857145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'27'!F39</f>
        <v>48698</v>
      </c>
      <c r="F39" s="145">
        <v>51302</v>
      </c>
      <c r="G39" s="112">
        <f t="shared" si="3"/>
        <v>2604</v>
      </c>
      <c r="H39" s="99">
        <f>G39+'27'!H39</f>
        <v>-7871.2900000000045</v>
      </c>
      <c r="I39" s="95"/>
      <c r="J39" s="175">
        <f>H39/DAY(B2)</f>
        <v>-281.11750000000018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'27'!F40</f>
        <v>18283</v>
      </c>
      <c r="F40" s="145">
        <v>18927</v>
      </c>
      <c r="G40" s="112">
        <f t="shared" si="3"/>
        <v>644</v>
      </c>
      <c r="H40" s="99">
        <f>G40+'27'!H40</f>
        <v>-3189.9900000000016</v>
      </c>
      <c r="I40" s="95"/>
      <c r="J40" s="175">
        <f>H40/DAY(B2)</f>
        <v>-113.92821428571435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'27'!F41</f>
        <v>0</v>
      </c>
      <c r="F41" s="145">
        <v>0</v>
      </c>
      <c r="G41" s="112">
        <f t="shared" si="3"/>
        <v>0</v>
      </c>
      <c r="H41" s="99">
        <f>G41+'27'!H41</f>
        <v>-62.73</v>
      </c>
      <c r="I41" s="95"/>
      <c r="J41" s="175">
        <f>H41/DAY(B2)</f>
        <v>-2.2403571428571429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'27'!F42</f>
        <v>84219</v>
      </c>
      <c r="F42" s="145">
        <v>88355</v>
      </c>
      <c r="G42" s="112">
        <f t="shared" si="3"/>
        <v>4136</v>
      </c>
      <c r="H42" s="99">
        <f>G42+'27'!H42</f>
        <v>50277.259999999995</v>
      </c>
      <c r="I42" s="95"/>
      <c r="J42" s="175">
        <f>H42/DAY(B2)</f>
        <v>1795.6164285714283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'27'!F43</f>
        <v>107042</v>
      </c>
      <c r="F43" s="145">
        <v>109003</v>
      </c>
      <c r="G43" s="112">
        <f t="shared" si="3"/>
        <v>1961</v>
      </c>
      <c r="H43" s="99">
        <f>G43+'27'!H43</f>
        <v>60180.399999999994</v>
      </c>
      <c r="I43" s="95"/>
      <c r="J43" s="175">
        <f>H43/DAY(B2)</f>
        <v>2149.2999999999997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14679</v>
      </c>
      <c r="H47" s="99">
        <f>G47+'27'!H47</f>
        <v>83744.41</v>
      </c>
      <c r="I47" s="95"/>
      <c r="J47" s="175">
        <f>H47/DAY(B2)</f>
        <v>2990.871785714286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'27'!F49</f>
        <v>21515</v>
      </c>
      <c r="F49" s="145">
        <v>22352</v>
      </c>
      <c r="G49" s="112">
        <f t="shared" ref="G49:G58" si="4">F49-E49</f>
        <v>837</v>
      </c>
      <c r="H49" s="99">
        <f>G49+'27'!H49</f>
        <v>-2644.1899999999987</v>
      </c>
      <c r="I49" s="95"/>
      <c r="J49" s="175">
        <f>H49/DAY(B2)</f>
        <v>-94.4353571428571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'27'!F50</f>
        <v>52246</v>
      </c>
      <c r="F50" s="145">
        <v>53282</v>
      </c>
      <c r="G50" s="112">
        <f t="shared" si="4"/>
        <v>1036</v>
      </c>
      <c r="H50" s="99">
        <f>G50+'27'!H50</f>
        <v>-3104.6299999999974</v>
      </c>
      <c r="I50" s="95"/>
      <c r="J50" s="175">
        <f>H50/DAY(B2)</f>
        <v>-110.87964285714277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'27'!F51</f>
        <v>0</v>
      </c>
      <c r="F51" s="145">
        <v>0</v>
      </c>
      <c r="G51" s="112">
        <f t="shared" si="4"/>
        <v>0</v>
      </c>
      <c r="H51" s="99">
        <f>G51+'27'!H51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'27'!F52</f>
        <v>0</v>
      </c>
      <c r="F52" s="145">
        <v>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'27'!F54</f>
        <v>5147</v>
      </c>
      <c r="F54" s="145">
        <v>5147</v>
      </c>
      <c r="G54" s="112">
        <f t="shared" si="4"/>
        <v>0</v>
      </c>
      <c r="H54" s="99">
        <f>G54+'27'!H54</f>
        <v>-0.42000000000007276</v>
      </c>
      <c r="I54" s="95"/>
      <c r="J54" s="175">
        <f>H54/DAY(B2)</f>
        <v>-1.5000000000002598E-2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'27'!F55</f>
        <v>74366</v>
      </c>
      <c r="F55" s="145">
        <v>74366</v>
      </c>
      <c r="G55" s="112">
        <f t="shared" si="4"/>
        <v>0</v>
      </c>
      <c r="H55" s="99">
        <f>G55+'27'!H55</f>
        <v>-0.11000000000058208</v>
      </c>
      <c r="I55" s="95"/>
      <c r="J55" s="175">
        <f>H55/DAY(B2)</f>
        <v>-3.9285714285922169E-3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'27'!F56</f>
        <v>8610.5400000000009</v>
      </c>
      <c r="F56" s="145">
        <v>8610.5400000000009</v>
      </c>
      <c r="G56" s="112">
        <f t="shared" si="4"/>
        <v>0</v>
      </c>
      <c r="H56" s="99">
        <f>G56+'27'!H56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'27'!F58</f>
        <v>3995</v>
      </c>
      <c r="F58" s="145">
        <v>4198</v>
      </c>
      <c r="G58" s="112">
        <f t="shared" si="4"/>
        <v>203</v>
      </c>
      <c r="H58" s="99">
        <f>G58+'27'!H58</f>
        <v>-598.21</v>
      </c>
      <c r="I58" s="95"/>
      <c r="J58" s="175">
        <f>H58/DAY(B2)</f>
        <v>-21.364642857142858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2076</v>
      </c>
      <c r="H59" s="99">
        <f>G59+'27'!H59</f>
        <v>-6347.560000000014</v>
      </c>
      <c r="I59" s="95">
        <f>G7-G60</f>
        <v>899</v>
      </c>
      <c r="J59" s="175">
        <f>H59/DAY(B2)</f>
        <v>-226.69857142857194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16755</v>
      </c>
      <c r="H60" s="99">
        <f>G60+'27'!H60</f>
        <v>77396.849999999977</v>
      </c>
      <c r="I60" s="95">
        <f>G13-G60</f>
        <v>373</v>
      </c>
      <c r="J60" s="175">
        <f>H60/DAY(B2)</f>
        <v>2764.1732142857136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'27'!F62</f>
        <v>269127</v>
      </c>
      <c r="F62" s="122">
        <v>269217</v>
      </c>
      <c r="G62" s="112">
        <f t="shared" ref="G62:G63" si="5">F62-E62</f>
        <v>90</v>
      </c>
      <c r="H62" s="99">
        <f>G62+'27'!H62</f>
        <v>-299</v>
      </c>
      <c r="I62" s="118"/>
      <c r="J62" s="175">
        <f>H62/DAY(B2)</f>
        <v>-10.678571428571429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'27'!F63</f>
        <v>215279</v>
      </c>
      <c r="F63" s="122">
        <v>215418</v>
      </c>
      <c r="G63" s="112">
        <f t="shared" si="5"/>
        <v>139</v>
      </c>
      <c r="H63" s="99">
        <f>G63+'27'!H63</f>
        <v>3342</v>
      </c>
      <c r="I63" s="118"/>
      <c r="J63" s="175">
        <f>H63/DAY(B2)</f>
        <v>119.35714285714286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'27'!F64</f>
        <v>0</v>
      </c>
      <c r="F64" s="122"/>
      <c r="G64" s="112">
        <f>G62+G63</f>
        <v>229</v>
      </c>
      <c r="H64" s="99">
        <f>G64+'27'!H64</f>
        <v>3043</v>
      </c>
      <c r="I64" s="118"/>
      <c r="J64" s="175">
        <f>H64/DAY(B2)</f>
        <v>108.67857142857143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'27'!F65</f>
        <v>434596</v>
      </c>
      <c r="F65" s="122">
        <v>434685</v>
      </c>
      <c r="G65" s="112">
        <f t="shared" ref="G65:G70" si="6">F65-E65</f>
        <v>89</v>
      </c>
      <c r="H65" s="99">
        <f>G65+'27'!H65</f>
        <v>-238</v>
      </c>
      <c r="I65" s="118"/>
      <c r="J65" s="175">
        <f>H65/DAY(B2)</f>
        <v>-8.5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'27'!F66</f>
        <v>107662</v>
      </c>
      <c r="F66" s="122">
        <v>107679</v>
      </c>
      <c r="G66" s="112">
        <f t="shared" si="6"/>
        <v>17</v>
      </c>
      <c r="H66" s="99">
        <f>G66+'27'!H66</f>
        <v>-64</v>
      </c>
      <c r="I66" s="118"/>
      <c r="J66" s="175">
        <f>H66/DAY(B2)</f>
        <v>-2.2857142857142856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'27'!F67</f>
        <v>104548</v>
      </c>
      <c r="F67" s="122">
        <v>104571</v>
      </c>
      <c r="G67" s="112">
        <f t="shared" si="6"/>
        <v>23</v>
      </c>
      <c r="H67" s="99">
        <f>G67+'27'!H67</f>
        <v>-77</v>
      </c>
      <c r="I67" s="118"/>
      <c r="J67" s="175">
        <f>H67/DAY(B2)</f>
        <v>-2.75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'27'!F68</f>
        <v>157527</v>
      </c>
      <c r="F68" s="122">
        <v>157595</v>
      </c>
      <c r="G68" s="112">
        <f t="shared" si="6"/>
        <v>68</v>
      </c>
      <c r="H68" s="99">
        <f>G68+'27'!H68</f>
        <v>-102</v>
      </c>
      <c r="I68" s="118"/>
      <c r="J68" s="175">
        <f>H68/DAY(B2)</f>
        <v>-3.6428571428571428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'27'!F69</f>
        <v>10511</v>
      </c>
      <c r="F69" s="122">
        <v>10517</v>
      </c>
      <c r="G69" s="112">
        <f t="shared" si="6"/>
        <v>6</v>
      </c>
      <c r="H69" s="99">
        <f>G69+'27'!H69</f>
        <v>-24</v>
      </c>
      <c r="I69" s="118"/>
      <c r="J69" s="175">
        <f>H69/DAY(B2)</f>
        <v>-0.8571428571428571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'27'!F70</f>
        <v>8066</v>
      </c>
      <c r="F70" s="122">
        <v>8075</v>
      </c>
      <c r="G70" s="112">
        <f t="shared" si="6"/>
        <v>9</v>
      </c>
      <c r="H70" s="99">
        <f>G70+'27'!H70</f>
        <v>-45</v>
      </c>
      <c r="I70" s="118"/>
      <c r="J70" s="175">
        <f>H70/DAY(B2)</f>
        <v>-1.6071428571428572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212</v>
      </c>
      <c r="H71" s="99">
        <f>G71+'27'!H71</f>
        <v>-550</v>
      </c>
      <c r="I71" s="154"/>
      <c r="J71" s="175">
        <f>H71/DAY(B2)</f>
        <v>-19.642857142857142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'27'!F74</f>
        <v>900049</v>
      </c>
      <c r="F74" s="117">
        <v>900401</v>
      </c>
      <c r="G74" s="112">
        <f t="shared" ref="G74:G78" si="7">F74-E74</f>
        <v>352</v>
      </c>
      <c r="H74" s="99">
        <f>G74+'27'!H74</f>
        <v>-905.14899999997579</v>
      </c>
      <c r="I74" s="154"/>
      <c r="J74" s="175">
        <f>H74/DAY(B2)</f>
        <v>-32.326749999999137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'27'!F75</f>
        <v>73586.8</v>
      </c>
      <c r="F75" s="123">
        <v>73586.8</v>
      </c>
      <c r="G75" s="112">
        <f t="shared" si="7"/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'27'!F76</f>
        <v>169624</v>
      </c>
      <c r="F76" s="123">
        <v>169707</v>
      </c>
      <c r="G76" s="112">
        <f t="shared" si="7"/>
        <v>83</v>
      </c>
      <c r="H76" s="99">
        <f>G76+'27'!H76</f>
        <v>-268</v>
      </c>
      <c r="I76" s="154"/>
      <c r="J76" s="175">
        <f>H76/DAY(B2)</f>
        <v>-9.5714285714285712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'27'!F77</f>
        <v>41143</v>
      </c>
      <c r="F77" s="123">
        <v>41193</v>
      </c>
      <c r="G77" s="112">
        <f t="shared" si="7"/>
        <v>50</v>
      </c>
      <c r="H77" s="99">
        <f>G77+'27'!H77</f>
        <v>-109.19999999999709</v>
      </c>
      <c r="I77" s="154"/>
      <c r="J77" s="175">
        <f>H77/DAY(B2)</f>
        <v>-3.899999999999896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'27'!F78</f>
        <v>9510</v>
      </c>
      <c r="F78" s="123">
        <v>9511</v>
      </c>
      <c r="G78" s="112">
        <f t="shared" si="7"/>
        <v>1</v>
      </c>
      <c r="H78" s="99">
        <f>G78+'27'!H78</f>
        <v>-5</v>
      </c>
      <c r="I78" s="118"/>
      <c r="J78" s="175">
        <f>H78/DAY(B2)</f>
        <v>-0.17857142857142858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'27'!F79</f>
        <v>0</v>
      </c>
      <c r="F79" s="123"/>
      <c r="G79" s="112">
        <f>G15-SUM(G74:G78)</f>
        <v>485</v>
      </c>
      <c r="H79" s="99">
        <f>G79+'27'!H79</f>
        <v>29020.58199999998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971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'27'!F84</f>
        <v>41675.4</v>
      </c>
      <c r="F84" s="164">
        <v>41675.4</v>
      </c>
      <c r="G84" s="112">
        <f t="shared" si="8"/>
        <v>0</v>
      </c>
      <c r="H84" s="99">
        <f>G84+'27'!H84</f>
        <v>0.40000000000145519</v>
      </c>
      <c r="I84" s="118"/>
      <c r="J84" s="175">
        <f>H84/DAY(B2)</f>
        <v>1.4285714285766258E-2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488">
        <f>'27'!F85</f>
        <v>2166</v>
      </c>
      <c r="F85" s="164">
        <v>2190</v>
      </c>
      <c r="G85" s="236">
        <f t="shared" si="8"/>
        <v>24</v>
      </c>
      <c r="H85" s="99">
        <f>G85+'27'!H85</f>
        <v>-70.420000000000073</v>
      </c>
      <c r="I85" s="118">
        <f>G82+G83+G84+G85</f>
        <v>24</v>
      </c>
      <c r="J85" s="175">
        <f>H85/DAY(B2)</f>
        <v>-2.5150000000000028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'27'!F86</f>
        <v>43442</v>
      </c>
      <c r="F86" s="164">
        <v>43442</v>
      </c>
      <c r="G86" s="112">
        <f t="shared" si="8"/>
        <v>0</v>
      </c>
      <c r="H86" s="99">
        <f>G86+'27'!H86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'27'!F87</f>
        <v>34598.550000000003</v>
      </c>
      <c r="F87" s="164">
        <v>34598.550000000003</v>
      </c>
      <c r="G87" s="112">
        <f t="shared" si="8"/>
        <v>0</v>
      </c>
      <c r="H87" s="99">
        <f>G87+'27'!H87</f>
        <v>5.0000000002910383E-2</v>
      </c>
      <c r="I87" s="118"/>
      <c r="J87" s="175">
        <f>H87/DAY(B2)</f>
        <v>1.7857142858182279E-3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'27'!F88</f>
        <v>24063</v>
      </c>
      <c r="F88" s="164">
        <v>24063.43</v>
      </c>
      <c r="G88" s="112">
        <f t="shared" si="8"/>
        <v>0.43000000000029104</v>
      </c>
      <c r="H88" s="99">
        <f>G88+'27'!H88</f>
        <v>0</v>
      </c>
      <c r="I88" s="118">
        <f>G86+G87+G88</f>
        <v>0.43000000000029104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'27'!F89</f>
        <v>25853</v>
      </c>
      <c r="F89" s="164">
        <v>25862.68</v>
      </c>
      <c r="G89" s="112">
        <f t="shared" si="8"/>
        <v>9.680000000000291</v>
      </c>
      <c r="H89" s="99">
        <f>G89+'27'!H89</f>
        <v>-28.43999999999869</v>
      </c>
      <c r="I89" s="118"/>
      <c r="J89" s="175">
        <f>H89/DAY(B2)</f>
        <v>-1.0157142857142389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'27'!F90</f>
        <v>71155</v>
      </c>
      <c r="F90" s="164">
        <v>71158.149999999994</v>
      </c>
      <c r="G90" s="112">
        <f t="shared" si="8"/>
        <v>3.1499999999941792</v>
      </c>
      <c r="H90" s="99">
        <f>G90+'27'!H90</f>
        <v>26.149999999994179</v>
      </c>
      <c r="I90" s="118">
        <f>G89+G90</f>
        <v>12.82999999999447</v>
      </c>
      <c r="J90" s="175">
        <f>H90/DAY(B2)</f>
        <v>0.9339285714283635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'27'!F91</f>
        <v>3226</v>
      </c>
      <c r="F91" s="122">
        <v>3226</v>
      </c>
      <c r="G91" s="112">
        <v>0</v>
      </c>
      <c r="H91" s="99">
        <f>G91+'27'!H91</f>
        <v>-25.090000000000146</v>
      </c>
      <c r="I91" s="165"/>
      <c r="J91" s="175">
        <f>H91/DAY(B2)</f>
        <v>-0.89607142857143374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'27'!F92</f>
        <v>5721</v>
      </c>
      <c r="F92" s="122">
        <v>5732.08</v>
      </c>
      <c r="G92" s="112">
        <f t="shared" si="8"/>
        <v>11.079999999999927</v>
      </c>
      <c r="H92" s="99">
        <f>G92+'27'!H92</f>
        <v>-8.9899999999997817</v>
      </c>
      <c r="I92" s="165"/>
      <c r="J92" s="175">
        <f>H92/DAY(B2)</f>
        <v>-0.32107142857142079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4114</v>
      </c>
      <c r="H94" s="99">
        <f>G94+'27'!H94</f>
        <v>53885.229999999996</v>
      </c>
      <c r="I94" s="118"/>
      <c r="J94" s="175">
        <f>H94/DAY(B2)</f>
        <v>1924.4724999999999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0.23303500623088252</v>
      </c>
      <c r="H95" s="99">
        <f>G95+'27'!H95</f>
        <v>7.0418650962886726</v>
      </c>
      <c r="I95" s="167"/>
      <c r="J95" s="175">
        <f>H95/DAY(B2)</f>
        <v>0.25149518201030974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4136</v>
      </c>
      <c r="H96" s="99">
        <f>G96+'27'!H96</f>
        <v>50214.419999999991</v>
      </c>
      <c r="I96" s="118"/>
      <c r="J96" s="175">
        <f>H96/DAY(B2)</f>
        <v>1793.3721428571425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0.23428118273479098</v>
      </c>
      <c r="H97" s="99">
        <f>G97+'27'!H97</f>
        <v>5.1540993565575821</v>
      </c>
      <c r="I97" s="167"/>
      <c r="J97" s="175">
        <f>H97/DAY(B2)</f>
        <v>0.18407497701991365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2604</v>
      </c>
      <c r="H98" s="99">
        <f>G98+'27'!H98</f>
        <v>-7871.2900000000045</v>
      </c>
      <c r="I98" s="168"/>
      <c r="J98" s="175">
        <f>H98/DAY(B2)</f>
        <v>-281.11750000000018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0.14750198255352895</v>
      </c>
      <c r="H99" s="99">
        <f>G99+'27'!H99</f>
        <v>4.1171100514801102</v>
      </c>
      <c r="I99" s="168"/>
      <c r="J99" s="175">
        <f>H99/DAY(B2)</f>
        <v>0.14703964469571823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1753</v>
      </c>
      <c r="H100" s="99">
        <f>G100+'27'!H100</f>
        <v>-5006.43</v>
      </c>
      <c r="I100" s="118"/>
      <c r="J100" s="175">
        <f>H100/DAY(B2)</f>
        <v>-178.80107142857145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9.9297609606887952E-2</v>
      </c>
      <c r="H101" s="99">
        <f>G101+'27'!H101</f>
        <v>2.7035578158292979</v>
      </c>
      <c r="I101" s="168"/>
      <c r="J101" s="175">
        <f>H101/DAY(B2)</f>
        <v>9.6555636279617787E-2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1725</v>
      </c>
      <c r="H102" s="99">
        <f>G102+'27'!H102</f>
        <v>-5284.3699999999953</v>
      </c>
      <c r="I102" s="168"/>
      <c r="J102" s="175">
        <f>H102/DAY(B2)</f>
        <v>-188.72749999999982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9.7711566783731732E-2</v>
      </c>
      <c r="H103" s="99">
        <f>G103+'27'!H103</f>
        <v>2.9006415983750915</v>
      </c>
      <c r="I103" s="118"/>
      <c r="J103" s="175">
        <f>H103/DAY(B2)</f>
        <v>0.10359434279911041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1576</v>
      </c>
      <c r="H104" s="99">
        <f>G104+'27'!H104</f>
        <v>-4752.0899999999965</v>
      </c>
      <c r="I104" s="118"/>
      <c r="J104" s="175">
        <f>H104/DAY(B2)</f>
        <v>-169.71749999999989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8.9271553189078964E-2</v>
      </c>
      <c r="H105" s="99">
        <f>G105+'27'!H105</f>
        <v>2.4113522478619696</v>
      </c>
      <c r="I105" s="187"/>
      <c r="J105" s="188">
        <f>H105/DAY(B2)</f>
        <v>8.6119723137927484E-2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'27'!F112</f>
        <v>57745</v>
      </c>
      <c r="F112" s="237">
        <v>57824</v>
      </c>
      <c r="G112" s="112">
        <f t="shared" ref="G112:G123" si="9">F112-E112</f>
        <v>79</v>
      </c>
      <c r="H112" s="99">
        <f>G112+'27'!H112</f>
        <v>-230</v>
      </c>
      <c r="I112" s="165"/>
      <c r="J112" s="328">
        <f>H112/DAY(B2)</f>
        <v>-8.2142857142857135</v>
      </c>
    </row>
    <row r="113" spans="1:18" ht="29.25" customHeight="1" x14ac:dyDescent="0.5">
      <c r="A113" s="863" t="s">
        <v>253</v>
      </c>
      <c r="B113" s="864"/>
      <c r="C113" s="865"/>
      <c r="D113" s="146" t="s">
        <v>183</v>
      </c>
      <c r="E113" s="95">
        <f>'27'!F113</f>
        <v>44536</v>
      </c>
      <c r="F113" s="237">
        <v>45015</v>
      </c>
      <c r="G113" s="112">
        <f t="shared" si="9"/>
        <v>479</v>
      </c>
      <c r="H113" s="99">
        <f>G113+'27'!H113</f>
        <v>-1385.8899999999994</v>
      </c>
      <c r="I113" s="165"/>
      <c r="J113" s="328">
        <f>H113/DAY(B2)</f>
        <v>-49.496071428571405</v>
      </c>
    </row>
    <row r="114" spans="1:18" ht="29.25" customHeight="1" x14ac:dyDescent="0.5">
      <c r="A114" s="863" t="s">
        <v>254</v>
      </c>
      <c r="B114" s="864"/>
      <c r="C114" s="865"/>
      <c r="D114" s="146" t="s">
        <v>183</v>
      </c>
      <c r="E114" s="95">
        <f>'27'!F114</f>
        <v>32124</v>
      </c>
      <c r="F114" s="237">
        <v>32387</v>
      </c>
      <c r="G114" s="112">
        <f t="shared" si="9"/>
        <v>263</v>
      </c>
      <c r="H114" s="99">
        <f>G114+'27'!H114</f>
        <v>-906.60000000000036</v>
      </c>
      <c r="I114" s="165"/>
      <c r="J114" s="328">
        <f>H114/DAY(B2)</f>
        <v>-32.378571428571441</v>
      </c>
    </row>
    <row r="115" spans="1:18" ht="29.25" customHeight="1" x14ac:dyDescent="0.5">
      <c r="A115" s="863" t="s">
        <v>255</v>
      </c>
      <c r="B115" s="864"/>
      <c r="C115" s="865"/>
      <c r="D115" s="146" t="s">
        <v>183</v>
      </c>
      <c r="E115" s="95">
        <f>'27'!F115</f>
        <v>9055</v>
      </c>
      <c r="F115" s="237">
        <v>9063</v>
      </c>
      <c r="G115" s="112">
        <f t="shared" si="9"/>
        <v>8</v>
      </c>
      <c r="H115" s="99">
        <f>G115+'27'!H115</f>
        <v>-31.649999999999636</v>
      </c>
      <c r="I115" s="165"/>
      <c r="J115" s="328">
        <f>H115/DAY(B2)</f>
        <v>-1.13035714285713</v>
      </c>
    </row>
    <row r="116" spans="1:18" ht="29.25" customHeight="1" x14ac:dyDescent="0.5">
      <c r="A116" s="870" t="s">
        <v>96</v>
      </c>
      <c r="B116" s="871"/>
      <c r="C116" s="872"/>
      <c r="D116" s="146" t="s">
        <v>183</v>
      </c>
      <c r="E116" s="95">
        <f>'27'!F116</f>
        <v>0</v>
      </c>
      <c r="F116" s="237">
        <v>0</v>
      </c>
      <c r="G116" s="112">
        <f t="shared" si="9"/>
        <v>0</v>
      </c>
      <c r="H116" s="99">
        <f>G116+'27'!H116</f>
        <v>0</v>
      </c>
      <c r="I116" s="165"/>
      <c r="J116" s="328">
        <f>H116/DAY(B2)</f>
        <v>0</v>
      </c>
      <c r="Q116" s="863"/>
      <c r="R116" s="865"/>
    </row>
    <row r="117" spans="1:18" ht="29.25" customHeight="1" x14ac:dyDescent="0.5">
      <c r="A117" s="870" t="s">
        <v>184</v>
      </c>
      <c r="B117" s="871"/>
      <c r="C117" s="872"/>
      <c r="D117" s="146" t="s">
        <v>183</v>
      </c>
      <c r="E117" s="95">
        <f>'27'!F117</f>
        <v>3230</v>
      </c>
      <c r="F117" s="237">
        <v>3253</v>
      </c>
      <c r="G117" s="112">
        <f t="shared" si="9"/>
        <v>23</v>
      </c>
      <c r="H117" s="99">
        <f>G117+'27'!H117</f>
        <v>-84.949999999999818</v>
      </c>
      <c r="I117" s="165"/>
      <c r="J117" s="328">
        <f>H117/DAY(B2)</f>
        <v>-3.0339285714285649</v>
      </c>
      <c r="Q117" s="863"/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'27'!F118</f>
        <v>251137</v>
      </c>
      <c r="F118" s="237">
        <v>251486</v>
      </c>
      <c r="G118" s="112">
        <f t="shared" si="9"/>
        <v>349</v>
      </c>
      <c r="H118" s="99">
        <f>G118+'27'!H118</f>
        <v>-966.30999999999767</v>
      </c>
      <c r="I118" s="165"/>
      <c r="J118" s="328">
        <f>H118/DAY(B2)</f>
        <v>-34.511071428571348</v>
      </c>
      <c r="Q118" s="863"/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'27'!F119</f>
        <v>256464</v>
      </c>
      <c r="F119" s="237">
        <v>256886</v>
      </c>
      <c r="G119" s="112">
        <f t="shared" si="9"/>
        <v>422</v>
      </c>
      <c r="H119" s="99">
        <f>G119+'27'!H119</f>
        <v>-1262.5499999999884</v>
      </c>
      <c r="I119" s="165"/>
      <c r="J119" s="328">
        <f>H119/DAY(B2)</f>
        <v>-45.091071428571013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'27'!F120</f>
        <v>41275</v>
      </c>
      <c r="F120" s="237">
        <v>41690</v>
      </c>
      <c r="G120" s="112">
        <f t="shared" si="9"/>
        <v>415</v>
      </c>
      <c r="H120" s="99">
        <f>G120+'27'!H120</f>
        <v>-1269.6100000000006</v>
      </c>
      <c r="I120" s="165"/>
      <c r="J120" s="328">
        <f>H120/DAY(B2)</f>
        <v>-45.343214285714303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'27'!F121</f>
        <v>395153</v>
      </c>
      <c r="F121" s="237">
        <v>395861</v>
      </c>
      <c r="G121" s="112">
        <f t="shared" si="9"/>
        <v>708</v>
      </c>
      <c r="H121" s="99">
        <f>G121+'27'!H121</f>
        <v>-2173.429999999993</v>
      </c>
      <c r="I121" s="165"/>
      <c r="J121" s="328">
        <f>H121/DAY(B2)</f>
        <v>-77.622499999999746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'27'!F122</f>
        <v>125384</v>
      </c>
      <c r="F122" s="237">
        <v>125574</v>
      </c>
      <c r="G122" s="112">
        <f t="shared" si="9"/>
        <v>190</v>
      </c>
      <c r="H122" s="99">
        <f>G122+'27'!H122</f>
        <v>-612.17999999999302</v>
      </c>
      <c r="I122" s="165"/>
      <c r="J122" s="328">
        <f>H122/DAY(B2)</f>
        <v>-21.863571428571181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'27'!F123</f>
        <v>152943</v>
      </c>
      <c r="F123" s="237">
        <v>153220</v>
      </c>
      <c r="G123" s="112">
        <f t="shared" si="9"/>
        <v>277</v>
      </c>
      <c r="H123" s="99">
        <f>G123+'27'!H123</f>
        <v>-826.95000000001164</v>
      </c>
      <c r="I123" s="165"/>
      <c r="J123" s="328">
        <f>H123/DAY(B2)</f>
        <v>-29.533928571428987</v>
      </c>
    </row>
    <row r="124" spans="1:18" ht="29.25" customHeight="1" x14ac:dyDescent="0.5">
      <c r="A124" s="867"/>
      <c r="B124" s="868"/>
      <c r="C124" s="869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3213</v>
      </c>
      <c r="H125" s="156"/>
      <c r="I125" s="327">
        <f>G125-(G39+G53)</f>
        <v>609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 x14ac:dyDescent="0.5">
      <c r="A128" s="863" t="s">
        <v>318</v>
      </c>
      <c r="B128" s="864"/>
      <c r="C128" s="865"/>
      <c r="D128" s="151" t="s">
        <v>183</v>
      </c>
      <c r="E128" s="95">
        <f>'27'!F128</f>
        <v>46522</v>
      </c>
      <c r="F128" s="165">
        <v>46835</v>
      </c>
      <c r="G128" s="112">
        <f t="shared" ref="G128:G134" si="10">F128-E128</f>
        <v>313</v>
      </c>
      <c r="H128" s="99">
        <f>G128+'27'!H128</f>
        <v>-911</v>
      </c>
      <c r="I128" s="165"/>
      <c r="J128" s="328">
        <f>H128/DAY(B2)</f>
        <v>-32.535714285714285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'27'!F129</f>
        <v>26160</v>
      </c>
      <c r="F129" s="165">
        <v>26369</v>
      </c>
      <c r="G129" s="112">
        <f t="shared" si="10"/>
        <v>209</v>
      </c>
      <c r="H129" s="99">
        <f>G129+'27'!H129</f>
        <v>-541.86999999999898</v>
      </c>
      <c r="I129" s="165"/>
      <c r="J129" s="328">
        <f>H129/DAY(B2)</f>
        <v>-19.352499999999964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'27'!F130</f>
        <v>33852</v>
      </c>
      <c r="F130" s="165">
        <v>34366</v>
      </c>
      <c r="G130" s="112">
        <f t="shared" si="10"/>
        <v>514</v>
      </c>
      <c r="H130" s="99">
        <f>G130+'27'!H130</f>
        <v>-1328</v>
      </c>
      <c r="I130" s="165"/>
      <c r="J130" s="328">
        <f>H130/DAY(B2)</f>
        <v>-47.428571428571431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'27'!F131</f>
        <v>15071</v>
      </c>
      <c r="F131" s="165">
        <v>15155</v>
      </c>
      <c r="G131" s="112">
        <f t="shared" si="10"/>
        <v>84</v>
      </c>
      <c r="H131" s="99">
        <f>G131+'27'!H131</f>
        <v>-152.68000000000029</v>
      </c>
      <c r="I131" s="165"/>
      <c r="J131" s="328">
        <f>H131/DAY(B2)</f>
        <v>-5.4528571428571535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'27'!F132</f>
        <v>51189</v>
      </c>
      <c r="F132" s="165">
        <v>51353</v>
      </c>
      <c r="G132" s="112">
        <f t="shared" si="10"/>
        <v>164</v>
      </c>
      <c r="H132" s="99">
        <f>G132+'27'!H132</f>
        <v>-495.30000000000291</v>
      </c>
      <c r="I132" s="165"/>
      <c r="J132" s="328">
        <f>H132/DAY(B2)</f>
        <v>-17.68928571428582</v>
      </c>
    </row>
    <row r="133" spans="1:15" ht="27.75" x14ac:dyDescent="0.5">
      <c r="A133" s="863" t="s">
        <v>362</v>
      </c>
      <c r="B133" s="864"/>
      <c r="C133" s="865"/>
      <c r="D133" s="151" t="s">
        <v>183</v>
      </c>
      <c r="E133" s="95">
        <f>'27'!F133</f>
        <v>103509</v>
      </c>
      <c r="F133" s="165">
        <v>103916</v>
      </c>
      <c r="G133" s="112">
        <f t="shared" si="10"/>
        <v>407</v>
      </c>
      <c r="H133" s="99">
        <f>G133+'27'!H133</f>
        <v>-1427.6999999999971</v>
      </c>
      <c r="I133" s="165"/>
      <c r="J133" s="328">
        <f>H133/DAY(B2)</f>
        <v>-50.989285714285607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'27'!F134</f>
        <v>7993</v>
      </c>
      <c r="F134" s="158">
        <v>8139</v>
      </c>
      <c r="G134" s="112">
        <f t="shared" si="10"/>
        <v>146</v>
      </c>
      <c r="H134" s="99">
        <f>G134+'27'!H134</f>
        <v>-462.22999999999956</v>
      </c>
      <c r="I134" s="165"/>
      <c r="J134" s="328">
        <f>H134/DAY(B2)</f>
        <v>-16.508214285714271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1837</v>
      </c>
      <c r="H135" s="99">
        <f>G135+'23'!H135</f>
        <v>27429.389999999985</v>
      </c>
      <c r="I135" s="327">
        <f>G135-(G35+G49)</f>
        <v>-316</v>
      </c>
      <c r="J135" s="328"/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'27'!F138</f>
        <v>865949</v>
      </c>
      <c r="F138" s="147">
        <v>865997</v>
      </c>
      <c r="G138" s="112">
        <f t="shared" ref="G138:G152" si="11">F138-E138</f>
        <v>48</v>
      </c>
      <c r="H138" s="99">
        <f>G138+'27'!H138</f>
        <v>-176</v>
      </c>
      <c r="I138" s="118"/>
      <c r="J138" s="328">
        <f>H138/DAY(B2)</f>
        <v>-6.2857142857142856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'27'!F139</f>
        <v>886570</v>
      </c>
      <c r="F139" s="148">
        <v>886570</v>
      </c>
      <c r="G139" s="112">
        <f t="shared" si="11"/>
        <v>0</v>
      </c>
      <c r="H139" s="99">
        <f>G139+'27'!H139</f>
        <v>-3</v>
      </c>
      <c r="I139" s="118"/>
      <c r="J139" s="328">
        <f>H139/DAY(B2)</f>
        <v>-0.10714285714285714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'27'!F140</f>
        <v>88922</v>
      </c>
      <c r="F140" s="149">
        <v>88922</v>
      </c>
      <c r="G140" s="112">
        <f t="shared" si="11"/>
        <v>0</v>
      </c>
      <c r="H140" s="99">
        <f>G140+'27'!H140</f>
        <v>0</v>
      </c>
      <c r="I140" s="118"/>
      <c r="J140" s="328">
        <f>H140/DAY(B2)</f>
        <v>0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'27'!F141</f>
        <v>53982</v>
      </c>
      <c r="F141" s="149">
        <v>54154</v>
      </c>
      <c r="G141" s="112">
        <f t="shared" si="11"/>
        <v>172</v>
      </c>
      <c r="H141" s="99">
        <f>G141+'27'!H141</f>
        <v>-531.58000000000175</v>
      </c>
      <c r="I141" s="118"/>
      <c r="J141" s="328">
        <f>H141/DAY(B2)</f>
        <v>-18.985000000000063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'27'!F142</f>
        <v>20972</v>
      </c>
      <c r="F142" s="148">
        <v>21049</v>
      </c>
      <c r="G142" s="112">
        <f t="shared" si="11"/>
        <v>77</v>
      </c>
      <c r="H142" s="99">
        <f>G142+'27'!H142</f>
        <v>-235.09999999999854</v>
      </c>
      <c r="I142" s="140"/>
      <c r="J142" s="328">
        <f>H142/DAY(B2)</f>
        <v>-8.3964285714285189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'27'!F143</f>
        <v>3734</v>
      </c>
      <c r="F143" s="149">
        <v>3762</v>
      </c>
      <c r="G143" s="112">
        <f t="shared" si="11"/>
        <v>28</v>
      </c>
      <c r="H143" s="99">
        <f>G143+'27'!H143</f>
        <v>-73.389999999999873</v>
      </c>
      <c r="I143" s="140"/>
      <c r="J143" s="328">
        <f>H143/DAY(B2)</f>
        <v>-2.6210714285714238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'27'!F144</f>
        <v>875675</v>
      </c>
      <c r="F144" s="149">
        <v>875870</v>
      </c>
      <c r="G144" s="112">
        <f t="shared" si="11"/>
        <v>195</v>
      </c>
      <c r="H144" s="99">
        <f>G144+'27'!H144</f>
        <v>-617</v>
      </c>
      <c r="I144" s="140"/>
      <c r="J144" s="328">
        <f>H144/DAY(B2)</f>
        <v>-22.035714285714285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'27'!F145</f>
        <v>4926</v>
      </c>
      <c r="F145" s="149">
        <v>4935</v>
      </c>
      <c r="G145" s="112">
        <f t="shared" si="11"/>
        <v>9</v>
      </c>
      <c r="H145" s="99">
        <f>G145+'27'!H145</f>
        <v>-23.840000000000146</v>
      </c>
      <c r="I145" s="140"/>
      <c r="J145" s="328">
        <f>H145/DAY(B2)</f>
        <v>-0.85142857142857664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'27'!F146</f>
        <v>735677</v>
      </c>
      <c r="F146" s="148">
        <v>736078</v>
      </c>
      <c r="G146" s="112">
        <f t="shared" si="11"/>
        <v>401</v>
      </c>
      <c r="H146" s="99">
        <f>G146+'27'!H146</f>
        <v>-1255</v>
      </c>
      <c r="I146" s="140"/>
      <c r="J146" s="328">
        <f>H146/DAY(B2)</f>
        <v>-44.821428571428569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'27'!F147</f>
        <v>625172</v>
      </c>
      <c r="F147" s="148">
        <v>625551</v>
      </c>
      <c r="G147" s="112">
        <f t="shared" si="11"/>
        <v>379</v>
      </c>
      <c r="H147" s="99">
        <f>G147+'27'!H147</f>
        <v>-1061.5200000000186</v>
      </c>
      <c r="I147" s="140"/>
      <c r="J147" s="328">
        <f>H147/DAY(B2)</f>
        <v>-37.911428571429234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'27'!F148</f>
        <v>688695</v>
      </c>
      <c r="F148" s="150">
        <v>688880</v>
      </c>
      <c r="G148" s="112">
        <f t="shared" si="11"/>
        <v>185</v>
      </c>
      <c r="H148" s="99">
        <f>G148+'27'!H148</f>
        <v>-562.95999999996275</v>
      </c>
      <c r="I148" s="124"/>
      <c r="J148" s="328">
        <f>H148/DAY(B2)</f>
        <v>-20.105714285712956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'27'!F149</f>
        <v>22772</v>
      </c>
      <c r="F149" s="146">
        <v>23289</v>
      </c>
      <c r="G149" s="112">
        <f t="shared" si="11"/>
        <v>517</v>
      </c>
      <c r="H149" s="99">
        <f>G149+'27'!H149</f>
        <v>-1389.2000000000007</v>
      </c>
      <c r="I149" s="119"/>
      <c r="J149" s="328">
        <f>H149/DAY(B2)</f>
        <v>-49.614285714285742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'27'!F150</f>
        <v>9961</v>
      </c>
      <c r="F150" s="233">
        <v>10179</v>
      </c>
      <c r="G150" s="112">
        <f t="shared" si="11"/>
        <v>218</v>
      </c>
      <c r="H150" s="99">
        <f>G150+'27'!H150</f>
        <v>-671.82999999999993</v>
      </c>
      <c r="I150" s="119"/>
      <c r="J150" s="328">
        <f>H150/DAY(B2)</f>
        <v>-23.993928571428569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'27'!F151</f>
        <v>84449</v>
      </c>
      <c r="F151" s="233">
        <v>84703</v>
      </c>
      <c r="G151" s="112">
        <f t="shared" si="11"/>
        <v>254</v>
      </c>
      <c r="H151" s="99">
        <f>G151+'27'!H151</f>
        <v>-777</v>
      </c>
      <c r="I151" s="119"/>
      <c r="J151" s="328">
        <f>H151/DAY(B2)</f>
        <v>-27.75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'27'!F152</f>
        <v>1599</v>
      </c>
      <c r="F152" s="233">
        <v>1614</v>
      </c>
      <c r="G152" s="112">
        <f t="shared" si="11"/>
        <v>15</v>
      </c>
      <c r="H152" s="99">
        <f>G152+'27'!H152</f>
        <v>-46</v>
      </c>
      <c r="I152" s="119"/>
      <c r="J152" s="328">
        <f>H152/DAY(B2)</f>
        <v>-1.6428571428571428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2498</v>
      </c>
      <c r="H153" s="363"/>
      <c r="I153" s="119">
        <f>G153-(G38+G52)</f>
        <v>745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689">
        <f>'27'!F155</f>
        <v>29684</v>
      </c>
      <c r="F155" s="690">
        <v>30396</v>
      </c>
      <c r="G155" s="112">
        <f t="shared" ref="G155:G158" si="12">F155-E155</f>
        <v>712</v>
      </c>
      <c r="H155" s="99">
        <f>G155+'27'!H155</f>
        <v>-2549</v>
      </c>
      <c r="I155" s="364"/>
      <c r="J155" s="328">
        <f>H155/DAY(B2)</f>
        <v>-91.035714285714292</v>
      </c>
    </row>
    <row r="156" spans="1:10" ht="27.75" x14ac:dyDescent="0.5">
      <c r="A156" s="843" t="s">
        <v>347</v>
      </c>
      <c r="B156" s="843"/>
      <c r="C156" s="843"/>
      <c r="D156" s="117" t="s">
        <v>130</v>
      </c>
      <c r="E156" s="95">
        <f>'27'!F156</f>
        <v>2508</v>
      </c>
      <c r="F156" s="155">
        <v>2564</v>
      </c>
      <c r="G156" s="112">
        <f t="shared" si="12"/>
        <v>56</v>
      </c>
      <c r="H156" s="99">
        <f>G156+'27'!H156</f>
        <v>1462</v>
      </c>
      <c r="I156" s="165"/>
      <c r="J156" s="328">
        <f>H156/DAY(B2)</f>
        <v>52.214285714285715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155">
        <v>3582</v>
      </c>
      <c r="F157" s="157">
        <v>3692</v>
      </c>
      <c r="G157" s="112">
        <f t="shared" si="12"/>
        <v>110</v>
      </c>
      <c r="H157" s="99"/>
      <c r="I157" s="165"/>
      <c r="J157" s="328"/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155">
        <v>45.49</v>
      </c>
      <c r="F158" s="155">
        <v>45.55</v>
      </c>
      <c r="G158" s="112">
        <f t="shared" si="12"/>
        <v>5.9999999999995168E-2</v>
      </c>
      <c r="H158" s="99"/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'27'!F161</f>
        <v>471931</v>
      </c>
      <c r="F161" s="235">
        <v>471960</v>
      </c>
      <c r="G161" s="238">
        <f t="shared" ref="G161:G165" si="13">F161-E161</f>
        <v>29</v>
      </c>
      <c r="H161" s="99">
        <f>G161+'27'!H161</f>
        <v>-93.559999999997672</v>
      </c>
      <c r="I161" s="236"/>
      <c r="J161" s="239">
        <f>H161/DAY(B2)</f>
        <v>-3.3414285714284881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'27'!F162</f>
        <v>88400</v>
      </c>
      <c r="F162" s="235">
        <v>88439</v>
      </c>
      <c r="G162" s="238">
        <f t="shared" si="13"/>
        <v>39</v>
      </c>
      <c r="H162" s="99">
        <f>G162+'27'!H162</f>
        <v>-77.399999999994179</v>
      </c>
      <c r="I162" s="236"/>
      <c r="J162" s="239">
        <f>H162/DAY(B2)</f>
        <v>-2.7642857142855064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'27'!F163</f>
        <v>79062</v>
      </c>
      <c r="F163" s="235">
        <v>79102.5</v>
      </c>
      <c r="G163" s="238">
        <f t="shared" si="13"/>
        <v>40.5</v>
      </c>
      <c r="H163" s="99">
        <f>G163+'27'!H163</f>
        <v>-117.60000000000582</v>
      </c>
      <c r="I163" s="236"/>
      <c r="J163" s="239">
        <f>H163/DAY(B2)</f>
        <v>-4.200000000000208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'27'!F164</f>
        <v>4312</v>
      </c>
      <c r="F164" s="235">
        <v>4317.3999999999996</v>
      </c>
      <c r="G164" s="238">
        <f t="shared" si="13"/>
        <v>5.3999999999996362</v>
      </c>
      <c r="H164" s="99">
        <f>G164+'27'!H164</f>
        <v>-2.6000000000003638</v>
      </c>
      <c r="I164" s="236"/>
      <c r="J164" s="239">
        <f>H164/DAY(B2)</f>
        <v>-9.285714285715585E-2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'27'!F165</f>
        <v>29819</v>
      </c>
      <c r="F165" s="235">
        <v>29828</v>
      </c>
      <c r="G165" s="238">
        <f t="shared" si="13"/>
        <v>9</v>
      </c>
      <c r="H165" s="99">
        <f>G165+'27'!H165</f>
        <v>-29.25</v>
      </c>
      <c r="I165" s="236"/>
      <c r="J165" s="239">
        <f>H165/DAY(B2)</f>
        <v>-1.0446428571428572</v>
      </c>
    </row>
    <row r="166" spans="1:10" ht="29.25" x14ac:dyDescent="0.5">
      <c r="A166" s="852"/>
      <c r="B166" s="852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'27'!F173</f>
        <v>8126</v>
      </c>
      <c r="F173" s="155">
        <v>8126</v>
      </c>
      <c r="G173" s="155">
        <f>F173-E173</f>
        <v>0</v>
      </c>
      <c r="H173" s="99">
        <f>G173+'27'!H173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'27'!F174</f>
        <v>38561</v>
      </c>
      <c r="F174" s="157">
        <v>38576</v>
      </c>
      <c r="G174" s="155">
        <f t="shared" ref="G174:G175" si="14">F174-E174</f>
        <v>15</v>
      </c>
      <c r="H174" s="99">
        <f>G174+'27'!H174</f>
        <v>335</v>
      </c>
      <c r="I174" s="155"/>
      <c r="J174" s="178">
        <f>H174/DAY(B2)</f>
        <v>11.964285714285714</v>
      </c>
    </row>
    <row r="175" spans="1:10" ht="27.75" x14ac:dyDescent="0.5">
      <c r="A175" s="856" t="s">
        <v>76</v>
      </c>
      <c r="B175" s="896"/>
      <c r="C175" s="857"/>
      <c r="D175" s="228" t="s">
        <v>142</v>
      </c>
      <c r="E175" s="95">
        <f>'27'!F175</f>
        <v>21774</v>
      </c>
      <c r="F175" s="155">
        <v>21783</v>
      </c>
      <c r="G175" s="155">
        <f t="shared" si="14"/>
        <v>9</v>
      </c>
      <c r="H175" s="99">
        <f>G175+'27'!H175</f>
        <v>-30</v>
      </c>
      <c r="I175" s="155"/>
      <c r="J175" s="178">
        <f>H175/DAY(B2)</f>
        <v>-1.0714285714285714</v>
      </c>
    </row>
    <row r="176" spans="1:10" ht="27.75" x14ac:dyDescent="0.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24</v>
      </c>
      <c r="H176" s="99">
        <f>G176+'27'!H176</f>
        <v>305</v>
      </c>
      <c r="I176" s="155"/>
      <c r="J176" s="178">
        <f>H176/DAY(B2)</f>
        <v>10.892857142857142</v>
      </c>
    </row>
    <row r="177" spans="1:10" ht="27.75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'27'!F178</f>
        <v>81051</v>
      </c>
      <c r="F178" s="155">
        <v>81101</v>
      </c>
      <c r="G178" s="155">
        <f>F178-E178</f>
        <v>50</v>
      </c>
      <c r="H178" s="99">
        <f>G178+'27'!H178</f>
        <v>-214</v>
      </c>
      <c r="I178" s="155"/>
      <c r="J178" s="178">
        <f>H178/DAY(B2)</f>
        <v>-7.6428571428571432</v>
      </c>
    </row>
    <row r="179" spans="1:10" ht="27.75" x14ac:dyDescent="0.5">
      <c r="A179" s="856" t="s">
        <v>211</v>
      </c>
      <c r="B179" s="857"/>
      <c r="C179" s="333"/>
      <c r="D179" s="228" t="s">
        <v>142</v>
      </c>
      <c r="E179" s="95">
        <f>'27'!F179</f>
        <v>34642</v>
      </c>
      <c r="F179" s="155">
        <v>34711</v>
      </c>
      <c r="G179" s="155">
        <f t="shared" ref="G179:G180" si="15">F179-E179</f>
        <v>69</v>
      </c>
      <c r="H179" s="99">
        <f>G179+'27'!H179</f>
        <v>-92</v>
      </c>
      <c r="I179" s="155"/>
      <c r="J179" s="178">
        <f>H179/DAY(B2)</f>
        <v>-3.2857142857142856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'27'!F180</f>
        <v>5672</v>
      </c>
      <c r="F180" s="155">
        <v>5675</v>
      </c>
      <c r="G180" s="155">
        <f t="shared" si="15"/>
        <v>3</v>
      </c>
      <c r="H180" s="99">
        <f>G180+'27'!H180</f>
        <v>-27</v>
      </c>
      <c r="I180" s="155"/>
      <c r="J180" s="178">
        <f>H180/DAY(B2)</f>
        <v>-0.9642857142857143</v>
      </c>
    </row>
    <row r="181" spans="1:10" ht="27.75" x14ac:dyDescent="0.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122</v>
      </c>
      <c r="H181" s="99">
        <f>G181+'27'!H181</f>
        <v>-333</v>
      </c>
      <c r="I181" s="155"/>
      <c r="J181" s="178">
        <f>H181/DAY(B2)</f>
        <v>-11.892857142857142</v>
      </c>
    </row>
    <row r="182" spans="1:10" ht="27.75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'27'!F183</f>
        <v>15308</v>
      </c>
      <c r="F183" s="157">
        <v>15316</v>
      </c>
      <c r="G183" s="157">
        <f>F183-E183</f>
        <v>8</v>
      </c>
      <c r="H183" s="99">
        <f>G183+'27'!H183</f>
        <v>-29</v>
      </c>
      <c r="I183" s="155"/>
      <c r="J183" s="178">
        <f>H183/DAY(B2)</f>
        <v>-1.0357142857142858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'27'!F184</f>
        <v>10476</v>
      </c>
      <c r="F184" s="157">
        <v>10482</v>
      </c>
      <c r="G184" s="157">
        <f t="shared" ref="G184:G185" si="16">F184-E184</f>
        <v>6</v>
      </c>
      <c r="H184" s="99">
        <f>G184+'27'!H184</f>
        <v>-36</v>
      </c>
      <c r="I184" s="155"/>
      <c r="J184" s="178">
        <f>H184/DAY(B2)</f>
        <v>-1.2857142857142858</v>
      </c>
    </row>
    <row r="185" spans="1:10" ht="27.75" x14ac:dyDescent="0.5">
      <c r="A185" s="856" t="s">
        <v>216</v>
      </c>
      <c r="B185" s="857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7.75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14</v>
      </c>
      <c r="H186" s="99">
        <f>G186+'27'!H186</f>
        <v>-65</v>
      </c>
      <c r="I186" s="157"/>
      <c r="J186" s="178">
        <f>H186/DAY(B2)</f>
        <v>-2.3214285714285716</v>
      </c>
    </row>
    <row r="187" spans="1:10" ht="27.75" x14ac:dyDescent="0.5">
      <c r="A187" s="849" t="s">
        <v>217</v>
      </c>
      <c r="B187" s="850"/>
      <c r="C187" s="333"/>
      <c r="D187" s="230" t="s">
        <v>142</v>
      </c>
      <c r="E187" s="95">
        <f>'27'!F187</f>
        <v>0</v>
      </c>
      <c r="F187" s="159"/>
      <c r="G187" s="460">
        <f>G62+G19</f>
        <v>142</v>
      </c>
      <c r="H187" s="99">
        <f>G187+'27'!H187</f>
        <v>-463</v>
      </c>
      <c r="I187" s="158"/>
      <c r="J187" s="179">
        <f>H187/DAY(B2)</f>
        <v>-16.535714285714285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>
        <f>'27'!F188</f>
        <v>0</v>
      </c>
      <c r="F188" s="159"/>
      <c r="G188" s="460">
        <f>G65+G66+G67+G69+G70</f>
        <v>144</v>
      </c>
      <c r="H188" s="99">
        <f>G188+'27'!H188</f>
        <v>1901</v>
      </c>
      <c r="I188" s="158"/>
      <c r="J188" s="179">
        <f>H188/DAY(B2)</f>
        <v>67.892857142857139</v>
      </c>
    </row>
    <row r="189" spans="1:10" ht="27.75" x14ac:dyDescent="0.5">
      <c r="A189" s="849" t="s">
        <v>219</v>
      </c>
      <c r="B189" s="850"/>
      <c r="C189" s="333"/>
      <c r="D189" s="230" t="s">
        <v>142</v>
      </c>
      <c r="E189" s="95">
        <f>'27'!F189</f>
        <v>0</v>
      </c>
      <c r="F189" s="157"/>
      <c r="G189" s="457">
        <f>G181</f>
        <v>122</v>
      </c>
      <c r="H189" s="99">
        <f>G189+'27'!H189</f>
        <v>891</v>
      </c>
      <c r="I189" s="158"/>
      <c r="J189" s="179">
        <f>H189/DAY(B2)</f>
        <v>31.821428571428573</v>
      </c>
    </row>
    <row r="190" spans="1:10" ht="27.75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zoomScale="55" zoomScaleNormal="78" zoomScaleSheetLayoutView="55" workbookViewId="0">
      <selection activeCell="G78" sqref="G7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303</v>
      </c>
      <c r="B2" s="262">
        <v>44590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v>599110</v>
      </c>
      <c r="F7" s="95">
        <v>616277</v>
      </c>
      <c r="G7" s="112">
        <f>F7-E7</f>
        <v>17167</v>
      </c>
      <c r="H7" s="99">
        <f>G7+'28'!H7</f>
        <v>-34888.229999999981</v>
      </c>
      <c r="I7" s="113">
        <f>'1'!I7</f>
        <v>12000</v>
      </c>
      <c r="J7" s="175">
        <f>H7/DAY(B2)</f>
        <v>-1203.0424137931027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'28'!F8</f>
        <v>655697</v>
      </c>
      <c r="F8" s="95">
        <v>673189</v>
      </c>
      <c r="G8" s="115">
        <f>F8-E8</f>
        <v>17492</v>
      </c>
      <c r="H8" s="99">
        <f>G8+'28'!H8</f>
        <v>-35359.150000000023</v>
      </c>
      <c r="I8" s="116"/>
      <c r="J8" s="175">
        <f>H8/DAY(B2)</f>
        <v>-1219.2810344827594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f>'28'!F9</f>
        <v>237905</v>
      </c>
      <c r="F9" s="598">
        <v>252509</v>
      </c>
      <c r="G9" s="112">
        <f>F9-E9</f>
        <v>14604</v>
      </c>
      <c r="H9" s="99">
        <f>G9+'28'!H9</f>
        <v>-29744.850000000006</v>
      </c>
      <c r="I9" s="124">
        <f>I7-J7</f>
        <v>13203.042413793102</v>
      </c>
      <c r="J9" s="175">
        <f>H9/DAY(B2)</f>
        <v>-1025.6844827586208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'28'!F10</f>
        <v>99061</v>
      </c>
      <c r="F10" s="353">
        <v>101121</v>
      </c>
      <c r="G10" s="112">
        <f t="shared" ref="G10:G12" si="0">F10-E10</f>
        <v>2060</v>
      </c>
      <c r="H10" s="99">
        <f>G10+'28'!H10</f>
        <v>-4137.9700000000012</v>
      </c>
      <c r="I10" s="282"/>
      <c r="J10" s="175">
        <f>H10/DAY(B2)</f>
        <v>-142.68862068965521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'28'!F11</f>
        <v>37170</v>
      </c>
      <c r="F11" s="95">
        <v>37170</v>
      </c>
      <c r="G11" s="112">
        <f t="shared" si="0"/>
        <v>0</v>
      </c>
      <c r="H11" s="99">
        <f>G11+'28'!H11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'28'!F12</f>
        <v>40010</v>
      </c>
      <c r="F12" s="117">
        <v>40010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16664</v>
      </c>
      <c r="H13" s="99">
        <f>G13+'28'!H13</f>
        <v>-50637.25</v>
      </c>
      <c r="I13" s="120">
        <f>G7-G13</f>
        <v>503</v>
      </c>
      <c r="J13" s="175">
        <f>H13/DAY(B2)</f>
        <v>-1746.1120689655172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45" t="s">
        <v>138</v>
      </c>
      <c r="B15" s="205"/>
      <c r="C15" s="205"/>
      <c r="D15" s="151" t="s">
        <v>139</v>
      </c>
      <c r="E15" s="95">
        <f>'28'!F15</f>
        <v>1903790</v>
      </c>
      <c r="F15" s="123">
        <v>1904792</v>
      </c>
      <c r="G15" s="112">
        <f>(F15-E15)</f>
        <v>1002</v>
      </c>
      <c r="H15" s="99">
        <f>G15+'28'!H15</f>
        <v>28735.233000000007</v>
      </c>
      <c r="I15" s="113">
        <f>'1'!I15</f>
        <v>800</v>
      </c>
      <c r="J15" s="175">
        <f>H15/DAY(B2)</f>
        <v>990.87010344827615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-190.87010344827615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'28'!F18</f>
        <v>4</v>
      </c>
      <c r="F18" s="122">
        <v>26</v>
      </c>
      <c r="G18" s="119">
        <f>F18*10</f>
        <v>260</v>
      </c>
      <c r="H18" s="99">
        <f>G18+'28'!H18</f>
        <v>4700</v>
      </c>
      <c r="I18" s="113">
        <f>'1'!I18</f>
        <v>65</v>
      </c>
      <c r="J18" s="175">
        <f>H18/DAY(B2)</f>
        <v>162.06896551724137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'28'!F19</f>
        <v>153727</v>
      </c>
      <c r="F19" s="122">
        <v>153779</v>
      </c>
      <c r="G19" s="112">
        <f t="shared" ref="G19" si="1">F19-E19</f>
        <v>52</v>
      </c>
      <c r="H19" s="99">
        <f>G19+'28'!H19</f>
        <v>-112</v>
      </c>
      <c r="I19" s="335"/>
      <c r="J19" s="175">
        <f>H19/DAY(B2)</f>
        <v>-3.8620689655172415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312</v>
      </c>
      <c r="H20" s="99">
        <f>G20+'28'!H20</f>
        <v>4588</v>
      </c>
      <c r="I20" s="336">
        <f>I18-J20</f>
        <v>-93.206896551724128</v>
      </c>
      <c r="J20" s="175">
        <f>H20/DAY(B2)</f>
        <v>158.20689655172413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110</v>
      </c>
      <c r="I23" s="118"/>
      <c r="J23" s="175">
        <f>H23/DAY(B2)</f>
        <v>3.7931034482758621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110</v>
      </c>
      <c r="I24" s="118"/>
      <c r="J24" s="175">
        <f>H24/DAY(B2)</f>
        <v>3.7931034482758621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17492</v>
      </c>
      <c r="F27" s="136">
        <v>9</v>
      </c>
      <c r="G27" s="137">
        <f>E27*F27</f>
        <v>157428</v>
      </c>
      <c r="H27" s="99">
        <f>G27+'28'!H27</f>
        <v>-318232.35000000009</v>
      </c>
      <c r="I27" s="138"/>
      <c r="J27" s="175">
        <f>H27/DAY(B2)</f>
        <v>-10973.529310344831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1002</v>
      </c>
      <c r="F28" s="136">
        <v>52</v>
      </c>
      <c r="G28" s="137">
        <f>E28*F28</f>
        <v>52104</v>
      </c>
      <c r="H28" s="99">
        <f>G28+'28'!H28</f>
        <v>1545889.4660000005</v>
      </c>
      <c r="I28" s="140"/>
      <c r="J28" s="175">
        <f>H28/DAY(B2)</f>
        <v>53306.533310344843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7590</v>
      </c>
      <c r="I29" s="140"/>
      <c r="J29" s="175">
        <f>H29/DAY(B2)</f>
        <v>261.72413793103448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G30+'28'!H30</f>
        <v>-23874.44</v>
      </c>
      <c r="I30" s="140"/>
      <c r="J30" s="175">
        <f>H30/DAY(B2)</f>
        <v>-823.25655172413792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G31+'28'!H31</f>
        <v>376000</v>
      </c>
      <c r="I31" s="140"/>
      <c r="J31" s="175">
        <f>H31/DAY(B2)</f>
        <v>12965.51724137931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237924</v>
      </c>
      <c r="H32" s="99">
        <f>G32+'28'!H32</f>
        <v>1587372.6760000002</v>
      </c>
      <c r="I32" s="144"/>
      <c r="J32" s="175">
        <f>H32/DAY(B2)</f>
        <v>54736.988827586218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'28'!F35</f>
        <v>28354</v>
      </c>
      <c r="F35" s="145">
        <v>29546</v>
      </c>
      <c r="G35" s="112">
        <f t="shared" ref="G35:G46" si="3">F35-E35</f>
        <v>1192</v>
      </c>
      <c r="H35" s="99">
        <f>G35+'28'!H35</f>
        <v>-2458.9799999999959</v>
      </c>
      <c r="I35" s="95"/>
      <c r="J35" s="175">
        <f>H35/DAY(B2)</f>
        <v>-84.792413793103307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'28'!F36</f>
        <v>41279</v>
      </c>
      <c r="F36" s="145">
        <v>41974</v>
      </c>
      <c r="G36" s="112">
        <f t="shared" si="3"/>
        <v>695</v>
      </c>
      <c r="H36" s="99">
        <f>G36+'28'!H36</f>
        <v>-1484.739999999998</v>
      </c>
      <c r="I36" s="95"/>
      <c r="J36" s="175">
        <f>H36/DAY(B2)</f>
        <v>-51.197931034482686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'28'!F37</f>
        <v>30673</v>
      </c>
      <c r="F37" s="145">
        <v>32284</v>
      </c>
      <c r="G37" s="112">
        <f t="shared" si="3"/>
        <v>1611</v>
      </c>
      <c r="H37" s="99">
        <f>G37+'28'!H37</f>
        <v>-3141.0899999999965</v>
      </c>
      <c r="I37" s="95"/>
      <c r="J37" s="175">
        <f>H37/DAY(B2)</f>
        <v>-108.31344827586194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'28'!F38</f>
        <v>33370</v>
      </c>
      <c r="F38" s="108">
        <v>35120</v>
      </c>
      <c r="G38" s="112">
        <f t="shared" si="3"/>
        <v>1750</v>
      </c>
      <c r="H38" s="99">
        <f>G38+'28'!H38</f>
        <v>-3256.4300000000003</v>
      </c>
      <c r="I38" s="95"/>
      <c r="J38" s="175">
        <f>H38/DAY(B2)</f>
        <v>-112.29068965517243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'28'!F39</f>
        <v>51302</v>
      </c>
      <c r="F39" s="145">
        <v>53908</v>
      </c>
      <c r="G39" s="112">
        <f t="shared" si="3"/>
        <v>2606</v>
      </c>
      <c r="H39" s="99">
        <f>G39+'28'!H39</f>
        <v>-5265.2900000000045</v>
      </c>
      <c r="I39" s="95"/>
      <c r="J39" s="175">
        <f>H39/DAY(B2)</f>
        <v>-181.56172413793118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'28'!F40</f>
        <v>18927</v>
      </c>
      <c r="F40" s="145">
        <v>19480</v>
      </c>
      <c r="G40" s="112">
        <f t="shared" si="3"/>
        <v>553</v>
      </c>
      <c r="H40" s="99">
        <f>G40+'28'!H40</f>
        <v>-2636.9900000000016</v>
      </c>
      <c r="I40" s="95"/>
      <c r="J40" s="175">
        <f>H40/DAY(B2)</f>
        <v>-90.930689655172472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'28'!F41</f>
        <v>0</v>
      </c>
      <c r="F41" s="145">
        <v>0</v>
      </c>
      <c r="G41" s="112">
        <f t="shared" si="3"/>
        <v>0</v>
      </c>
      <c r="H41" s="99">
        <f>G41+'28'!H41</f>
        <v>-62.73</v>
      </c>
      <c r="I41" s="95"/>
      <c r="J41" s="175">
        <f>H41/DAY(B2)</f>
        <v>-2.1631034482758618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'28'!F42</f>
        <v>88355</v>
      </c>
      <c r="F42" s="145">
        <v>91927</v>
      </c>
      <c r="G42" s="112">
        <f t="shared" si="3"/>
        <v>3572</v>
      </c>
      <c r="H42" s="99">
        <f>G42+'28'!H42</f>
        <v>53849.259999999995</v>
      </c>
      <c r="I42" s="95"/>
      <c r="J42" s="175">
        <f>H42/DAY(B2)</f>
        <v>1856.8710344827584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'28'!F43</f>
        <v>109003</v>
      </c>
      <c r="F43" s="145">
        <v>111068</v>
      </c>
      <c r="G43" s="112">
        <f t="shared" si="3"/>
        <v>2065</v>
      </c>
      <c r="H43" s="99">
        <f>G43+'28'!H43</f>
        <v>62245.399999999994</v>
      </c>
      <c r="I43" s="95"/>
      <c r="J43" s="175">
        <f>H43/DAY(B2)</f>
        <v>2146.3931034482757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14044</v>
      </c>
      <c r="H47" s="99">
        <f>G47+'28'!H47</f>
        <v>97788.41</v>
      </c>
      <c r="I47" s="95"/>
      <c r="J47" s="175">
        <f>H47/DAY(B2)</f>
        <v>3372.0141379310344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'28'!F49</f>
        <v>22352</v>
      </c>
      <c r="F49" s="145">
        <v>23268</v>
      </c>
      <c r="G49" s="112">
        <f t="shared" ref="G49:G58" si="4">F49-E49</f>
        <v>916</v>
      </c>
      <c r="H49" s="99">
        <f>G49+'28'!H49</f>
        <v>-1728.1899999999987</v>
      </c>
      <c r="I49" s="95"/>
      <c r="J49" s="175">
        <f>H49/DAY(B2)</f>
        <v>-59.592758620689608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'28'!F50</f>
        <v>53282</v>
      </c>
      <c r="F50" s="145">
        <v>54265</v>
      </c>
      <c r="G50" s="112">
        <f t="shared" si="4"/>
        <v>983</v>
      </c>
      <c r="H50" s="99">
        <f>G50+'28'!H50</f>
        <v>-2121.6299999999974</v>
      </c>
      <c r="I50" s="95"/>
      <c r="J50" s="175">
        <f>H50/DAY(B2)</f>
        <v>-73.159655172413707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'28'!F51</f>
        <v>0</v>
      </c>
      <c r="F51" s="145">
        <v>0</v>
      </c>
      <c r="G51" s="112">
        <f t="shared" si="4"/>
        <v>0</v>
      </c>
      <c r="H51" s="99">
        <f>G51+'28'!H51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'28'!F52</f>
        <v>0</v>
      </c>
      <c r="F52" s="145">
        <v>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'28'!F54</f>
        <v>5147</v>
      </c>
      <c r="F54" s="145">
        <v>5147</v>
      </c>
      <c r="G54" s="112">
        <f t="shared" si="4"/>
        <v>0</v>
      </c>
      <c r="H54" s="99">
        <f>G54+'28'!H54</f>
        <v>-0.42000000000007276</v>
      </c>
      <c r="I54" s="95"/>
      <c r="J54" s="175">
        <f>H54/DAY(B2)</f>
        <v>-1.4482758620692164E-2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'28'!F55</f>
        <v>74366</v>
      </c>
      <c r="F55" s="145">
        <v>74366</v>
      </c>
      <c r="G55" s="112">
        <f t="shared" si="4"/>
        <v>0</v>
      </c>
      <c r="H55" s="99">
        <f>G55+'28'!H55</f>
        <v>-0.11000000000058208</v>
      </c>
      <c r="I55" s="95"/>
      <c r="J55" s="175">
        <f>H55/DAY(B2)</f>
        <v>-3.7931034482959337E-3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'28'!F56</f>
        <v>8610.5400000000009</v>
      </c>
      <c r="F56" s="145">
        <v>8610.5400000000009</v>
      </c>
      <c r="G56" s="112">
        <f t="shared" si="4"/>
        <v>0</v>
      </c>
      <c r="H56" s="99">
        <f>G56+'28'!H56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'28'!F58</f>
        <v>4198</v>
      </c>
      <c r="F58" s="145">
        <v>4409</v>
      </c>
      <c r="G58" s="112">
        <f t="shared" si="4"/>
        <v>211</v>
      </c>
      <c r="H58" s="99">
        <f>G58+'28'!H58</f>
        <v>-387.21000000000004</v>
      </c>
      <c r="I58" s="95"/>
      <c r="J58" s="175">
        <f>H58/DAY(B2)</f>
        <v>-13.352068965517242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2110</v>
      </c>
      <c r="H59" s="99">
        <f>G59+'28'!H59</f>
        <v>-4237.560000000014</v>
      </c>
      <c r="I59" s="95">
        <f>G7-G60</f>
        <v>1013</v>
      </c>
      <c r="J59" s="175">
        <f>H59/DAY(B2)</f>
        <v>-146.12275862069015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16154</v>
      </c>
      <c r="H60" s="99">
        <f>G60+'28'!H60</f>
        <v>93550.849999999977</v>
      </c>
      <c r="I60" s="95">
        <f>G13-G60</f>
        <v>510</v>
      </c>
      <c r="J60" s="175">
        <f>H60/DAY(B2)</f>
        <v>3225.8913793103438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'28'!F62</f>
        <v>269217</v>
      </c>
      <c r="F62" s="122">
        <v>269319</v>
      </c>
      <c r="G62" s="112">
        <f t="shared" ref="G62:G63" si="5">F62-E62</f>
        <v>102</v>
      </c>
      <c r="H62" s="99">
        <f>G62+'28'!H62</f>
        <v>-197</v>
      </c>
      <c r="I62" s="118"/>
      <c r="J62" s="175">
        <f>H62/DAY(B2)</f>
        <v>-6.7931034482758621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'28'!F63</f>
        <v>215418</v>
      </c>
      <c r="F63" s="122">
        <v>215557</v>
      </c>
      <c r="G63" s="112">
        <f t="shared" si="5"/>
        <v>139</v>
      </c>
      <c r="H63" s="99">
        <f>G63+'28'!H63</f>
        <v>3481</v>
      </c>
      <c r="I63" s="118"/>
      <c r="J63" s="175">
        <f>H63/DAY(B2)</f>
        <v>120.03448275862068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'28'!F64</f>
        <v>0</v>
      </c>
      <c r="F64" s="122"/>
      <c r="G64" s="112">
        <f>G62+G63</f>
        <v>241</v>
      </c>
      <c r="H64" s="99">
        <f>G64+'28'!H64</f>
        <v>3284</v>
      </c>
      <c r="I64" s="118"/>
      <c r="J64" s="175">
        <f>H64/DAY(B2)</f>
        <v>113.24137931034483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'28'!F65</f>
        <v>434685</v>
      </c>
      <c r="F65" s="122">
        <v>434769</v>
      </c>
      <c r="G65" s="112">
        <f t="shared" ref="G65:G70" si="6">F65-E65</f>
        <v>84</v>
      </c>
      <c r="H65" s="99">
        <f>G65+'28'!H65</f>
        <v>-154</v>
      </c>
      <c r="I65" s="118"/>
      <c r="J65" s="175">
        <f>H65/DAY(B2)</f>
        <v>-5.3103448275862073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'28'!F66</f>
        <v>107679</v>
      </c>
      <c r="F66" s="122">
        <v>107701</v>
      </c>
      <c r="G66" s="112">
        <f t="shared" si="6"/>
        <v>22</v>
      </c>
      <c r="H66" s="99">
        <f>G66+'28'!H66</f>
        <v>-42</v>
      </c>
      <c r="I66" s="118"/>
      <c r="J66" s="175">
        <f>H66/DAY(B2)</f>
        <v>-1.4482758620689655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'28'!F67</f>
        <v>104571</v>
      </c>
      <c r="F67" s="122">
        <v>104596</v>
      </c>
      <c r="G67" s="112">
        <f t="shared" si="6"/>
        <v>25</v>
      </c>
      <c r="H67" s="99">
        <f>G67+'28'!H67</f>
        <v>-52</v>
      </c>
      <c r="I67" s="118"/>
      <c r="J67" s="175">
        <f>H67/DAY(B2)</f>
        <v>-1.7931034482758621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'28'!F68</f>
        <v>157595</v>
      </c>
      <c r="F68" s="122">
        <v>157643</v>
      </c>
      <c r="G68" s="112">
        <f t="shared" si="6"/>
        <v>48</v>
      </c>
      <c r="H68" s="99">
        <f>G68+'28'!H68</f>
        <v>-54</v>
      </c>
      <c r="I68" s="118"/>
      <c r="J68" s="175">
        <f>H68/DAY(B2)</f>
        <v>-1.8620689655172413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'28'!F69</f>
        <v>10517</v>
      </c>
      <c r="F69" s="122">
        <v>10524</v>
      </c>
      <c r="G69" s="112">
        <f t="shared" si="6"/>
        <v>7</v>
      </c>
      <c r="H69" s="99">
        <f>G69+'28'!H69</f>
        <v>-17</v>
      </c>
      <c r="I69" s="118"/>
      <c r="J69" s="175">
        <f>H69/DAY(B2)</f>
        <v>-0.58620689655172409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'28'!F70</f>
        <v>8075</v>
      </c>
      <c r="F70" s="122">
        <v>8090</v>
      </c>
      <c r="G70" s="112">
        <f t="shared" si="6"/>
        <v>15</v>
      </c>
      <c r="H70" s="99">
        <f>G70+'28'!H70</f>
        <v>-30</v>
      </c>
      <c r="I70" s="118"/>
      <c r="J70" s="175">
        <f>H70/DAY(B2)</f>
        <v>-1.0344827586206897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95">
        <f>'28'!F71</f>
        <v>0</v>
      </c>
      <c r="F71" s="152">
        <v>18</v>
      </c>
      <c r="G71" s="153">
        <f>SUM(G65:G70)</f>
        <v>201</v>
      </c>
      <c r="H71" s="99">
        <f>G71+'28'!H71</f>
        <v>-349</v>
      </c>
      <c r="I71" s="154"/>
      <c r="J71" s="175">
        <f>H71/DAY(B2)</f>
        <v>-12.03448275862069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'28'!F74</f>
        <v>900401</v>
      </c>
      <c r="F74" s="117">
        <v>900704</v>
      </c>
      <c r="G74" s="112">
        <f t="shared" ref="G74:G78" si="7">F74-E74</f>
        <v>303</v>
      </c>
      <c r="H74" s="99">
        <f>G74+'28'!H74</f>
        <v>-602.14899999997579</v>
      </c>
      <c r="I74" s="154"/>
      <c r="J74" s="175">
        <f>H74/DAY(B2)</f>
        <v>-20.763758620688819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'28'!F75</f>
        <v>73586.8</v>
      </c>
      <c r="F75" s="123">
        <v>73586.8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'28'!F76</f>
        <v>169707</v>
      </c>
      <c r="F76" s="123">
        <v>169805</v>
      </c>
      <c r="G76" s="112">
        <f t="shared" si="7"/>
        <v>98</v>
      </c>
      <c r="H76" s="99">
        <f>G76+'28'!H76</f>
        <v>-170</v>
      </c>
      <c r="I76" s="154"/>
      <c r="J76" s="175">
        <f>H76/DAY(B2)</f>
        <v>-5.8620689655172411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'28'!F77</f>
        <v>41193</v>
      </c>
      <c r="F77" s="123">
        <v>41239</v>
      </c>
      <c r="G77" s="112">
        <f t="shared" si="7"/>
        <v>46</v>
      </c>
      <c r="H77" s="99">
        <f>G77+'28'!H77</f>
        <v>-63.19999999999709</v>
      </c>
      <c r="I77" s="154"/>
      <c r="J77" s="175">
        <f>H77/DAY(B2)</f>
        <v>-2.1793103448274858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'28'!F78</f>
        <v>9511</v>
      </c>
      <c r="F78" s="123">
        <v>9513</v>
      </c>
      <c r="G78" s="112">
        <f t="shared" si="7"/>
        <v>2</v>
      </c>
      <c r="H78" s="99">
        <f>G78+'28'!H78</f>
        <v>-3</v>
      </c>
      <c r="I78" s="118"/>
      <c r="J78" s="175">
        <f>H78/DAY(B2)</f>
        <v>-0.10344827586206896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'28'!F79</f>
        <v>0</v>
      </c>
      <c r="F79" s="117"/>
      <c r="G79" s="112">
        <f>G15-SUM(G74:G78)</f>
        <v>553</v>
      </c>
      <c r="H79" s="99">
        <f>G79+'28'!H79</f>
        <v>29573.58199999998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1002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'28'!F84</f>
        <v>41675.4</v>
      </c>
      <c r="F84" s="164">
        <v>41675.26</v>
      </c>
      <c r="G84" s="112">
        <f t="shared" si="8"/>
        <v>-0.13999999999941792</v>
      </c>
      <c r="H84" s="99">
        <f>G84+'28'!H84</f>
        <v>0.26000000000203727</v>
      </c>
      <c r="I84" s="118"/>
      <c r="J84" s="175">
        <f>H84/DAY(B2)</f>
        <v>8.965517241449561E-3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'28'!F85</f>
        <v>2190</v>
      </c>
      <c r="F85" s="164">
        <v>2214</v>
      </c>
      <c r="G85" s="112">
        <f t="shared" si="8"/>
        <v>24</v>
      </c>
      <c r="H85" s="99">
        <f>G85+'28'!H85</f>
        <v>-46.420000000000073</v>
      </c>
      <c r="I85" s="118">
        <f>G82+G83+G84+G85</f>
        <v>23.860000000000582</v>
      </c>
      <c r="J85" s="175">
        <f>H85/DAY(B2)</f>
        <v>-1.6006896551724163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'28'!F86</f>
        <v>43442</v>
      </c>
      <c r="F86" s="164">
        <v>43442</v>
      </c>
      <c r="G86" s="112">
        <f t="shared" si="8"/>
        <v>0</v>
      </c>
      <c r="H86" s="99">
        <f>G86+'28'!H86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'28'!F87</f>
        <v>34598.550000000003</v>
      </c>
      <c r="F87" s="164">
        <v>34598.550000000003</v>
      </c>
      <c r="G87" s="112">
        <f t="shared" si="8"/>
        <v>0</v>
      </c>
      <c r="H87" s="99">
        <f>G87+'28'!H87</f>
        <v>5.0000000002910383E-2</v>
      </c>
      <c r="I87" s="118"/>
      <c r="J87" s="175">
        <f>H87/DAY(B2)</f>
        <v>1.7241379311348408E-3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'28'!F88</f>
        <v>24063.43</v>
      </c>
      <c r="F88" s="164">
        <v>24063.43</v>
      </c>
      <c r="G88" s="112">
        <f t="shared" si="8"/>
        <v>0</v>
      </c>
      <c r="H88" s="99">
        <f>G88+'28'!H88</f>
        <v>0</v>
      </c>
      <c r="I88" s="118">
        <f>G86+G87+G88</f>
        <v>0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'28'!F89</f>
        <v>25862.68</v>
      </c>
      <c r="F89" s="164">
        <v>25872.61</v>
      </c>
      <c r="G89" s="112">
        <f t="shared" si="8"/>
        <v>9.930000000000291</v>
      </c>
      <c r="H89" s="99">
        <f>G89+'28'!H89</f>
        <v>-18.509999999998399</v>
      </c>
      <c r="I89" s="118"/>
      <c r="J89" s="175">
        <f>H89/DAY(B2)</f>
        <v>-0.63827586206891029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'28'!F90</f>
        <v>71158.149999999994</v>
      </c>
      <c r="F90" s="164">
        <v>71159.08</v>
      </c>
      <c r="G90" s="112">
        <f t="shared" si="8"/>
        <v>0.930000000007567</v>
      </c>
      <c r="H90" s="99">
        <f>G90+'28'!H90</f>
        <v>27.080000000001746</v>
      </c>
      <c r="I90" s="118">
        <f>G89+G90</f>
        <v>10.860000000007858</v>
      </c>
      <c r="J90" s="175">
        <f>H90/DAY(B2)</f>
        <v>0.9337931034483361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'28'!F91</f>
        <v>3226</v>
      </c>
      <c r="F91" s="122">
        <v>3228.01</v>
      </c>
      <c r="G91" s="112">
        <f t="shared" si="8"/>
        <v>2.0100000000002183</v>
      </c>
      <c r="H91" s="99">
        <f>G91+'28'!H91</f>
        <v>-23.079999999999927</v>
      </c>
      <c r="I91" s="165"/>
      <c r="J91" s="175">
        <f>H91/DAY(B2)</f>
        <v>-0.7958620689655147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'28'!F92</f>
        <v>5732.08</v>
      </c>
      <c r="F92" s="122">
        <v>5741.07</v>
      </c>
      <c r="G92" s="112">
        <f t="shared" si="8"/>
        <v>8.9899999999997817</v>
      </c>
      <c r="H92" s="99">
        <f>G92+'28'!H92</f>
        <v>0</v>
      </c>
      <c r="I92" s="165"/>
      <c r="J92" s="175">
        <f>H92/DAY(B2)</f>
        <v>0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4173</v>
      </c>
      <c r="H94" s="99">
        <f>G94+'28'!H94</f>
        <v>58058.229999999996</v>
      </c>
      <c r="I94" s="118"/>
      <c r="J94" s="175">
        <f>H94/DAY(B2)</f>
        <v>2002.0079310344827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0.24308265858915362</v>
      </c>
      <c r="H95" s="99">
        <f>G95+'28'!H95</f>
        <v>7.2849477548778259</v>
      </c>
      <c r="I95" s="167"/>
      <c r="J95" s="175">
        <f>H95/DAY(B2)</f>
        <v>0.25120509499578708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3572</v>
      </c>
      <c r="H96" s="99">
        <f>G96+'28'!H96</f>
        <v>53786.419999999991</v>
      </c>
      <c r="I96" s="118"/>
      <c r="J96" s="175">
        <f>H96/DAY(B2)</f>
        <v>1854.7041379310342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0.20807362963825946</v>
      </c>
      <c r="H97" s="99">
        <f>G97+'28'!H97</f>
        <v>5.3621729861958416</v>
      </c>
      <c r="I97" s="167"/>
      <c r="J97" s="175">
        <f>H97/DAY(B2)</f>
        <v>0.18490251676537384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2606</v>
      </c>
      <c r="H98" s="99">
        <f>G98+'28'!H98</f>
        <v>-5265.2900000000045</v>
      </c>
      <c r="I98" s="168"/>
      <c r="J98" s="175">
        <f>H98/DAY(B2)</f>
        <v>-181.56172413793118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0.15180287761402692</v>
      </c>
      <c r="H99" s="99">
        <f>G99+'28'!H99</f>
        <v>4.268912929094137</v>
      </c>
      <c r="I99" s="168"/>
      <c r="J99" s="175">
        <f>H99/DAY(B2)</f>
        <v>0.14720389410669438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1750</v>
      </c>
      <c r="H100" s="99">
        <f>G100+'28'!H100</f>
        <v>-3256.4300000000003</v>
      </c>
      <c r="I100" s="118"/>
      <c r="J100" s="175">
        <f>H100/DAY(B2)</f>
        <v>-112.29068965517243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0.10193976815984156</v>
      </c>
      <c r="H101" s="99">
        <f>G101+'28'!H101</f>
        <v>2.8054975839891396</v>
      </c>
      <c r="I101" s="168"/>
      <c r="J101" s="175">
        <f>H101/DAY(B2)</f>
        <v>9.6741295999625498E-2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1678</v>
      </c>
      <c r="H102" s="99">
        <f>G102+'28'!H102</f>
        <v>-3606.3699999999953</v>
      </c>
      <c r="I102" s="168"/>
      <c r="J102" s="175">
        <f>H102/DAY(B2)</f>
        <v>-124.35758620689639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9.7745674841265215E-2</v>
      </c>
      <c r="H103" s="99">
        <f>G103+'28'!H103</f>
        <v>2.9983872732163568</v>
      </c>
      <c r="I103" s="118"/>
      <c r="J103" s="175">
        <f>H103/DAY(B2)</f>
        <v>0.10339266459366747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1611</v>
      </c>
      <c r="H104" s="99">
        <f>G104+'28'!H104</f>
        <v>-3141.0899999999965</v>
      </c>
      <c r="I104" s="118"/>
      <c r="J104" s="175">
        <f>H104/DAY(B2)</f>
        <v>-108.31344827586194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9.3842838003145565E-2</v>
      </c>
      <c r="H105" s="99">
        <f>G105+'28'!H105</f>
        <v>2.5051950858651151</v>
      </c>
      <c r="I105" s="187"/>
      <c r="J105" s="188">
        <f>H105/DAY(B2)</f>
        <v>8.6386037443624664E-2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237">
        <v>57824</v>
      </c>
      <c r="F112" s="237">
        <v>57901</v>
      </c>
      <c r="G112" s="112">
        <f t="shared" ref="G112" si="9">F112-E112</f>
        <v>77</v>
      </c>
      <c r="H112" s="99">
        <f>G112+'28'!H112</f>
        <v>-153</v>
      </c>
      <c r="I112" s="165"/>
      <c r="J112" s="328">
        <f>H112/DAY(B2)</f>
        <v>-5.2758620689655169</v>
      </c>
    </row>
    <row r="113" spans="1:18" ht="27.75" x14ac:dyDescent="0.5">
      <c r="A113" s="863" t="s">
        <v>253</v>
      </c>
      <c r="B113" s="864"/>
      <c r="C113" s="865"/>
      <c r="D113" s="146" t="s">
        <v>183</v>
      </c>
      <c r="E113" s="95">
        <f>'28'!F113</f>
        <v>45015</v>
      </c>
      <c r="F113" s="237">
        <v>45482</v>
      </c>
      <c r="G113" s="112">
        <f t="shared" ref="G113:G123" si="10">F113-E113</f>
        <v>467</v>
      </c>
      <c r="H113" s="99">
        <f>G113+'28'!H113</f>
        <v>-918.88999999999942</v>
      </c>
      <c r="I113" s="165"/>
      <c r="J113" s="328">
        <f>H113/DAY(B2)</f>
        <v>-31.685862068965498</v>
      </c>
    </row>
    <row r="114" spans="1:18" ht="27.75" x14ac:dyDescent="0.5">
      <c r="A114" s="863" t="s">
        <v>254</v>
      </c>
      <c r="B114" s="864"/>
      <c r="C114" s="865"/>
      <c r="D114" s="146" t="s">
        <v>183</v>
      </c>
      <c r="E114" s="95">
        <f>'28'!F114</f>
        <v>32387</v>
      </c>
      <c r="F114" s="237">
        <v>32645</v>
      </c>
      <c r="G114" s="112">
        <f t="shared" si="10"/>
        <v>258</v>
      </c>
      <c r="H114" s="99">
        <f>G114+'28'!H114</f>
        <v>-648.60000000000036</v>
      </c>
      <c r="I114" s="165"/>
      <c r="J114" s="328">
        <f>H114/DAY(B2)</f>
        <v>-22.365517241379322</v>
      </c>
    </row>
    <row r="115" spans="1:18" ht="27.75" x14ac:dyDescent="0.5">
      <c r="A115" s="863" t="s">
        <v>255</v>
      </c>
      <c r="B115" s="864"/>
      <c r="C115" s="865"/>
      <c r="D115" s="146" t="s">
        <v>183</v>
      </c>
      <c r="E115" s="95">
        <f>'28'!F115</f>
        <v>9063</v>
      </c>
      <c r="F115" s="237">
        <v>9071</v>
      </c>
      <c r="G115" s="112">
        <f t="shared" si="10"/>
        <v>8</v>
      </c>
      <c r="H115" s="99">
        <f>G115+'28'!H115</f>
        <v>-23.649999999999636</v>
      </c>
      <c r="I115" s="165"/>
      <c r="J115" s="328">
        <f>H115/DAY(B2)</f>
        <v>-0.81551724137929782</v>
      </c>
    </row>
    <row r="116" spans="1:18" ht="27.75" x14ac:dyDescent="0.5">
      <c r="A116" s="870" t="s">
        <v>96</v>
      </c>
      <c r="B116" s="871"/>
      <c r="C116" s="872"/>
      <c r="D116" s="146" t="s">
        <v>183</v>
      </c>
      <c r="E116" s="95">
        <f>'28'!F116</f>
        <v>0</v>
      </c>
      <c r="F116" s="237">
        <v>0</v>
      </c>
      <c r="G116" s="112">
        <f t="shared" si="10"/>
        <v>0</v>
      </c>
      <c r="H116" s="99">
        <f>G116+'28'!H116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27.75" x14ac:dyDescent="0.5">
      <c r="A117" s="870" t="s">
        <v>184</v>
      </c>
      <c r="B117" s="871"/>
      <c r="C117" s="872"/>
      <c r="D117" s="146" t="s">
        <v>183</v>
      </c>
      <c r="E117" s="95">
        <f>'28'!F117</f>
        <v>3253</v>
      </c>
      <c r="F117" s="237">
        <v>3277</v>
      </c>
      <c r="G117" s="112">
        <f t="shared" si="10"/>
        <v>24</v>
      </c>
      <c r="H117" s="99">
        <f>G117+'28'!H117</f>
        <v>-60.949999999999818</v>
      </c>
      <c r="I117" s="165"/>
      <c r="J117" s="328">
        <f>H117/DAY(B2)</f>
        <v>-2.1017241379310283</v>
      </c>
      <c r="Q117" s="863" t="s">
        <v>312</v>
      </c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'28'!F118</f>
        <v>251486</v>
      </c>
      <c r="F118" s="237">
        <v>251822</v>
      </c>
      <c r="G118" s="112">
        <f t="shared" si="10"/>
        <v>336</v>
      </c>
      <c r="H118" s="99">
        <f>G118+'28'!H118</f>
        <v>-630.30999999999767</v>
      </c>
      <c r="I118" s="165"/>
      <c r="J118" s="328">
        <f>H118/DAY(B2)</f>
        <v>-21.734827586206816</v>
      </c>
      <c r="Q118" s="863" t="s">
        <v>311</v>
      </c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'28'!F119</f>
        <v>256886</v>
      </c>
      <c r="F119" s="237">
        <v>257303</v>
      </c>
      <c r="G119" s="112">
        <f t="shared" si="10"/>
        <v>417</v>
      </c>
      <c r="H119" s="99">
        <f>G119+'28'!H119</f>
        <v>-845.54999999998836</v>
      </c>
      <c r="I119" s="165"/>
      <c r="J119" s="328">
        <f>H119/DAY(B2)</f>
        <v>-29.156896551723737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'28'!F120</f>
        <v>41690</v>
      </c>
      <c r="F120" s="237">
        <v>42114</v>
      </c>
      <c r="G120" s="112">
        <f t="shared" si="10"/>
        <v>424</v>
      </c>
      <c r="H120" s="99">
        <f>G120+'28'!H120</f>
        <v>-845.61000000000058</v>
      </c>
      <c r="I120" s="165"/>
      <c r="J120" s="328">
        <f>H120/DAY(B2)</f>
        <v>-29.158965517241398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'28'!F121</f>
        <v>395861</v>
      </c>
      <c r="F121" s="237">
        <v>396571</v>
      </c>
      <c r="G121" s="112">
        <f t="shared" si="10"/>
        <v>710</v>
      </c>
      <c r="H121" s="99">
        <f>G121+'28'!H121</f>
        <v>-1463.429999999993</v>
      </c>
      <c r="I121" s="165"/>
      <c r="J121" s="328">
        <f>H121/DAY(B2)</f>
        <v>-50.463103448275618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'28'!F122</f>
        <v>125574</v>
      </c>
      <c r="F122" s="237">
        <v>125774</v>
      </c>
      <c r="G122" s="112">
        <f t="shared" si="10"/>
        <v>200</v>
      </c>
      <c r="H122" s="99">
        <f>G122+'28'!H122</f>
        <v>-412.17999999999302</v>
      </c>
      <c r="I122" s="165"/>
      <c r="J122" s="328">
        <f>H122/DAY(B2)</f>
        <v>-14.213103448275621</v>
      </c>
    </row>
    <row r="123" spans="1:18" ht="27.75" x14ac:dyDescent="0.5">
      <c r="A123" s="862" t="s">
        <v>102</v>
      </c>
      <c r="B123" s="862"/>
      <c r="C123" s="862"/>
      <c r="D123" s="151" t="s">
        <v>183</v>
      </c>
      <c r="E123" s="95">
        <f>'28'!F123</f>
        <v>153220</v>
      </c>
      <c r="F123" s="237">
        <v>153495</v>
      </c>
      <c r="G123" s="112">
        <f t="shared" si="10"/>
        <v>275</v>
      </c>
      <c r="H123" s="99">
        <f>G123+'28'!H123</f>
        <v>-551.95000000001164</v>
      </c>
      <c r="I123" s="165"/>
      <c r="J123" s="328">
        <f>H123/DAY(B2)</f>
        <v>-19.032758620690057</v>
      </c>
    </row>
    <row r="124" spans="1:18" ht="27.75" x14ac:dyDescent="0.5">
      <c r="A124" s="867"/>
      <c r="B124" s="868"/>
      <c r="C124" s="869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7.75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3196</v>
      </c>
      <c r="H125" s="156"/>
      <c r="I125" s="327">
        <f>G125-(G39+G53)</f>
        <v>590</v>
      </c>
      <c r="J125" s="327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7.75" x14ac:dyDescent="0.5">
      <c r="A128" s="863" t="s">
        <v>318</v>
      </c>
      <c r="B128" s="864"/>
      <c r="C128" s="865"/>
      <c r="D128" s="151" t="s">
        <v>183</v>
      </c>
      <c r="E128" s="95">
        <f>'28'!F128</f>
        <v>46835</v>
      </c>
      <c r="F128" s="165">
        <v>47138</v>
      </c>
      <c r="G128" s="112">
        <f t="shared" ref="G128:G134" si="11">F128-E128</f>
        <v>303</v>
      </c>
      <c r="H128" s="99">
        <f>G128+'28'!H128</f>
        <v>-608</v>
      </c>
      <c r="I128" s="165"/>
      <c r="J128" s="328">
        <f>H128/DAY(B2)</f>
        <v>-20.96551724137931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'28'!F129</f>
        <v>26369</v>
      </c>
      <c r="F129" s="165">
        <v>26567</v>
      </c>
      <c r="G129" s="112">
        <f t="shared" si="11"/>
        <v>198</v>
      </c>
      <c r="H129" s="99">
        <f>G129+'28'!H129</f>
        <v>-343.86999999999898</v>
      </c>
      <c r="I129" s="165"/>
      <c r="J129" s="328">
        <f>H129/DAY(B2)</f>
        <v>-11.857586206896517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'28'!F130</f>
        <v>34366</v>
      </c>
      <c r="F130" s="165">
        <v>34772</v>
      </c>
      <c r="G130" s="112">
        <f t="shared" si="11"/>
        <v>406</v>
      </c>
      <c r="H130" s="99">
        <f>G130+'28'!H130</f>
        <v>-922</v>
      </c>
      <c r="I130" s="165"/>
      <c r="J130" s="328">
        <f>H130/DAY(B2)</f>
        <v>-31.793103448275861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'28'!F131</f>
        <v>15155</v>
      </c>
      <c r="F131" s="165">
        <v>15216</v>
      </c>
      <c r="G131" s="112">
        <f t="shared" si="11"/>
        <v>61</v>
      </c>
      <c r="H131" s="99">
        <f>G131+'28'!H131</f>
        <v>-91.680000000000291</v>
      </c>
      <c r="I131" s="165"/>
      <c r="J131" s="328">
        <f>H131/DAY(B2)</f>
        <v>-3.1613793103448375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'28'!F132</f>
        <v>51353</v>
      </c>
      <c r="F132" s="165">
        <v>51518</v>
      </c>
      <c r="G132" s="112">
        <f t="shared" si="11"/>
        <v>165</v>
      </c>
      <c r="H132" s="99">
        <f>G132+'28'!H132</f>
        <v>-330.30000000000291</v>
      </c>
      <c r="I132" s="165"/>
      <c r="J132" s="328">
        <f>H132/DAY(B2)</f>
        <v>-11.389655172413894</v>
      </c>
    </row>
    <row r="133" spans="1:15" ht="27.75" x14ac:dyDescent="0.5">
      <c r="A133" s="863" t="s">
        <v>362</v>
      </c>
      <c r="B133" s="864"/>
      <c r="C133" s="865"/>
      <c r="D133" s="151" t="s">
        <v>183</v>
      </c>
      <c r="E133" s="95">
        <f>'28'!F133</f>
        <v>103916</v>
      </c>
      <c r="F133" s="165">
        <v>104410</v>
      </c>
      <c r="G133" s="112">
        <f t="shared" si="11"/>
        <v>494</v>
      </c>
      <c r="H133" s="99">
        <f>G133+'28'!H133</f>
        <v>-933.69999999999709</v>
      </c>
      <c r="I133" s="165"/>
      <c r="J133" s="328">
        <f>H133/DAY(B2)</f>
        <v>-32.196551724137834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'28'!F134</f>
        <v>8139</v>
      </c>
      <c r="F134" s="165">
        <v>8290</v>
      </c>
      <c r="G134" s="112">
        <f t="shared" si="11"/>
        <v>151</v>
      </c>
      <c r="H134" s="99">
        <f>G134+'28'!H134</f>
        <v>-311.22999999999956</v>
      </c>
      <c r="I134" s="165"/>
      <c r="J134" s="328">
        <f>H134/DAY(B2)</f>
        <v>-10.732068965517227</v>
      </c>
    </row>
    <row r="135" spans="1:15" ht="27.75" x14ac:dyDescent="0.5">
      <c r="A135" s="847" t="s">
        <v>196</v>
      </c>
      <c r="B135" s="848"/>
      <c r="C135" s="331"/>
      <c r="D135" s="151"/>
      <c r="E135" s="95"/>
      <c r="F135" s="165"/>
      <c r="G135" s="112">
        <f>SUM(G127:G134)</f>
        <v>1778</v>
      </c>
      <c r="H135" s="99">
        <f>G135+'23'!H135</f>
        <v>27370.389999999985</v>
      </c>
      <c r="I135" s="327">
        <f>G135-(G35+G49)</f>
        <v>-330</v>
      </c>
      <c r="J135" s="328"/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'28'!F138</f>
        <v>865997</v>
      </c>
      <c r="F138" s="147">
        <v>866045</v>
      </c>
      <c r="G138" s="112">
        <f t="shared" ref="G138:G152" si="12">F138-E138</f>
        <v>48</v>
      </c>
      <c r="H138" s="99">
        <f>G138+'28'!H138</f>
        <v>-128</v>
      </c>
      <c r="I138" s="118"/>
      <c r="J138" s="328">
        <f>H138/DAY(B2)</f>
        <v>-4.4137931034482758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'28'!F139</f>
        <v>886570</v>
      </c>
      <c r="F139" s="148">
        <v>886570</v>
      </c>
      <c r="G139" s="112">
        <f t="shared" si="12"/>
        <v>0</v>
      </c>
      <c r="H139" s="99">
        <f>G139+'28'!H139</f>
        <v>-3</v>
      </c>
      <c r="I139" s="118"/>
      <c r="J139" s="328">
        <f>H139/DAY(B2)</f>
        <v>-0.10344827586206896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'28'!F140</f>
        <v>88922</v>
      </c>
      <c r="F140" s="149">
        <v>88922</v>
      </c>
      <c r="G140" s="112">
        <f t="shared" si="12"/>
        <v>0</v>
      </c>
      <c r="H140" s="99">
        <f>G140+'28'!H140</f>
        <v>0</v>
      </c>
      <c r="I140" s="118"/>
      <c r="J140" s="328">
        <f>H140/DAY(B2)</f>
        <v>0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'28'!F141</f>
        <v>54154</v>
      </c>
      <c r="F141" s="149">
        <v>54339</v>
      </c>
      <c r="G141" s="112">
        <f t="shared" si="12"/>
        <v>185</v>
      </c>
      <c r="H141" s="99">
        <f>G141+'28'!H141</f>
        <v>-346.58000000000175</v>
      </c>
      <c r="I141" s="118"/>
      <c r="J141" s="328">
        <f>H141/DAY(B2)</f>
        <v>-11.951034482758681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'28'!F142</f>
        <v>21049</v>
      </c>
      <c r="F142" s="148">
        <v>21127</v>
      </c>
      <c r="G142" s="112">
        <f t="shared" si="12"/>
        <v>78</v>
      </c>
      <c r="H142" s="99">
        <f>G142+'28'!H142</f>
        <v>-157.09999999999854</v>
      </c>
      <c r="I142" s="140"/>
      <c r="J142" s="328">
        <f>H142/DAY(B2)</f>
        <v>-5.4172413793102949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'28'!F143</f>
        <v>3762</v>
      </c>
      <c r="F143" s="149">
        <v>3787</v>
      </c>
      <c r="G143" s="112">
        <f t="shared" si="12"/>
        <v>25</v>
      </c>
      <c r="H143" s="99">
        <f>G143+'28'!H143</f>
        <v>-48.389999999999873</v>
      </c>
      <c r="I143" s="140"/>
      <c r="J143" s="328">
        <f>H143/DAY(B2)</f>
        <v>-1.6686206896551681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'28'!F144</f>
        <v>875870</v>
      </c>
      <c r="F144" s="149">
        <v>876070</v>
      </c>
      <c r="G144" s="112">
        <f t="shared" si="12"/>
        <v>200</v>
      </c>
      <c r="H144" s="99">
        <f>G144+'28'!H144</f>
        <v>-417</v>
      </c>
      <c r="I144" s="140"/>
      <c r="J144" s="328">
        <f>H144/DAY(B2)</f>
        <v>-14.379310344827585</v>
      </c>
    </row>
    <row r="145" spans="1:10" ht="27.75" x14ac:dyDescent="0.5">
      <c r="A145" s="862" t="s">
        <v>190</v>
      </c>
      <c r="B145" s="862"/>
      <c r="C145" s="862"/>
      <c r="D145" s="152" t="s">
        <v>183</v>
      </c>
      <c r="E145" s="95">
        <f>'28'!F145</f>
        <v>4935</v>
      </c>
      <c r="F145" s="149">
        <v>4943</v>
      </c>
      <c r="G145" s="112">
        <f t="shared" si="12"/>
        <v>8</v>
      </c>
      <c r="H145" s="99">
        <f>G145+'28'!H145</f>
        <v>-15.840000000000146</v>
      </c>
      <c r="I145" s="140"/>
      <c r="J145" s="328">
        <f>H145/DAY(B2)</f>
        <v>-0.54620689655172916</v>
      </c>
    </row>
    <row r="146" spans="1:10" ht="27.75" x14ac:dyDescent="0.5">
      <c r="A146" s="897" t="s">
        <v>191</v>
      </c>
      <c r="B146" s="882"/>
      <c r="C146" s="883"/>
      <c r="D146" s="152" t="s">
        <v>183</v>
      </c>
      <c r="E146" s="95">
        <f>'28'!F146</f>
        <v>736078</v>
      </c>
      <c r="F146" s="148">
        <v>736461</v>
      </c>
      <c r="G146" s="112">
        <f t="shared" si="12"/>
        <v>383</v>
      </c>
      <c r="H146" s="99">
        <f>G146+'28'!H146</f>
        <v>-872</v>
      </c>
      <c r="I146" s="140"/>
      <c r="J146" s="328">
        <f>H146/DAY(B2)</f>
        <v>-30.068965517241381</v>
      </c>
    </row>
    <row r="147" spans="1:10" ht="27.75" x14ac:dyDescent="0.5">
      <c r="A147" s="843" t="s">
        <v>192</v>
      </c>
      <c r="B147" s="843"/>
      <c r="C147" s="843"/>
      <c r="D147" s="152" t="s">
        <v>183</v>
      </c>
      <c r="E147" s="95">
        <f>'28'!F147</f>
        <v>625551</v>
      </c>
      <c r="F147" s="148">
        <v>625925</v>
      </c>
      <c r="G147" s="112">
        <f t="shared" si="12"/>
        <v>374</v>
      </c>
      <c r="H147" s="99">
        <f>G147+'28'!H147</f>
        <v>-687.52000000001863</v>
      </c>
      <c r="I147" s="140"/>
      <c r="J147" s="328">
        <f>H147/DAY(B2)</f>
        <v>-23.707586206897194</v>
      </c>
    </row>
    <row r="148" spans="1:10" ht="27.75" x14ac:dyDescent="0.5">
      <c r="A148" s="844" t="s">
        <v>193</v>
      </c>
      <c r="B148" s="845"/>
      <c r="C148" s="846"/>
      <c r="D148" s="123" t="s">
        <v>130</v>
      </c>
      <c r="E148" s="95">
        <f>'28'!F148</f>
        <v>688880</v>
      </c>
      <c r="F148" s="150">
        <v>689065</v>
      </c>
      <c r="G148" s="112">
        <f t="shared" si="12"/>
        <v>185</v>
      </c>
      <c r="H148" s="99">
        <f>G148+'28'!H148</f>
        <v>-377.95999999996275</v>
      </c>
      <c r="I148" s="124"/>
      <c r="J148" s="328">
        <f>H148/DAY(B2)</f>
        <v>-13.033103448274577</v>
      </c>
    </row>
    <row r="149" spans="1:10" ht="27.75" x14ac:dyDescent="0.5">
      <c r="A149" s="844" t="s">
        <v>336</v>
      </c>
      <c r="B149" s="845"/>
      <c r="C149" s="846"/>
      <c r="D149" s="227" t="s">
        <v>130</v>
      </c>
      <c r="E149" s="95">
        <f>'28'!F149</f>
        <v>23289</v>
      </c>
      <c r="F149" s="146">
        <v>23796</v>
      </c>
      <c r="G149" s="112">
        <f t="shared" si="12"/>
        <v>507</v>
      </c>
      <c r="H149" s="99">
        <f>G149+'28'!H149</f>
        <v>-882.20000000000073</v>
      </c>
      <c r="I149" s="119"/>
      <c r="J149" s="328">
        <f>H149/DAY(B2)</f>
        <v>-30.420689655172438</v>
      </c>
    </row>
    <row r="150" spans="1:10" ht="27.75" x14ac:dyDescent="0.5">
      <c r="A150" s="844" t="s">
        <v>337</v>
      </c>
      <c r="B150" s="845"/>
      <c r="C150" s="846"/>
      <c r="D150" s="117" t="s">
        <v>130</v>
      </c>
      <c r="E150" s="95">
        <f>'28'!F150</f>
        <v>10179</v>
      </c>
      <c r="F150" s="233">
        <v>10414</v>
      </c>
      <c r="G150" s="112">
        <f t="shared" si="12"/>
        <v>235</v>
      </c>
      <c r="H150" s="99">
        <f>G150+'28'!H150</f>
        <v>-436.82999999999993</v>
      </c>
      <c r="I150" s="119"/>
      <c r="J150" s="328">
        <f>H150/DAY(B2)</f>
        <v>-15.063103448275859</v>
      </c>
    </row>
    <row r="151" spans="1:10" ht="27.75" x14ac:dyDescent="0.5">
      <c r="A151" s="844" t="s">
        <v>338</v>
      </c>
      <c r="B151" s="845"/>
      <c r="C151" s="846"/>
      <c r="D151" s="117" t="s">
        <v>130</v>
      </c>
      <c r="E151" s="95">
        <f>'28'!F151</f>
        <v>84703</v>
      </c>
      <c r="F151" s="233">
        <v>84953</v>
      </c>
      <c r="G151" s="112">
        <f t="shared" si="12"/>
        <v>250</v>
      </c>
      <c r="H151" s="99">
        <f>G151+'28'!H151</f>
        <v>-527</v>
      </c>
      <c r="I151" s="119"/>
      <c r="J151" s="328">
        <f>H151/DAY(B2)</f>
        <v>-18.172413793103448</v>
      </c>
    </row>
    <row r="152" spans="1:10" ht="27.75" x14ac:dyDescent="0.5">
      <c r="A152" s="844" t="s">
        <v>339</v>
      </c>
      <c r="B152" s="845"/>
      <c r="C152" s="846"/>
      <c r="D152" s="117" t="s">
        <v>130</v>
      </c>
      <c r="E152" s="95">
        <f>'28'!F152</f>
        <v>1614</v>
      </c>
      <c r="F152" s="233">
        <v>1627</v>
      </c>
      <c r="G152" s="112">
        <f t="shared" si="12"/>
        <v>13</v>
      </c>
      <c r="H152" s="99">
        <f>G152+'28'!H152</f>
        <v>-33</v>
      </c>
      <c r="I152" s="119"/>
      <c r="J152" s="328">
        <f>H152/DAY(B2)</f>
        <v>-1.1379310344827587</v>
      </c>
    </row>
    <row r="153" spans="1:10" ht="27.75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2491</v>
      </c>
      <c r="H153" s="363"/>
      <c r="I153" s="119">
        <f>G153-(G38+G52)</f>
        <v>741</v>
      </c>
      <c r="J153" s="366"/>
    </row>
    <row r="154" spans="1:10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 x14ac:dyDescent="0.55000000000000004">
      <c r="A155" s="843" t="s">
        <v>345</v>
      </c>
      <c r="B155" s="843"/>
      <c r="C155" s="843"/>
      <c r="D155" s="117" t="s">
        <v>130</v>
      </c>
      <c r="E155" s="95">
        <f>'28'!F155</f>
        <v>30396</v>
      </c>
      <c r="F155" s="471">
        <v>31038</v>
      </c>
      <c r="G155" s="112">
        <f t="shared" ref="G155:G158" si="13">F155-E155</f>
        <v>642</v>
      </c>
      <c r="H155" s="99">
        <f>G155+'28'!H155</f>
        <v>-1907</v>
      </c>
      <c r="I155" s="364"/>
      <c r="J155" s="328">
        <f>H155/DAY(B2)</f>
        <v>-65.758620689655174</v>
      </c>
    </row>
    <row r="156" spans="1:10" ht="27.75" x14ac:dyDescent="0.5">
      <c r="A156" s="843" t="s">
        <v>347</v>
      </c>
      <c r="B156" s="843"/>
      <c r="C156" s="843"/>
      <c r="D156" s="117" t="s">
        <v>130</v>
      </c>
      <c r="E156" s="95">
        <f>'28'!F156</f>
        <v>2564</v>
      </c>
      <c r="F156" s="155">
        <v>2621</v>
      </c>
      <c r="G156" s="112">
        <f t="shared" si="13"/>
        <v>57</v>
      </c>
      <c r="H156" s="99">
        <f>G156+'28'!H156</f>
        <v>1519</v>
      </c>
      <c r="I156" s="165"/>
      <c r="J156" s="328">
        <f>H156/DAY(B2)</f>
        <v>52.379310344827587</v>
      </c>
    </row>
    <row r="157" spans="1:10" ht="27.75" x14ac:dyDescent="0.5">
      <c r="A157" s="844" t="s">
        <v>363</v>
      </c>
      <c r="B157" s="845"/>
      <c r="C157" s="846"/>
      <c r="D157" s="117" t="s">
        <v>130</v>
      </c>
      <c r="E157" s="95">
        <f>'28'!F157</f>
        <v>3692</v>
      </c>
      <c r="F157" s="155">
        <v>3806</v>
      </c>
      <c r="G157" s="112">
        <f t="shared" si="13"/>
        <v>114</v>
      </c>
      <c r="H157" s="99">
        <f>G157+'28'!H157</f>
        <v>114</v>
      </c>
      <c r="I157" s="165"/>
      <c r="J157" s="328">
        <f>H157/DAY(B2)</f>
        <v>3.9310344827586206</v>
      </c>
    </row>
    <row r="158" spans="1:10" ht="27.75" x14ac:dyDescent="0.5">
      <c r="A158" s="844" t="s">
        <v>364</v>
      </c>
      <c r="B158" s="845"/>
      <c r="C158" s="846"/>
      <c r="D158" s="117" t="s">
        <v>130</v>
      </c>
      <c r="E158" s="95">
        <f>'28'!F158</f>
        <v>45.55</v>
      </c>
      <c r="F158" s="155">
        <v>45.61</v>
      </c>
      <c r="G158" s="112">
        <f t="shared" si="13"/>
        <v>6.0000000000002274E-2</v>
      </c>
      <c r="H158" s="99">
        <f>G158+'28'!H158</f>
        <v>6.0000000000002274E-2</v>
      </c>
      <c r="I158" s="165"/>
      <c r="J158" s="328">
        <f>H158/DAY(B2)</f>
        <v>2.0689655172414579E-3</v>
      </c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'28'!F161</f>
        <v>471960</v>
      </c>
      <c r="F161" s="235">
        <v>471985</v>
      </c>
      <c r="G161" s="238">
        <f t="shared" ref="G161:G165" si="14">F161-E161</f>
        <v>25</v>
      </c>
      <c r="H161" s="99">
        <f>G161+'28'!H161</f>
        <v>-68.559999999997672</v>
      </c>
      <c r="I161" s="236"/>
      <c r="J161" s="239">
        <f>H161/DAY(B2)</f>
        <v>-2.3641379310344024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'28'!F162</f>
        <v>88439</v>
      </c>
      <c r="F162" s="235">
        <v>88468</v>
      </c>
      <c r="G162" s="238">
        <f t="shared" si="14"/>
        <v>29</v>
      </c>
      <c r="H162" s="99">
        <f>G162+'28'!H162</f>
        <v>-48.399999999994179</v>
      </c>
      <c r="I162" s="236"/>
      <c r="J162" s="239">
        <f>H162/DAY(B2)</f>
        <v>-1.6689655172411786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'28'!F163</f>
        <v>79102.5</v>
      </c>
      <c r="F163" s="235">
        <v>79150</v>
      </c>
      <c r="G163" s="238">
        <f t="shared" si="14"/>
        <v>47.5</v>
      </c>
      <c r="H163" s="99">
        <f>G163+'28'!H163</f>
        <v>-70.100000000005821</v>
      </c>
      <c r="I163" s="236"/>
      <c r="J163" s="239">
        <f>H163/DAY(B2)</f>
        <v>-2.4172413793105454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'28'!F164</f>
        <v>4317.3999999999996</v>
      </c>
      <c r="F164" s="235">
        <v>4320</v>
      </c>
      <c r="G164" s="238">
        <f t="shared" si="14"/>
        <v>2.6000000000003638</v>
      </c>
      <c r="H164" s="99">
        <f>G164+'28'!H164</f>
        <v>0</v>
      </c>
      <c r="I164" s="236"/>
      <c r="J164" s="239">
        <f>H164/DAY(B2)</f>
        <v>0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'28'!F165</f>
        <v>29828</v>
      </c>
      <c r="F165" s="235">
        <v>29835</v>
      </c>
      <c r="G165" s="238">
        <f t="shared" si="14"/>
        <v>7</v>
      </c>
      <c r="H165" s="99">
        <f>G165+'28'!H165</f>
        <v>-22.25</v>
      </c>
      <c r="I165" s="236"/>
      <c r="J165" s="239">
        <f>H165/DAY(B2)</f>
        <v>-0.76724137931034486</v>
      </c>
    </row>
    <row r="166" spans="1:10" ht="29.25" x14ac:dyDescent="0.5">
      <c r="A166" s="852"/>
      <c r="B166" s="852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'28'!F173</f>
        <v>8126</v>
      </c>
      <c r="F173" s="155">
        <v>8126</v>
      </c>
      <c r="G173" s="155">
        <f>F173-E173</f>
        <v>0</v>
      </c>
      <c r="H173" s="99">
        <f>G173+'28'!H173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'28'!F174</f>
        <v>38576</v>
      </c>
      <c r="F174" s="157">
        <v>38589</v>
      </c>
      <c r="G174" s="155">
        <f t="shared" ref="G174:G175" si="15">F174-E174</f>
        <v>13</v>
      </c>
      <c r="H174" s="99">
        <f>G174+'28'!H174</f>
        <v>348</v>
      </c>
      <c r="I174" s="155"/>
      <c r="J174" s="178">
        <f>H174/DAY(B2)</f>
        <v>12</v>
      </c>
    </row>
    <row r="175" spans="1:10" ht="27.75" x14ac:dyDescent="0.5">
      <c r="A175" s="856" t="s">
        <v>76</v>
      </c>
      <c r="B175" s="896"/>
      <c r="C175" s="857"/>
      <c r="D175" s="228" t="s">
        <v>142</v>
      </c>
      <c r="E175" s="95">
        <f>'28'!F175</f>
        <v>21783</v>
      </c>
      <c r="F175" s="155">
        <v>21795</v>
      </c>
      <c r="G175" s="155">
        <f t="shared" si="15"/>
        <v>12</v>
      </c>
      <c r="H175" s="99">
        <f>G175+'28'!H175</f>
        <v>-18</v>
      </c>
      <c r="I175" s="155"/>
      <c r="J175" s="178">
        <f>H175/DAY(B2)</f>
        <v>-0.62068965517241381</v>
      </c>
    </row>
    <row r="176" spans="1:10" ht="27.75" x14ac:dyDescent="0.5">
      <c r="A176" s="847" t="s">
        <v>196</v>
      </c>
      <c r="B176" s="848"/>
      <c r="C176" s="483"/>
      <c r="D176" s="228"/>
      <c r="E176" s="95"/>
      <c r="F176" s="155"/>
      <c r="G176" s="155">
        <f>SUM(G173:G175)</f>
        <v>25</v>
      </c>
      <c r="H176" s="99">
        <f>G176+'28'!H176</f>
        <v>330</v>
      </c>
      <c r="I176" s="155"/>
      <c r="J176" s="178">
        <f>H176/DAY(B2)</f>
        <v>11.379310344827585</v>
      </c>
    </row>
    <row r="177" spans="1:10" ht="27.75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'28'!F178</f>
        <v>81101</v>
      </c>
      <c r="F178" s="155">
        <v>81143</v>
      </c>
      <c r="G178" s="155">
        <f>F178-E178</f>
        <v>42</v>
      </c>
      <c r="H178" s="99">
        <f>G178+'28'!H178</f>
        <v>-172</v>
      </c>
      <c r="I178" s="155"/>
      <c r="J178" s="178">
        <f>H178/DAY(B2)</f>
        <v>-5.931034482758621</v>
      </c>
    </row>
    <row r="179" spans="1:10" ht="27.75" x14ac:dyDescent="0.5">
      <c r="A179" s="856" t="s">
        <v>211</v>
      </c>
      <c r="B179" s="857"/>
      <c r="C179" s="333"/>
      <c r="D179" s="228" t="s">
        <v>142</v>
      </c>
      <c r="E179" s="95">
        <f>'28'!F179</f>
        <v>34711</v>
      </c>
      <c r="F179" s="155">
        <v>34729</v>
      </c>
      <c r="G179" s="155">
        <f t="shared" ref="G179:G180" si="16">F179-E179</f>
        <v>18</v>
      </c>
      <c r="H179" s="99">
        <f>G179+'28'!H179</f>
        <v>-74</v>
      </c>
      <c r="I179" s="155"/>
      <c r="J179" s="178">
        <f>H179/DAY(B2)</f>
        <v>-2.5517241379310347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'28'!F180</f>
        <v>5675</v>
      </c>
      <c r="F180" s="155">
        <v>5690</v>
      </c>
      <c r="G180" s="155">
        <f t="shared" si="16"/>
        <v>15</v>
      </c>
      <c r="H180" s="99">
        <f>G180+'28'!H180</f>
        <v>-12</v>
      </c>
      <c r="I180" s="155"/>
      <c r="J180" s="178">
        <f>H180/DAY(B2)</f>
        <v>-0.41379310344827586</v>
      </c>
    </row>
    <row r="181" spans="1:10" ht="27.75" x14ac:dyDescent="0.5">
      <c r="A181" s="858" t="s">
        <v>108</v>
      </c>
      <c r="B181" s="859"/>
      <c r="C181" s="483"/>
      <c r="D181" s="228"/>
      <c r="E181" s="95"/>
      <c r="F181" s="155"/>
      <c r="G181" s="155">
        <f>SUM(G178:G180)</f>
        <v>75</v>
      </c>
      <c r="H181" s="99">
        <f>G181+'28'!H181</f>
        <v>-258</v>
      </c>
      <c r="I181" s="155"/>
      <c r="J181" s="178">
        <f>H181/DAY(B2)</f>
        <v>-8.8965517241379306</v>
      </c>
    </row>
    <row r="182" spans="1:10" ht="27.75" x14ac:dyDescent="0.5">
      <c r="A182" s="856" t="s">
        <v>213</v>
      </c>
      <c r="B182" s="857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'28'!F183</f>
        <v>15316</v>
      </c>
      <c r="F183" s="157">
        <v>15324</v>
      </c>
      <c r="G183" s="157">
        <f>F183-E183</f>
        <v>8</v>
      </c>
      <c r="H183" s="99">
        <f>G183+'28'!H183</f>
        <v>-21</v>
      </c>
      <c r="I183" s="155"/>
      <c r="J183" s="178">
        <f>H183/DAY(B2)</f>
        <v>-0.72413793103448276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'28'!F184</f>
        <v>10482</v>
      </c>
      <c r="F184" s="157">
        <v>10490</v>
      </c>
      <c r="G184" s="157">
        <f t="shared" ref="G184:G185" si="17">F184-E184</f>
        <v>8</v>
      </c>
      <c r="H184" s="99">
        <f>G184+'28'!H184</f>
        <v>-28</v>
      </c>
      <c r="I184" s="155"/>
      <c r="J184" s="178">
        <f>H184/DAY(B2)</f>
        <v>-0.96551724137931039</v>
      </c>
    </row>
    <row r="185" spans="1:10" ht="27.75" x14ac:dyDescent="0.5">
      <c r="A185" s="856" t="s">
        <v>216</v>
      </c>
      <c r="B185" s="857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0</v>
      </c>
      <c r="I185" s="155"/>
      <c r="J185" s="178">
        <f>H185/DAY(B2)</f>
        <v>0</v>
      </c>
    </row>
    <row r="186" spans="1:10" ht="27.75" x14ac:dyDescent="0.5">
      <c r="A186" s="847" t="s">
        <v>196</v>
      </c>
      <c r="B186" s="848"/>
      <c r="C186" s="482"/>
      <c r="D186" s="229"/>
      <c r="E186" s="95"/>
      <c r="F186" s="157"/>
      <c r="G186" s="157">
        <f>SUM(G183:G185)</f>
        <v>16</v>
      </c>
      <c r="H186" s="99">
        <f>G186+'28'!H186</f>
        <v>-49</v>
      </c>
      <c r="I186" s="157"/>
      <c r="J186" s="178">
        <f>H186/DAY(B2)</f>
        <v>-1.6896551724137931</v>
      </c>
    </row>
    <row r="187" spans="1:10" ht="27.75" x14ac:dyDescent="0.5">
      <c r="A187" s="849" t="s">
        <v>217</v>
      </c>
      <c r="B187" s="850"/>
      <c r="C187" s="333"/>
      <c r="D187" s="230" t="s">
        <v>142</v>
      </c>
      <c r="E187" s="95">
        <f>'28'!F187</f>
        <v>0</v>
      </c>
      <c r="F187" s="159"/>
      <c r="G187" s="593">
        <f>G62+G19</f>
        <v>154</v>
      </c>
      <c r="H187" s="99">
        <f>G187+'28'!H187</f>
        <v>-309</v>
      </c>
      <c r="I187" s="158"/>
      <c r="J187" s="179">
        <f>H187/DAY(B2)</f>
        <v>-10.655172413793103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>
        <f>'28'!F188</f>
        <v>0</v>
      </c>
      <c r="F188" s="159"/>
      <c r="G188" s="593">
        <f>G65+G66+G67+G69+G70</f>
        <v>153</v>
      </c>
      <c r="H188" s="99">
        <f>G188+'28'!H188</f>
        <v>2054</v>
      </c>
      <c r="I188" s="158"/>
      <c r="J188" s="179">
        <f>H188/DAY(B2)</f>
        <v>70.827586206896555</v>
      </c>
    </row>
    <row r="189" spans="1:10" ht="27.75" x14ac:dyDescent="0.5">
      <c r="A189" s="849" t="s">
        <v>219</v>
      </c>
      <c r="B189" s="850"/>
      <c r="C189" s="333"/>
      <c r="D189" s="230" t="s">
        <v>142</v>
      </c>
      <c r="E189" s="95">
        <f>'28'!F189</f>
        <v>0</v>
      </c>
      <c r="F189" s="157"/>
      <c r="G189" s="499">
        <f>G181</f>
        <v>75</v>
      </c>
      <c r="H189" s="99">
        <f>G189+'28'!H189</f>
        <v>966</v>
      </c>
      <c r="I189" s="158"/>
      <c r="J189" s="179">
        <f>H189/DAY(B2)</f>
        <v>33.310344827586206</v>
      </c>
    </row>
    <row r="190" spans="1:10" ht="27.75" x14ac:dyDescent="0.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zoomScale="55" zoomScaleNormal="55" zoomScaleSheetLayoutView="55" workbookViewId="0">
      <selection activeCell="G78" sqref="G78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30.75" customHeight="1" x14ac:dyDescent="0.5">
      <c r="A2" s="191" t="s">
        <v>303</v>
      </c>
      <c r="B2" s="262">
        <v>44591</v>
      </c>
      <c r="C2" s="348" t="s">
        <v>67</v>
      </c>
      <c r="D2" s="218">
        <v>0.46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23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'29'!F7</f>
        <v>616277</v>
      </c>
      <c r="F7" s="95">
        <v>633566</v>
      </c>
      <c r="G7" s="112">
        <f>F7-E7</f>
        <v>17289</v>
      </c>
      <c r="H7" s="99">
        <f>G7+'29'!H7</f>
        <v>-17599.229999999981</v>
      </c>
      <c r="I7" s="113">
        <f>'1'!I7</f>
        <v>12000</v>
      </c>
      <c r="J7" s="175">
        <f>H7/DAY(B2)</f>
        <v>-586.64099999999939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'29'!F8</f>
        <v>673189</v>
      </c>
      <c r="F8" s="95">
        <v>690718</v>
      </c>
      <c r="G8" s="112">
        <f>F8-E8</f>
        <v>17529</v>
      </c>
      <c r="H8" s="99">
        <f>G8+'29'!H8</f>
        <v>-17830.150000000023</v>
      </c>
      <c r="I8" s="116"/>
      <c r="J8" s="175">
        <f>H8/DAY(B2)</f>
        <v>-594.33833333333416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'29'!F9</f>
        <v>252509</v>
      </c>
      <c r="F9" s="598">
        <v>267226</v>
      </c>
      <c r="G9" s="357">
        <f>F9-E9</f>
        <v>14717</v>
      </c>
      <c r="H9" s="99">
        <f>G9+'29'!H9</f>
        <v>-15027.850000000006</v>
      </c>
      <c r="I9" s="124">
        <f>I7-J7</f>
        <v>12586.641</v>
      </c>
      <c r="J9" s="175">
        <f>H9/DAY(B2)</f>
        <v>-500.92833333333351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'29'!F10</f>
        <v>101121</v>
      </c>
      <c r="F10" s="353">
        <v>103185</v>
      </c>
      <c r="G10" s="112">
        <f t="shared" ref="G10:G12" si="0">F10-E10</f>
        <v>2064</v>
      </c>
      <c r="H10" s="99">
        <f>G10+'29'!H10</f>
        <v>-2073.9700000000012</v>
      </c>
      <c r="I10" s="282"/>
      <c r="J10" s="175">
        <f>H10/DAY(B2)</f>
        <v>-69.132333333333378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'29'!F11</f>
        <v>37170</v>
      </c>
      <c r="F11" s="95">
        <v>37170</v>
      </c>
      <c r="G11" s="112">
        <f t="shared" si="0"/>
        <v>0</v>
      </c>
      <c r="H11" s="99">
        <f>G11+'29'!H11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16781</v>
      </c>
      <c r="H13" s="99">
        <f>G13+'29'!H13</f>
        <v>-33856.25</v>
      </c>
      <c r="I13" s="120">
        <f>G7-G13</f>
        <v>508</v>
      </c>
      <c r="J13" s="175">
        <f>H13/DAY(B2)</f>
        <v>-1128.5416666666667</v>
      </c>
      <c r="K13" s="79"/>
      <c r="L13" s="66"/>
      <c r="N13" s="87"/>
      <c r="O13" s="71"/>
    </row>
    <row r="14" spans="1:15" ht="30.75" customHeight="1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'29'!F15</f>
        <v>1904792</v>
      </c>
      <c r="F15" s="123">
        <v>1905721</v>
      </c>
      <c r="G15" s="112">
        <f>(F15-E15)</f>
        <v>929</v>
      </c>
      <c r="H15" s="99">
        <f>G15+'29'!H15</f>
        <v>29664.233000000007</v>
      </c>
      <c r="I15" s="113">
        <f>'1'!I15</f>
        <v>800</v>
      </c>
      <c r="J15" s="175">
        <f>H15/DAY(B2)</f>
        <v>988.80776666666691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-188.80776666666691</v>
      </c>
      <c r="J16" s="176"/>
      <c r="K16" s="79"/>
      <c r="L16" s="66"/>
      <c r="N16" s="87"/>
      <c r="O16" s="71"/>
    </row>
    <row r="17" spans="1:15" ht="30.75" customHeight="1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84" t="s">
        <v>141</v>
      </c>
      <c r="B18" s="885"/>
      <c r="C18" s="886"/>
      <c r="D18" s="151" t="s">
        <v>142</v>
      </c>
      <c r="E18" s="95">
        <f>'29'!F18</f>
        <v>26</v>
      </c>
      <c r="F18" s="122">
        <v>17</v>
      </c>
      <c r="G18" s="119">
        <f>F18*10</f>
        <v>170</v>
      </c>
      <c r="H18" s="99">
        <f>G18+'29'!H18</f>
        <v>4870</v>
      </c>
      <c r="I18" s="113">
        <f>'1'!I18</f>
        <v>65</v>
      </c>
      <c r="J18" s="175">
        <f>H18/DAY(B2)</f>
        <v>162.33333333333334</v>
      </c>
      <c r="K18" s="79"/>
      <c r="L18" s="66"/>
      <c r="N18" s="87"/>
      <c r="O18" s="71"/>
    </row>
    <row r="19" spans="1:15" ht="30.75" customHeight="1" x14ac:dyDescent="0.5">
      <c r="A19" s="884" t="s">
        <v>69</v>
      </c>
      <c r="B19" s="885"/>
      <c r="C19" s="886"/>
      <c r="D19" s="151" t="s">
        <v>142</v>
      </c>
      <c r="E19" s="95">
        <f>'29'!F19</f>
        <v>153779</v>
      </c>
      <c r="F19" s="122">
        <v>153835</v>
      </c>
      <c r="G19" s="112">
        <f t="shared" ref="G19" si="1">F19-E19</f>
        <v>56</v>
      </c>
      <c r="H19" s="99">
        <f>G19+'29'!H19</f>
        <v>-56</v>
      </c>
      <c r="I19" s="335"/>
      <c r="J19" s="175">
        <f>H19/DAY(B2)</f>
        <v>-1.8666666666666667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226</v>
      </c>
      <c r="H20" s="99">
        <f>G20+'29'!H20</f>
        <v>4814</v>
      </c>
      <c r="I20" s="336">
        <f>I18-J20</f>
        <v>-95.466666666666669</v>
      </c>
      <c r="J20" s="175">
        <f>H20/DAY(B2)</f>
        <v>160.46666666666667</v>
      </c>
      <c r="K20" s="79"/>
      <c r="L20" s="66"/>
      <c r="N20" s="87"/>
      <c r="O20" s="71"/>
    </row>
    <row r="21" spans="1:15" ht="30.75" customHeight="1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110</v>
      </c>
      <c r="I23" s="118"/>
      <c r="J23" s="175">
        <f>H23/DAY(B2)</f>
        <v>3.6666666666666665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110</v>
      </c>
      <c r="I24" s="118"/>
      <c r="J24" s="175">
        <f>H24/DAY(B2)</f>
        <v>3.6666666666666665</v>
      </c>
      <c r="K24" s="79"/>
      <c r="L24" s="66"/>
      <c r="N24" s="87"/>
      <c r="O24" s="71"/>
    </row>
    <row r="25" spans="1:15" s="88" customFormat="1" ht="30.75" customHeight="1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17529</v>
      </c>
      <c r="F27" s="136">
        <v>9</v>
      </c>
      <c r="G27" s="137">
        <f>E27*F27</f>
        <v>157761</v>
      </c>
      <c r="H27" s="99">
        <f>G27+'29'!H27</f>
        <v>-160471.35000000009</v>
      </c>
      <c r="I27" s="138"/>
      <c r="J27" s="175">
        <f>H27/DAY(B2)</f>
        <v>-5349.0450000000028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929</v>
      </c>
      <c r="F28" s="136">
        <v>52</v>
      </c>
      <c r="G28" s="137">
        <f>E28*F28</f>
        <v>48308</v>
      </c>
      <c r="H28" s="99">
        <f>G28+'29'!H28</f>
        <v>1594197.4660000005</v>
      </c>
      <c r="I28" s="140"/>
      <c r="J28" s="175">
        <f>H28/DAY(B2)</f>
        <v>53139.915533333347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7590</v>
      </c>
      <c r="I29" s="140"/>
      <c r="J29" s="175">
        <f>H29/DAY(B2)</f>
        <v>253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G30+'29'!H30</f>
        <v>-15698.439999999999</v>
      </c>
      <c r="I30" s="140"/>
      <c r="J30" s="175">
        <f>H30/DAY(B2)</f>
        <v>-523.28133333333324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G31+'29'!H31</f>
        <v>389600</v>
      </c>
      <c r="I31" s="140"/>
      <c r="J31" s="175">
        <f>H31/DAY(B2)</f>
        <v>12986.666666666666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227845</v>
      </c>
      <c r="H32" s="99">
        <f>G32+'29'!H32</f>
        <v>1815217.6760000002</v>
      </c>
      <c r="I32" s="144"/>
      <c r="J32" s="175">
        <f>H32/DAY(B2)</f>
        <v>60507.255866666674</v>
      </c>
      <c r="K32" s="63"/>
      <c r="L32" s="89"/>
      <c r="N32" s="87"/>
      <c r="O32" s="71"/>
    </row>
    <row r="33" spans="1:15" ht="30.75" customHeight="1" x14ac:dyDescent="0.3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'29'!F35</f>
        <v>29546</v>
      </c>
      <c r="F35" s="145">
        <v>30752</v>
      </c>
      <c r="G35" s="112">
        <f t="shared" ref="G35:G46" si="3">F35-E35</f>
        <v>1206</v>
      </c>
      <c r="H35" s="99">
        <f>G35+'29'!H35</f>
        <v>-1252.9799999999959</v>
      </c>
      <c r="I35" s="95"/>
      <c r="J35" s="175">
        <f>H35/DAY(B2)</f>
        <v>-41.765999999999863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'29'!F36</f>
        <v>41974</v>
      </c>
      <c r="F36" s="145">
        <v>42820</v>
      </c>
      <c r="G36" s="112">
        <f t="shared" si="3"/>
        <v>846</v>
      </c>
      <c r="H36" s="99">
        <f>G36+'29'!H36</f>
        <v>-638.73999999999796</v>
      </c>
      <c r="I36" s="95"/>
      <c r="J36" s="175">
        <f>H36/DAY(B2)</f>
        <v>-21.291333333333267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'29'!F37</f>
        <v>32284</v>
      </c>
      <c r="F37" s="145">
        <v>33837</v>
      </c>
      <c r="G37" s="112">
        <f t="shared" si="3"/>
        <v>1553</v>
      </c>
      <c r="H37" s="99">
        <f>G37+'29'!H37</f>
        <v>-1588.0899999999965</v>
      </c>
      <c r="I37" s="95"/>
      <c r="J37" s="175">
        <f>H37/DAY(B2)</f>
        <v>-52.936333333333216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'29'!F38</f>
        <v>35120</v>
      </c>
      <c r="F38" s="108">
        <v>36749</v>
      </c>
      <c r="G38" s="112">
        <f t="shared" si="3"/>
        <v>1629</v>
      </c>
      <c r="H38" s="99">
        <f>G38+'29'!H38</f>
        <v>-1627.4300000000003</v>
      </c>
      <c r="I38" s="95"/>
      <c r="J38" s="175">
        <f>H38/DAY(B2)</f>
        <v>-54.247666666666674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'29'!F39</f>
        <v>53908</v>
      </c>
      <c r="F39" s="145">
        <v>56524</v>
      </c>
      <c r="G39" s="112">
        <f t="shared" si="3"/>
        <v>2616</v>
      </c>
      <c r="H39" s="99">
        <f>G39+'29'!H39</f>
        <v>-2649.2900000000045</v>
      </c>
      <c r="I39" s="95"/>
      <c r="J39" s="175">
        <f>H39/DAY(B2)</f>
        <v>-88.309666666666814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'29'!F40</f>
        <v>19480</v>
      </c>
      <c r="F40" s="145">
        <v>20278</v>
      </c>
      <c r="G40" s="112">
        <f t="shared" si="3"/>
        <v>798</v>
      </c>
      <c r="H40" s="99">
        <f>G40+'29'!H40</f>
        <v>-1838.9900000000016</v>
      </c>
      <c r="I40" s="95"/>
      <c r="J40" s="175">
        <f>H40/DAY(B2)</f>
        <v>-61.299666666666717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'29'!F41</f>
        <v>0</v>
      </c>
      <c r="F41" s="145">
        <v>0</v>
      </c>
      <c r="G41" s="112">
        <f t="shared" si="3"/>
        <v>0</v>
      </c>
      <c r="H41" s="99">
        <f>G41+'29'!H41</f>
        <v>-62.73</v>
      </c>
      <c r="I41" s="95"/>
      <c r="J41" s="175">
        <f>H41/DAY(B2)</f>
        <v>-2.0909999999999997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'29'!F42</f>
        <v>91927</v>
      </c>
      <c r="F42" s="145">
        <v>95811</v>
      </c>
      <c r="G42" s="112">
        <f t="shared" si="3"/>
        <v>3884</v>
      </c>
      <c r="H42" s="99">
        <f>G42+'29'!H42</f>
        <v>57733.259999999995</v>
      </c>
      <c r="I42" s="95"/>
      <c r="J42" s="175">
        <f>H42/DAY(B2)</f>
        <v>1924.4419999999998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'29'!F43</f>
        <v>111068</v>
      </c>
      <c r="F43" s="145">
        <v>112966</v>
      </c>
      <c r="G43" s="112">
        <f t="shared" si="3"/>
        <v>1898</v>
      </c>
      <c r="H43" s="99">
        <f>G43+'29'!H43</f>
        <v>64143.399999999994</v>
      </c>
      <c r="I43" s="95"/>
      <c r="J43" s="175">
        <f>H43/DAY(B2)</f>
        <v>2138.1133333333332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14430</v>
      </c>
      <c r="H47" s="99">
        <f>G47+'29'!H47</f>
        <v>112218.41</v>
      </c>
      <c r="I47" s="95"/>
      <c r="J47" s="175">
        <f>H47/DAY(B2)</f>
        <v>3740.6136666666666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'29'!F49</f>
        <v>23268</v>
      </c>
      <c r="F49" s="145">
        <v>24139</v>
      </c>
      <c r="G49" s="112">
        <f t="shared" ref="G49:G58" si="4">F49-E49</f>
        <v>871</v>
      </c>
      <c r="H49" s="99">
        <f>G49+'29'!H49</f>
        <v>-857.18999999999869</v>
      </c>
      <c r="I49" s="95"/>
      <c r="J49" s="175">
        <f>H49/DAY(B2)</f>
        <v>-28.572999999999958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'29'!F50</f>
        <v>54265</v>
      </c>
      <c r="F50" s="145">
        <v>55316</v>
      </c>
      <c r="G50" s="112">
        <f t="shared" si="4"/>
        <v>1051</v>
      </c>
      <c r="H50" s="99">
        <f>G50+'29'!H50</f>
        <v>-1070.6299999999974</v>
      </c>
      <c r="I50" s="95"/>
      <c r="J50" s="175">
        <f>H50/DAY(B2)</f>
        <v>-35.68766666666658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'29'!F51</f>
        <v>0</v>
      </c>
      <c r="F51" s="145">
        <v>0</v>
      </c>
      <c r="G51" s="112">
        <f t="shared" si="4"/>
        <v>0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'29'!F52</f>
        <v>0</v>
      </c>
      <c r="F52" s="145">
        <v>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'29'!F53</f>
        <v>0</v>
      </c>
      <c r="F53" s="145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'29'!F54</f>
        <v>5147</v>
      </c>
      <c r="F54" s="145">
        <v>5147</v>
      </c>
      <c r="G54" s="112">
        <f t="shared" si="4"/>
        <v>0</v>
      </c>
      <c r="H54" s="99">
        <f>G54+'29'!H54</f>
        <v>-0.42000000000007276</v>
      </c>
      <c r="I54" s="95"/>
      <c r="J54" s="175">
        <f>H54/DAY(B2)</f>
        <v>-1.4000000000002425E-2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'29'!F55</f>
        <v>74366</v>
      </c>
      <c r="F55" s="376">
        <v>74366</v>
      </c>
      <c r="G55" s="112">
        <f t="shared" si="4"/>
        <v>0</v>
      </c>
      <c r="H55" s="99">
        <f>G55+'29'!H55</f>
        <v>-0.11000000000058208</v>
      </c>
      <c r="I55" s="95"/>
      <c r="J55" s="175">
        <f>H55/DAY(B2)</f>
        <v>-3.666666666686069E-3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v>8610.5400000000009</v>
      </c>
      <c r="F56" s="145">
        <v>8610.5400000000009</v>
      </c>
      <c r="G56" s="112">
        <f t="shared" si="4"/>
        <v>0</v>
      </c>
      <c r="H56" s="99">
        <f>G56+'29'!H56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'29'!F57</f>
        <v>0</v>
      </c>
      <c r="F57" s="145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'29'!F58</f>
        <v>4409</v>
      </c>
      <c r="F58" s="145">
        <v>4599</v>
      </c>
      <c r="G58" s="112">
        <f t="shared" si="4"/>
        <v>190</v>
      </c>
      <c r="H58" s="99">
        <f>G58+'29'!H58</f>
        <v>-197.21000000000004</v>
      </c>
      <c r="I58" s="95"/>
      <c r="J58" s="175">
        <f>H58/DAY(B2)</f>
        <v>-6.5736666666666679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2112</v>
      </c>
      <c r="H59" s="99">
        <f>G59+'29'!H59</f>
        <v>-2125.560000000014</v>
      </c>
      <c r="I59" s="95">
        <f>G7-G60</f>
        <v>747</v>
      </c>
      <c r="J59" s="175">
        <f>H59/DAY(B2)</f>
        <v>-70.852000000000473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16542</v>
      </c>
      <c r="H60" s="99">
        <f>G60+'29'!H60</f>
        <v>110092.84999999998</v>
      </c>
      <c r="I60" s="95">
        <f>G13-G60</f>
        <v>239</v>
      </c>
      <c r="J60" s="175">
        <f>H60/DAY(B2)</f>
        <v>3669.7616666666659</v>
      </c>
      <c r="K60" s="79"/>
      <c r="L60" s="66"/>
      <c r="N60" s="87"/>
      <c r="O60" s="71"/>
    </row>
    <row r="61" spans="1:15" s="68" customFormat="1" ht="30.75" customHeight="1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884" t="s">
        <v>198</v>
      </c>
      <c r="B62" s="885"/>
      <c r="C62" s="886"/>
      <c r="D62" s="151" t="s">
        <v>142</v>
      </c>
      <c r="E62" s="95">
        <f>'29'!F62</f>
        <v>269319</v>
      </c>
      <c r="F62" s="122">
        <v>269433</v>
      </c>
      <c r="G62" s="112">
        <f t="shared" ref="G62:G63" si="5">F62-E62</f>
        <v>114</v>
      </c>
      <c r="H62" s="99">
        <f>G62+'29'!H62</f>
        <v>-83</v>
      </c>
      <c r="I62" s="118"/>
      <c r="J62" s="175">
        <f>H62/DAY(B2)</f>
        <v>-2.7666666666666666</v>
      </c>
      <c r="K62" s="80"/>
      <c r="L62" s="66"/>
      <c r="N62" s="87"/>
      <c r="O62" s="71"/>
    </row>
    <row r="63" spans="1:15" ht="30.75" customHeight="1" x14ac:dyDescent="0.5">
      <c r="A63" s="884" t="s">
        <v>199</v>
      </c>
      <c r="B63" s="885"/>
      <c r="C63" s="886"/>
      <c r="D63" s="151" t="s">
        <v>142</v>
      </c>
      <c r="E63" s="95">
        <f>'29'!F63</f>
        <v>215557</v>
      </c>
      <c r="F63" s="122">
        <v>215630</v>
      </c>
      <c r="G63" s="112">
        <f t="shared" si="5"/>
        <v>73</v>
      </c>
      <c r="H63" s="99">
        <f>G63+'29'!H63</f>
        <v>3554</v>
      </c>
      <c r="I63" s="118"/>
      <c r="J63" s="175">
        <f>H63/DAY(B2)</f>
        <v>118.46666666666667</v>
      </c>
      <c r="K63" s="69"/>
      <c r="L63" s="66"/>
      <c r="N63" s="87"/>
      <c r="O63" s="71"/>
    </row>
    <row r="64" spans="1:15" ht="30.75" customHeight="1" x14ac:dyDescent="0.5">
      <c r="A64" s="893" t="s">
        <v>200</v>
      </c>
      <c r="B64" s="894"/>
      <c r="C64" s="895"/>
      <c r="D64" s="151"/>
      <c r="E64" s="95">
        <f>'29'!F64</f>
        <v>0</v>
      </c>
      <c r="F64" s="122"/>
      <c r="G64" s="112">
        <f>G62+G63</f>
        <v>187</v>
      </c>
      <c r="H64" s="99">
        <f>G64+'29'!H64</f>
        <v>3471</v>
      </c>
      <c r="I64" s="118"/>
      <c r="J64" s="175">
        <f>H64/DAY(B2)</f>
        <v>115.7</v>
      </c>
      <c r="K64" s="69"/>
      <c r="L64" s="66"/>
      <c r="N64" s="87"/>
      <c r="O64" s="71"/>
    </row>
    <row r="65" spans="1:15" ht="30.75" customHeight="1" x14ac:dyDescent="0.5">
      <c r="A65" s="884" t="s">
        <v>201</v>
      </c>
      <c r="B65" s="885"/>
      <c r="C65" s="886"/>
      <c r="D65" s="151" t="s">
        <v>142</v>
      </c>
      <c r="E65" s="95">
        <f>'29'!F65</f>
        <v>434769</v>
      </c>
      <c r="F65" s="122">
        <v>434849</v>
      </c>
      <c r="G65" s="112">
        <f t="shared" ref="G65:G70" si="6">F65-E65</f>
        <v>80</v>
      </c>
      <c r="H65" s="99">
        <f>G65+'29'!H65</f>
        <v>-74</v>
      </c>
      <c r="I65" s="118"/>
      <c r="J65" s="175">
        <f>H65/DAY(B2)</f>
        <v>-2.4666666666666668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'29'!F66</f>
        <v>107701</v>
      </c>
      <c r="F66" s="122">
        <v>107728</v>
      </c>
      <c r="G66" s="112">
        <f t="shared" si="6"/>
        <v>27</v>
      </c>
      <c r="H66" s="99">
        <f>G66+'29'!H66</f>
        <v>-15</v>
      </c>
      <c r="I66" s="118"/>
      <c r="J66" s="175">
        <f>H66/DAY(B2)</f>
        <v>-0.5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'29'!F67</f>
        <v>104596</v>
      </c>
      <c r="F67" s="486">
        <v>104628</v>
      </c>
      <c r="G67" s="112">
        <f t="shared" si="6"/>
        <v>32</v>
      </c>
      <c r="H67" s="99">
        <f>G67+'29'!H67</f>
        <v>-20</v>
      </c>
      <c r="I67" s="118"/>
      <c r="J67" s="175">
        <f>H67/DAY(B2)</f>
        <v>-0.66666666666666663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'29'!F68</f>
        <v>157643</v>
      </c>
      <c r="F68" s="122">
        <v>157668</v>
      </c>
      <c r="G68" s="112">
        <f t="shared" si="6"/>
        <v>25</v>
      </c>
      <c r="H68" s="99">
        <f>G68+'29'!H68</f>
        <v>-29</v>
      </c>
      <c r="I68" s="118"/>
      <c r="J68" s="175">
        <f>H68/DAY(B2)</f>
        <v>-0.96666666666666667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'29'!F69</f>
        <v>10524</v>
      </c>
      <c r="F69" s="122">
        <v>10532</v>
      </c>
      <c r="G69" s="112">
        <f t="shared" si="6"/>
        <v>8</v>
      </c>
      <c r="H69" s="99">
        <f>G69+'29'!H69</f>
        <v>-9</v>
      </c>
      <c r="I69" s="118"/>
      <c r="J69" s="175">
        <f>H69/DAY(B2)</f>
        <v>-0.3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'29'!F70</f>
        <v>8090</v>
      </c>
      <c r="F70" s="486">
        <v>8112</v>
      </c>
      <c r="G70" s="112">
        <f t="shared" si="6"/>
        <v>22</v>
      </c>
      <c r="H70" s="99">
        <f>G70+'29'!H70</f>
        <v>-8</v>
      </c>
      <c r="I70" s="118"/>
      <c r="J70" s="175">
        <f>H70/DAY(B2)</f>
        <v>-0.26666666666666666</v>
      </c>
      <c r="K70" s="69"/>
      <c r="L70" s="66"/>
      <c r="N70" s="87"/>
      <c r="O70" s="71"/>
    </row>
    <row r="71" spans="1:15" ht="30.75" customHeight="1" x14ac:dyDescent="0.5">
      <c r="A71" s="893" t="s">
        <v>208</v>
      </c>
      <c r="B71" s="894"/>
      <c r="C71" s="895"/>
      <c r="D71" s="152"/>
      <c r="E71" s="152"/>
      <c r="F71" s="152"/>
      <c r="G71" s="153">
        <f>SUM(G65:G70)</f>
        <v>194</v>
      </c>
      <c r="H71" s="99">
        <f>G71+'29'!H71</f>
        <v>-155</v>
      </c>
      <c r="I71" s="154"/>
      <c r="J71" s="175">
        <f>H71/DAY(B2)</f>
        <v>-5.166666666666667</v>
      </c>
      <c r="K71" s="69"/>
      <c r="L71" s="66"/>
      <c r="N71" s="87"/>
      <c r="O71" s="71"/>
    </row>
    <row r="72" spans="1:15" s="88" customFormat="1" ht="30.75" customHeight="1" x14ac:dyDescent="0.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884" t="s">
        <v>220</v>
      </c>
      <c r="B74" s="885"/>
      <c r="C74" s="886"/>
      <c r="D74" s="151" t="s">
        <v>139</v>
      </c>
      <c r="E74" s="95">
        <f>'29'!F74</f>
        <v>900704</v>
      </c>
      <c r="F74" s="123">
        <v>901012</v>
      </c>
      <c r="G74" s="112">
        <f t="shared" ref="G74:G78" si="7">F74-E74</f>
        <v>308</v>
      </c>
      <c r="H74" s="99">
        <f>G74+'29'!H74</f>
        <v>-294.14899999997579</v>
      </c>
      <c r="I74" s="154"/>
      <c r="J74" s="175">
        <f>H74/DAY(B2)</f>
        <v>-9.8049666666658588</v>
      </c>
      <c r="K74" s="69"/>
      <c r="L74" s="66"/>
      <c r="N74" s="87"/>
      <c r="O74" s="71"/>
    </row>
    <row r="75" spans="1:15" ht="30.75" customHeight="1" x14ac:dyDescent="0.5">
      <c r="A75" s="884" t="s">
        <v>221</v>
      </c>
      <c r="B75" s="885"/>
      <c r="C75" s="886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881" t="s">
        <v>222</v>
      </c>
      <c r="B76" s="882"/>
      <c r="C76" s="883"/>
      <c r="D76" s="151" t="s">
        <v>139</v>
      </c>
      <c r="E76" s="95">
        <f>'29'!F76</f>
        <v>169805</v>
      </c>
      <c r="F76" s="123">
        <v>169900</v>
      </c>
      <c r="G76" s="112">
        <f t="shared" si="7"/>
        <v>95</v>
      </c>
      <c r="H76" s="99">
        <f>G76+'29'!H76</f>
        <v>-75</v>
      </c>
      <c r="I76" s="154"/>
      <c r="J76" s="175">
        <f>H76/DAY(B2)</f>
        <v>-2.5</v>
      </c>
      <c r="K76" s="69"/>
      <c r="L76" s="66"/>
      <c r="N76" s="87"/>
      <c r="O76" s="71"/>
    </row>
    <row r="77" spans="1:15" ht="30.75" customHeight="1" x14ac:dyDescent="0.5">
      <c r="A77" s="881" t="s">
        <v>223</v>
      </c>
      <c r="B77" s="882"/>
      <c r="C77" s="883"/>
      <c r="D77" s="151" t="s">
        <v>139</v>
      </c>
      <c r="E77" s="95">
        <f>'29'!F77</f>
        <v>41239</v>
      </c>
      <c r="F77" s="123">
        <v>41274</v>
      </c>
      <c r="G77" s="112">
        <f t="shared" si="7"/>
        <v>35</v>
      </c>
      <c r="H77" s="99">
        <f>G77+'29'!H77</f>
        <v>-28.19999999999709</v>
      </c>
      <c r="I77" s="154"/>
      <c r="J77" s="175">
        <f>H77/DAY(B2)</f>
        <v>-0.93999999999990302</v>
      </c>
      <c r="K77" s="69"/>
      <c r="L77" s="66"/>
      <c r="N77" s="87"/>
      <c r="O77" s="71"/>
    </row>
    <row r="78" spans="1:15" ht="30.75" customHeight="1" x14ac:dyDescent="0.5">
      <c r="A78" s="881" t="s">
        <v>224</v>
      </c>
      <c r="B78" s="882"/>
      <c r="C78" s="883"/>
      <c r="D78" s="151" t="s">
        <v>139</v>
      </c>
      <c r="E78" s="95">
        <f>'29'!F78</f>
        <v>9513</v>
      </c>
      <c r="F78" s="123">
        <v>9514</v>
      </c>
      <c r="G78" s="112">
        <f t="shared" si="7"/>
        <v>1</v>
      </c>
      <c r="H78" s="99">
        <f>G78+'29'!H78</f>
        <v>-2</v>
      </c>
      <c r="I78" s="118"/>
      <c r="J78" s="175">
        <f>H78/DAY(B2)</f>
        <v>-6.6666666666666666E-2</v>
      </c>
      <c r="K78" s="69"/>
      <c r="L78" s="66"/>
      <c r="N78" s="87"/>
      <c r="O78" s="71"/>
    </row>
    <row r="79" spans="1:15" s="57" customFormat="1" ht="30.75" customHeight="1" x14ac:dyDescent="0.5">
      <c r="A79" s="881" t="s">
        <v>225</v>
      </c>
      <c r="B79" s="882"/>
      <c r="C79" s="883"/>
      <c r="D79" s="151"/>
      <c r="E79" s="95">
        <f>'29'!F79</f>
        <v>0</v>
      </c>
      <c r="F79" s="117"/>
      <c r="G79" s="112">
        <f>G15-SUM(G74:G78)</f>
        <v>490</v>
      </c>
      <c r="H79" s="99">
        <f>G79+'29'!H79</f>
        <v>30063.58199999998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929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'29'!F84</f>
        <v>41675.26</v>
      </c>
      <c r="F84" s="164">
        <v>41675.26</v>
      </c>
      <c r="G84" s="112">
        <f t="shared" si="8"/>
        <v>0</v>
      </c>
      <c r="H84" s="99">
        <f>G84+'29'!H84</f>
        <v>0.26000000000203727</v>
      </c>
      <c r="I84" s="118"/>
      <c r="J84" s="175">
        <f>H84/DAY(B2)</f>
        <v>8.6666666667345755E-3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'29'!F85</f>
        <v>2214</v>
      </c>
      <c r="F85" s="164">
        <v>2238</v>
      </c>
      <c r="G85" s="112">
        <f t="shared" si="8"/>
        <v>24</v>
      </c>
      <c r="H85" s="99">
        <f>G85+'29'!H85</f>
        <v>-22.420000000000073</v>
      </c>
      <c r="I85" s="118">
        <f>G82+G83+G84+G85</f>
        <v>24</v>
      </c>
      <c r="J85" s="175">
        <f>H85/DAY(B2)</f>
        <v>-0.74733333333333574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'29'!F86</f>
        <v>43442</v>
      </c>
      <c r="F86" s="164">
        <v>43442</v>
      </c>
      <c r="G86" s="112">
        <f t="shared" si="8"/>
        <v>0</v>
      </c>
      <c r="H86" s="99">
        <f>G86+'29'!H86</f>
        <v>0</v>
      </c>
      <c r="I86" s="118"/>
      <c r="J86" s="175">
        <f>H86/DAY(B2)</f>
        <v>0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'29'!F87</f>
        <v>34598.550000000003</v>
      </c>
      <c r="F87" s="164">
        <v>34598.550000000003</v>
      </c>
      <c r="G87" s="112">
        <f t="shared" si="8"/>
        <v>0</v>
      </c>
      <c r="H87" s="99">
        <f>G87+'29'!H87</f>
        <v>5.0000000002910383E-2</v>
      </c>
      <c r="I87" s="118"/>
      <c r="J87" s="175">
        <f>H87/DAY(B2)</f>
        <v>1.6666666667636794E-3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'29'!F88</f>
        <v>24063.43</v>
      </c>
      <c r="F88" s="164">
        <v>24063.43</v>
      </c>
      <c r="G88" s="112">
        <f t="shared" si="8"/>
        <v>0</v>
      </c>
      <c r="H88" s="99">
        <f>G88+'29'!H88</f>
        <v>0</v>
      </c>
      <c r="I88" s="118">
        <f>G86+G87+G88</f>
        <v>0</v>
      </c>
      <c r="J88" s="175">
        <f>H88/DAY(B2)</f>
        <v>0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'29'!F89</f>
        <v>25872.61</v>
      </c>
      <c r="F89" s="164">
        <v>25881.82</v>
      </c>
      <c r="G89" s="112">
        <f t="shared" si="8"/>
        <v>9.2099999999991269</v>
      </c>
      <c r="H89" s="99">
        <f>G89+'29'!H89</f>
        <v>-9.2999999999992724</v>
      </c>
      <c r="I89" s="118"/>
      <c r="J89" s="175">
        <f>H89/DAY(B2)</f>
        <v>-0.30999999999997574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'29'!F90</f>
        <v>71159.08</v>
      </c>
      <c r="F90" s="164">
        <v>71161</v>
      </c>
      <c r="G90" s="112">
        <f t="shared" si="8"/>
        <v>1.9199999999982538</v>
      </c>
      <c r="H90" s="99">
        <f>G90+'29'!H90</f>
        <v>29</v>
      </c>
      <c r="I90" s="118">
        <f>G89+G90</f>
        <v>11.129999999997381</v>
      </c>
      <c r="J90" s="175">
        <f>H90/DAY(B2)</f>
        <v>0.96666666666666667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'29'!F91</f>
        <v>3228.01</v>
      </c>
      <c r="F91" s="122">
        <v>3239.62</v>
      </c>
      <c r="G91" s="112">
        <f t="shared" si="8"/>
        <v>11.609999999999673</v>
      </c>
      <c r="H91" s="99">
        <f>G91+'29'!H91</f>
        <v>-11.470000000000255</v>
      </c>
      <c r="I91" s="165"/>
      <c r="J91" s="175">
        <f>H91/DAY(B2)</f>
        <v>-0.3823333333333418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'29'!F92</f>
        <v>5741.07</v>
      </c>
      <c r="F92" s="122">
        <v>5741.07</v>
      </c>
      <c r="G92" s="112">
        <f t="shared" si="8"/>
        <v>0</v>
      </c>
      <c r="H92" s="99">
        <f>G92+'29'!H92</f>
        <v>0</v>
      </c>
      <c r="I92" s="165"/>
      <c r="J92" s="175">
        <f>H92/DAY(B2)</f>
        <v>0</v>
      </c>
      <c r="O92" s="71"/>
    </row>
    <row r="93" spans="1:15" ht="30.75" customHeight="1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3975</v>
      </c>
      <c r="H94" s="99">
        <f>G94+'29'!H94</f>
        <v>62033.229999999996</v>
      </c>
      <c r="I94" s="118"/>
      <c r="J94" s="175">
        <f>H94/DAY(B2)</f>
        <v>2067.7743333333333</v>
      </c>
      <c r="K94" s="69"/>
      <c r="L94" s="66"/>
      <c r="O94" s="71"/>
    </row>
    <row r="95" spans="1:15" ht="30.75" customHeight="1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0.22991497483949333</v>
      </c>
      <c r="H95" s="99">
        <f>G95+'29'!H95</f>
        <v>7.5148627297173194</v>
      </c>
      <c r="I95" s="167"/>
      <c r="J95" s="175">
        <f>H95/DAY(B2)</f>
        <v>0.25049542432391064</v>
      </c>
      <c r="K95" s="69"/>
      <c r="L95" s="66"/>
      <c r="O95" s="71"/>
    </row>
    <row r="96" spans="1:15" ht="30.75" customHeight="1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3884</v>
      </c>
      <c r="H96" s="99">
        <f>G96+'29'!H96</f>
        <v>57670.419999999991</v>
      </c>
      <c r="I96" s="118"/>
      <c r="J96" s="175">
        <f>H96/DAY(B2)</f>
        <v>1922.3473333333329</v>
      </c>
      <c r="K96" s="69"/>
      <c r="L96" s="66"/>
      <c r="O96" s="71"/>
    </row>
    <row r="97" spans="1:15" ht="30.75" customHeight="1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0.22465151252241308</v>
      </c>
      <c r="H97" s="99">
        <f>G97+'29'!H97</f>
        <v>5.5868244987182543</v>
      </c>
      <c r="I97" s="167"/>
      <c r="J97" s="175">
        <f>H97/DAY(B2)</f>
        <v>0.18622748329060848</v>
      </c>
      <c r="K97" s="69"/>
      <c r="L97" s="66"/>
      <c r="O97" s="71"/>
    </row>
    <row r="98" spans="1:15" ht="30.75" customHeight="1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2616</v>
      </c>
      <c r="H98" s="99">
        <f>G98+'29'!H98</f>
        <v>-2649.2900000000045</v>
      </c>
      <c r="I98" s="168"/>
      <c r="J98" s="175">
        <f>H98/DAY(B2)</f>
        <v>-88.309666666666814</v>
      </c>
      <c r="K98" s="69"/>
      <c r="L98" s="66"/>
      <c r="O98" s="71"/>
    </row>
    <row r="99" spans="1:15" ht="30.75" customHeight="1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0.15131008155474579</v>
      </c>
      <c r="H99" s="99">
        <f>G99+'29'!H99</f>
        <v>4.4202230106488827</v>
      </c>
      <c r="I99" s="168"/>
      <c r="J99" s="175">
        <f>H99/DAY(B2)</f>
        <v>0.14734076702162943</v>
      </c>
      <c r="O99" s="71"/>
    </row>
    <row r="100" spans="1:15" ht="30.75" customHeight="1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1629</v>
      </c>
      <c r="H100" s="99">
        <f>G100+'29'!H100</f>
        <v>-1627.4300000000003</v>
      </c>
      <c r="I100" s="118"/>
      <c r="J100" s="175">
        <f>H100/DAY(B2)</f>
        <v>-54.247666666666674</v>
      </c>
      <c r="K100" s="70"/>
      <c r="O100" s="71"/>
    </row>
    <row r="101" spans="1:15" ht="30.75" customHeight="1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9.422175950026028E-2</v>
      </c>
      <c r="H101" s="99">
        <f>G101+'29'!H101</f>
        <v>2.8997193434893997</v>
      </c>
      <c r="I101" s="168"/>
      <c r="J101" s="175">
        <f>H101/DAY(B2)</f>
        <v>9.6657311449646663E-2</v>
      </c>
      <c r="O101" s="71"/>
    </row>
    <row r="102" spans="1:15" ht="30.75" customHeight="1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1897</v>
      </c>
      <c r="H102" s="99">
        <f>G102+'29'!H102</f>
        <v>-1709.3699999999953</v>
      </c>
      <c r="I102" s="168"/>
      <c r="J102" s="175">
        <f>H102/DAY(B2)</f>
        <v>-56.978999999999843</v>
      </c>
      <c r="O102" s="71"/>
    </row>
    <row r="103" spans="1:15" ht="30.75" customHeight="1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0.10972294522528775</v>
      </c>
      <c r="H103" s="99">
        <f>G103+'29'!H103</f>
        <v>3.1081102184416447</v>
      </c>
      <c r="I103" s="118"/>
      <c r="J103" s="175">
        <f>H103/DAY(B2)</f>
        <v>0.10360367394805482</v>
      </c>
      <c r="O103" s="71"/>
    </row>
    <row r="104" spans="1:15" ht="30.75" customHeight="1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1553</v>
      </c>
      <c r="H104" s="99">
        <f>G104+'29'!H104</f>
        <v>-1588.0899999999965</v>
      </c>
      <c r="I104" s="118"/>
      <c r="J104" s="175">
        <f>H104/DAY(B2)</f>
        <v>-52.936333333333216</v>
      </c>
      <c r="O104" s="71"/>
    </row>
    <row r="105" spans="1:15" ht="30.75" customHeight="1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8.9825900861819657E-2</v>
      </c>
      <c r="H105" s="99">
        <f>G105+'29'!H105</f>
        <v>2.5950209867269347</v>
      </c>
      <c r="I105" s="187"/>
      <c r="J105" s="188">
        <f>H105/DAY(B2)</f>
        <v>8.6500699557564495E-2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30.75" customHeight="1" x14ac:dyDescent="0.5">
      <c r="A109" s="901"/>
      <c r="B109" s="901"/>
    </row>
    <row r="110" spans="1:15" ht="30.75" customHeight="1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30.75" customHeight="1" x14ac:dyDescent="0.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863" t="s">
        <v>252</v>
      </c>
      <c r="B112" s="864"/>
      <c r="C112" s="865"/>
      <c r="D112" s="146" t="s">
        <v>183</v>
      </c>
      <c r="E112" s="95">
        <f>'29'!F112</f>
        <v>57901</v>
      </c>
      <c r="F112" s="237">
        <v>57977</v>
      </c>
      <c r="G112" s="112">
        <f t="shared" ref="G112:G123" si="9">F112-E112</f>
        <v>76</v>
      </c>
      <c r="H112" s="99">
        <f>G112+'29'!H112</f>
        <v>-77</v>
      </c>
      <c r="I112" s="165"/>
      <c r="J112" s="328">
        <f>H112/DAY(B2)</f>
        <v>-2.5666666666666669</v>
      </c>
    </row>
    <row r="113" spans="1:18" ht="30.75" customHeight="1" x14ac:dyDescent="0.5">
      <c r="A113" s="863" t="s">
        <v>253</v>
      </c>
      <c r="B113" s="864"/>
      <c r="C113" s="865"/>
      <c r="D113" s="146" t="s">
        <v>183</v>
      </c>
      <c r="E113" s="95">
        <f>'29'!F113</f>
        <v>45482</v>
      </c>
      <c r="F113" s="237">
        <v>45932</v>
      </c>
      <c r="G113" s="112">
        <f t="shared" si="9"/>
        <v>450</v>
      </c>
      <c r="H113" s="99">
        <f>G113+'29'!H113</f>
        <v>-468.88999999999942</v>
      </c>
      <c r="I113" s="165"/>
      <c r="J113" s="328">
        <f>H113/DAY(B2)</f>
        <v>-15.629666666666648</v>
      </c>
    </row>
    <row r="114" spans="1:18" ht="30.75" customHeight="1" x14ac:dyDescent="0.5">
      <c r="A114" s="863" t="s">
        <v>254</v>
      </c>
      <c r="B114" s="864"/>
      <c r="C114" s="865"/>
      <c r="D114" s="146" t="s">
        <v>183</v>
      </c>
      <c r="E114" s="95">
        <f>'29'!F114</f>
        <v>32645</v>
      </c>
      <c r="F114" s="237">
        <v>32897</v>
      </c>
      <c r="G114" s="112">
        <f t="shared" si="9"/>
        <v>252</v>
      </c>
      <c r="H114" s="99">
        <f>G114+'29'!H114</f>
        <v>-396.60000000000036</v>
      </c>
      <c r="I114" s="165"/>
      <c r="J114" s="328">
        <f>H114/DAY(B2)</f>
        <v>-13.220000000000011</v>
      </c>
    </row>
    <row r="115" spans="1:18" ht="30.75" customHeight="1" x14ac:dyDescent="0.5">
      <c r="A115" s="863" t="s">
        <v>255</v>
      </c>
      <c r="B115" s="864"/>
      <c r="C115" s="865"/>
      <c r="D115" s="146" t="s">
        <v>183</v>
      </c>
      <c r="E115" s="95">
        <f>'29'!F115</f>
        <v>9071</v>
      </c>
      <c r="F115" s="237">
        <v>9081</v>
      </c>
      <c r="G115" s="112">
        <f t="shared" si="9"/>
        <v>10</v>
      </c>
      <c r="H115" s="99">
        <f>G115+'29'!H115</f>
        <v>-13.649999999999636</v>
      </c>
      <c r="I115" s="165"/>
      <c r="J115" s="328">
        <f>H115/DAY(B2)</f>
        <v>-0.45499999999998786</v>
      </c>
    </row>
    <row r="116" spans="1:18" ht="30.75" customHeight="1" x14ac:dyDescent="0.5">
      <c r="A116" s="870" t="s">
        <v>96</v>
      </c>
      <c r="B116" s="871"/>
      <c r="C116" s="872"/>
      <c r="D116" s="146" t="s">
        <v>183</v>
      </c>
      <c r="E116" s="95">
        <f>'29'!F116</f>
        <v>0</v>
      </c>
      <c r="F116" s="237">
        <v>0</v>
      </c>
      <c r="G116" s="112">
        <f t="shared" si="9"/>
        <v>0</v>
      </c>
      <c r="H116" s="99">
        <f>G116+'29'!H116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30.75" customHeight="1" x14ac:dyDescent="0.5">
      <c r="A117" s="870" t="s">
        <v>184</v>
      </c>
      <c r="B117" s="871"/>
      <c r="C117" s="872"/>
      <c r="D117" s="146" t="s">
        <v>183</v>
      </c>
      <c r="E117" s="95">
        <f>'29'!F117</f>
        <v>3277</v>
      </c>
      <c r="F117" s="237">
        <v>3299</v>
      </c>
      <c r="G117" s="112">
        <f t="shared" si="9"/>
        <v>22</v>
      </c>
      <c r="H117" s="99">
        <f>G117+'29'!H117</f>
        <v>-38.949999999999818</v>
      </c>
      <c r="I117" s="165"/>
      <c r="J117" s="328">
        <f>H117/DAY(B2)</f>
        <v>-1.2983333333333273</v>
      </c>
      <c r="Q117" s="863" t="s">
        <v>312</v>
      </c>
      <c r="R117" s="865"/>
    </row>
    <row r="118" spans="1:18" ht="30.75" customHeight="1" x14ac:dyDescent="0.5">
      <c r="A118" s="862" t="s">
        <v>97</v>
      </c>
      <c r="B118" s="862"/>
      <c r="C118" s="862"/>
      <c r="D118" s="151" t="s">
        <v>183</v>
      </c>
      <c r="E118" s="95">
        <f>'29'!F118</f>
        <v>251822</v>
      </c>
      <c r="F118" s="237">
        <v>252133</v>
      </c>
      <c r="G118" s="112">
        <f t="shared" si="9"/>
        <v>311</v>
      </c>
      <c r="H118" s="99">
        <f>G118+'29'!H118</f>
        <v>-319.30999999999767</v>
      </c>
      <c r="I118" s="165"/>
      <c r="J118" s="328">
        <f>H118/DAY(B2)</f>
        <v>-10.643666666666588</v>
      </c>
      <c r="Q118" s="863" t="s">
        <v>311</v>
      </c>
      <c r="R118" s="865"/>
    </row>
    <row r="119" spans="1:18" ht="30.75" customHeight="1" x14ac:dyDescent="0.5">
      <c r="A119" s="862" t="s">
        <v>98</v>
      </c>
      <c r="B119" s="862"/>
      <c r="C119" s="862"/>
      <c r="D119" s="151" t="s">
        <v>183</v>
      </c>
      <c r="E119" s="95">
        <f>'29'!F119</f>
        <v>257303</v>
      </c>
      <c r="F119" s="237">
        <v>257722</v>
      </c>
      <c r="G119" s="112">
        <f t="shared" si="9"/>
        <v>419</v>
      </c>
      <c r="H119" s="99">
        <f>G119+'29'!H119</f>
        <v>-426.54999999998836</v>
      </c>
      <c r="I119" s="165"/>
      <c r="J119" s="328">
        <f>H119/DAY(B2)</f>
        <v>-14.218333333332945</v>
      </c>
    </row>
    <row r="120" spans="1:18" ht="30.75" customHeight="1" x14ac:dyDescent="0.5">
      <c r="A120" s="862" t="s">
        <v>99</v>
      </c>
      <c r="B120" s="862"/>
      <c r="C120" s="862"/>
      <c r="D120" s="151" t="s">
        <v>183</v>
      </c>
      <c r="E120" s="95">
        <f>'29'!F120</f>
        <v>42114</v>
      </c>
      <c r="F120" s="237">
        <v>42540</v>
      </c>
      <c r="G120" s="112">
        <f t="shared" si="9"/>
        <v>426</v>
      </c>
      <c r="H120" s="99">
        <f>G120+'29'!H120</f>
        <v>-419.61000000000058</v>
      </c>
      <c r="I120" s="165"/>
      <c r="J120" s="328">
        <f>H120/DAY(B2)</f>
        <v>-13.98700000000002</v>
      </c>
    </row>
    <row r="121" spans="1:18" ht="30.75" customHeight="1" x14ac:dyDescent="0.5">
      <c r="A121" s="862" t="s">
        <v>100</v>
      </c>
      <c r="B121" s="862"/>
      <c r="C121" s="862"/>
      <c r="D121" s="151" t="s">
        <v>183</v>
      </c>
      <c r="E121" s="95">
        <f>'29'!F121</f>
        <v>396571</v>
      </c>
      <c r="F121" s="237">
        <v>397304</v>
      </c>
      <c r="G121" s="112">
        <f t="shared" si="9"/>
        <v>733</v>
      </c>
      <c r="H121" s="99">
        <f>G121+'29'!H121</f>
        <v>-730.42999999999302</v>
      </c>
      <c r="I121" s="165"/>
      <c r="J121" s="328">
        <f>H121/DAY(B2)</f>
        <v>-24.347666666666434</v>
      </c>
    </row>
    <row r="122" spans="1:18" ht="30.75" customHeight="1" x14ac:dyDescent="0.5">
      <c r="A122" s="862" t="s">
        <v>101</v>
      </c>
      <c r="B122" s="862"/>
      <c r="C122" s="862"/>
      <c r="D122" s="151" t="s">
        <v>183</v>
      </c>
      <c r="E122" s="95">
        <f>'29'!F122</f>
        <v>125774</v>
      </c>
      <c r="F122" s="237">
        <v>125980</v>
      </c>
      <c r="G122" s="112">
        <f t="shared" si="9"/>
        <v>206</v>
      </c>
      <c r="H122" s="99">
        <f>G122+'29'!H122</f>
        <v>-206.17999999999302</v>
      </c>
      <c r="I122" s="165"/>
      <c r="J122" s="328">
        <f>H122/DAY(B2)</f>
        <v>-6.8726666666664338</v>
      </c>
    </row>
    <row r="123" spans="1:18" ht="30.75" customHeight="1" x14ac:dyDescent="0.5">
      <c r="A123" s="862" t="s">
        <v>102</v>
      </c>
      <c r="B123" s="862"/>
      <c r="C123" s="862"/>
      <c r="D123" s="151" t="s">
        <v>183</v>
      </c>
      <c r="E123" s="95">
        <f>'29'!F123</f>
        <v>153495</v>
      </c>
      <c r="F123" s="237">
        <v>153768</v>
      </c>
      <c r="G123" s="112">
        <f t="shared" si="9"/>
        <v>273</v>
      </c>
      <c r="H123" s="99">
        <f>G123+'29'!H123</f>
        <v>-278.95000000001164</v>
      </c>
      <c r="I123" s="165"/>
      <c r="J123" s="328">
        <f>H123/DAY(B2)</f>
        <v>-9.298333333333721</v>
      </c>
    </row>
    <row r="124" spans="1:18" ht="30.75" customHeight="1" x14ac:dyDescent="0.5">
      <c r="A124" s="867"/>
      <c r="B124" s="868"/>
      <c r="C124" s="869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 x14ac:dyDescent="0.5">
      <c r="A125" s="847" t="s">
        <v>196</v>
      </c>
      <c r="B125" s="848"/>
      <c r="C125" s="245"/>
      <c r="D125" s="307"/>
      <c r="E125" s="308"/>
      <c r="F125" s="308"/>
      <c r="G125" s="309">
        <f>SUM(G112:G124)</f>
        <v>3178</v>
      </c>
      <c r="H125" s="156"/>
      <c r="I125" s="327">
        <f>G125-(G39+G53)</f>
        <v>562</v>
      </c>
      <c r="J125" s="327"/>
    </row>
    <row r="126" spans="1:18" ht="30.75" customHeight="1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30.75" customHeight="1" x14ac:dyDescent="0.5">
      <c r="A127" s="852"/>
      <c r="B127" s="852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 x14ac:dyDescent="0.5">
      <c r="A128" s="863" t="s">
        <v>318</v>
      </c>
      <c r="B128" s="864"/>
      <c r="C128" s="865"/>
      <c r="D128" s="151" t="s">
        <v>183</v>
      </c>
      <c r="E128" s="95">
        <f>'29'!F128</f>
        <v>47138</v>
      </c>
      <c r="F128" s="165">
        <v>47434</v>
      </c>
      <c r="G128" s="112">
        <f t="shared" ref="G128:G134" si="10">F128-E128</f>
        <v>296</v>
      </c>
      <c r="H128" s="99">
        <f>G128+'29'!H128</f>
        <v>-312</v>
      </c>
      <c r="I128" s="165"/>
      <c r="J128" s="328">
        <f>H128/DAY(B2)</f>
        <v>-10.4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'29'!F129</f>
        <v>26567</v>
      </c>
      <c r="F129" s="165">
        <v>26720</v>
      </c>
      <c r="G129" s="112">
        <f t="shared" si="10"/>
        <v>153</v>
      </c>
      <c r="H129" s="99">
        <f>G129+'29'!H129</f>
        <v>-190.86999999999898</v>
      </c>
      <c r="I129" s="165"/>
      <c r="J129" s="328">
        <f>H129/DAY(B2)</f>
        <v>-6.3623333333332992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'29'!F130</f>
        <v>34772</v>
      </c>
      <c r="F130" s="165">
        <v>35218</v>
      </c>
      <c r="G130" s="112">
        <f t="shared" si="10"/>
        <v>446</v>
      </c>
      <c r="H130" s="99">
        <f>G130+'29'!H130</f>
        <v>-476</v>
      </c>
      <c r="I130" s="165"/>
      <c r="J130" s="328">
        <f>H130/DAY(B2)</f>
        <v>-15.866666666666667</v>
      </c>
      <c r="N130" s="240"/>
      <c r="O130" s="241"/>
    </row>
    <row r="131" spans="1:15" ht="30.75" customHeight="1" x14ac:dyDescent="0.5">
      <c r="A131" s="863" t="s">
        <v>321</v>
      </c>
      <c r="B131" s="864"/>
      <c r="C131" s="865"/>
      <c r="D131" s="151" t="s">
        <v>183</v>
      </c>
      <c r="E131" s="95">
        <f>'29'!F131</f>
        <v>15216</v>
      </c>
      <c r="F131" s="165">
        <v>15261</v>
      </c>
      <c r="G131" s="112">
        <f t="shared" si="10"/>
        <v>45</v>
      </c>
      <c r="H131" s="99">
        <f>G131+'29'!H131</f>
        <v>-46.680000000000291</v>
      </c>
      <c r="I131" s="165"/>
      <c r="J131" s="328">
        <f>H131/DAY(B2)</f>
        <v>-1.5560000000000096</v>
      </c>
      <c r="N131" s="240"/>
      <c r="O131" s="241"/>
    </row>
    <row r="132" spans="1:15" ht="30.75" customHeight="1" x14ac:dyDescent="0.5">
      <c r="A132" s="863" t="s">
        <v>322</v>
      </c>
      <c r="B132" s="864"/>
      <c r="C132" s="865"/>
      <c r="D132" s="151" t="s">
        <v>183</v>
      </c>
      <c r="E132" s="95">
        <f>'29'!F132</f>
        <v>51518</v>
      </c>
      <c r="F132" s="165">
        <v>51683</v>
      </c>
      <c r="G132" s="112">
        <f t="shared" si="10"/>
        <v>165</v>
      </c>
      <c r="H132" s="99">
        <f>G132+'29'!H132</f>
        <v>-165.30000000000291</v>
      </c>
      <c r="I132" s="165"/>
      <c r="J132" s="328">
        <f>H132/DAY(B2)</f>
        <v>-5.5100000000000966</v>
      </c>
    </row>
    <row r="133" spans="1:15" ht="30.75" customHeight="1" x14ac:dyDescent="0.5">
      <c r="A133" s="863" t="s">
        <v>362</v>
      </c>
      <c r="B133" s="864"/>
      <c r="C133" s="865"/>
      <c r="D133" s="151" t="s">
        <v>183</v>
      </c>
      <c r="E133" s="95">
        <f>'29'!F133</f>
        <v>104410</v>
      </c>
      <c r="F133" s="165">
        <v>104906</v>
      </c>
      <c r="G133" s="112">
        <f t="shared" si="10"/>
        <v>496</v>
      </c>
      <c r="H133" s="99">
        <f>G133+'29'!H133</f>
        <v>-437.69999999999709</v>
      </c>
      <c r="I133" s="165"/>
      <c r="J133" s="328">
        <f>H133/DAY(B2)</f>
        <v>-14.589999999999902</v>
      </c>
    </row>
    <row r="134" spans="1:15" ht="30.75" customHeight="1" x14ac:dyDescent="0.5">
      <c r="A134" s="863" t="s">
        <v>340</v>
      </c>
      <c r="B134" s="864"/>
      <c r="C134" s="865"/>
      <c r="D134" s="151" t="s">
        <v>183</v>
      </c>
      <c r="E134" s="95">
        <f>'29'!F134</f>
        <v>8290</v>
      </c>
      <c r="F134" s="594">
        <v>8446</v>
      </c>
      <c r="G134" s="112">
        <f t="shared" si="10"/>
        <v>156</v>
      </c>
      <c r="H134" s="99">
        <f>G134+'29'!H134</f>
        <v>-155.22999999999956</v>
      </c>
      <c r="I134" s="165"/>
      <c r="J134" s="328">
        <f>H134/DAY(B2)</f>
        <v>-5.174333333333319</v>
      </c>
    </row>
    <row r="135" spans="1:15" ht="30.75" customHeight="1" x14ac:dyDescent="0.5">
      <c r="A135" s="847" t="s">
        <v>196</v>
      </c>
      <c r="B135" s="848"/>
      <c r="C135" s="331"/>
      <c r="D135" s="151"/>
      <c r="E135" s="95"/>
      <c r="F135" s="165"/>
      <c r="G135" s="112">
        <f>SUM(G128:G134)</f>
        <v>1757</v>
      </c>
      <c r="H135" s="99">
        <f>G135+'23'!H135</f>
        <v>27349.389999999985</v>
      </c>
      <c r="I135" s="327">
        <f>G135-(G35+G49)</f>
        <v>-320</v>
      </c>
      <c r="J135" s="328">
        <f>H135/DAY(B2)</f>
        <v>911.64633333333279</v>
      </c>
    </row>
    <row r="136" spans="1:15" ht="30.75" customHeight="1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 x14ac:dyDescent="0.5">
      <c r="A138" s="862" t="s">
        <v>185</v>
      </c>
      <c r="B138" s="862"/>
      <c r="C138" s="862"/>
      <c r="D138" s="151" t="s">
        <v>183</v>
      </c>
      <c r="E138" s="95">
        <f>'29'!F138</f>
        <v>866045</v>
      </c>
      <c r="F138" s="147">
        <v>866114</v>
      </c>
      <c r="G138" s="112">
        <f t="shared" ref="G138:G152" si="11">F138-E138</f>
        <v>69</v>
      </c>
      <c r="H138" s="99">
        <f>G138+'29'!H138</f>
        <v>-59</v>
      </c>
      <c r="I138" s="118"/>
      <c r="J138" s="328">
        <f>H138/DAY(B2)</f>
        <v>-1.9666666666666666</v>
      </c>
    </row>
    <row r="139" spans="1:15" ht="30.75" customHeight="1" x14ac:dyDescent="0.5">
      <c r="A139" s="862" t="s">
        <v>186</v>
      </c>
      <c r="B139" s="862"/>
      <c r="C139" s="862"/>
      <c r="D139" s="151" t="s">
        <v>183</v>
      </c>
      <c r="E139" s="95">
        <f>'29'!F139</f>
        <v>886570</v>
      </c>
      <c r="F139" s="148">
        <v>886572</v>
      </c>
      <c r="G139" s="112">
        <f t="shared" si="11"/>
        <v>2</v>
      </c>
      <c r="H139" s="99">
        <f>G139+'29'!H139</f>
        <v>-1</v>
      </c>
      <c r="I139" s="118"/>
      <c r="J139" s="328">
        <f>H139/DAY(B2)</f>
        <v>-3.3333333333333333E-2</v>
      </c>
    </row>
    <row r="140" spans="1:15" ht="30.75" customHeight="1" x14ac:dyDescent="0.5">
      <c r="A140" s="862" t="s">
        <v>187</v>
      </c>
      <c r="B140" s="862"/>
      <c r="C140" s="862"/>
      <c r="D140" s="151" t="s">
        <v>183</v>
      </c>
      <c r="E140" s="95">
        <f>'29'!F140</f>
        <v>88922</v>
      </c>
      <c r="F140" s="149">
        <v>88922</v>
      </c>
      <c r="G140" s="112">
        <f t="shared" si="11"/>
        <v>0</v>
      </c>
      <c r="H140" s="99">
        <f>G140+'29'!H140</f>
        <v>0</v>
      </c>
      <c r="I140" s="118"/>
      <c r="J140" s="328">
        <f>H140/DAY(B2)</f>
        <v>0</v>
      </c>
    </row>
    <row r="141" spans="1:15" ht="30.75" customHeight="1" x14ac:dyDescent="0.5">
      <c r="A141" s="843" t="s">
        <v>188</v>
      </c>
      <c r="B141" s="843"/>
      <c r="C141" s="843"/>
      <c r="D141" s="151" t="s">
        <v>183</v>
      </c>
      <c r="E141" s="95">
        <f>'29'!F141</f>
        <v>54339</v>
      </c>
      <c r="F141" s="149">
        <v>54513</v>
      </c>
      <c r="G141" s="112">
        <f t="shared" si="11"/>
        <v>174</v>
      </c>
      <c r="H141" s="99">
        <f>G141+'29'!H141</f>
        <v>-172.58000000000175</v>
      </c>
      <c r="I141" s="118"/>
      <c r="J141" s="328">
        <f>H141/DAY(B2)</f>
        <v>-5.752666666666725</v>
      </c>
    </row>
    <row r="142" spans="1:15" ht="30.75" customHeight="1" x14ac:dyDescent="0.5">
      <c r="A142" s="843" t="s">
        <v>189</v>
      </c>
      <c r="B142" s="843"/>
      <c r="C142" s="843"/>
      <c r="D142" s="151" t="s">
        <v>183</v>
      </c>
      <c r="E142" s="95">
        <f>'29'!F142</f>
        <v>21127</v>
      </c>
      <c r="F142" s="148">
        <v>21204</v>
      </c>
      <c r="G142" s="112">
        <f t="shared" si="11"/>
        <v>77</v>
      </c>
      <c r="H142" s="99">
        <f>G142+'29'!H142</f>
        <v>-80.099999999998545</v>
      </c>
      <c r="I142" s="140"/>
      <c r="J142" s="328">
        <f>H142/DAY(B2)</f>
        <v>-2.6699999999999515</v>
      </c>
    </row>
    <row r="143" spans="1:15" ht="30.75" customHeight="1" x14ac:dyDescent="0.5">
      <c r="A143" s="862" t="s">
        <v>91</v>
      </c>
      <c r="B143" s="862"/>
      <c r="C143" s="862"/>
      <c r="D143" s="151" t="s">
        <v>183</v>
      </c>
      <c r="E143" s="95">
        <f>'29'!F143</f>
        <v>3787</v>
      </c>
      <c r="F143" s="149">
        <v>3807</v>
      </c>
      <c r="G143" s="112">
        <f t="shared" si="11"/>
        <v>20</v>
      </c>
      <c r="H143" s="99">
        <f>G143+'29'!H143</f>
        <v>-28.389999999999873</v>
      </c>
      <c r="I143" s="140"/>
      <c r="J143" s="328">
        <f>H143/DAY(B2)</f>
        <v>-0.94633333333332914</v>
      </c>
    </row>
    <row r="144" spans="1:15" ht="30.75" customHeight="1" x14ac:dyDescent="0.5">
      <c r="A144" s="843" t="s">
        <v>90</v>
      </c>
      <c r="B144" s="843"/>
      <c r="C144" s="843"/>
      <c r="D144" s="151" t="s">
        <v>183</v>
      </c>
      <c r="E144" s="95">
        <f>'29'!F144</f>
        <v>876070</v>
      </c>
      <c r="F144" s="149">
        <v>876271</v>
      </c>
      <c r="G144" s="112">
        <f t="shared" si="11"/>
        <v>201</v>
      </c>
      <c r="H144" s="99">
        <f>G144+'29'!H144</f>
        <v>-216</v>
      </c>
      <c r="I144" s="140"/>
      <c r="J144" s="328">
        <f>H144/DAY(B2)</f>
        <v>-7.2</v>
      </c>
    </row>
    <row r="145" spans="1:10" ht="30.75" customHeight="1" x14ac:dyDescent="0.5">
      <c r="A145" s="862" t="s">
        <v>190</v>
      </c>
      <c r="B145" s="862"/>
      <c r="C145" s="862"/>
      <c r="D145" s="152" t="s">
        <v>183</v>
      </c>
      <c r="E145" s="95">
        <f>'29'!F145</f>
        <v>4943</v>
      </c>
      <c r="F145" s="149">
        <v>4949</v>
      </c>
      <c r="G145" s="112">
        <f t="shared" si="11"/>
        <v>6</v>
      </c>
      <c r="H145" s="99">
        <f>G145+'29'!H145</f>
        <v>-9.8400000000001455</v>
      </c>
      <c r="I145" s="140"/>
      <c r="J145" s="328">
        <f>H145/DAY(B2)</f>
        <v>-0.32800000000000484</v>
      </c>
    </row>
    <row r="146" spans="1:10" ht="30.75" customHeight="1" x14ac:dyDescent="0.5">
      <c r="A146" s="897" t="s">
        <v>191</v>
      </c>
      <c r="B146" s="882"/>
      <c r="C146" s="883"/>
      <c r="D146" s="152" t="s">
        <v>183</v>
      </c>
      <c r="E146" s="95">
        <f>'29'!F146</f>
        <v>736461</v>
      </c>
      <c r="F146" s="148">
        <v>736947</v>
      </c>
      <c r="G146" s="112">
        <f t="shared" si="11"/>
        <v>486</v>
      </c>
      <c r="H146" s="99">
        <f>G146+'29'!H146</f>
        <v>-386</v>
      </c>
      <c r="I146" s="140"/>
      <c r="J146" s="328">
        <f>H146/DAY(B2)</f>
        <v>-12.866666666666667</v>
      </c>
    </row>
    <row r="147" spans="1:10" ht="30.75" customHeight="1" x14ac:dyDescent="0.5">
      <c r="A147" s="843" t="s">
        <v>192</v>
      </c>
      <c r="B147" s="843"/>
      <c r="C147" s="843"/>
      <c r="D147" s="152" t="s">
        <v>183</v>
      </c>
      <c r="E147" s="95">
        <f>'29'!F147</f>
        <v>625925</v>
      </c>
      <c r="F147" s="148">
        <v>626265</v>
      </c>
      <c r="G147" s="112">
        <f t="shared" si="11"/>
        <v>340</v>
      </c>
      <c r="H147" s="99">
        <f>G147+'29'!H147</f>
        <v>-347.52000000001863</v>
      </c>
      <c r="I147" s="140"/>
      <c r="J147" s="328">
        <f>H147/DAY(B2)</f>
        <v>-11.584000000000621</v>
      </c>
    </row>
    <row r="148" spans="1:10" ht="30.75" customHeight="1" x14ac:dyDescent="0.5">
      <c r="A148" s="844" t="s">
        <v>193</v>
      </c>
      <c r="B148" s="845"/>
      <c r="C148" s="846"/>
      <c r="D148" s="123" t="s">
        <v>130</v>
      </c>
      <c r="E148" s="95">
        <f>'29'!F148</f>
        <v>689065</v>
      </c>
      <c r="F148" s="150">
        <v>689285</v>
      </c>
      <c r="G148" s="112">
        <f t="shared" si="11"/>
        <v>220</v>
      </c>
      <c r="H148" s="99">
        <f>G148+'29'!H148</f>
        <v>-157.95999999996275</v>
      </c>
      <c r="I148" s="124"/>
      <c r="J148" s="328">
        <f>H148/DAY(B2)</f>
        <v>-5.2653333333320917</v>
      </c>
    </row>
    <row r="149" spans="1:10" ht="30.75" customHeight="1" x14ac:dyDescent="0.5">
      <c r="A149" s="844" t="s">
        <v>336</v>
      </c>
      <c r="B149" s="845"/>
      <c r="C149" s="846"/>
      <c r="D149" s="227" t="s">
        <v>130</v>
      </c>
      <c r="E149" s="95">
        <f>'29'!F149</f>
        <v>23796</v>
      </c>
      <c r="F149" s="146">
        <v>24279</v>
      </c>
      <c r="G149" s="112">
        <f t="shared" si="11"/>
        <v>483</v>
      </c>
      <c r="H149" s="99">
        <f>G149+'29'!H149</f>
        <v>-399.20000000000073</v>
      </c>
      <c r="I149" s="119"/>
      <c r="J149" s="328">
        <f>H149/DAY(B2)</f>
        <v>-13.306666666666692</v>
      </c>
    </row>
    <row r="150" spans="1:10" ht="30.75" customHeight="1" x14ac:dyDescent="0.5">
      <c r="A150" s="844" t="s">
        <v>337</v>
      </c>
      <c r="B150" s="845"/>
      <c r="C150" s="846"/>
      <c r="D150" s="117" t="s">
        <v>130</v>
      </c>
      <c r="E150" s="95">
        <f>'29'!F150</f>
        <v>10414</v>
      </c>
      <c r="F150" s="233">
        <v>10637</v>
      </c>
      <c r="G150" s="112">
        <f t="shared" si="11"/>
        <v>223</v>
      </c>
      <c r="H150" s="99">
        <f>G150+'29'!H150</f>
        <v>-213.82999999999993</v>
      </c>
      <c r="I150" s="119"/>
      <c r="J150" s="328">
        <f>H150/DAY(B2)</f>
        <v>-7.1276666666666646</v>
      </c>
    </row>
    <row r="151" spans="1:10" ht="30.75" customHeight="1" x14ac:dyDescent="0.5">
      <c r="A151" s="844" t="s">
        <v>338</v>
      </c>
      <c r="B151" s="845"/>
      <c r="C151" s="846"/>
      <c r="D151" s="117" t="s">
        <v>130</v>
      </c>
      <c r="E151" s="95">
        <f>'29'!F151</f>
        <v>84953</v>
      </c>
      <c r="F151" s="233">
        <v>85186</v>
      </c>
      <c r="G151" s="112">
        <f t="shared" si="11"/>
        <v>233</v>
      </c>
      <c r="H151" s="99">
        <f>G151+'29'!H151</f>
        <v>-294</v>
      </c>
      <c r="I151" s="119"/>
      <c r="J151" s="328">
        <f>H151/DAY(B2)</f>
        <v>-9.8000000000000007</v>
      </c>
    </row>
    <row r="152" spans="1:10" ht="30.75" customHeight="1" x14ac:dyDescent="0.5">
      <c r="A152" s="844" t="s">
        <v>339</v>
      </c>
      <c r="B152" s="845"/>
      <c r="C152" s="846"/>
      <c r="D152" s="117" t="s">
        <v>130</v>
      </c>
      <c r="E152" s="95">
        <f>'29'!F152</f>
        <v>1627</v>
      </c>
      <c r="F152" s="233">
        <v>1642</v>
      </c>
      <c r="G152" s="112">
        <f t="shared" si="11"/>
        <v>15</v>
      </c>
      <c r="H152" s="99">
        <f>G152+'29'!H152</f>
        <v>-18</v>
      </c>
      <c r="I152" s="119"/>
      <c r="J152" s="328">
        <f>H152/DAY(B2)</f>
        <v>-0.6</v>
      </c>
    </row>
    <row r="153" spans="1:10" ht="30.75" customHeight="1" x14ac:dyDescent="0.5">
      <c r="A153" s="847" t="s">
        <v>196</v>
      </c>
      <c r="B153" s="848"/>
      <c r="C153" s="365"/>
      <c r="D153" s="358"/>
      <c r="E153" s="360"/>
      <c r="F153" s="361"/>
      <c r="G153" s="362">
        <f>SUM(G138:G152)</f>
        <v>2549</v>
      </c>
      <c r="H153" s="363"/>
      <c r="I153" s="119">
        <f>G153-(G38+G52)</f>
        <v>920</v>
      </c>
      <c r="J153" s="366"/>
    </row>
    <row r="154" spans="1:10" ht="30.75" customHeight="1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0.75" customHeight="1" x14ac:dyDescent="0.55000000000000004">
      <c r="A155" s="843" t="s">
        <v>345</v>
      </c>
      <c r="B155" s="843"/>
      <c r="C155" s="843"/>
      <c r="D155" s="117" t="s">
        <v>130</v>
      </c>
      <c r="E155" s="95">
        <f>'29'!F155</f>
        <v>31038</v>
      </c>
      <c r="F155" s="374">
        <v>31715</v>
      </c>
      <c r="G155" s="112">
        <f t="shared" ref="G155:G158" si="12">F155-E155</f>
        <v>677</v>
      </c>
      <c r="H155" s="99">
        <f>G155+'29'!H155</f>
        <v>-1230</v>
      </c>
      <c r="I155" s="364"/>
      <c r="J155" s="328">
        <f>H155/DAY(B2)</f>
        <v>-41</v>
      </c>
    </row>
    <row r="156" spans="1:10" ht="30.75" customHeight="1" x14ac:dyDescent="0.5">
      <c r="A156" s="843" t="s">
        <v>347</v>
      </c>
      <c r="B156" s="843"/>
      <c r="C156" s="843"/>
      <c r="D156" s="117" t="s">
        <v>130</v>
      </c>
      <c r="E156" s="155">
        <v>2621</v>
      </c>
      <c r="F156" s="155">
        <v>2678</v>
      </c>
      <c r="G156" s="112">
        <f t="shared" si="12"/>
        <v>57</v>
      </c>
      <c r="H156" s="99">
        <f>G156+'29'!H156</f>
        <v>1576</v>
      </c>
      <c r="I156" s="165"/>
      <c r="J156" s="328">
        <f>H156/DAY(B2)</f>
        <v>52.533333333333331</v>
      </c>
    </row>
    <row r="157" spans="1:10" ht="30.75" customHeight="1" x14ac:dyDescent="0.5">
      <c r="A157" s="844" t="s">
        <v>363</v>
      </c>
      <c r="B157" s="845"/>
      <c r="C157" s="846"/>
      <c r="D157" s="117" t="s">
        <v>130</v>
      </c>
      <c r="E157" s="155">
        <v>3806</v>
      </c>
      <c r="F157" s="155">
        <v>3897</v>
      </c>
      <c r="G157" s="112">
        <f t="shared" si="12"/>
        <v>91</v>
      </c>
      <c r="H157" s="99">
        <f>G157+'29'!H157</f>
        <v>205</v>
      </c>
      <c r="I157" s="165"/>
      <c r="J157" s="328">
        <f>H157/DAY(B2)</f>
        <v>6.833333333333333</v>
      </c>
    </row>
    <row r="158" spans="1:10" ht="30.75" customHeight="1" x14ac:dyDescent="0.5">
      <c r="A158" s="844" t="s">
        <v>364</v>
      </c>
      <c r="B158" s="845"/>
      <c r="C158" s="846"/>
      <c r="D158" s="117" t="s">
        <v>130</v>
      </c>
      <c r="E158" s="155">
        <v>45.61</v>
      </c>
      <c r="F158" s="155">
        <v>46.66</v>
      </c>
      <c r="G158" s="112">
        <f t="shared" si="12"/>
        <v>1.0499999999999972</v>
      </c>
      <c r="H158" s="99">
        <f>G158+'29'!H158</f>
        <v>1.1099999999999994</v>
      </c>
      <c r="I158" s="165"/>
      <c r="J158" s="328">
        <f>H158/DAY(B2)</f>
        <v>3.6999999999999984E-2</v>
      </c>
    </row>
    <row r="159" spans="1:10" ht="30.75" customHeight="1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0.75" customHeight="1" x14ac:dyDescent="0.55000000000000004">
      <c r="A160" s="851"/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'29'!F161</f>
        <v>471985</v>
      </c>
      <c r="F161" s="235">
        <v>472011</v>
      </c>
      <c r="G161" s="238">
        <f t="shared" ref="G161:G165" si="13">F161-E161</f>
        <v>26</v>
      </c>
      <c r="H161" s="99">
        <f>G161+'29'!H161</f>
        <v>-42.559999999997672</v>
      </c>
      <c r="I161" s="236"/>
      <c r="J161" s="239">
        <f>H161/DAY(B2)</f>
        <v>-1.418666666666589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'29'!F162</f>
        <v>88468</v>
      </c>
      <c r="F162" s="235">
        <v>88480</v>
      </c>
      <c r="G162" s="238">
        <f t="shared" si="13"/>
        <v>12</v>
      </c>
      <c r="H162" s="99">
        <f>G162+'29'!H162</f>
        <v>-36.399999999994179</v>
      </c>
      <c r="I162" s="236"/>
      <c r="J162" s="239">
        <f>H162/DAY(B2)</f>
        <v>-1.2133333333331393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'29'!F163</f>
        <v>79150</v>
      </c>
      <c r="F163" s="235">
        <v>79184</v>
      </c>
      <c r="G163" s="238">
        <f t="shared" si="13"/>
        <v>34</v>
      </c>
      <c r="H163" s="99">
        <f>G163+'29'!H163</f>
        <v>-36.100000000005821</v>
      </c>
      <c r="I163" s="236"/>
      <c r="J163" s="239">
        <f>H163/DAY(B2)</f>
        <v>-1.2033333333335274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'29'!F164</f>
        <v>4320</v>
      </c>
      <c r="F164" s="235">
        <v>4320</v>
      </c>
      <c r="G164" s="238">
        <f t="shared" si="13"/>
        <v>0</v>
      </c>
      <c r="H164" s="99">
        <f>G164+'29'!H164</f>
        <v>0</v>
      </c>
      <c r="I164" s="236"/>
      <c r="J164" s="239">
        <f>H164/DAY(B2)</f>
        <v>0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'29'!F165</f>
        <v>29835</v>
      </c>
      <c r="F165" s="235">
        <v>29845</v>
      </c>
      <c r="G165" s="238">
        <f t="shared" si="13"/>
        <v>10</v>
      </c>
      <c r="H165" s="99">
        <f>G165+'29'!H165</f>
        <v>-12.25</v>
      </c>
      <c r="I165" s="236"/>
      <c r="J165" s="239">
        <f>H165/DAY(B2)</f>
        <v>-0.40833333333333333</v>
      </c>
    </row>
    <row r="166" spans="1:10" ht="30.75" customHeight="1" x14ac:dyDescent="0.5">
      <c r="A166" s="852"/>
      <c r="B166" s="852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 x14ac:dyDescent="0.5">
      <c r="A167" s="852"/>
      <c r="B167" s="852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 x14ac:dyDescent="0.5">
      <c r="A168" s="852"/>
      <c r="B168" s="852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30.75" customHeight="1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56" t="s">
        <v>209</v>
      </c>
      <c r="B173" s="857"/>
      <c r="C173" s="333"/>
      <c r="D173" s="228" t="s">
        <v>142</v>
      </c>
      <c r="E173" s="95">
        <f>'29'!F173</f>
        <v>8126</v>
      </c>
      <c r="F173" s="155">
        <v>8126</v>
      </c>
      <c r="G173" s="155">
        <f>F173-E173</f>
        <v>0</v>
      </c>
      <c r="H173" s="99">
        <f>G173+'29'!H173</f>
        <v>0</v>
      </c>
      <c r="I173" s="155"/>
      <c r="J173" s="178">
        <f>H173/DAY(B2)</f>
        <v>0</v>
      </c>
    </row>
    <row r="174" spans="1:10" ht="30.75" customHeight="1" x14ac:dyDescent="0.5">
      <c r="A174" s="856" t="s">
        <v>75</v>
      </c>
      <c r="B174" s="857"/>
      <c r="C174" s="333"/>
      <c r="D174" s="228" t="s">
        <v>142</v>
      </c>
      <c r="E174" s="95">
        <f>'29'!F174</f>
        <v>38589</v>
      </c>
      <c r="F174" s="157">
        <v>38603</v>
      </c>
      <c r="G174" s="155">
        <f t="shared" ref="G174:G175" si="14">F174-E174</f>
        <v>14</v>
      </c>
      <c r="H174" s="99">
        <f>G174+'29'!H174</f>
        <v>362</v>
      </c>
      <c r="I174" s="155"/>
      <c r="J174" s="178">
        <f>H174/DAY(B2)</f>
        <v>12.066666666666666</v>
      </c>
    </row>
    <row r="175" spans="1:10" ht="30.75" customHeight="1" x14ac:dyDescent="0.5">
      <c r="A175" s="856" t="s">
        <v>76</v>
      </c>
      <c r="B175" s="896"/>
      <c r="C175" s="857"/>
      <c r="D175" s="228" t="s">
        <v>142</v>
      </c>
      <c r="E175" s="95">
        <f>'29'!F175</f>
        <v>21795</v>
      </c>
      <c r="F175" s="155">
        <v>21803</v>
      </c>
      <c r="G175" s="155">
        <f t="shared" si="14"/>
        <v>8</v>
      </c>
      <c r="H175" s="99">
        <f>G175+'29'!H175</f>
        <v>-10</v>
      </c>
      <c r="I175" s="155"/>
      <c r="J175" s="178">
        <f>H175/DAY(B2)</f>
        <v>-0.33333333333333331</v>
      </c>
    </row>
    <row r="176" spans="1:10" ht="30.75" customHeight="1" x14ac:dyDescent="0.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22</v>
      </c>
      <c r="H176" s="99">
        <f>G176+'29'!H176</f>
        <v>352</v>
      </c>
      <c r="I176" s="155"/>
      <c r="J176" s="178">
        <f>H176/DAY(B2)</f>
        <v>11.733333333333333</v>
      </c>
    </row>
    <row r="177" spans="1:10" ht="30.75" customHeight="1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 x14ac:dyDescent="0.5">
      <c r="A178" s="856" t="s">
        <v>210</v>
      </c>
      <c r="B178" s="857"/>
      <c r="C178" s="333"/>
      <c r="D178" s="228" t="s">
        <v>142</v>
      </c>
      <c r="E178" s="95">
        <f>'29'!F178</f>
        <v>81143</v>
      </c>
      <c r="F178" s="155">
        <v>81206</v>
      </c>
      <c r="G178" s="155">
        <f>F178-E178</f>
        <v>63</v>
      </c>
      <c r="H178" s="99">
        <f>G178+'29'!H178</f>
        <v>-109</v>
      </c>
      <c r="I178" s="155"/>
      <c r="J178" s="178">
        <f>H178/DAY(B2)</f>
        <v>-3.6333333333333333</v>
      </c>
    </row>
    <row r="179" spans="1:10" ht="30.75" customHeight="1" x14ac:dyDescent="0.5">
      <c r="A179" s="856" t="s">
        <v>211</v>
      </c>
      <c r="B179" s="857"/>
      <c r="C179" s="333"/>
      <c r="D179" s="228" t="s">
        <v>142</v>
      </c>
      <c r="E179" s="95">
        <f>'29'!F179</f>
        <v>34729</v>
      </c>
      <c r="F179" s="155">
        <v>34754</v>
      </c>
      <c r="G179" s="155">
        <f t="shared" ref="G179:G180" si="15">F179-E179</f>
        <v>25</v>
      </c>
      <c r="H179" s="99">
        <f>G179+'29'!H179</f>
        <v>-49</v>
      </c>
      <c r="I179" s="155"/>
      <c r="J179" s="178">
        <f>H179/DAY(B2)</f>
        <v>-1.6333333333333333</v>
      </c>
    </row>
    <row r="180" spans="1:10" ht="30.75" customHeight="1" x14ac:dyDescent="0.5">
      <c r="A180" s="856" t="s">
        <v>212</v>
      </c>
      <c r="B180" s="857"/>
      <c r="C180" s="333"/>
      <c r="D180" s="228" t="s">
        <v>142</v>
      </c>
      <c r="E180" s="95">
        <f>'29'!F180</f>
        <v>5690</v>
      </c>
      <c r="F180" s="155">
        <v>5693</v>
      </c>
      <c r="G180" s="155">
        <f t="shared" si="15"/>
        <v>3</v>
      </c>
      <c r="H180" s="99">
        <f>G180+'29'!H180</f>
        <v>-9</v>
      </c>
      <c r="I180" s="155"/>
      <c r="J180" s="178">
        <f>H180/DAY(B2)</f>
        <v>-0.3</v>
      </c>
    </row>
    <row r="181" spans="1:10" ht="30.75" customHeight="1" x14ac:dyDescent="0.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91</v>
      </c>
      <c r="H181" s="99">
        <f>G181+'29'!H181</f>
        <v>-167</v>
      </c>
      <c r="I181" s="155"/>
      <c r="J181" s="178">
        <f>H181/DAY(B2)</f>
        <v>-5.5666666666666664</v>
      </c>
    </row>
    <row r="182" spans="1:10" ht="30.75" customHeight="1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 x14ac:dyDescent="0.5">
      <c r="A183" s="856" t="s">
        <v>214</v>
      </c>
      <c r="B183" s="857"/>
      <c r="C183" s="334"/>
      <c r="D183" s="228" t="s">
        <v>142</v>
      </c>
      <c r="E183" s="95">
        <f>'29'!F183</f>
        <v>15324</v>
      </c>
      <c r="F183" s="157">
        <v>15334</v>
      </c>
      <c r="G183" s="157">
        <f>F183-E183</f>
        <v>10</v>
      </c>
      <c r="H183" s="99">
        <f>G183+'29'!H183</f>
        <v>-11</v>
      </c>
      <c r="I183" s="155"/>
      <c r="J183" s="178">
        <f>H183/DAY(B2)</f>
        <v>-0.36666666666666664</v>
      </c>
    </row>
    <row r="184" spans="1:10" ht="30.75" customHeight="1" x14ac:dyDescent="0.5">
      <c r="A184" s="856" t="s">
        <v>215</v>
      </c>
      <c r="B184" s="857"/>
      <c r="C184" s="334"/>
      <c r="D184" s="228" t="s">
        <v>142</v>
      </c>
      <c r="E184" s="95">
        <f>'29'!F184</f>
        <v>10490</v>
      </c>
      <c r="F184" s="157">
        <v>10511</v>
      </c>
      <c r="G184" s="157">
        <f t="shared" ref="G184:G185" si="16">F184-E184</f>
        <v>21</v>
      </c>
      <c r="H184" s="99">
        <f>G184+'29'!H184</f>
        <v>-7</v>
      </c>
      <c r="I184" s="155"/>
      <c r="J184" s="178">
        <f>H184/DAY(B2)</f>
        <v>-0.23333333333333334</v>
      </c>
    </row>
    <row r="185" spans="1:10" ht="30.75" customHeight="1" x14ac:dyDescent="0.5">
      <c r="A185" s="856" t="s">
        <v>216</v>
      </c>
      <c r="B185" s="857"/>
      <c r="C185" s="33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31</v>
      </c>
      <c r="H186" s="99">
        <f>G186+'29'!H186</f>
        <v>-18</v>
      </c>
      <c r="I186" s="157"/>
      <c r="J186" s="178">
        <f>H186/DAY(B2)</f>
        <v>-0.6</v>
      </c>
    </row>
    <row r="187" spans="1:10" ht="30.75" customHeight="1" x14ac:dyDescent="0.5">
      <c r="A187" s="849" t="s">
        <v>217</v>
      </c>
      <c r="B187" s="850"/>
      <c r="C187" s="333"/>
      <c r="D187" s="228" t="s">
        <v>142</v>
      </c>
      <c r="E187" s="95"/>
      <c r="F187" s="159"/>
      <c r="G187" s="159">
        <f>G62+G19</f>
        <v>170</v>
      </c>
      <c r="H187" s="99">
        <f>G187+'29'!H187</f>
        <v>-139</v>
      </c>
      <c r="I187" s="158"/>
      <c r="J187" s="179">
        <f>H187/DAY(B2)</f>
        <v>-4.6333333333333337</v>
      </c>
    </row>
    <row r="188" spans="1:10" ht="30.75" customHeight="1" x14ac:dyDescent="0.5">
      <c r="A188" s="849" t="s">
        <v>218</v>
      </c>
      <c r="B188" s="850"/>
      <c r="C188" s="333"/>
      <c r="D188" s="230" t="s">
        <v>142</v>
      </c>
      <c r="E188" s="95"/>
      <c r="F188" s="159"/>
      <c r="G188" s="159">
        <f>G65+G66+G67+G69+G70</f>
        <v>169</v>
      </c>
      <c r="H188" s="99">
        <f>G188+'29'!H188</f>
        <v>2223</v>
      </c>
      <c r="I188" s="158"/>
      <c r="J188" s="179">
        <f>H188/DAY(B2)</f>
        <v>74.099999999999994</v>
      </c>
    </row>
    <row r="189" spans="1:10" ht="30.75" customHeight="1" x14ac:dyDescent="0.5">
      <c r="A189" s="849" t="s">
        <v>219</v>
      </c>
      <c r="B189" s="850"/>
      <c r="C189" s="333"/>
      <c r="D189" s="230" t="s">
        <v>142</v>
      </c>
      <c r="E189" s="95"/>
      <c r="F189" s="157"/>
      <c r="G189" s="157">
        <f>G181</f>
        <v>91</v>
      </c>
      <c r="H189" s="99">
        <f>G189+'29'!H189</f>
        <v>1057</v>
      </c>
      <c r="I189" s="158"/>
      <c r="J189" s="179">
        <f>H189/DAY(B2)</f>
        <v>35.233333333333334</v>
      </c>
    </row>
    <row r="190" spans="1:10" ht="30.75" customHeight="1" x14ac:dyDescent="0.5">
      <c r="A190" s="770" t="s">
        <v>360</v>
      </c>
      <c r="B190" s="771"/>
      <c r="C190" s="481"/>
      <c r="D190" s="478"/>
      <c r="E190" s="478">
        <v>52942.203000000001</v>
      </c>
      <c r="F190" s="478">
        <v>52948.703000000001</v>
      </c>
      <c r="G190" s="478">
        <f>F190-E190</f>
        <v>6.5</v>
      </c>
      <c r="H190" s="479"/>
      <c r="I190" s="478"/>
      <c r="J190" s="480"/>
    </row>
  </sheetData>
  <mergeCells count="115"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zoomScale="55" zoomScaleNormal="75" zoomScaleSheetLayoutView="55" workbookViewId="0">
      <selection activeCell="F2" sqref="F1:F104857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496" customWidth="1"/>
    <col min="7" max="7" width="28.88671875" style="496" customWidth="1"/>
    <col min="8" max="8" width="29.109375" style="161" customWidth="1"/>
    <col min="9" max="9" width="23.5546875" style="496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 x14ac:dyDescent="0.5">
      <c r="A2" s="191" t="s">
        <v>350</v>
      </c>
      <c r="B2" s="262">
        <v>44592</v>
      </c>
      <c r="C2" s="348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952" t="s">
        <v>129</v>
      </c>
      <c r="B7" s="953"/>
      <c r="C7" s="954"/>
      <c r="D7" s="151" t="s">
        <v>130</v>
      </c>
      <c r="E7" s="95">
        <f>'30'!F7</f>
        <v>633566</v>
      </c>
      <c r="F7" s="95">
        <v>651180.23</v>
      </c>
      <c r="G7" s="112">
        <f>F7-E7</f>
        <v>17614.229999999981</v>
      </c>
      <c r="H7" s="99">
        <f>G7+'30'!H7</f>
        <v>15</v>
      </c>
      <c r="I7" s="113">
        <f>'1'!I7</f>
        <v>12000</v>
      </c>
      <c r="J7" s="175">
        <f>H7/DAY(B2)</f>
        <v>0.4838709677419355</v>
      </c>
      <c r="K7" s="172">
        <v>1375467</v>
      </c>
      <c r="L7" s="66"/>
      <c r="N7" s="87">
        <f>F7-'3'!E7</f>
        <v>-35313.770000000019</v>
      </c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690718</v>
      </c>
      <c r="F8" s="95">
        <v>708548.15</v>
      </c>
      <c r="G8" s="115">
        <f>F8-E8</f>
        <v>17830.150000000023</v>
      </c>
      <c r="H8" s="99">
        <f>G8+'30'!H8</f>
        <v>0</v>
      </c>
      <c r="I8" s="116"/>
      <c r="J8" s="175">
        <f>H8/DAY(B2)</f>
        <v>0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955" t="s">
        <v>132</v>
      </c>
      <c r="B9" s="956"/>
      <c r="C9" s="957"/>
      <c r="D9" s="151" t="s">
        <v>130</v>
      </c>
      <c r="E9" s="95">
        <f>'30'!F9</f>
        <v>267226</v>
      </c>
      <c r="F9" s="598">
        <v>282253.84999999998</v>
      </c>
      <c r="G9" s="112">
        <f>F9-E9</f>
        <v>15027.849999999977</v>
      </c>
      <c r="H9" s="99">
        <f>G9+'30'!H9</f>
        <v>-2.9103830456733704E-11</v>
      </c>
      <c r="I9" s="124">
        <f>I7-J7</f>
        <v>11999.516129032258</v>
      </c>
      <c r="J9" s="175">
        <f>H9/DAY(B2)</f>
        <v>-9.3883324053979686E-13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952" t="s">
        <v>133</v>
      </c>
      <c r="B10" s="953"/>
      <c r="C10" s="954"/>
      <c r="D10" s="151" t="s">
        <v>130</v>
      </c>
      <c r="E10" s="95">
        <f>'30'!F10</f>
        <v>103185</v>
      </c>
      <c r="F10" s="353">
        <v>105258.97</v>
      </c>
      <c r="G10" s="112">
        <f t="shared" ref="G10:G12" si="0">F10-E10</f>
        <v>2073.9700000000012</v>
      </c>
      <c r="H10" s="99">
        <f>G10+'30'!H10</f>
        <v>0</v>
      </c>
      <c r="I10" s="120"/>
      <c r="J10" s="175">
        <f>H10/DAY(B2)</f>
        <v>0</v>
      </c>
      <c r="K10" s="79"/>
      <c r="L10" s="66"/>
      <c r="N10" s="87"/>
      <c r="O10" s="71"/>
    </row>
    <row r="11" spans="1:15" ht="21.95" customHeight="1" x14ac:dyDescent="0.4">
      <c r="A11" s="952" t="s">
        <v>134</v>
      </c>
      <c r="B11" s="953"/>
      <c r="C11" s="954"/>
      <c r="D11" s="151" t="s">
        <v>130</v>
      </c>
      <c r="E11" s="95">
        <f>'30'!F11</f>
        <v>37170</v>
      </c>
      <c r="F11" s="95">
        <v>37170</v>
      </c>
      <c r="G11" s="112">
        <f t="shared" si="0"/>
        <v>0</v>
      </c>
      <c r="H11" s="99">
        <f>G11+'30'!H11</f>
        <v>0</v>
      </c>
      <c r="I11" s="120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952" t="s">
        <v>135</v>
      </c>
      <c r="B12" s="953"/>
      <c r="C12" s="954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17101.819999999978</v>
      </c>
      <c r="H13" s="99">
        <f>G13+'30'!H13</f>
        <v>-16754.430000000022</v>
      </c>
      <c r="I13" s="120">
        <f>G7-G13</f>
        <v>512.41000000000349</v>
      </c>
      <c r="J13" s="175">
        <f>H13/DAY(B2)</f>
        <v>-540.46548387096846</v>
      </c>
      <c r="K13" s="79"/>
      <c r="L13" s="66"/>
      <c r="N13" s="87"/>
      <c r="O13" s="71"/>
    </row>
    <row r="14" spans="1:15" ht="29.25" x14ac:dyDescent="0.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884" t="s">
        <v>138</v>
      </c>
      <c r="B15" s="885"/>
      <c r="C15" s="886"/>
      <c r="D15" s="151" t="s">
        <v>139</v>
      </c>
      <c r="E15" s="95">
        <f>'30'!F15</f>
        <v>1905721</v>
      </c>
      <c r="F15" s="123">
        <v>1906636.767</v>
      </c>
      <c r="G15" s="112">
        <f>(F15-E15)</f>
        <v>915.76699999999255</v>
      </c>
      <c r="H15" s="99">
        <f>G15+'30'!H15</f>
        <v>30580</v>
      </c>
      <c r="I15" s="113">
        <f>'1'!I15</f>
        <v>800</v>
      </c>
      <c r="J15" s="175">
        <f>H15/DAY(B2)</f>
        <v>986.45161290322585</v>
      </c>
      <c r="K15" s="79"/>
      <c r="L15" s="66"/>
      <c r="N15" s="87"/>
      <c r="O15" s="71"/>
    </row>
    <row r="16" spans="1:15" ht="21.95" customHeight="1" x14ac:dyDescent="0.4">
      <c r="A16" s="949"/>
      <c r="B16" s="950"/>
      <c r="C16" s="951"/>
      <c r="D16" s="152"/>
      <c r="E16" s="123"/>
      <c r="F16" s="123"/>
      <c r="G16" s="112"/>
      <c r="H16" s="124"/>
      <c r="I16" s="120">
        <f>I15-J15</f>
        <v>-186.45161290322585</v>
      </c>
      <c r="J16" s="176"/>
      <c r="K16" s="79"/>
      <c r="L16" s="66"/>
      <c r="N16" s="87"/>
      <c r="O16" s="71"/>
    </row>
    <row r="17" spans="1:15" ht="29.25" x14ac:dyDescent="0.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84" t="s">
        <v>141</v>
      </c>
      <c r="B18" s="885"/>
      <c r="C18" s="886"/>
      <c r="D18" s="151" t="s">
        <v>142</v>
      </c>
      <c r="E18" s="95">
        <f>'30'!F18</f>
        <v>17</v>
      </c>
      <c r="F18" s="164">
        <v>9</v>
      </c>
      <c r="G18" s="119">
        <f>F18*10</f>
        <v>90</v>
      </c>
      <c r="H18" s="99">
        <f>G18+'30'!H18</f>
        <v>4960</v>
      </c>
      <c r="I18" s="113">
        <f>'1'!I18</f>
        <v>65</v>
      </c>
      <c r="J18" s="175">
        <f>H18/DAY(B2)</f>
        <v>160</v>
      </c>
      <c r="K18" s="79"/>
      <c r="L18" s="66"/>
      <c r="N18" s="87"/>
      <c r="O18" s="71"/>
    </row>
    <row r="19" spans="1:15" ht="27.75" x14ac:dyDescent="0.5">
      <c r="A19" s="884" t="s">
        <v>69</v>
      </c>
      <c r="B19" s="885"/>
      <c r="C19" s="886"/>
      <c r="D19" s="151" t="s">
        <v>142</v>
      </c>
      <c r="E19" s="95">
        <f>'30'!F19</f>
        <v>153835</v>
      </c>
      <c r="F19" s="122">
        <v>153891</v>
      </c>
      <c r="G19" s="112">
        <f t="shared" ref="G19" si="1">F19-E19</f>
        <v>56</v>
      </c>
      <c r="H19" s="99">
        <f>G19+'30'!H19</f>
        <v>0</v>
      </c>
      <c r="I19" s="123"/>
      <c r="J19" s="175">
        <f>H19/DAY(B2)</f>
        <v>0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146</v>
      </c>
      <c r="H20" s="99">
        <f>G20+'30'!H20</f>
        <v>4960</v>
      </c>
      <c r="I20" s="336">
        <f>I18-J20</f>
        <v>-95</v>
      </c>
      <c r="J20" s="175">
        <f>H20/DAY(B2)</f>
        <v>160</v>
      </c>
      <c r="K20" s="79"/>
      <c r="L20" s="66"/>
      <c r="N20" s="87"/>
      <c r="O20" s="71"/>
    </row>
    <row r="21" spans="1:15" ht="29.25" x14ac:dyDescent="0.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110</v>
      </c>
      <c r="I23" s="95"/>
      <c r="J23" s="175">
        <f>H23/DAY(B2)</f>
        <v>3.5483870967741935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110</v>
      </c>
      <c r="I24" s="95"/>
      <c r="J24" s="175">
        <f>H24/DAY(B2)</f>
        <v>3.5483870967741935</v>
      </c>
      <c r="K24" s="79"/>
      <c r="L24" s="66"/>
      <c r="N24" s="87"/>
      <c r="O24" s="71"/>
    </row>
    <row r="25" spans="1:15" s="88" customFormat="1" ht="27" x14ac:dyDescent="0.35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17830.150000000023</v>
      </c>
      <c r="F27" s="136">
        <v>9</v>
      </c>
      <c r="G27" s="137">
        <f>E27*F27</f>
        <v>160471.35000000021</v>
      </c>
      <c r="H27" s="99">
        <f>G27+'30'!H27</f>
        <v>0</v>
      </c>
      <c r="I27" s="138"/>
      <c r="J27" s="175">
        <f>H27/DAY(B2)</f>
        <v>0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915.76699999999255</v>
      </c>
      <c r="F28" s="136">
        <v>52</v>
      </c>
      <c r="G28" s="137">
        <f>E28*F28</f>
        <v>47619.883999999613</v>
      </c>
      <c r="H28" s="99">
        <f>G28+'30'!H28</f>
        <v>1641817.35</v>
      </c>
      <c r="I28" s="692"/>
      <c r="J28" s="175">
        <f>H28/DAY(B2)</f>
        <v>52961.850000000006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7590</v>
      </c>
      <c r="I29" s="692"/>
      <c r="J29" s="175">
        <f>H29/DAY(B2)</f>
        <v>244.83870967741936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G30+'30'!H30</f>
        <v>-7522.4399999999987</v>
      </c>
      <c r="I30" s="692"/>
      <c r="J30" s="175">
        <f>H30/DAY(B2)</f>
        <v>-242.65935483870965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90</v>
      </c>
      <c r="F31" s="136">
        <v>80</v>
      </c>
      <c r="G31" s="137">
        <f>E31*F31</f>
        <v>7200</v>
      </c>
      <c r="H31" s="99">
        <f>G31+'30'!H31</f>
        <v>396800</v>
      </c>
      <c r="I31" s="692"/>
      <c r="J31" s="175">
        <f>H31/DAY(B2)</f>
        <v>12800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223467.23399999982</v>
      </c>
      <c r="H32" s="99">
        <f>G32+'30'!H32</f>
        <v>2038684.9100000001</v>
      </c>
      <c r="I32" s="144"/>
      <c r="J32" s="175">
        <f>H32/DAY(B2)</f>
        <v>65764.029354838713</v>
      </c>
      <c r="K32" s="63"/>
      <c r="L32" s="89"/>
      <c r="N32" s="87"/>
      <c r="O32" s="71"/>
    </row>
    <row r="33" spans="1:15" ht="25.5" customHeight="1" x14ac:dyDescent="0.35">
      <c r="A33" s="916" t="s">
        <v>331</v>
      </c>
      <c r="B33" s="917"/>
      <c r="C33" s="917"/>
      <c r="D33" s="337"/>
      <c r="E33" s="693"/>
      <c r="F33" s="693"/>
      <c r="G33" s="693"/>
      <c r="H33" s="693"/>
      <c r="I33" s="693"/>
      <c r="J33" s="694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'30'!F35</f>
        <v>30752</v>
      </c>
      <c r="F35" s="145">
        <v>32004.98</v>
      </c>
      <c r="G35" s="112">
        <f t="shared" ref="G35:G46" si="3">F35-E35</f>
        <v>1252.9799999999996</v>
      </c>
      <c r="H35" s="99">
        <f>G35+'30'!H35</f>
        <v>3.637978807091713E-12</v>
      </c>
      <c r="I35" s="95"/>
      <c r="J35" s="175">
        <f>H35/DAY(B2)</f>
        <v>1.1735415506747461E-13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'30'!F36</f>
        <v>42820</v>
      </c>
      <c r="F36" s="145">
        <v>43458.74</v>
      </c>
      <c r="G36" s="112">
        <f t="shared" si="3"/>
        <v>638.73999999999796</v>
      </c>
      <c r="H36" s="99">
        <f>G36+'30'!H36</f>
        <v>0</v>
      </c>
      <c r="I36" s="95"/>
      <c r="J36" s="175">
        <f>H36/DAY(B2)</f>
        <v>0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'30'!F37</f>
        <v>33837</v>
      </c>
      <c r="F37" s="145">
        <v>35425.089999999997</v>
      </c>
      <c r="G37" s="112">
        <f t="shared" si="3"/>
        <v>1588.0899999999965</v>
      </c>
      <c r="H37" s="99">
        <f>G37+'30'!H37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'30'!F38</f>
        <v>36749</v>
      </c>
      <c r="F38" s="108">
        <v>38376.43</v>
      </c>
      <c r="G38" s="112">
        <f t="shared" si="3"/>
        <v>1627.4300000000003</v>
      </c>
      <c r="H38" s="99">
        <f>G38+'30'!H38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'30'!F39</f>
        <v>56524</v>
      </c>
      <c r="F39" s="145">
        <v>59173.29</v>
      </c>
      <c r="G39" s="112">
        <f t="shared" si="3"/>
        <v>2649.2900000000009</v>
      </c>
      <c r="H39" s="99">
        <f>G39+'30'!H39</f>
        <v>-3.637978807091713E-12</v>
      </c>
      <c r="I39" s="95"/>
      <c r="J39" s="175">
        <f>H39/DAY(B2)</f>
        <v>-1.1735415506747461E-13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'30'!F40</f>
        <v>20278</v>
      </c>
      <c r="F40" s="145">
        <v>21249.86</v>
      </c>
      <c r="G40" s="112">
        <f t="shared" si="3"/>
        <v>971.86000000000058</v>
      </c>
      <c r="H40" s="99">
        <f>G40+'30'!H40</f>
        <v>-867.13000000000102</v>
      </c>
      <c r="I40" s="95"/>
      <c r="J40" s="175">
        <f>H40/DAY(B2)</f>
        <v>-27.971935483871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'30'!F41</f>
        <v>0</v>
      </c>
      <c r="F41" s="145">
        <v>0</v>
      </c>
      <c r="G41" s="112">
        <f t="shared" si="3"/>
        <v>0</v>
      </c>
      <c r="H41" s="99">
        <f>G41+'30'!H41</f>
        <v>-62.73</v>
      </c>
      <c r="I41" s="95"/>
      <c r="J41" s="175">
        <f>H41/DAY(B2)</f>
        <v>-2.0235483870967741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'30'!F42</f>
        <v>95811</v>
      </c>
      <c r="F42" s="145">
        <v>100129.74</v>
      </c>
      <c r="G42" s="112">
        <f t="shared" si="3"/>
        <v>4318.7400000000052</v>
      </c>
      <c r="H42" s="99">
        <f>G42+'30'!H42</f>
        <v>62052</v>
      </c>
      <c r="I42" s="95"/>
      <c r="J42" s="175">
        <f>H42/DAY(B2)</f>
        <v>2001.6774193548388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'30'!F43</f>
        <v>112966</v>
      </c>
      <c r="F43" s="145">
        <v>114851.6</v>
      </c>
      <c r="G43" s="112">
        <f t="shared" si="3"/>
        <v>1885.6000000000058</v>
      </c>
      <c r="H43" s="99">
        <f>G43+'30'!H43</f>
        <v>66029</v>
      </c>
      <c r="I43" s="95"/>
      <c r="J43" s="175">
        <f>H43/DAY(B2)</f>
        <v>2129.9677419354839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14932.730000000007</v>
      </c>
      <c r="H47" s="99">
        <f>G47+'30'!H47</f>
        <v>127151.14000000001</v>
      </c>
      <c r="I47" s="95"/>
      <c r="J47" s="175">
        <f>H47/DAY(B2)</f>
        <v>4101.6496774193556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24139</v>
      </c>
      <c r="F49" s="145">
        <v>24996.19</v>
      </c>
      <c r="G49" s="112">
        <f t="shared" ref="G49:G58" si="4">F49-E49</f>
        <v>857.18999999999869</v>
      </c>
      <c r="H49" s="99">
        <f>G49+'30'!H49</f>
        <v>0</v>
      </c>
      <c r="I49" s="95"/>
      <c r="J49" s="175">
        <f>H49/DAY(B2)</f>
        <v>0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55316</v>
      </c>
      <c r="F50" s="145">
        <v>56386.63</v>
      </c>
      <c r="G50" s="112">
        <f t="shared" si="4"/>
        <v>1070.6299999999974</v>
      </c>
      <c r="H50" s="99">
        <f>G50+'30'!H50</f>
        <v>0</v>
      </c>
      <c r="I50" s="95"/>
      <c r="J50" s="175">
        <f>H50/DAY(B2)</f>
        <v>0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0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5147</v>
      </c>
      <c r="F54" s="145">
        <v>5147.42</v>
      </c>
      <c r="G54" s="112">
        <f t="shared" si="4"/>
        <v>0.42000000000007276</v>
      </c>
      <c r="H54" s="99">
        <f>G54+'30'!H54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74366</v>
      </c>
      <c r="F55" s="145">
        <v>74366.11</v>
      </c>
      <c r="G55" s="112">
        <f t="shared" si="4"/>
        <v>0.11000000000058208</v>
      </c>
      <c r="H55" s="99">
        <f>G55+'30'!H55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8610.5400000000009</v>
      </c>
      <c r="F56" s="145">
        <v>8610.5400000000009</v>
      </c>
      <c r="G56" s="112">
        <f t="shared" si="4"/>
        <v>0</v>
      </c>
      <c r="H56" s="99">
        <f>G56+'30'!H56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4599</v>
      </c>
      <c r="F58" s="145">
        <v>4796.21</v>
      </c>
      <c r="G58" s="112">
        <f t="shared" si="4"/>
        <v>197.21000000000004</v>
      </c>
      <c r="H58" s="99">
        <f>G58+'30'!H58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2125.5599999999968</v>
      </c>
      <c r="H59" s="99">
        <f>G59+'30'!H59</f>
        <v>-1.7280399333685637E-11</v>
      </c>
      <c r="I59" s="95">
        <f>G7-G60</f>
        <v>555.93999999997686</v>
      </c>
      <c r="J59" s="175">
        <f>H59/DAY(B2)</f>
        <v>-5.5743223657050441E-13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17058.290000000005</v>
      </c>
      <c r="H60" s="99">
        <f>G60+'30'!H60</f>
        <v>127151.13999999998</v>
      </c>
      <c r="I60" s="95">
        <f>G13-G60</f>
        <v>43.52999999997337</v>
      </c>
      <c r="J60" s="175">
        <f>H60/DAY(B2)</f>
        <v>4101.6496774193547</v>
      </c>
      <c r="K60" s="79"/>
      <c r="L60" s="66"/>
      <c r="N60" s="87"/>
      <c r="O60" s="71"/>
    </row>
    <row r="61" spans="1:15" s="68" customFormat="1" ht="27.75" x14ac:dyDescent="0.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84" t="s">
        <v>198</v>
      </c>
      <c r="B62" s="885"/>
      <c r="C62" s="886"/>
      <c r="D62" s="151" t="s">
        <v>142</v>
      </c>
      <c r="E62" s="95">
        <f>'30'!F62</f>
        <v>269433</v>
      </c>
      <c r="F62" s="122">
        <v>269516</v>
      </c>
      <c r="G62" s="112">
        <f t="shared" ref="G62:G63" si="5">F62-E62</f>
        <v>83</v>
      </c>
      <c r="H62" s="99">
        <f>G62+'30'!H62</f>
        <v>0</v>
      </c>
      <c r="I62" s="95"/>
      <c r="J62" s="175">
        <f>H62/DAY(B2)</f>
        <v>0</v>
      </c>
      <c r="K62" s="80"/>
      <c r="L62" s="66"/>
      <c r="N62" s="87"/>
      <c r="O62" s="71"/>
    </row>
    <row r="63" spans="1:15" ht="27.75" x14ac:dyDescent="0.5">
      <c r="A63" s="884" t="s">
        <v>199</v>
      </c>
      <c r="B63" s="885"/>
      <c r="C63" s="886"/>
      <c r="D63" s="151" t="s">
        <v>142</v>
      </c>
      <c r="E63" s="95">
        <f>'30'!F63</f>
        <v>215630</v>
      </c>
      <c r="F63" s="164">
        <v>215797</v>
      </c>
      <c r="G63" s="112">
        <f t="shared" si="5"/>
        <v>167</v>
      </c>
      <c r="H63" s="99">
        <f>G63+'30'!H63</f>
        <v>3721</v>
      </c>
      <c r="I63" s="95"/>
      <c r="J63" s="175">
        <f>H63/DAY(B2)</f>
        <v>120.03225806451613</v>
      </c>
      <c r="K63" s="69"/>
      <c r="L63" s="66"/>
      <c r="N63" s="87"/>
      <c r="O63" s="71"/>
    </row>
    <row r="64" spans="1:15" ht="29.25" x14ac:dyDescent="0.5">
      <c r="A64" s="893" t="s">
        <v>200</v>
      </c>
      <c r="B64" s="894"/>
      <c r="C64" s="895"/>
      <c r="D64" s="151"/>
      <c r="E64" s="95">
        <f>'30'!F64</f>
        <v>0</v>
      </c>
      <c r="F64" s="122"/>
      <c r="G64" s="112">
        <f>G62+G63</f>
        <v>250</v>
      </c>
      <c r="H64" s="99">
        <f>G64+'30'!H64</f>
        <v>3721</v>
      </c>
      <c r="I64" s="95"/>
      <c r="J64" s="175">
        <f>H64/DAY(B2)</f>
        <v>120.03225806451613</v>
      </c>
      <c r="K64" s="69"/>
      <c r="L64" s="66"/>
      <c r="N64" s="87"/>
      <c r="O64" s="71"/>
    </row>
    <row r="65" spans="1:15" ht="27.75" x14ac:dyDescent="0.5">
      <c r="A65" s="884" t="s">
        <v>201</v>
      </c>
      <c r="B65" s="885"/>
      <c r="C65" s="886"/>
      <c r="D65" s="151" t="s">
        <v>142</v>
      </c>
      <c r="E65" s="95">
        <f>'30'!F65</f>
        <v>434849</v>
      </c>
      <c r="F65" s="122">
        <v>434923</v>
      </c>
      <c r="G65" s="112">
        <f t="shared" ref="G65:G70" si="6">F65-E65</f>
        <v>74</v>
      </c>
      <c r="H65" s="99">
        <f>G65+'30'!H65</f>
        <v>0</v>
      </c>
      <c r="I65" s="95"/>
      <c r="J65" s="175">
        <f>H65/DAY(B2)</f>
        <v>0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'30'!F66</f>
        <v>107728</v>
      </c>
      <c r="F66" s="122">
        <v>107743</v>
      </c>
      <c r="G66" s="112">
        <f t="shared" si="6"/>
        <v>15</v>
      </c>
      <c r="H66" s="99">
        <f>G66+'30'!H66</f>
        <v>0</v>
      </c>
      <c r="I66" s="95"/>
      <c r="J66" s="175">
        <f>H66/DAY(B2)</f>
        <v>0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'30'!F67</f>
        <v>104628</v>
      </c>
      <c r="F67" s="122">
        <v>104648</v>
      </c>
      <c r="G67" s="112">
        <f t="shared" si="6"/>
        <v>20</v>
      </c>
      <c r="H67" s="99">
        <f>G67+'30'!H67</f>
        <v>0</v>
      </c>
      <c r="I67" s="95"/>
      <c r="J67" s="175">
        <f>H67/DAY(B2)</f>
        <v>0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'30'!F68</f>
        <v>157668</v>
      </c>
      <c r="F68" s="122">
        <v>157697</v>
      </c>
      <c r="G68" s="112">
        <f t="shared" si="6"/>
        <v>29</v>
      </c>
      <c r="H68" s="99">
        <f>G68+'30'!H68</f>
        <v>0</v>
      </c>
      <c r="I68" s="95"/>
      <c r="J68" s="175">
        <f>H68/DAY(B2)</f>
        <v>0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'30'!F69</f>
        <v>10532</v>
      </c>
      <c r="F69" s="122">
        <v>10541</v>
      </c>
      <c r="G69" s="112">
        <f t="shared" si="6"/>
        <v>9</v>
      </c>
      <c r="H69" s="99">
        <f>G69+'30'!H69</f>
        <v>0</v>
      </c>
      <c r="I69" s="95"/>
      <c r="J69" s="175">
        <f>H69/DAY(B2)</f>
        <v>0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'30'!F70</f>
        <v>8112</v>
      </c>
      <c r="F70" s="122">
        <v>8120</v>
      </c>
      <c r="G70" s="112">
        <f t="shared" si="6"/>
        <v>8</v>
      </c>
      <c r="H70" s="99">
        <f>G70+'30'!H70</f>
        <v>0</v>
      </c>
      <c r="I70" s="95"/>
      <c r="J70" s="175">
        <f>H70/DAY(B2)</f>
        <v>0</v>
      </c>
      <c r="K70" s="69"/>
      <c r="L70" s="66"/>
      <c r="N70" s="87"/>
      <c r="O70" s="71"/>
    </row>
    <row r="71" spans="1:15" ht="29.25" x14ac:dyDescent="0.5">
      <c r="A71" s="893" t="s">
        <v>208</v>
      </c>
      <c r="B71" s="894"/>
      <c r="C71" s="895"/>
      <c r="D71" s="152"/>
      <c r="E71" s="95">
        <f>'30'!F71</f>
        <v>0</v>
      </c>
      <c r="F71" s="152"/>
      <c r="G71" s="153">
        <f>SUM(G65:G70)</f>
        <v>155</v>
      </c>
      <c r="H71" s="99">
        <f>G71+'30'!H71</f>
        <v>0</v>
      </c>
      <c r="I71" s="695"/>
      <c r="J71" s="175">
        <f>H71/DAY(B2)</f>
        <v>0</v>
      </c>
      <c r="K71" s="69"/>
      <c r="L71" s="66"/>
      <c r="N71" s="87"/>
      <c r="O71" s="71"/>
    </row>
    <row r="72" spans="1:15" s="88" customFormat="1" ht="27.75" x14ac:dyDescent="0.5">
      <c r="A72" s="880"/>
      <c r="B72" s="865"/>
      <c r="C72" s="347"/>
      <c r="D72" s="180"/>
      <c r="E72" s="494" t="s">
        <v>207</v>
      </c>
      <c r="F72" s="494"/>
      <c r="G72" s="494"/>
      <c r="H72" s="181"/>
      <c r="I72" s="494"/>
      <c r="J72" s="696"/>
      <c r="N72" s="87"/>
      <c r="O72" s="71"/>
    </row>
    <row r="73" spans="1:15" ht="29.25" x14ac:dyDescent="0.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84" t="s">
        <v>220</v>
      </c>
      <c r="B74" s="885"/>
      <c r="C74" s="886"/>
      <c r="D74" s="151" t="s">
        <v>139</v>
      </c>
      <c r="E74" s="95">
        <f>'30'!F74</f>
        <v>901012</v>
      </c>
      <c r="F74" s="123">
        <v>901306.14899999998</v>
      </c>
      <c r="G74" s="112">
        <f t="shared" ref="G74:G78" si="7">F74-E74</f>
        <v>294.14899999997579</v>
      </c>
      <c r="H74" s="99">
        <f>G74+'30'!H74</f>
        <v>0</v>
      </c>
      <c r="I74" s="695"/>
      <c r="J74" s="175">
        <f>H74/DAY(B2)</f>
        <v>0</v>
      </c>
      <c r="K74" s="69"/>
      <c r="L74" s="66"/>
      <c r="N74" s="87"/>
      <c r="O74" s="71"/>
    </row>
    <row r="75" spans="1:15" ht="27.75" x14ac:dyDescent="0.5">
      <c r="A75" s="884" t="s">
        <v>221</v>
      </c>
      <c r="B75" s="885"/>
      <c r="C75" s="886"/>
      <c r="D75" s="151" t="s">
        <v>139</v>
      </c>
      <c r="E75" s="95">
        <f>'30'!F75</f>
        <v>73586.8</v>
      </c>
      <c r="F75" s="123">
        <v>73586.8</v>
      </c>
      <c r="G75" s="112">
        <f t="shared" si="7"/>
        <v>0</v>
      </c>
      <c r="H75" s="99">
        <f>G75+'30'!H75</f>
        <v>0</v>
      </c>
      <c r="I75" s="695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1" t="s">
        <v>222</v>
      </c>
      <c r="B76" s="882"/>
      <c r="C76" s="883"/>
      <c r="D76" s="151" t="s">
        <v>139</v>
      </c>
      <c r="E76" s="95">
        <f>'30'!F76</f>
        <v>169900</v>
      </c>
      <c r="F76" s="123">
        <v>169975</v>
      </c>
      <c r="G76" s="112">
        <f t="shared" si="7"/>
        <v>75</v>
      </c>
      <c r="H76" s="99">
        <f>G76+'30'!H76</f>
        <v>0</v>
      </c>
      <c r="I76" s="695"/>
      <c r="J76" s="175">
        <f>H76/DAY(B2)</f>
        <v>0</v>
      </c>
      <c r="K76" s="69"/>
      <c r="L76" s="66"/>
      <c r="N76" s="87"/>
      <c r="O76" s="71"/>
    </row>
    <row r="77" spans="1:15" ht="27.75" x14ac:dyDescent="0.5">
      <c r="A77" s="881" t="s">
        <v>223</v>
      </c>
      <c r="B77" s="882"/>
      <c r="C77" s="883"/>
      <c r="D77" s="151" t="s">
        <v>139</v>
      </c>
      <c r="E77" s="95">
        <f>'30'!F77</f>
        <v>41274</v>
      </c>
      <c r="F77" s="492">
        <v>41302.199999999997</v>
      </c>
      <c r="G77" s="112">
        <f t="shared" si="7"/>
        <v>28.19999999999709</v>
      </c>
      <c r="H77" s="99">
        <f>G77+'30'!H77</f>
        <v>0</v>
      </c>
      <c r="I77" s="695"/>
      <c r="J77" s="175">
        <f>H77/DAY(B2)</f>
        <v>0</v>
      </c>
      <c r="K77" s="69"/>
      <c r="L77" s="66"/>
      <c r="N77" s="87"/>
      <c r="O77" s="71"/>
    </row>
    <row r="78" spans="1:15" ht="27.75" x14ac:dyDescent="0.5">
      <c r="A78" s="881" t="s">
        <v>224</v>
      </c>
      <c r="B78" s="882"/>
      <c r="C78" s="883"/>
      <c r="D78" s="151" t="s">
        <v>139</v>
      </c>
      <c r="E78" s="95">
        <f>'30'!F78</f>
        <v>9514</v>
      </c>
      <c r="F78" s="492">
        <v>9516</v>
      </c>
      <c r="G78" s="112">
        <f t="shared" si="7"/>
        <v>2</v>
      </c>
      <c r="H78" s="99">
        <f>G78+'30'!H78</f>
        <v>0</v>
      </c>
      <c r="I78" s="95"/>
      <c r="J78" s="175">
        <f>H78/DAY(B2)</f>
        <v>0</v>
      </c>
      <c r="K78" s="69"/>
      <c r="L78" s="66"/>
      <c r="N78" s="87"/>
      <c r="O78" s="71"/>
    </row>
    <row r="79" spans="1:15" s="57" customFormat="1" ht="27.75" x14ac:dyDescent="0.5">
      <c r="A79" s="881" t="s">
        <v>225</v>
      </c>
      <c r="B79" s="882"/>
      <c r="C79" s="883"/>
      <c r="D79" s="151"/>
      <c r="E79" s="95">
        <f>'30'!F79</f>
        <v>0</v>
      </c>
      <c r="F79" s="123"/>
      <c r="G79" s="112">
        <f>G15-SUM(G74:G78)</f>
        <v>516.41800000001967</v>
      </c>
      <c r="H79" s="99">
        <f>G79+'30'!H79</f>
        <v>30580</v>
      </c>
      <c r="I79" s="95"/>
      <c r="J79" s="175"/>
      <c r="K79" s="59"/>
      <c r="L79" s="58"/>
      <c r="N79" s="87"/>
      <c r="O79" s="71"/>
    </row>
    <row r="80" spans="1:15" s="57" customFormat="1" ht="29.25" x14ac:dyDescent="0.5">
      <c r="A80" s="893" t="s">
        <v>329</v>
      </c>
      <c r="B80" s="894"/>
      <c r="C80" s="895"/>
      <c r="D80" s="151"/>
      <c r="E80" s="117"/>
      <c r="F80" s="117"/>
      <c r="G80" s="112">
        <f>SUM(G74:G79)</f>
        <v>915.76699999999255</v>
      </c>
      <c r="H80" s="99"/>
      <c r="I80" s="95"/>
      <c r="J80" s="175"/>
      <c r="K80" s="59"/>
      <c r="L80" s="58"/>
      <c r="N80" s="87"/>
      <c r="O80" s="71"/>
    </row>
    <row r="81" spans="1:15" ht="27" x14ac:dyDescent="0.4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'30'!F82</f>
        <v>0</v>
      </c>
      <c r="F82" s="122">
        <v>0</v>
      </c>
      <c r="G82" s="112">
        <f t="shared" ref="G82:G92" si="8">F82-E82</f>
        <v>0</v>
      </c>
      <c r="H82" s="99">
        <f>G82+'30'!H131</f>
        <v>-46.680000000000291</v>
      </c>
      <c r="I82" s="95"/>
      <c r="J82" s="175">
        <f>H82/DAY(B2)</f>
        <v>-1.5058064516129126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'30'!F83</f>
        <v>0</v>
      </c>
      <c r="F83" s="122">
        <v>0</v>
      </c>
      <c r="G83" s="112">
        <f t="shared" si="8"/>
        <v>0</v>
      </c>
      <c r="H83" s="99">
        <f>G83+'30'!H83</f>
        <v>0</v>
      </c>
      <c r="I83" s="95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'30'!F84</f>
        <v>41675.26</v>
      </c>
      <c r="F84" s="164">
        <v>41675</v>
      </c>
      <c r="G84" s="112">
        <f t="shared" si="8"/>
        <v>-0.26000000000203727</v>
      </c>
      <c r="H84" s="99">
        <f>G84+'30'!H84</f>
        <v>0</v>
      </c>
      <c r="I84" s="95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'30'!F85</f>
        <v>2238</v>
      </c>
      <c r="F85" s="164">
        <v>2262</v>
      </c>
      <c r="G85" s="112">
        <f t="shared" si="8"/>
        <v>24</v>
      </c>
      <c r="H85" s="99">
        <f>G85+'30'!H85</f>
        <v>1.5799999999999272</v>
      </c>
      <c r="I85" s="95">
        <f>G82+G83+G84+G85</f>
        <v>23.739999999997963</v>
      </c>
      <c r="J85" s="175">
        <f>H85/DAY(B2)</f>
        <v>5.0967741935481523E-2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'30'!F86</f>
        <v>43442</v>
      </c>
      <c r="F86" s="164">
        <v>43442</v>
      </c>
      <c r="G86" s="112">
        <f t="shared" si="8"/>
        <v>0</v>
      </c>
      <c r="H86" s="99">
        <f>G86+'30'!H86</f>
        <v>0</v>
      </c>
      <c r="I86" s="95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'30'!F87</f>
        <v>34598.550000000003</v>
      </c>
      <c r="F87" s="164">
        <v>34598.5</v>
      </c>
      <c r="G87" s="112">
        <f t="shared" si="8"/>
        <v>-5.0000000002910383E-2</v>
      </c>
      <c r="H87" s="99">
        <f>G87+'30'!H87</f>
        <v>0</v>
      </c>
      <c r="I87" s="95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'30'!F88</f>
        <v>24063.43</v>
      </c>
      <c r="F88" s="164">
        <v>24063.43</v>
      </c>
      <c r="G88" s="112">
        <f t="shared" si="8"/>
        <v>0</v>
      </c>
      <c r="H88" s="99">
        <f>G88+'30'!H88</f>
        <v>0</v>
      </c>
      <c r="I88" s="95">
        <f>G86+G87+G88</f>
        <v>-5.0000000002910383E-2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'30'!F89</f>
        <v>25881.82</v>
      </c>
      <c r="F89" s="164">
        <v>25891.119999999999</v>
      </c>
      <c r="G89" s="112">
        <f t="shared" si="8"/>
        <v>9.2999999999992724</v>
      </c>
      <c r="H89" s="99">
        <f>G89+'30'!H89</f>
        <v>0</v>
      </c>
      <c r="I89" s="95"/>
      <c r="J89" s="175">
        <f>H89/DAY(B2)</f>
        <v>0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'30'!F90</f>
        <v>71161</v>
      </c>
      <c r="F90" s="164">
        <v>71163.320000000007</v>
      </c>
      <c r="G90" s="112">
        <f>F90-E90</f>
        <v>2.3200000000069849</v>
      </c>
      <c r="H90" s="99">
        <f>G90+'30'!H90</f>
        <v>31.320000000006985</v>
      </c>
      <c r="I90" s="95">
        <f>G89+G90</f>
        <v>11.620000000006257</v>
      </c>
      <c r="J90" s="175">
        <f>H90/DAY(B2)</f>
        <v>1.0103225806453866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'30'!F91</f>
        <v>3239.62</v>
      </c>
      <c r="F91" s="122">
        <v>3251.09</v>
      </c>
      <c r="G91" s="112">
        <f t="shared" si="8"/>
        <v>11.470000000000255</v>
      </c>
      <c r="H91" s="99">
        <f>G91+'30'!H91</f>
        <v>0</v>
      </c>
      <c r="I91" s="15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'30'!F92</f>
        <v>5741.07</v>
      </c>
      <c r="F92" s="122">
        <v>5741.07</v>
      </c>
      <c r="G92" s="112">
        <f t="shared" si="8"/>
        <v>0</v>
      </c>
      <c r="H92" s="99">
        <f>G92+'30'!H92</f>
        <v>0</v>
      </c>
      <c r="I92" s="155"/>
      <c r="J92" s="175">
        <f>H92/DAY(B2)</f>
        <v>0</v>
      </c>
      <c r="O92" s="71"/>
    </row>
    <row r="93" spans="1:15" ht="29.25" x14ac:dyDescent="0.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3995.7700000000041</v>
      </c>
      <c r="H94" s="99">
        <f>G94+'30'!H94</f>
        <v>66029</v>
      </c>
      <c r="I94" s="95"/>
      <c r="J94" s="175">
        <f>H94/DAY(B2)</f>
        <v>2129.9677419354839</v>
      </c>
      <c r="K94" s="69"/>
      <c r="L94" s="66"/>
      <c r="O94" s="71"/>
    </row>
    <row r="95" spans="1:15" ht="27.75" x14ac:dyDescent="0.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0.22684897381265082</v>
      </c>
      <c r="H95" s="99">
        <f>G95+'30'!H95</f>
        <v>7.7417117035299698</v>
      </c>
      <c r="I95" s="697"/>
      <c r="J95" s="175">
        <f>H95/DAY(B2)</f>
        <v>0.24973263559774098</v>
      </c>
      <c r="K95" s="69"/>
      <c r="L95" s="66"/>
      <c r="O95" s="71"/>
    </row>
    <row r="96" spans="1:15" ht="27.75" x14ac:dyDescent="0.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4318.8500000000058</v>
      </c>
      <c r="H96" s="99">
        <f>G96+'30'!H96</f>
        <v>61989.27</v>
      </c>
      <c r="I96" s="95"/>
      <c r="J96" s="175">
        <f>H96/DAY(B2)</f>
        <v>1999.6538709677418</v>
      </c>
      <c r="K96" s="69"/>
      <c r="L96" s="66"/>
      <c r="O96" s="71"/>
    </row>
    <row r="97" spans="1:15" ht="27.75" x14ac:dyDescent="0.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0.24519096208009153</v>
      </c>
      <c r="H97" s="99">
        <f>G97+'30'!H97</f>
        <v>5.8320154607983454</v>
      </c>
      <c r="I97" s="697"/>
      <c r="J97" s="175">
        <f>H97/DAY(B2)</f>
        <v>0.18812953099349503</v>
      </c>
      <c r="K97" s="69"/>
      <c r="L97" s="66"/>
      <c r="O97" s="71"/>
    </row>
    <row r="98" spans="1:15" ht="27.75" x14ac:dyDescent="0.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2649.2900000000009</v>
      </c>
      <c r="H98" s="99">
        <f>G98+'30'!H98</f>
        <v>-3.637978807091713E-12</v>
      </c>
      <c r="I98" s="651"/>
      <c r="J98" s="175">
        <f>H98/DAY(B2)</f>
        <v>-1.1735415506747461E-13</v>
      </c>
      <c r="K98" s="69"/>
      <c r="L98" s="66"/>
      <c r="O98" s="71"/>
    </row>
    <row r="99" spans="1:15" ht="27.75" x14ac:dyDescent="0.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0.15040623405053777</v>
      </c>
      <c r="H99" s="99">
        <f>G99+'30'!H99</f>
        <v>4.5706292446994201</v>
      </c>
      <c r="I99" s="651"/>
      <c r="J99" s="175">
        <f>H99/DAY(B2)</f>
        <v>0.14743965305482001</v>
      </c>
      <c r="O99" s="71"/>
    </row>
    <row r="100" spans="1:15" ht="27.75" x14ac:dyDescent="0.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1627.4300000000003</v>
      </c>
      <c r="H100" s="99">
        <f>G100+'30'!H100</f>
        <v>0</v>
      </c>
      <c r="I100" s="95"/>
      <c r="J100" s="175">
        <f>H100/DAY(B2)</f>
        <v>0</v>
      </c>
      <c r="K100" s="70"/>
      <c r="O100" s="71"/>
    </row>
    <row r="101" spans="1:15" ht="27.75" x14ac:dyDescent="0.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9.2392911867280145E-2</v>
      </c>
      <c r="H101" s="99">
        <f>G101+'30'!H101</f>
        <v>2.9921122553566799</v>
      </c>
      <c r="I101" s="651"/>
      <c r="J101" s="175">
        <f>H101/DAY(B2)</f>
        <v>9.6519750172796126E-2</v>
      </c>
      <c r="O101" s="71"/>
    </row>
    <row r="102" spans="1:15" ht="27.75" x14ac:dyDescent="0.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1709.3699999999953</v>
      </c>
      <c r="H102" s="99">
        <f>G102+'30'!H102</f>
        <v>0</v>
      </c>
      <c r="I102" s="651"/>
      <c r="J102" s="175">
        <f>H102/DAY(B2)</f>
        <v>0</v>
      </c>
      <c r="O102" s="71"/>
    </row>
    <row r="103" spans="1:15" ht="27.75" x14ac:dyDescent="0.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9.7044832501903128E-2</v>
      </c>
      <c r="H103" s="99">
        <f>G103+'30'!H103</f>
        <v>3.205155050943548</v>
      </c>
      <c r="I103" s="95"/>
      <c r="J103" s="175">
        <f>H103/DAY(B2)</f>
        <v>0.1033920984175338</v>
      </c>
      <c r="O103" s="71"/>
    </row>
    <row r="104" spans="1:15" ht="27.75" x14ac:dyDescent="0.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1588.0899999999965</v>
      </c>
      <c r="H104" s="99">
        <f>G104+'30'!H104</f>
        <v>0</v>
      </c>
      <c r="I104" s="95"/>
      <c r="J104" s="175">
        <f>H104/DAY(B2)</f>
        <v>0</v>
      </c>
      <c r="O104" s="71"/>
    </row>
    <row r="105" spans="1:15" ht="28.5" thickBot="1" x14ac:dyDescent="0.55000000000000004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9.0159490366595541E-2</v>
      </c>
      <c r="H105" s="99">
        <f>G105+'30'!H105</f>
        <v>2.6851804770935304</v>
      </c>
      <c r="I105" s="185"/>
      <c r="J105" s="188">
        <f>H105/DAY(B2)</f>
        <v>8.6618725067533237E-2</v>
      </c>
      <c r="O105" s="71"/>
    </row>
    <row r="106" spans="1:15" ht="29.25" x14ac:dyDescent="0.5">
      <c r="A106" s="105"/>
      <c r="B106" s="96"/>
      <c r="C106" s="96"/>
      <c r="D106" s="169"/>
      <c r="E106" s="495"/>
      <c r="F106" s="495"/>
      <c r="G106" s="495"/>
      <c r="H106" s="170"/>
      <c r="I106" s="495"/>
      <c r="J106" s="170"/>
      <c r="O106" s="71"/>
    </row>
    <row r="107" spans="1:15" ht="29.25" x14ac:dyDescent="0.5"/>
    <row r="108" spans="1:15" ht="31.5" x14ac:dyDescent="0.55000000000000004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 x14ac:dyDescent="0.5">
      <c r="A109" s="901"/>
      <c r="B109" s="901"/>
    </row>
    <row r="110" spans="1:15" ht="29.25" x14ac:dyDescent="0.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x14ac:dyDescent="0.5">
      <c r="A111" s="867"/>
      <c r="B111" s="868"/>
      <c r="C111" s="869"/>
      <c r="D111" s="165"/>
      <c r="E111" s="155"/>
      <c r="F111" s="155"/>
      <c r="G111" s="155"/>
      <c r="H111" s="156"/>
      <c r="I111" s="155"/>
      <c r="J111" s="156"/>
    </row>
    <row r="112" spans="1:15" ht="27.75" x14ac:dyDescent="0.5">
      <c r="A112" s="863" t="s">
        <v>252</v>
      </c>
      <c r="B112" s="864"/>
      <c r="C112" s="865"/>
      <c r="D112" s="146" t="s">
        <v>183</v>
      </c>
      <c r="E112" s="95">
        <f>'30'!F112</f>
        <v>57977</v>
      </c>
      <c r="F112" s="237">
        <v>58054</v>
      </c>
      <c r="G112" s="112">
        <f t="shared" ref="G112:G123" si="9">F112-E112</f>
        <v>77</v>
      </c>
      <c r="H112" s="99">
        <f>G112+'30'!H112</f>
        <v>0</v>
      </c>
      <c r="I112" s="155"/>
      <c r="J112" s="328">
        <f>H112/DAY(B2)</f>
        <v>0</v>
      </c>
    </row>
    <row r="113" spans="1:18" ht="27.75" x14ac:dyDescent="0.5">
      <c r="A113" s="863" t="s">
        <v>253</v>
      </c>
      <c r="B113" s="864"/>
      <c r="C113" s="865"/>
      <c r="D113" s="146" t="s">
        <v>183</v>
      </c>
      <c r="E113" s="95">
        <f>'30'!F113</f>
        <v>45932</v>
      </c>
      <c r="F113" s="237">
        <v>46400.89</v>
      </c>
      <c r="G113" s="112">
        <f t="shared" si="9"/>
        <v>468.88999999999942</v>
      </c>
      <c r="H113" s="99">
        <f>G113+'30'!H113</f>
        <v>0</v>
      </c>
      <c r="I113" s="155"/>
      <c r="J113" s="328">
        <f>H113/DAY(B2)</f>
        <v>0</v>
      </c>
    </row>
    <row r="114" spans="1:18" ht="27.75" x14ac:dyDescent="0.5">
      <c r="A114" s="863" t="s">
        <v>254</v>
      </c>
      <c r="B114" s="864"/>
      <c r="C114" s="865"/>
      <c r="D114" s="146" t="s">
        <v>183</v>
      </c>
      <c r="E114" s="95">
        <f>'30'!F114</f>
        <v>32897</v>
      </c>
      <c r="F114" s="237">
        <v>33160</v>
      </c>
      <c r="G114" s="112">
        <f t="shared" si="9"/>
        <v>263</v>
      </c>
      <c r="H114" s="99">
        <f>G114+'30'!H114</f>
        <v>-133.60000000000036</v>
      </c>
      <c r="I114" s="155"/>
      <c r="J114" s="328">
        <f>H114/DAY(B2)</f>
        <v>-4.3096774193548502</v>
      </c>
    </row>
    <row r="115" spans="1:18" ht="27.75" x14ac:dyDescent="0.5">
      <c r="A115" s="863" t="s">
        <v>255</v>
      </c>
      <c r="B115" s="864"/>
      <c r="C115" s="865"/>
      <c r="D115" s="146" t="s">
        <v>183</v>
      </c>
      <c r="E115" s="95">
        <f>'30'!F115</f>
        <v>9081</v>
      </c>
      <c r="F115" s="237">
        <v>9094.65</v>
      </c>
      <c r="G115" s="112">
        <f t="shared" si="9"/>
        <v>13.649999999999636</v>
      </c>
      <c r="H115" s="99">
        <f>G115+'30'!H115</f>
        <v>0</v>
      </c>
      <c r="I115" s="155"/>
      <c r="J115" s="328">
        <f>H115/DAY(B2)</f>
        <v>0</v>
      </c>
    </row>
    <row r="116" spans="1:18" ht="27.75" x14ac:dyDescent="0.5">
      <c r="A116" s="870" t="s">
        <v>96</v>
      </c>
      <c r="B116" s="871"/>
      <c r="C116" s="872"/>
      <c r="D116" s="146" t="s">
        <v>183</v>
      </c>
      <c r="E116" s="95">
        <f>'30'!F116</f>
        <v>0</v>
      </c>
      <c r="F116" s="237">
        <v>0</v>
      </c>
      <c r="G116" s="112">
        <f t="shared" si="9"/>
        <v>0</v>
      </c>
      <c r="H116" s="99">
        <f>G116+'30'!H116</f>
        <v>0</v>
      </c>
      <c r="I116" s="155"/>
      <c r="J116" s="328">
        <f>H116/DAY(B2)</f>
        <v>0</v>
      </c>
      <c r="Q116" s="863"/>
      <c r="R116" s="865"/>
    </row>
    <row r="117" spans="1:18" ht="27.75" x14ac:dyDescent="0.5">
      <c r="A117" s="870" t="s">
        <v>184</v>
      </c>
      <c r="B117" s="871"/>
      <c r="C117" s="872"/>
      <c r="D117" s="146" t="s">
        <v>183</v>
      </c>
      <c r="E117" s="95">
        <f>'30'!F117</f>
        <v>3299</v>
      </c>
      <c r="F117" s="237">
        <v>3337.95</v>
      </c>
      <c r="G117" s="112">
        <f t="shared" si="9"/>
        <v>38.949999999999818</v>
      </c>
      <c r="H117" s="99">
        <f>G117+'30'!H117</f>
        <v>0</v>
      </c>
      <c r="I117" s="155"/>
      <c r="J117" s="328">
        <f>H117/DAY(B2)</f>
        <v>0</v>
      </c>
      <c r="Q117" s="863"/>
      <c r="R117" s="865"/>
    </row>
    <row r="118" spans="1:18" ht="27.75" x14ac:dyDescent="0.5">
      <c r="A118" s="862" t="s">
        <v>97</v>
      </c>
      <c r="B118" s="862"/>
      <c r="C118" s="862"/>
      <c r="D118" s="151" t="s">
        <v>183</v>
      </c>
      <c r="E118" s="95">
        <f>'30'!F118</f>
        <v>252133</v>
      </c>
      <c r="F118" s="237">
        <v>252452.31</v>
      </c>
      <c r="G118" s="112">
        <f t="shared" si="9"/>
        <v>319.30999999999767</v>
      </c>
      <c r="H118" s="99">
        <f>G118+'30'!H118</f>
        <v>0</v>
      </c>
      <c r="I118" s="155"/>
      <c r="J118" s="328">
        <f>H118/DAY(B2)</f>
        <v>0</v>
      </c>
      <c r="Q118" s="863"/>
      <c r="R118" s="865"/>
    </row>
    <row r="119" spans="1:18" ht="27.75" x14ac:dyDescent="0.5">
      <c r="A119" s="862" t="s">
        <v>98</v>
      </c>
      <c r="B119" s="862"/>
      <c r="C119" s="862"/>
      <c r="D119" s="151" t="s">
        <v>183</v>
      </c>
      <c r="E119" s="95">
        <f>'30'!F119</f>
        <v>257722</v>
      </c>
      <c r="F119" s="237">
        <v>258148.55</v>
      </c>
      <c r="G119" s="112">
        <f t="shared" si="9"/>
        <v>426.54999999998836</v>
      </c>
      <c r="H119" s="99">
        <f>G119+'30'!H119</f>
        <v>0</v>
      </c>
      <c r="I119" s="155"/>
      <c r="J119" s="328">
        <f>H119/DAY(B2)</f>
        <v>0</v>
      </c>
    </row>
    <row r="120" spans="1:18" ht="27.75" x14ac:dyDescent="0.5">
      <c r="A120" s="862" t="s">
        <v>99</v>
      </c>
      <c r="B120" s="862"/>
      <c r="C120" s="862"/>
      <c r="D120" s="151" t="s">
        <v>183</v>
      </c>
      <c r="E120" s="95">
        <f>'30'!F120</f>
        <v>42540</v>
      </c>
      <c r="F120" s="237">
        <v>42959.61</v>
      </c>
      <c r="G120" s="112">
        <f t="shared" si="9"/>
        <v>419.61000000000058</v>
      </c>
      <c r="H120" s="99">
        <f>G120+'30'!H120</f>
        <v>0</v>
      </c>
      <c r="I120" s="155"/>
      <c r="J120" s="328">
        <f>H120/DAY(B2)</f>
        <v>0</v>
      </c>
    </row>
    <row r="121" spans="1:18" ht="27.75" x14ac:dyDescent="0.5">
      <c r="A121" s="862" t="s">
        <v>100</v>
      </c>
      <c r="B121" s="862"/>
      <c r="C121" s="862"/>
      <c r="D121" s="151" t="s">
        <v>183</v>
      </c>
      <c r="E121" s="95">
        <f>'30'!F121</f>
        <v>397304</v>
      </c>
      <c r="F121" s="237">
        <v>398034.43</v>
      </c>
      <c r="G121" s="112">
        <f t="shared" si="9"/>
        <v>730.42999999999302</v>
      </c>
      <c r="H121" s="99">
        <f>G121+'30'!H121</f>
        <v>0</v>
      </c>
      <c r="I121" s="155"/>
      <c r="J121" s="328">
        <f>H121/DAY(B2)</f>
        <v>0</v>
      </c>
    </row>
    <row r="122" spans="1:18" ht="27.75" x14ac:dyDescent="0.5">
      <c r="A122" s="862" t="s">
        <v>101</v>
      </c>
      <c r="B122" s="862"/>
      <c r="C122" s="862"/>
      <c r="D122" s="151" t="s">
        <v>183</v>
      </c>
      <c r="E122" s="95">
        <f>'30'!F122</f>
        <v>125980</v>
      </c>
      <c r="F122" s="237">
        <v>126186.18</v>
      </c>
      <c r="G122" s="112">
        <f t="shared" si="9"/>
        <v>206.17999999999302</v>
      </c>
      <c r="H122" s="99">
        <f>G122+'30'!H122</f>
        <v>0</v>
      </c>
      <c r="I122" s="155"/>
      <c r="J122" s="328">
        <f>H122/DAY(B2)</f>
        <v>0</v>
      </c>
    </row>
    <row r="123" spans="1:18" ht="27.75" x14ac:dyDescent="0.5">
      <c r="A123" s="862" t="s">
        <v>348</v>
      </c>
      <c r="B123" s="862"/>
      <c r="C123" s="862"/>
      <c r="D123" s="151" t="s">
        <v>183</v>
      </c>
      <c r="E123" s="95">
        <f>'30'!F123</f>
        <v>153768</v>
      </c>
      <c r="F123" s="237">
        <v>154046.95000000001</v>
      </c>
      <c r="G123" s="112">
        <f t="shared" si="9"/>
        <v>278.95000000001164</v>
      </c>
      <c r="H123" s="99">
        <f>G123+'30'!H123</f>
        <v>0</v>
      </c>
      <c r="I123" s="155"/>
      <c r="J123" s="328">
        <f>H123/DAY(B2)</f>
        <v>0</v>
      </c>
    </row>
    <row r="124" spans="1:18" ht="27.75" x14ac:dyDescent="0.5">
      <c r="A124" s="867"/>
      <c r="B124" s="868"/>
      <c r="C124" s="869"/>
      <c r="D124" s="165"/>
      <c r="E124" s="95">
        <f>'30'!F124</f>
        <v>0</v>
      </c>
      <c r="F124" s="155"/>
      <c r="G124" s="156"/>
      <c r="H124" s="99">
        <f>G124+'30'!H124</f>
        <v>0</v>
      </c>
      <c r="I124" s="155"/>
      <c r="J124" s="156"/>
    </row>
    <row r="125" spans="1:18" ht="27.75" x14ac:dyDescent="0.5">
      <c r="A125" s="847" t="s">
        <v>196</v>
      </c>
      <c r="B125" s="948"/>
      <c r="C125" s="848"/>
      <c r="D125" s="307"/>
      <c r="E125" s="308"/>
      <c r="F125" s="308"/>
      <c r="G125" s="309">
        <f>SUM(G112:G124)</f>
        <v>3242.5199999999832</v>
      </c>
      <c r="H125" s="156"/>
      <c r="I125" s="156">
        <f>G125-(G39+G53)</f>
        <v>593.22999999998228</v>
      </c>
      <c r="J125" s="156"/>
    </row>
    <row r="126" spans="1:18" ht="27.75" x14ac:dyDescent="0.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x14ac:dyDescent="0.5">
      <c r="A127" s="852"/>
      <c r="B127" s="852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7.75" x14ac:dyDescent="0.5">
      <c r="A128" s="863" t="s">
        <v>318</v>
      </c>
      <c r="B128" s="864"/>
      <c r="C128" s="865"/>
      <c r="D128" s="151" t="s">
        <v>183</v>
      </c>
      <c r="E128" s="95">
        <f>'30'!F128</f>
        <v>47434</v>
      </c>
      <c r="F128" s="155">
        <v>47746</v>
      </c>
      <c r="G128" s="112">
        <f t="shared" ref="G128:G134" si="10">F128-E128</f>
        <v>312</v>
      </c>
      <c r="H128" s="99">
        <f>G128+'30'!H128</f>
        <v>0</v>
      </c>
      <c r="I128" s="155"/>
      <c r="J128" s="328">
        <f>H128/DAY(B2)</f>
        <v>0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'30'!F129</f>
        <v>26720</v>
      </c>
      <c r="F129" s="155">
        <v>26910.87</v>
      </c>
      <c r="G129" s="112">
        <f t="shared" si="10"/>
        <v>190.86999999999898</v>
      </c>
      <c r="H129" s="99">
        <f>G129+'30'!H129</f>
        <v>0</v>
      </c>
      <c r="I129" s="155"/>
      <c r="J129" s="328">
        <f>H129/DAY(B2)</f>
        <v>0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'30'!F130</f>
        <v>35218</v>
      </c>
      <c r="F130" s="155">
        <v>35694</v>
      </c>
      <c r="G130" s="112">
        <f t="shared" si="10"/>
        <v>476</v>
      </c>
      <c r="H130" s="99">
        <f>G130+'30'!H130</f>
        <v>0</v>
      </c>
      <c r="I130" s="155"/>
      <c r="J130" s="328">
        <f>H130/DAY(B2)</f>
        <v>0</v>
      </c>
      <c r="N130" s="240"/>
      <c r="O130" s="241"/>
    </row>
    <row r="131" spans="1:15" ht="27.75" x14ac:dyDescent="0.5">
      <c r="A131" s="863" t="s">
        <v>321</v>
      </c>
      <c r="B131" s="864"/>
      <c r="C131" s="865"/>
      <c r="D131" s="151" t="s">
        <v>183</v>
      </c>
      <c r="E131" s="95">
        <f>'30'!F131</f>
        <v>15261</v>
      </c>
      <c r="F131" s="155">
        <v>15307.68</v>
      </c>
      <c r="G131" s="112">
        <f t="shared" si="10"/>
        <v>46.680000000000291</v>
      </c>
      <c r="H131" s="99">
        <f>G131+'30'!H131</f>
        <v>0</v>
      </c>
      <c r="I131" s="155"/>
      <c r="J131" s="328">
        <f>H131/DAY(B2)</f>
        <v>0</v>
      </c>
      <c r="N131" s="240"/>
      <c r="O131" s="241"/>
    </row>
    <row r="132" spans="1:15" ht="27.75" x14ac:dyDescent="0.5">
      <c r="A132" s="863" t="s">
        <v>322</v>
      </c>
      <c r="B132" s="864"/>
      <c r="C132" s="865"/>
      <c r="D132" s="151" t="s">
        <v>183</v>
      </c>
      <c r="E132" s="95">
        <f>'30'!F132</f>
        <v>51683</v>
      </c>
      <c r="F132" s="155">
        <v>51848.3</v>
      </c>
      <c r="G132" s="112">
        <f t="shared" si="10"/>
        <v>165.30000000000291</v>
      </c>
      <c r="H132" s="99">
        <f>G132+'30'!H132</f>
        <v>0</v>
      </c>
      <c r="I132" s="155"/>
      <c r="J132" s="328">
        <f>H132/DAY(B2)</f>
        <v>0</v>
      </c>
    </row>
    <row r="133" spans="1:15" ht="27.75" x14ac:dyDescent="0.5">
      <c r="A133" s="863" t="s">
        <v>362</v>
      </c>
      <c r="B133" s="864"/>
      <c r="C133" s="865"/>
      <c r="D133" s="151" t="s">
        <v>183</v>
      </c>
      <c r="E133" s="95">
        <f>'30'!F133</f>
        <v>104906</v>
      </c>
      <c r="F133" s="155">
        <v>105343.7</v>
      </c>
      <c r="G133" s="112">
        <f t="shared" si="10"/>
        <v>437.69999999999709</v>
      </c>
      <c r="H133" s="99">
        <f>G133+'30'!H133</f>
        <v>0</v>
      </c>
      <c r="I133" s="155"/>
      <c r="J133" s="328">
        <f>H133/DAY(B2)</f>
        <v>0</v>
      </c>
    </row>
    <row r="134" spans="1:15" ht="27.75" x14ac:dyDescent="0.5">
      <c r="A134" s="863" t="s">
        <v>340</v>
      </c>
      <c r="B134" s="864"/>
      <c r="C134" s="865"/>
      <c r="D134" s="151" t="s">
        <v>183</v>
      </c>
      <c r="E134" s="95">
        <f>'30'!F134</f>
        <v>8446</v>
      </c>
      <c r="F134" s="155">
        <v>8601.23</v>
      </c>
      <c r="G134" s="112">
        <f t="shared" si="10"/>
        <v>155.22999999999956</v>
      </c>
      <c r="H134" s="99">
        <f>G134+'30'!H134</f>
        <v>0</v>
      </c>
      <c r="I134" s="155"/>
      <c r="J134" s="328">
        <f>H134/DAY(B2)</f>
        <v>0</v>
      </c>
    </row>
    <row r="135" spans="1:15" ht="27.75" x14ac:dyDescent="0.5">
      <c r="A135" s="847" t="s">
        <v>196</v>
      </c>
      <c r="B135" s="948"/>
      <c r="C135" s="848"/>
      <c r="D135" s="151"/>
      <c r="E135" s="95"/>
      <c r="F135" s="155"/>
      <c r="G135" s="112">
        <f>SUM(G128:G134)</f>
        <v>1783.7799999999988</v>
      </c>
      <c r="H135" s="99">
        <f>G135+'23'!H135</f>
        <v>27376.169999999984</v>
      </c>
      <c r="I135" s="156">
        <f>G135-(G35+G49)</f>
        <v>-326.38999999999942</v>
      </c>
      <c r="J135" s="328"/>
    </row>
    <row r="136" spans="1:15" ht="31.5" x14ac:dyDescent="0.55000000000000004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 x14ac:dyDescent="0.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7.75" x14ac:dyDescent="0.5">
      <c r="A138" s="862" t="s">
        <v>185</v>
      </c>
      <c r="B138" s="862"/>
      <c r="C138" s="862"/>
      <c r="D138" s="151" t="s">
        <v>183</v>
      </c>
      <c r="E138" s="95">
        <f>'30'!F138</f>
        <v>866114</v>
      </c>
      <c r="F138" s="147">
        <v>866173</v>
      </c>
      <c r="G138" s="112">
        <f t="shared" ref="G138:G152" si="11">F138-E138</f>
        <v>59</v>
      </c>
      <c r="H138" s="99">
        <f>G138+'30'!H138</f>
        <v>0</v>
      </c>
      <c r="I138" s="95"/>
      <c r="J138" s="328">
        <f>H138/DAY(B2)</f>
        <v>0</v>
      </c>
    </row>
    <row r="139" spans="1:15" ht="27.75" x14ac:dyDescent="0.5">
      <c r="A139" s="862" t="s">
        <v>186</v>
      </c>
      <c r="B139" s="862"/>
      <c r="C139" s="862"/>
      <c r="D139" s="151" t="s">
        <v>183</v>
      </c>
      <c r="E139" s="95">
        <f>'30'!F139</f>
        <v>886572</v>
      </c>
      <c r="F139" s="148">
        <v>886573</v>
      </c>
      <c r="G139" s="112">
        <f t="shared" si="11"/>
        <v>1</v>
      </c>
      <c r="H139" s="99">
        <f>G139+'30'!H139</f>
        <v>0</v>
      </c>
      <c r="I139" s="95"/>
      <c r="J139" s="328">
        <f>H139/DAY(B2)</f>
        <v>0</v>
      </c>
    </row>
    <row r="140" spans="1:15" ht="27.75" x14ac:dyDescent="0.5">
      <c r="A140" s="862" t="s">
        <v>187</v>
      </c>
      <c r="B140" s="862"/>
      <c r="C140" s="862"/>
      <c r="D140" s="151" t="s">
        <v>183</v>
      </c>
      <c r="E140" s="95">
        <f>'30'!F140</f>
        <v>88922</v>
      </c>
      <c r="F140" s="149">
        <v>88922</v>
      </c>
      <c r="G140" s="112">
        <f t="shared" si="11"/>
        <v>0</v>
      </c>
      <c r="H140" s="99">
        <f>G140+'30'!H140</f>
        <v>0</v>
      </c>
      <c r="I140" s="95"/>
      <c r="J140" s="328">
        <f>H140/DAY(B2)</f>
        <v>0</v>
      </c>
    </row>
    <row r="141" spans="1:15" ht="27.75" x14ac:dyDescent="0.5">
      <c r="A141" s="843" t="s">
        <v>188</v>
      </c>
      <c r="B141" s="843"/>
      <c r="C141" s="843"/>
      <c r="D141" s="151" t="s">
        <v>183</v>
      </c>
      <c r="E141" s="95">
        <f>'30'!F141</f>
        <v>54513</v>
      </c>
      <c r="F141" s="149">
        <v>54685.58</v>
      </c>
      <c r="G141" s="112">
        <f t="shared" si="11"/>
        <v>172.58000000000175</v>
      </c>
      <c r="H141" s="99">
        <f>G141+'30'!H141</f>
        <v>0</v>
      </c>
      <c r="I141" s="95"/>
      <c r="J141" s="328">
        <f>H141/DAY(B2)</f>
        <v>0</v>
      </c>
    </row>
    <row r="142" spans="1:15" ht="27.75" x14ac:dyDescent="0.5">
      <c r="A142" s="843" t="s">
        <v>189</v>
      </c>
      <c r="B142" s="843"/>
      <c r="C142" s="843"/>
      <c r="D142" s="151" t="s">
        <v>183</v>
      </c>
      <c r="E142" s="95">
        <f>'30'!F142</f>
        <v>21204</v>
      </c>
      <c r="F142" s="148">
        <v>21284.1</v>
      </c>
      <c r="G142" s="112">
        <f t="shared" si="11"/>
        <v>80.099999999998545</v>
      </c>
      <c r="H142" s="99">
        <f>G142+'30'!H142</f>
        <v>0</v>
      </c>
      <c r="I142" s="692"/>
      <c r="J142" s="328">
        <f>H142/DAY(B2)</f>
        <v>0</v>
      </c>
    </row>
    <row r="143" spans="1:15" ht="27.75" x14ac:dyDescent="0.5">
      <c r="A143" s="862" t="s">
        <v>91</v>
      </c>
      <c r="B143" s="862"/>
      <c r="C143" s="862"/>
      <c r="D143" s="151" t="s">
        <v>183</v>
      </c>
      <c r="E143" s="95">
        <f>'30'!F143</f>
        <v>3807</v>
      </c>
      <c r="F143" s="149">
        <v>3835.39</v>
      </c>
      <c r="G143" s="112">
        <f t="shared" si="11"/>
        <v>28.389999999999873</v>
      </c>
      <c r="H143" s="99">
        <f>G143+'30'!H143</f>
        <v>0</v>
      </c>
      <c r="I143" s="692"/>
      <c r="J143" s="328">
        <f>H143/DAY(B2)</f>
        <v>0</v>
      </c>
    </row>
    <row r="144" spans="1:15" ht="27.75" x14ac:dyDescent="0.5">
      <c r="A144" s="843" t="s">
        <v>90</v>
      </c>
      <c r="B144" s="843"/>
      <c r="C144" s="843"/>
      <c r="D144" s="151" t="s">
        <v>183</v>
      </c>
      <c r="E144" s="95">
        <f>'30'!F144</f>
        <v>876271</v>
      </c>
      <c r="F144" s="149">
        <v>876487</v>
      </c>
      <c r="G144" s="112">
        <f t="shared" si="11"/>
        <v>216</v>
      </c>
      <c r="H144" s="99">
        <f>G144+'30'!H144</f>
        <v>0</v>
      </c>
      <c r="I144" s="692"/>
      <c r="J144" s="328">
        <f>H144/DAY(B2)</f>
        <v>0</v>
      </c>
    </row>
    <row r="145" spans="1:11" ht="27.75" x14ac:dyDescent="0.5">
      <c r="A145" s="862" t="s">
        <v>190</v>
      </c>
      <c r="B145" s="862"/>
      <c r="C145" s="862"/>
      <c r="D145" s="152" t="s">
        <v>183</v>
      </c>
      <c r="E145" s="95">
        <f>'30'!F145</f>
        <v>4949</v>
      </c>
      <c r="F145" s="149">
        <v>4958.84</v>
      </c>
      <c r="G145" s="112">
        <f t="shared" si="11"/>
        <v>9.8400000000001455</v>
      </c>
      <c r="H145" s="99">
        <f>G145+'30'!H145</f>
        <v>0</v>
      </c>
      <c r="I145" s="692"/>
      <c r="J145" s="328">
        <f>H145/DAY(B2)</f>
        <v>0</v>
      </c>
    </row>
    <row r="146" spans="1:11" ht="27.75" x14ac:dyDescent="0.5">
      <c r="A146" s="897" t="s">
        <v>191</v>
      </c>
      <c r="B146" s="882"/>
      <c r="C146" s="883"/>
      <c r="D146" s="152" t="s">
        <v>183</v>
      </c>
      <c r="E146" s="95">
        <f>'30'!F146</f>
        <v>736947</v>
      </c>
      <c r="F146" s="148">
        <v>737333</v>
      </c>
      <c r="G146" s="112">
        <f t="shared" si="11"/>
        <v>386</v>
      </c>
      <c r="H146" s="99">
        <f>G146+'30'!H146</f>
        <v>0</v>
      </c>
      <c r="I146" s="692"/>
      <c r="J146" s="328">
        <f>H146/DAY(B2)</f>
        <v>0</v>
      </c>
    </row>
    <row r="147" spans="1:11" ht="27.75" x14ac:dyDescent="0.5">
      <c r="A147" s="843" t="s">
        <v>192</v>
      </c>
      <c r="B147" s="843"/>
      <c r="C147" s="843"/>
      <c r="D147" s="152" t="s">
        <v>183</v>
      </c>
      <c r="E147" s="95">
        <f>'30'!F147</f>
        <v>626265</v>
      </c>
      <c r="F147" s="148">
        <v>626612.52</v>
      </c>
      <c r="G147" s="112">
        <f t="shared" si="11"/>
        <v>347.52000000001863</v>
      </c>
      <c r="H147" s="99">
        <f>G147+'30'!H147</f>
        <v>0</v>
      </c>
      <c r="I147" s="692"/>
      <c r="J147" s="328">
        <f>H147/DAY(B2)</f>
        <v>0</v>
      </c>
    </row>
    <row r="148" spans="1:11" ht="27.75" x14ac:dyDescent="0.5">
      <c r="A148" s="844" t="s">
        <v>193</v>
      </c>
      <c r="B148" s="845"/>
      <c r="C148" s="846"/>
      <c r="D148" s="123" t="s">
        <v>130</v>
      </c>
      <c r="E148" s="95">
        <f>'30'!F148</f>
        <v>689285</v>
      </c>
      <c r="F148" s="150">
        <v>689442.96</v>
      </c>
      <c r="G148" s="112">
        <f t="shared" si="11"/>
        <v>157.95999999996275</v>
      </c>
      <c r="H148" s="99">
        <f>G148+'30'!H148</f>
        <v>0</v>
      </c>
      <c r="I148" s="124"/>
      <c r="J148" s="328">
        <f>H148/DAY(B2)</f>
        <v>0</v>
      </c>
    </row>
    <row r="149" spans="1:11" ht="27.75" x14ac:dyDescent="0.5">
      <c r="A149" s="844" t="s">
        <v>336</v>
      </c>
      <c r="B149" s="845"/>
      <c r="C149" s="846"/>
      <c r="D149" s="227" t="s">
        <v>130</v>
      </c>
      <c r="E149" s="95">
        <f>'30'!F149</f>
        <v>24279</v>
      </c>
      <c r="F149" s="146">
        <v>24678.2</v>
      </c>
      <c r="G149" s="112">
        <f t="shared" si="11"/>
        <v>399.20000000000073</v>
      </c>
      <c r="H149" s="99">
        <f>G149+'30'!H149</f>
        <v>0</v>
      </c>
      <c r="I149" s="119"/>
      <c r="J149" s="328">
        <f>H149/DAY(B2)</f>
        <v>0</v>
      </c>
    </row>
    <row r="150" spans="1:11" ht="27.75" x14ac:dyDescent="0.5">
      <c r="A150" s="844" t="s">
        <v>337</v>
      </c>
      <c r="B150" s="845"/>
      <c r="C150" s="846"/>
      <c r="D150" s="117" t="s">
        <v>130</v>
      </c>
      <c r="E150" s="95">
        <f>'30'!F150</f>
        <v>10637</v>
      </c>
      <c r="F150" s="233">
        <v>10850.83</v>
      </c>
      <c r="G150" s="112">
        <f t="shared" si="11"/>
        <v>213.82999999999993</v>
      </c>
      <c r="H150" s="99">
        <f>G150+'30'!H150</f>
        <v>0</v>
      </c>
      <c r="I150" s="119"/>
      <c r="J150" s="328">
        <f>H150/DAY(B2)</f>
        <v>0</v>
      </c>
    </row>
    <row r="151" spans="1:11" ht="27.75" x14ac:dyDescent="0.5">
      <c r="A151" s="844" t="s">
        <v>338</v>
      </c>
      <c r="B151" s="845"/>
      <c r="C151" s="846"/>
      <c r="D151" s="117" t="s">
        <v>130</v>
      </c>
      <c r="E151" s="95">
        <f>'30'!F151</f>
        <v>85186</v>
      </c>
      <c r="F151" s="233">
        <v>85480</v>
      </c>
      <c r="G151" s="112">
        <f t="shared" si="11"/>
        <v>294</v>
      </c>
      <c r="H151" s="99">
        <f>G151+'30'!H151</f>
        <v>0</v>
      </c>
      <c r="I151" s="119"/>
      <c r="J151" s="328">
        <f>H151/DAY(B2)</f>
        <v>0</v>
      </c>
    </row>
    <row r="152" spans="1:11" ht="27.75" x14ac:dyDescent="0.5">
      <c r="A152" s="844" t="s">
        <v>339</v>
      </c>
      <c r="B152" s="845"/>
      <c r="C152" s="846"/>
      <c r="D152" s="117" t="s">
        <v>130</v>
      </c>
      <c r="E152" s="95">
        <f>'30'!F152</f>
        <v>1642</v>
      </c>
      <c r="F152" s="233">
        <v>1660</v>
      </c>
      <c r="G152" s="112">
        <f t="shared" si="11"/>
        <v>18</v>
      </c>
      <c r="H152" s="99">
        <f>G152+'30'!H152</f>
        <v>0</v>
      </c>
      <c r="I152" s="119"/>
      <c r="J152" s="328">
        <f>H152/DAY(B2)</f>
        <v>0</v>
      </c>
    </row>
    <row r="153" spans="1:11" ht="27.75" x14ac:dyDescent="0.5">
      <c r="A153" s="847" t="s">
        <v>196</v>
      </c>
      <c r="B153" s="948"/>
      <c r="C153" s="848"/>
      <c r="D153" s="358"/>
      <c r="E153" s="360"/>
      <c r="F153" s="361"/>
      <c r="G153" s="362">
        <f>SUM(G138:G152)</f>
        <v>2383.4199999999823</v>
      </c>
      <c r="H153" s="363"/>
      <c r="I153" s="119">
        <f>G153-(G38+G52)</f>
        <v>755.98999999998205</v>
      </c>
      <c r="J153" s="366"/>
    </row>
    <row r="154" spans="1:11" ht="31.5" x14ac:dyDescent="0.55000000000000004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1" ht="31.5" x14ac:dyDescent="0.55000000000000004">
      <c r="A155" s="843" t="s">
        <v>345</v>
      </c>
      <c r="B155" s="843"/>
      <c r="C155" s="843"/>
      <c r="D155" s="117" t="s">
        <v>130</v>
      </c>
      <c r="E155" s="95">
        <f>'30'!F155</f>
        <v>31715</v>
      </c>
      <c r="F155" s="471">
        <v>32385</v>
      </c>
      <c r="G155" s="112">
        <f t="shared" ref="G155:G158" si="12">F155-E155</f>
        <v>670</v>
      </c>
      <c r="H155" s="99">
        <f>G155+'30'!H155</f>
        <v>-560</v>
      </c>
      <c r="I155" s="364"/>
      <c r="J155" s="328">
        <f>H155/DAY(B2)</f>
        <v>-18.06451612903226</v>
      </c>
    </row>
    <row r="156" spans="1:11" ht="27.75" x14ac:dyDescent="0.5">
      <c r="A156" s="843" t="s">
        <v>347</v>
      </c>
      <c r="B156" s="843"/>
      <c r="C156" s="843"/>
      <c r="D156" s="117" t="s">
        <v>130</v>
      </c>
      <c r="E156" s="95">
        <f>'30'!F156</f>
        <v>2678</v>
      </c>
      <c r="F156" s="155">
        <v>2736</v>
      </c>
      <c r="G156" s="112">
        <f t="shared" si="12"/>
        <v>58</v>
      </c>
      <c r="H156" s="99">
        <f>G156+'30'!H156</f>
        <v>1634</v>
      </c>
      <c r="I156" s="155"/>
      <c r="J156" s="328">
        <f>H156/DAY(B2)</f>
        <v>52.70967741935484</v>
      </c>
    </row>
    <row r="157" spans="1:11" ht="27.75" x14ac:dyDescent="0.5">
      <c r="A157" s="844" t="s">
        <v>363</v>
      </c>
      <c r="B157" s="845"/>
      <c r="C157" s="846"/>
      <c r="D157" s="117" t="s">
        <v>130</v>
      </c>
      <c r="E157" s="95">
        <f>'30'!F157</f>
        <v>3897</v>
      </c>
      <c r="F157" s="95">
        <v>4032</v>
      </c>
      <c r="G157" s="112">
        <f t="shared" si="12"/>
        <v>135</v>
      </c>
      <c r="H157" s="99">
        <f>G157+'30'!H157</f>
        <v>340</v>
      </c>
      <c r="I157" s="99"/>
      <c r="J157" s="155"/>
      <c r="K157" s="328"/>
    </row>
    <row r="158" spans="1:11" ht="27.75" x14ac:dyDescent="0.5">
      <c r="A158" s="844" t="s">
        <v>364</v>
      </c>
      <c r="B158" s="845"/>
      <c r="C158" s="846"/>
      <c r="D158" s="117" t="s">
        <v>130</v>
      </c>
      <c r="E158" s="95">
        <f>'30'!F158</f>
        <v>46.66</v>
      </c>
      <c r="F158" s="155">
        <v>46.66</v>
      </c>
      <c r="G158" s="112">
        <f t="shared" si="12"/>
        <v>0</v>
      </c>
      <c r="H158" s="99">
        <f>G158+'30'!H158</f>
        <v>1.1099999999999994</v>
      </c>
      <c r="I158" s="155"/>
      <c r="J158" s="328"/>
    </row>
    <row r="159" spans="1:11" ht="27.75" x14ac:dyDescent="0.5">
      <c r="A159" s="927"/>
      <c r="B159" s="928"/>
      <c r="C159" s="929"/>
      <c r="D159" s="117"/>
      <c r="E159" s="95"/>
      <c r="F159" s="155"/>
      <c r="G159" s="112"/>
      <c r="H159" s="99"/>
      <c r="I159" s="155"/>
      <c r="J159" s="328"/>
    </row>
    <row r="160" spans="1:11" ht="31.5" x14ac:dyDescent="0.55000000000000004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'30'!F161</f>
        <v>472011</v>
      </c>
      <c r="F161" s="235">
        <v>472053.56</v>
      </c>
      <c r="G161" s="238">
        <f t="shared" ref="G161:G165" si="13">F161-E161</f>
        <v>42.559999999997672</v>
      </c>
      <c r="H161" s="99">
        <f>G161+'30'!H161</f>
        <v>0</v>
      </c>
      <c r="I161" s="236"/>
      <c r="J161" s="239">
        <f>H161/DAY(B2)</f>
        <v>0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'30'!F162</f>
        <v>88480</v>
      </c>
      <c r="F162" s="235">
        <v>88516.4</v>
      </c>
      <c r="G162" s="238">
        <f t="shared" si="13"/>
        <v>36.399999999994179</v>
      </c>
      <c r="H162" s="99">
        <f>G162+'30'!H162</f>
        <v>0</v>
      </c>
      <c r="I162" s="236"/>
      <c r="J162" s="239">
        <f>H162/DAY(B2)</f>
        <v>0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'30'!F163</f>
        <v>79184</v>
      </c>
      <c r="F163" s="235">
        <v>79220.100000000006</v>
      </c>
      <c r="G163" s="238">
        <f t="shared" si="13"/>
        <v>36.100000000005821</v>
      </c>
      <c r="H163" s="99">
        <f>G163+'30'!H163</f>
        <v>0</v>
      </c>
      <c r="I163" s="236"/>
      <c r="J163" s="239">
        <f>H163/DAY(B2)</f>
        <v>0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'30'!F164</f>
        <v>4320</v>
      </c>
      <c r="F164" s="235">
        <v>4320</v>
      </c>
      <c r="G164" s="238">
        <f t="shared" si="13"/>
        <v>0</v>
      </c>
      <c r="H164" s="99">
        <f>G164+'30'!H164</f>
        <v>0</v>
      </c>
      <c r="I164" s="236"/>
      <c r="J164" s="239">
        <f>H164/DAY(B2)</f>
        <v>0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'30'!F165</f>
        <v>29845</v>
      </c>
      <c r="F165" s="235">
        <v>29857.25</v>
      </c>
      <c r="G165" s="238">
        <f t="shared" si="13"/>
        <v>12.25</v>
      </c>
      <c r="H165" s="99">
        <f>G165+'30'!H165</f>
        <v>0</v>
      </c>
      <c r="I165" s="236"/>
      <c r="J165" s="239">
        <f>H165/DAY(B2)</f>
        <v>0</v>
      </c>
    </row>
    <row r="166" spans="1:10" ht="29.25" x14ac:dyDescent="0.5">
      <c r="A166" s="852"/>
      <c r="B166" s="852"/>
      <c r="C166" s="246"/>
      <c r="D166" s="244" t="s">
        <v>180</v>
      </c>
      <c r="E166" s="95">
        <f>'30'!F166</f>
        <v>0</v>
      </c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9.25" x14ac:dyDescent="0.5">
      <c r="A167" s="852"/>
      <c r="B167" s="852"/>
      <c r="C167" s="246"/>
      <c r="D167" s="244" t="s">
        <v>180</v>
      </c>
      <c r="E167" s="95">
        <f>'30'!F167</f>
        <v>0</v>
      </c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9.25" x14ac:dyDescent="0.5">
      <c r="A168" s="852"/>
      <c r="B168" s="852"/>
      <c r="C168" s="246"/>
      <c r="D168" s="244" t="s">
        <v>180</v>
      </c>
      <c r="E168" s="95">
        <f>'30'!F168</f>
        <v>0</v>
      </c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x14ac:dyDescent="0.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56" t="s">
        <v>209</v>
      </c>
      <c r="B173" s="857"/>
      <c r="C173" s="333"/>
      <c r="D173" s="228" t="s">
        <v>142</v>
      </c>
      <c r="E173" s="95">
        <f>'30'!F173</f>
        <v>8126</v>
      </c>
      <c r="F173" s="551">
        <v>8126</v>
      </c>
      <c r="G173" s="155">
        <f>F173-E173</f>
        <v>0</v>
      </c>
      <c r="H173" s="99">
        <f>G173+'30'!H173</f>
        <v>0</v>
      </c>
      <c r="I173" s="155"/>
      <c r="J173" s="178">
        <f>H173/DAY(B2)</f>
        <v>0</v>
      </c>
    </row>
    <row r="174" spans="1:10" ht="27.75" x14ac:dyDescent="0.5">
      <c r="A174" s="856" t="s">
        <v>75</v>
      </c>
      <c r="B174" s="857"/>
      <c r="C174" s="333"/>
      <c r="D174" s="228" t="s">
        <v>142</v>
      </c>
      <c r="E174" s="95">
        <f>'30'!F174</f>
        <v>38603</v>
      </c>
      <c r="F174" s="157">
        <v>38615</v>
      </c>
      <c r="G174" s="155">
        <f t="shared" ref="G174:G175" si="14">F174-E174</f>
        <v>12</v>
      </c>
      <c r="H174" s="99">
        <f>G174+'30'!H174</f>
        <v>374</v>
      </c>
      <c r="I174" s="155"/>
      <c r="J174" s="178">
        <f>H174/DAY(B2)</f>
        <v>12.064516129032258</v>
      </c>
    </row>
    <row r="175" spans="1:10" ht="27.75" x14ac:dyDescent="0.5">
      <c r="A175" s="856" t="s">
        <v>76</v>
      </c>
      <c r="B175" s="896"/>
      <c r="C175" s="857"/>
      <c r="D175" s="228" t="s">
        <v>142</v>
      </c>
      <c r="E175" s="95">
        <f>'30'!F175</f>
        <v>21803</v>
      </c>
      <c r="F175" s="155">
        <v>21813</v>
      </c>
      <c r="G175" s="155">
        <f t="shared" si="14"/>
        <v>10</v>
      </c>
      <c r="H175" s="99">
        <f>G175+'30'!H175</f>
        <v>0</v>
      </c>
      <c r="I175" s="155"/>
      <c r="J175" s="178">
        <f>H175/DAY(B2)</f>
        <v>0</v>
      </c>
    </row>
    <row r="176" spans="1:10" ht="27.75" x14ac:dyDescent="0.5">
      <c r="A176" s="847" t="s">
        <v>196</v>
      </c>
      <c r="B176" s="948"/>
      <c r="C176" s="848"/>
      <c r="D176" s="228" t="s">
        <v>142</v>
      </c>
      <c r="E176" s="95"/>
      <c r="F176" s="155"/>
      <c r="G176" s="155">
        <f>SUM(G173:G175)</f>
        <v>22</v>
      </c>
      <c r="H176" s="99">
        <f>G176+'30'!H176</f>
        <v>374</v>
      </c>
      <c r="I176" s="155"/>
      <c r="J176" s="178">
        <f>H176/DAY(B2)</f>
        <v>12.064516129032258</v>
      </c>
    </row>
    <row r="177" spans="1:10" ht="27.75" x14ac:dyDescent="0.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7.75" x14ac:dyDescent="0.5">
      <c r="A178" s="856" t="s">
        <v>210</v>
      </c>
      <c r="B178" s="857"/>
      <c r="C178" s="333"/>
      <c r="D178" s="228" t="s">
        <v>142</v>
      </c>
      <c r="E178" s="95">
        <f>'30'!F178</f>
        <v>81206</v>
      </c>
      <c r="F178" s="155">
        <v>81315</v>
      </c>
      <c r="G178" s="155">
        <f>F178-E178</f>
        <v>109</v>
      </c>
      <c r="H178" s="99">
        <f>G178+'30'!H178</f>
        <v>0</v>
      </c>
      <c r="I178" s="155"/>
      <c r="J178" s="178">
        <f>H178/DAY(B2)</f>
        <v>0</v>
      </c>
    </row>
    <row r="179" spans="1:10" ht="27.75" x14ac:dyDescent="0.5">
      <c r="A179" s="856" t="s">
        <v>211</v>
      </c>
      <c r="B179" s="857"/>
      <c r="C179" s="333"/>
      <c r="D179" s="228" t="s">
        <v>142</v>
      </c>
      <c r="E179" s="95">
        <f>'30'!F179</f>
        <v>34754</v>
      </c>
      <c r="F179" s="157">
        <v>34803</v>
      </c>
      <c r="G179" s="155">
        <f t="shared" ref="G179:G180" si="15">F179-E179</f>
        <v>49</v>
      </c>
      <c r="H179" s="99">
        <f>G179+'30'!H179</f>
        <v>0</v>
      </c>
      <c r="I179" s="155"/>
      <c r="J179" s="178">
        <f>H179/DAY(B2)</f>
        <v>0</v>
      </c>
    </row>
    <row r="180" spans="1:10" ht="27.75" x14ac:dyDescent="0.5">
      <c r="A180" s="856" t="s">
        <v>212</v>
      </c>
      <c r="B180" s="857"/>
      <c r="C180" s="333"/>
      <c r="D180" s="228" t="s">
        <v>142</v>
      </c>
      <c r="E180" s="95">
        <f>'30'!F180</f>
        <v>5693</v>
      </c>
      <c r="F180" s="157">
        <v>5702</v>
      </c>
      <c r="G180" s="155">
        <f t="shared" si="15"/>
        <v>9</v>
      </c>
      <c r="H180" s="99">
        <f>G180+'30'!H180</f>
        <v>0</v>
      </c>
      <c r="I180" s="155"/>
      <c r="J180" s="178">
        <f>H180/DAY(B2)</f>
        <v>0</v>
      </c>
    </row>
    <row r="181" spans="1:10" ht="27.75" x14ac:dyDescent="0.5">
      <c r="A181" s="858" t="s">
        <v>108</v>
      </c>
      <c r="B181" s="859"/>
      <c r="C181" s="483"/>
      <c r="D181" s="228" t="s">
        <v>142</v>
      </c>
      <c r="E181" s="95"/>
      <c r="F181" s="157"/>
      <c r="G181" s="155">
        <f>SUM(G178:G180)</f>
        <v>167</v>
      </c>
      <c r="H181" s="99">
        <f>G181+'30'!H181</f>
        <v>0</v>
      </c>
      <c r="I181" s="155"/>
      <c r="J181" s="178">
        <f>H181/DAY(B2)</f>
        <v>0</v>
      </c>
    </row>
    <row r="182" spans="1:10" ht="27.75" x14ac:dyDescent="0.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7.75" x14ac:dyDescent="0.5">
      <c r="A183" s="856" t="s">
        <v>214</v>
      </c>
      <c r="B183" s="857"/>
      <c r="C183" s="334"/>
      <c r="D183" s="228" t="s">
        <v>142</v>
      </c>
      <c r="E183" s="95">
        <f>'30'!F183</f>
        <v>15334</v>
      </c>
      <c r="F183" s="157">
        <v>15345</v>
      </c>
      <c r="G183" s="157">
        <f>F183-E183</f>
        <v>11</v>
      </c>
      <c r="H183" s="99">
        <f>G183+'30'!H183</f>
        <v>0</v>
      </c>
      <c r="I183" s="155"/>
      <c r="J183" s="178">
        <f>H183/DAY(B2)</f>
        <v>0</v>
      </c>
    </row>
    <row r="184" spans="1:10" ht="27.75" x14ac:dyDescent="0.5">
      <c r="A184" s="856" t="s">
        <v>215</v>
      </c>
      <c r="B184" s="857"/>
      <c r="C184" s="334"/>
      <c r="D184" s="228" t="s">
        <v>142</v>
      </c>
      <c r="E184" s="95">
        <f>'30'!F184</f>
        <v>10511</v>
      </c>
      <c r="F184" s="157">
        <v>10518</v>
      </c>
      <c r="G184" s="157">
        <f t="shared" ref="G184:G185" si="16">F184-E184</f>
        <v>7</v>
      </c>
      <c r="H184" s="99">
        <f>G184+'30'!H184</f>
        <v>0</v>
      </c>
      <c r="I184" s="155"/>
      <c r="J184" s="178">
        <f>H184/DAY(B2)</f>
        <v>0</v>
      </c>
    </row>
    <row r="185" spans="1:10" ht="27.75" x14ac:dyDescent="0.5">
      <c r="A185" s="856" t="s">
        <v>216</v>
      </c>
      <c r="B185" s="857"/>
      <c r="C185" s="334"/>
      <c r="D185" s="228" t="s">
        <v>142</v>
      </c>
      <c r="E185" s="95">
        <f>'30'!F185</f>
        <v>0</v>
      </c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7.75" x14ac:dyDescent="0.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18</v>
      </c>
      <c r="H186" s="99">
        <f>G186+'30'!H186</f>
        <v>0</v>
      </c>
      <c r="I186" s="157"/>
      <c r="J186" s="178">
        <f>H186/DAY(B2)</f>
        <v>0</v>
      </c>
    </row>
    <row r="187" spans="1:10" ht="27.75" x14ac:dyDescent="0.5">
      <c r="A187" s="849" t="s">
        <v>217</v>
      </c>
      <c r="B187" s="850"/>
      <c r="C187" s="333"/>
      <c r="D187" s="230" t="s">
        <v>142</v>
      </c>
      <c r="E187" s="95">
        <f>'30'!F187</f>
        <v>0</v>
      </c>
      <c r="F187" s="159"/>
      <c r="G187" s="460">
        <f>G62+G19</f>
        <v>139</v>
      </c>
      <c r="H187" s="99">
        <f>G187+'30'!H187</f>
        <v>0</v>
      </c>
      <c r="I187" s="157"/>
      <c r="J187" s="179">
        <f>H187/DAY(B2)</f>
        <v>0</v>
      </c>
    </row>
    <row r="188" spans="1:10" ht="27.75" x14ac:dyDescent="0.5">
      <c r="A188" s="849" t="s">
        <v>218</v>
      </c>
      <c r="B188" s="850"/>
      <c r="C188" s="333"/>
      <c r="D188" s="230" t="s">
        <v>142</v>
      </c>
      <c r="E188" s="95">
        <f>'30'!F188</f>
        <v>0</v>
      </c>
      <c r="F188" s="159"/>
      <c r="G188" s="460">
        <f>G65+G66+G67+G69+G70</f>
        <v>126</v>
      </c>
      <c r="H188" s="99">
        <f>G188+'30'!H188</f>
        <v>2349</v>
      </c>
      <c r="I188" s="157"/>
      <c r="J188" s="179">
        <f>H188/DAY(B2)</f>
        <v>75.774193548387103</v>
      </c>
    </row>
    <row r="189" spans="1:10" ht="27.75" x14ac:dyDescent="0.5">
      <c r="A189" s="849" t="s">
        <v>219</v>
      </c>
      <c r="B189" s="850"/>
      <c r="C189" s="333"/>
      <c r="D189" s="230" t="s">
        <v>142</v>
      </c>
      <c r="E189" s="95">
        <f>'30'!F189</f>
        <v>0</v>
      </c>
      <c r="F189" s="157"/>
      <c r="G189" s="691">
        <f>G181</f>
        <v>167</v>
      </c>
      <c r="H189" s="99">
        <f>G189+'30'!H189</f>
        <v>1224</v>
      </c>
      <c r="I189" s="157"/>
      <c r="J189" s="179">
        <f>H189/DAY(B2)</f>
        <v>39.483870967741936</v>
      </c>
    </row>
    <row r="190" spans="1:10" ht="27.75" x14ac:dyDescent="0.5">
      <c r="A190" s="770"/>
      <c r="B190" s="771"/>
      <c r="C190" s="481"/>
      <c r="D190" s="478"/>
      <c r="E190" s="497" t="s">
        <v>207</v>
      </c>
      <c r="F190" s="497"/>
      <c r="G190" s="497"/>
      <c r="H190" s="479"/>
      <c r="I190" s="497"/>
      <c r="J190" s="6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</sheetData>
  <mergeCells count="122"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739"/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</row>
    <row r="2" spans="1:15" ht="28.5" customHeight="1" x14ac:dyDescent="0.25">
      <c r="A2" s="1" t="s">
        <v>0</v>
      </c>
      <c r="B2" s="1" t="s">
        <v>0</v>
      </c>
      <c r="C2" s="264" t="s">
        <v>1</v>
      </c>
      <c r="D2" s="4" t="s">
        <v>4</v>
      </c>
      <c r="E2" s="741" t="s">
        <v>6</v>
      </c>
      <c r="F2" s="741"/>
      <c r="G2" s="741"/>
      <c r="H2" s="747" t="s">
        <v>14</v>
      </c>
      <c r="I2" s="747"/>
      <c r="J2" s="747"/>
      <c r="K2" s="264" t="s">
        <v>15</v>
      </c>
      <c r="L2" s="747" t="s">
        <v>16</v>
      </c>
      <c r="M2" s="747"/>
      <c r="N2" s="747"/>
      <c r="O2" s="264" t="s">
        <v>17</v>
      </c>
    </row>
    <row r="3" spans="1:15" s="15" customFormat="1" ht="38.25" x14ac:dyDescent="0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726007</v>
      </c>
      <c r="E4" s="19">
        <f>'1'!G97</f>
        <v>0.23097846076142278</v>
      </c>
      <c r="F4" s="19">
        <f>'1'!F142</f>
        <v>21357.57</v>
      </c>
      <c r="G4" s="21">
        <f>E4*F4</f>
        <v>4933.1386442043404</v>
      </c>
      <c r="H4" s="19">
        <f>'1'!G68</f>
        <v>39</v>
      </c>
      <c r="I4" s="19">
        <f>'1'!G69</f>
        <v>9</v>
      </c>
      <c r="J4" s="19">
        <f>'1'!G70</f>
        <v>8</v>
      </c>
      <c r="K4" s="23">
        <f>H4+I4</f>
        <v>48</v>
      </c>
      <c r="L4" s="19">
        <f>'1'!G71</f>
        <v>158</v>
      </c>
      <c r="M4" s="19">
        <f>'1'!G72</f>
        <v>0</v>
      </c>
      <c r="N4" s="19">
        <v>0</v>
      </c>
      <c r="O4" s="23">
        <f>L4+M4+N4</f>
        <v>158</v>
      </c>
    </row>
    <row r="5" spans="1:15" x14ac:dyDescent="0.25">
      <c r="A5" s="16">
        <v>2</v>
      </c>
      <c r="B5" s="26">
        <v>2</v>
      </c>
      <c r="C5" s="26"/>
      <c r="D5" s="19">
        <f>'2'!F8</f>
        <v>744345</v>
      </c>
      <c r="E5" s="19">
        <f>'2'!G96</f>
        <v>3469.6100000000006</v>
      </c>
      <c r="F5" s="19">
        <f>'2'!F123</f>
        <v>154565.59</v>
      </c>
      <c r="G5" s="21">
        <f t="shared" ref="G5:G18" si="0">E5*F5</f>
        <v>536282316.71990007</v>
      </c>
      <c r="H5" s="19">
        <f>'2'!G68</f>
        <v>30</v>
      </c>
      <c r="I5" s="19">
        <f>'2'!G69</f>
        <v>19</v>
      </c>
      <c r="J5" s="19">
        <f>'2'!G70</f>
        <v>10</v>
      </c>
      <c r="K5" s="23">
        <f t="shared" ref="K5:K18" si="1">H5+I5</f>
        <v>49</v>
      </c>
      <c r="L5" s="19">
        <f>'2'!G71</f>
        <v>170</v>
      </c>
      <c r="M5" s="19">
        <f>'2'!G72</f>
        <v>0</v>
      </c>
      <c r="N5" s="19">
        <v>0</v>
      </c>
      <c r="O5" s="23">
        <f t="shared" ref="O5:O18" si="2">L5+M5+N5</f>
        <v>170</v>
      </c>
    </row>
    <row r="6" spans="1:15" x14ac:dyDescent="0.25">
      <c r="A6" s="16">
        <v>3</v>
      </c>
      <c r="B6" s="26">
        <v>3</v>
      </c>
      <c r="C6" s="26"/>
      <c r="D6" s="19">
        <f>'4'!F8</f>
        <v>782176.71</v>
      </c>
      <c r="E6" s="19">
        <f>'3'!G96</f>
        <v>3484.5699999999943</v>
      </c>
      <c r="F6" s="19">
        <f>'3'!F123</f>
        <v>154821.26999999999</v>
      </c>
      <c r="G6" s="21">
        <f t="shared" si="0"/>
        <v>539485552.80389905</v>
      </c>
      <c r="H6" s="19">
        <f>'4'!G68</f>
        <v>28</v>
      </c>
      <c r="I6" s="19">
        <f>'4'!G69</f>
        <v>7</v>
      </c>
      <c r="J6" s="19">
        <f>'4'!G70</f>
        <v>9</v>
      </c>
      <c r="K6" s="23">
        <f t="shared" si="1"/>
        <v>35</v>
      </c>
      <c r="L6" s="19">
        <f>'4'!G71</f>
        <v>186</v>
      </c>
      <c r="M6" s="19">
        <f>'4'!G72</f>
        <v>0</v>
      </c>
      <c r="N6" s="19">
        <v>0</v>
      </c>
      <c r="O6" s="23">
        <f t="shared" si="2"/>
        <v>186</v>
      </c>
    </row>
    <row r="7" spans="1:15" x14ac:dyDescent="0.25">
      <c r="A7" s="16">
        <v>4</v>
      </c>
      <c r="B7" s="27">
        <v>4</v>
      </c>
      <c r="C7" s="27"/>
      <c r="D7" s="19">
        <f>'3'!F8</f>
        <v>763564</v>
      </c>
      <c r="E7" s="19">
        <f>'4'!G96</f>
        <v>2816.8300000000017</v>
      </c>
      <c r="F7" s="19">
        <f>'1'!F142</f>
        <v>21357.57</v>
      </c>
      <c r="G7" s="21">
        <f t="shared" si="0"/>
        <v>60160643.903100036</v>
      </c>
      <c r="H7" s="19">
        <f>'3'!G68</f>
        <v>28</v>
      </c>
      <c r="I7" s="19">
        <f>'3'!G69</f>
        <v>9</v>
      </c>
      <c r="J7" s="19">
        <f>'3'!G70</f>
        <v>9</v>
      </c>
      <c r="K7" s="23">
        <f t="shared" si="1"/>
        <v>37</v>
      </c>
      <c r="L7" s="19">
        <f>'3'!G71</f>
        <v>182</v>
      </c>
      <c r="M7" s="19">
        <f>'3'!G72</f>
        <v>0</v>
      </c>
      <c r="N7" s="19">
        <v>0</v>
      </c>
      <c r="O7" s="23">
        <f t="shared" si="2"/>
        <v>182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21357.57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823619.67</v>
      </c>
      <c r="E9" s="19">
        <f>'6'!G96</f>
        <v>3426.9199999999983</v>
      </c>
      <c r="F9" s="19">
        <f>'1'!F142</f>
        <v>21357.57</v>
      </c>
      <c r="G9" s="21">
        <f t="shared" si="0"/>
        <v>73190683.784399956</v>
      </c>
      <c r="H9" s="19">
        <f>'6'!G68</f>
        <v>56</v>
      </c>
      <c r="I9" s="19">
        <f>'6'!G69</f>
        <v>11</v>
      </c>
      <c r="J9" s="19">
        <f>'6'!G70</f>
        <v>9</v>
      </c>
      <c r="K9" s="23">
        <f t="shared" si="1"/>
        <v>67</v>
      </c>
      <c r="L9" s="19">
        <f>'6'!G71</f>
        <v>243</v>
      </c>
      <c r="M9" s="19">
        <f>'6'!G72</f>
        <v>0</v>
      </c>
      <c r="N9" s="19">
        <v>0</v>
      </c>
      <c r="O9" s="23">
        <f t="shared" si="2"/>
        <v>243</v>
      </c>
    </row>
    <row r="10" spans="1:15" x14ac:dyDescent="0.25">
      <c r="A10" s="16">
        <v>7</v>
      </c>
      <c r="B10" s="26">
        <v>7</v>
      </c>
      <c r="C10" s="27"/>
      <c r="D10" s="19">
        <f>'7'!F8</f>
        <v>845323.91</v>
      </c>
      <c r="E10" s="19">
        <f>'7'!G96</f>
        <v>4458.75</v>
      </c>
      <c r="F10" s="19">
        <f>'1'!F142</f>
        <v>21357.57</v>
      </c>
      <c r="G10" s="21">
        <f t="shared" si="0"/>
        <v>95228065.237499997</v>
      </c>
      <c r="H10" s="19">
        <f>'7'!G68</f>
        <v>43</v>
      </c>
      <c r="I10" s="19">
        <f>'7'!G69</f>
        <v>15</v>
      </c>
      <c r="J10" s="19">
        <f>'7'!G70</f>
        <v>23</v>
      </c>
      <c r="K10" s="23">
        <f t="shared" si="1"/>
        <v>58</v>
      </c>
      <c r="L10" s="19">
        <f>'7'!G71</f>
        <v>228</v>
      </c>
      <c r="M10" s="19">
        <f>'7'!G72</f>
        <v>0</v>
      </c>
      <c r="N10" s="19">
        <v>0</v>
      </c>
      <c r="O10" s="23">
        <f t="shared" si="2"/>
        <v>228</v>
      </c>
    </row>
    <row r="11" spans="1:15" x14ac:dyDescent="0.25">
      <c r="A11" s="16">
        <v>8</v>
      </c>
      <c r="B11" s="26">
        <v>8</v>
      </c>
      <c r="C11" s="18"/>
      <c r="D11" s="19">
        <f>'8'!F8</f>
        <v>865054</v>
      </c>
      <c r="E11" s="19">
        <f>'8'!G96</f>
        <v>4082.4900000000066</v>
      </c>
      <c r="F11" s="19">
        <f>'1'!F142</f>
        <v>21357.57</v>
      </c>
      <c r="G11" s="21">
        <f t="shared" si="0"/>
        <v>87192065.94930014</v>
      </c>
      <c r="H11" s="19">
        <f>'8'!G68</f>
        <v>30</v>
      </c>
      <c r="I11" s="19">
        <f>'8'!G69</f>
        <v>10</v>
      </c>
      <c r="J11" s="19">
        <f>'8'!G70</f>
        <v>33</v>
      </c>
      <c r="K11" s="23">
        <f t="shared" si="1"/>
        <v>40</v>
      </c>
      <c r="L11" s="19">
        <f>'8'!G71</f>
        <v>214</v>
      </c>
      <c r="M11" s="19">
        <f>'8'!G72</f>
        <v>0</v>
      </c>
      <c r="N11" s="19">
        <v>0</v>
      </c>
      <c r="O11" s="23">
        <f t="shared" si="2"/>
        <v>214</v>
      </c>
    </row>
    <row r="12" spans="1:15" x14ac:dyDescent="0.25">
      <c r="A12" s="16">
        <v>9</v>
      </c>
      <c r="B12" s="27">
        <v>9</v>
      </c>
      <c r="C12" s="26"/>
      <c r="D12" s="19">
        <f>'9'!F8</f>
        <v>884521</v>
      </c>
      <c r="E12" s="19">
        <f>'9'!G96</f>
        <v>3894.5299999999988</v>
      </c>
      <c r="F12" s="19">
        <f>'1'!F142</f>
        <v>21357.57</v>
      </c>
      <c r="G12" s="21">
        <f t="shared" si="0"/>
        <v>83177697.09209998</v>
      </c>
      <c r="H12" s="19">
        <f>'9'!G68</f>
        <v>37</v>
      </c>
      <c r="I12" s="19">
        <f>'9'!G69</f>
        <v>9</v>
      </c>
      <c r="J12" s="19">
        <f>'9'!G70</f>
        <v>14</v>
      </c>
      <c r="K12" s="23">
        <f t="shared" si="1"/>
        <v>46</v>
      </c>
      <c r="L12" s="19">
        <f>'9'!G71</f>
        <v>238</v>
      </c>
      <c r="M12" s="19">
        <f>'9'!G72</f>
        <v>0</v>
      </c>
      <c r="N12" s="19">
        <v>0</v>
      </c>
      <c r="O12" s="23">
        <f t="shared" si="2"/>
        <v>238</v>
      </c>
    </row>
    <row r="13" spans="1:15" x14ac:dyDescent="0.25">
      <c r="A13" s="16">
        <v>10</v>
      </c>
      <c r="B13" s="27">
        <v>10</v>
      </c>
      <c r="C13" s="26"/>
      <c r="D13" s="19">
        <f>'10'!F8</f>
        <v>904894</v>
      </c>
      <c r="E13" s="19">
        <f>'10'!G96</f>
        <v>4557</v>
      </c>
      <c r="F13" s="19">
        <f>'1'!F142</f>
        <v>21357.57</v>
      </c>
      <c r="G13" s="21">
        <f t="shared" si="0"/>
        <v>97326446.489999995</v>
      </c>
      <c r="H13" s="19">
        <f>'10'!G68</f>
        <v>40</v>
      </c>
      <c r="I13" s="19">
        <f>'10'!G69</f>
        <v>18</v>
      </c>
      <c r="J13" s="19">
        <f>'10'!G70</f>
        <v>8</v>
      </c>
      <c r="K13" s="23">
        <f t="shared" si="1"/>
        <v>58</v>
      </c>
      <c r="L13" s="19">
        <f>'10'!G71</f>
        <v>256</v>
      </c>
      <c r="M13" s="19">
        <f>'10'!G72</f>
        <v>0</v>
      </c>
      <c r="N13" s="19">
        <v>0</v>
      </c>
      <c r="O13" s="23">
        <f t="shared" si="2"/>
        <v>256</v>
      </c>
    </row>
    <row r="14" spans="1:15" x14ac:dyDescent="0.25">
      <c r="A14" s="16">
        <v>11</v>
      </c>
      <c r="B14" s="17">
        <v>11</v>
      </c>
      <c r="C14" s="27"/>
      <c r="D14" s="19">
        <f>'11'!F8</f>
        <v>925914</v>
      </c>
      <c r="E14" s="19">
        <f>'11'!G96</f>
        <v>4736</v>
      </c>
      <c r="F14" s="19">
        <f>'1'!F142</f>
        <v>21357.57</v>
      </c>
      <c r="G14" s="21">
        <f t="shared" si="0"/>
        <v>101149451.52</v>
      </c>
      <c r="H14" s="19">
        <f>'11'!G68</f>
        <v>53</v>
      </c>
      <c r="I14" s="19">
        <f>'11'!G69</f>
        <v>32</v>
      </c>
      <c r="J14" s="19">
        <f>'11'!G70</f>
        <v>12</v>
      </c>
      <c r="K14" s="23">
        <f t="shared" si="1"/>
        <v>85</v>
      </c>
      <c r="L14" s="19">
        <f>'11'!G71</f>
        <v>297</v>
      </c>
      <c r="M14" s="19">
        <f>'11'!G72</f>
        <v>0</v>
      </c>
      <c r="N14" s="19">
        <v>0</v>
      </c>
      <c r="O14" s="23">
        <f t="shared" si="2"/>
        <v>297</v>
      </c>
    </row>
    <row r="15" spans="1:15" x14ac:dyDescent="0.25">
      <c r="A15" s="16">
        <v>12</v>
      </c>
      <c r="B15" s="26">
        <v>12</v>
      </c>
      <c r="C15" s="27"/>
      <c r="D15" s="19">
        <f>'12'!F8</f>
        <v>948253</v>
      </c>
      <c r="E15" s="19">
        <f>'12'!G96</f>
        <v>4928</v>
      </c>
      <c r="F15" s="19">
        <f>'1'!F142</f>
        <v>21357.57</v>
      </c>
      <c r="G15" s="20">
        <f t="shared" si="0"/>
        <v>105250104.95999999</v>
      </c>
      <c r="H15" s="19">
        <f>'12'!G68</f>
        <v>52</v>
      </c>
      <c r="I15" s="19">
        <f>'12'!G69</f>
        <v>14</v>
      </c>
      <c r="J15" s="19">
        <f>'12'!G70</f>
        <v>5</v>
      </c>
      <c r="K15" s="23">
        <f t="shared" si="1"/>
        <v>66</v>
      </c>
      <c r="L15" s="19">
        <f>'12'!G71</f>
        <v>291</v>
      </c>
      <c r="M15" s="19">
        <f>'12'!G72</f>
        <v>0</v>
      </c>
      <c r="N15" s="19">
        <v>0</v>
      </c>
      <c r="O15" s="23">
        <f t="shared" si="2"/>
        <v>291</v>
      </c>
    </row>
    <row r="16" spans="1:15" x14ac:dyDescent="0.25">
      <c r="A16" s="16">
        <v>13</v>
      </c>
      <c r="B16" s="26">
        <v>13</v>
      </c>
      <c r="C16" s="26"/>
      <c r="D16" s="19">
        <f>'13'!F8</f>
        <v>970453</v>
      </c>
      <c r="E16" s="19">
        <f>'13'!G96</f>
        <v>5019</v>
      </c>
      <c r="F16" s="19">
        <f>'1'!F142</f>
        <v>21357.57</v>
      </c>
      <c r="G16" s="20">
        <f t="shared" si="0"/>
        <v>107193643.83</v>
      </c>
      <c r="H16" s="19">
        <f>'13'!G68</f>
        <v>32</v>
      </c>
      <c r="I16" s="19">
        <f>'13'!G69</f>
        <v>11</v>
      </c>
      <c r="J16" s="19">
        <f>'13'!G70</f>
        <v>8</v>
      </c>
      <c r="K16" s="23">
        <f t="shared" si="1"/>
        <v>43</v>
      </c>
      <c r="L16" s="19">
        <f>'13'!G71</f>
        <v>261</v>
      </c>
      <c r="M16" s="19">
        <f>'13'!G72</f>
        <v>0</v>
      </c>
      <c r="N16" s="19">
        <v>0</v>
      </c>
      <c r="O16" s="23">
        <f t="shared" si="2"/>
        <v>261</v>
      </c>
    </row>
    <row r="17" spans="1:15" x14ac:dyDescent="0.25">
      <c r="A17" s="16">
        <v>14</v>
      </c>
      <c r="B17" s="17">
        <v>14</v>
      </c>
      <c r="C17" s="27"/>
      <c r="D17" s="19">
        <f>'14'!F8</f>
        <v>405455</v>
      </c>
      <c r="E17" s="19">
        <f>'14'!G96</f>
        <v>-45053</v>
      </c>
      <c r="F17" s="19">
        <f>'1'!F142</f>
        <v>21357.57</v>
      </c>
      <c r="G17" s="20">
        <f t="shared" si="0"/>
        <v>-962222601.21000004</v>
      </c>
      <c r="H17" s="19">
        <f>'14'!G68</f>
        <v>-1215</v>
      </c>
      <c r="I17" s="19">
        <f>'14'!G69</f>
        <v>-361</v>
      </c>
      <c r="J17" s="19">
        <f>'14'!G71</f>
        <v>-6011</v>
      </c>
      <c r="K17" s="23">
        <f t="shared" si="1"/>
        <v>-1576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 x14ac:dyDescent="0.25">
      <c r="A18" s="16">
        <v>15</v>
      </c>
      <c r="B18" s="26">
        <v>15</v>
      </c>
      <c r="C18" s="18"/>
      <c r="D18" s="19">
        <f>'15'!F8</f>
        <v>422783.71</v>
      </c>
      <c r="E18" s="19">
        <f>'15'!G96</f>
        <v>3008.3700000000099</v>
      </c>
      <c r="F18" s="19">
        <f>'1'!F142</f>
        <v>21357.57</v>
      </c>
      <c r="G18" s="20">
        <f t="shared" si="0"/>
        <v>64251472.860900208</v>
      </c>
      <c r="H18" s="19">
        <f>'15'!G68</f>
        <v>23</v>
      </c>
      <c r="I18" s="19">
        <f>'15'!G69</f>
        <v>11</v>
      </c>
      <c r="J18" s="19">
        <f>'15'!G71</f>
        <v>151</v>
      </c>
      <c r="K18" s="23">
        <f t="shared" si="1"/>
        <v>34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zoomScale="50" zoomScaleNormal="50" workbookViewId="0">
      <selection activeCell="G11" sqref="G11"/>
    </sheetView>
  </sheetViews>
  <sheetFormatPr defaultColWidth="22.33203125" defaultRowHeight="33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 x14ac:dyDescent="0.6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7" s="57" customFormat="1" ht="33" customHeight="1" x14ac:dyDescent="0.5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 x14ac:dyDescent="0.5">
      <c r="A3" s="189"/>
      <c r="B3" s="221"/>
      <c r="C3" s="324" t="s">
        <v>118</v>
      </c>
      <c r="D3" s="219">
        <v>28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7" s="57" customFormat="1" ht="33" customHeight="1" x14ac:dyDescent="0.5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 x14ac:dyDescent="0.4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 x14ac:dyDescent="0.45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-17599.229999999981</v>
      </c>
      <c r="I7" s="113">
        <f>'1'!I7</f>
        <v>12000</v>
      </c>
      <c r="J7" s="175">
        <f>H7/DAY(B2)</f>
        <v>-567.7170967741929</v>
      </c>
      <c r="K7" s="172">
        <v>1375467</v>
      </c>
      <c r="L7" s="66"/>
      <c r="N7" s="87"/>
      <c r="O7" s="71"/>
    </row>
    <row r="8" spans="1:17" ht="33" customHeight="1" thickBot="1" x14ac:dyDescent="0.45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-17830.150000000023</v>
      </c>
      <c r="I8" s="116"/>
      <c r="J8" s="175">
        <f>H8/DAY(B2)</f>
        <v>-575.16612903225882</v>
      </c>
      <c r="K8" s="172">
        <v>1715917</v>
      </c>
      <c r="L8" s="76">
        <v>1728480</v>
      </c>
      <c r="M8" s="87">
        <f>L8-K8</f>
        <v>12563</v>
      </c>
      <c r="N8" s="87"/>
      <c r="O8" s="71"/>
      <c r="Q8" s="687"/>
    </row>
    <row r="9" spans="1:17" ht="33" customHeight="1" x14ac:dyDescent="0.4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-15027.850000000006</v>
      </c>
      <c r="I9" s="124"/>
      <c r="J9" s="175">
        <f>H9/DAY(B2)</f>
        <v>-484.76935483870989</v>
      </c>
      <c r="K9" s="79">
        <f>K8-100</f>
        <v>1715817</v>
      </c>
      <c r="L9" s="66"/>
      <c r="N9" s="87"/>
      <c r="O9" s="71"/>
      <c r="Q9" s="688"/>
    </row>
    <row r="10" spans="1:17" ht="33" customHeight="1" x14ac:dyDescent="0.4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-2073.9700000000012</v>
      </c>
      <c r="I10" s="282"/>
      <c r="J10" s="175"/>
      <c r="K10" s="79"/>
      <c r="L10" s="66"/>
      <c r="N10" s="87"/>
      <c r="O10" s="71"/>
      <c r="Q10" s="66"/>
    </row>
    <row r="11" spans="1:17" ht="33" customHeight="1" x14ac:dyDescent="0.5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0</v>
      </c>
      <c r="I11" s="282"/>
      <c r="J11" s="175"/>
      <c r="K11" s="79"/>
      <c r="L11" s="66"/>
      <c r="N11" s="87"/>
      <c r="O11" s="71"/>
    </row>
    <row r="12" spans="1:17" ht="33" customHeight="1" x14ac:dyDescent="0.4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 x14ac:dyDescent="0.4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 x14ac:dyDescent="0.5">
      <c r="A14" s="201" t="s">
        <v>136</v>
      </c>
      <c r="B14" s="686"/>
      <c r="C14" s="686"/>
      <c r="D14" s="151"/>
      <c r="E14" s="95"/>
      <c r="F14" s="95"/>
      <c r="G14" s="119">
        <f>G9+G10+G11+G12</f>
        <v>0</v>
      </c>
      <c r="H14" s="99">
        <f>G14+'30'!H13</f>
        <v>-33856.25</v>
      </c>
      <c r="I14" s="120">
        <f>G7-G14</f>
        <v>0</v>
      </c>
      <c r="J14" s="175">
        <f>H14/DAY(B2)</f>
        <v>-1092.1370967741937</v>
      </c>
      <c r="K14" s="79"/>
      <c r="L14" s="66"/>
      <c r="N14" s="87"/>
      <c r="O14" s="71"/>
    </row>
    <row r="15" spans="1:17" ht="33" customHeight="1" x14ac:dyDescent="0.5">
      <c r="A15" s="908" t="s">
        <v>137</v>
      </c>
      <c r="B15" s="909"/>
      <c r="C15" s="910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 x14ac:dyDescent="0.5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30413.233000000007</v>
      </c>
      <c r="I16" s="113">
        <f>'1'!I15</f>
        <v>800</v>
      </c>
      <c r="J16" s="175">
        <f>H16/DAY(B2)</f>
        <v>981.07203225806472</v>
      </c>
      <c r="K16" s="79"/>
      <c r="L16" s="66"/>
      <c r="N16" s="87"/>
      <c r="O16" s="71"/>
    </row>
    <row r="17" spans="1:15" ht="33" customHeight="1" x14ac:dyDescent="0.4">
      <c r="A17" s="203"/>
      <c r="B17" s="204"/>
      <c r="C17" s="204"/>
      <c r="D17" s="152"/>
      <c r="E17" s="123"/>
      <c r="F17" s="123"/>
      <c r="G17" s="112"/>
      <c r="H17" s="124"/>
      <c r="I17" s="120">
        <f>I16-J16</f>
        <v>-181.07203225806472</v>
      </c>
      <c r="J17" s="176"/>
      <c r="K17" s="79"/>
      <c r="L17" s="66"/>
      <c r="N17" s="87"/>
      <c r="O17" s="71"/>
    </row>
    <row r="18" spans="1:15" ht="33" customHeight="1" x14ac:dyDescent="0.5">
      <c r="A18" s="908" t="s">
        <v>140</v>
      </c>
      <c r="B18" s="909"/>
      <c r="C18" s="910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 x14ac:dyDescent="0.5">
      <c r="A19" s="884" t="s">
        <v>141</v>
      </c>
      <c r="B19" s="885"/>
      <c r="C19" s="886"/>
      <c r="D19" s="151" t="s">
        <v>142</v>
      </c>
      <c r="E19" s="95">
        <f>'30'!F18</f>
        <v>17</v>
      </c>
      <c r="F19" s="122">
        <v>14</v>
      </c>
      <c r="G19" s="119">
        <f>F19*10</f>
        <v>140</v>
      </c>
      <c r="H19" s="99">
        <f>G19+'30'!H18</f>
        <v>5010</v>
      </c>
      <c r="I19" s="113">
        <f>'1'!I18</f>
        <v>65</v>
      </c>
      <c r="J19" s="175">
        <f>H19/DAY(B2)</f>
        <v>161.61290322580646</v>
      </c>
      <c r="K19" s="79"/>
      <c r="L19" s="66"/>
      <c r="N19" s="87"/>
      <c r="O19" s="71"/>
    </row>
    <row r="20" spans="1:15" ht="33" customHeight="1" x14ac:dyDescent="0.5">
      <c r="A20" s="884" t="s">
        <v>69</v>
      </c>
      <c r="B20" s="885"/>
      <c r="C20" s="886"/>
      <c r="D20" s="151" t="s">
        <v>142</v>
      </c>
      <c r="E20" s="95">
        <f>'30'!F19</f>
        <v>153835</v>
      </c>
      <c r="F20" s="122">
        <v>145338</v>
      </c>
      <c r="G20" s="112">
        <f t="shared" ref="G20" si="0">F20-E20</f>
        <v>-8497</v>
      </c>
      <c r="H20" s="99">
        <f>G20+'30'!H19</f>
        <v>-8553</v>
      </c>
      <c r="I20" s="335"/>
      <c r="J20" s="175">
        <f>H20/DAY(B2)</f>
        <v>-275.90322580645159</v>
      </c>
      <c r="K20" s="79"/>
      <c r="L20" s="66"/>
      <c r="N20" s="87"/>
      <c r="O20" s="71"/>
    </row>
    <row r="21" spans="1:15" ht="33" customHeight="1" x14ac:dyDescent="0.5">
      <c r="A21" s="201" t="s">
        <v>143</v>
      </c>
      <c r="B21" s="202"/>
      <c r="C21" s="202"/>
      <c r="D21" s="126"/>
      <c r="E21" s="126"/>
      <c r="F21" s="126"/>
      <c r="G21" s="127">
        <f>G19+G20</f>
        <v>-8357</v>
      </c>
      <c r="H21" s="99">
        <f>G21+'30'!H20</f>
        <v>-3543</v>
      </c>
      <c r="I21" s="336">
        <f>I19-J21</f>
        <v>179.29032258064518</v>
      </c>
      <c r="J21" s="175">
        <f>H21/DAY(B2)</f>
        <v>-114.29032258064517</v>
      </c>
      <c r="K21" s="79"/>
      <c r="L21" s="66"/>
      <c r="N21" s="87"/>
      <c r="O21" s="71"/>
    </row>
    <row r="22" spans="1:15" ht="33" customHeight="1" x14ac:dyDescent="0.5">
      <c r="A22" s="908" t="s">
        <v>144</v>
      </c>
      <c r="B22" s="909"/>
      <c r="C22" s="910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 x14ac:dyDescent="0.5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 x14ac:dyDescent="0.5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110</v>
      </c>
      <c r="I24" s="118"/>
      <c r="J24" s="175">
        <f>H24/DAY(B2)</f>
        <v>3.5483870967741935</v>
      </c>
      <c r="K24" s="79"/>
      <c r="L24" s="66"/>
      <c r="N24" s="87"/>
      <c r="O24" s="71"/>
    </row>
    <row r="25" spans="1:15" ht="33" customHeight="1" x14ac:dyDescent="0.4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110</v>
      </c>
      <c r="I25" s="118"/>
      <c r="J25" s="175">
        <f>H25/DAY(B2)</f>
        <v>3.5483870967741935</v>
      </c>
      <c r="K25" s="79"/>
      <c r="L25" s="66"/>
      <c r="N25" s="87"/>
      <c r="O25" s="71"/>
    </row>
    <row r="26" spans="1:15" s="88" customFormat="1" ht="33" customHeight="1" x14ac:dyDescent="0.35">
      <c r="A26" s="913" t="s">
        <v>149</v>
      </c>
      <c r="B26" s="914"/>
      <c r="C26" s="915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 x14ac:dyDescent="0.5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 x14ac:dyDescent="0.5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-160471.35000000009</v>
      </c>
      <c r="I28" s="138"/>
      <c r="J28" s="175">
        <f>H28/DAY(B2)</f>
        <v>-5176.495161290326</v>
      </c>
      <c r="K28" s="63"/>
      <c r="L28" s="89"/>
      <c r="N28" s="87"/>
      <c r="O28" s="71"/>
    </row>
    <row r="29" spans="1:15" s="88" customFormat="1" ht="33" customHeight="1" x14ac:dyDescent="0.5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1633145.4660000005</v>
      </c>
      <c r="I29" s="140"/>
      <c r="J29" s="175">
        <f>H29/DAY(B2)</f>
        <v>52682.111806451627</v>
      </c>
      <c r="K29" s="63"/>
      <c r="L29" s="89"/>
      <c r="N29" s="87"/>
      <c r="O29" s="71"/>
    </row>
    <row r="30" spans="1:15" s="88" customFormat="1" ht="33" customHeight="1" x14ac:dyDescent="0.5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7590</v>
      </c>
      <c r="I30" s="140"/>
      <c r="J30" s="175">
        <f>H30/DAY(B2)</f>
        <v>244.83870967741936</v>
      </c>
      <c r="K30" s="63"/>
      <c r="L30" s="89"/>
      <c r="N30" s="87"/>
      <c r="O30" s="71"/>
    </row>
    <row r="31" spans="1:15" s="88" customFormat="1" ht="33" customHeight="1" x14ac:dyDescent="0.5">
      <c r="A31" s="208" t="s">
        <v>156</v>
      </c>
      <c r="B31" s="209"/>
      <c r="C31" s="210"/>
      <c r="D31" s="226" t="s">
        <v>157</v>
      </c>
      <c r="E31" s="141">
        <f>G20</f>
        <v>-8497</v>
      </c>
      <c r="F31" s="136">
        <v>146</v>
      </c>
      <c r="G31" s="137">
        <f>E31*F31</f>
        <v>-1240562</v>
      </c>
      <c r="H31" s="99">
        <f>G31+'30'!H30</f>
        <v>-1256260.44</v>
      </c>
      <c r="I31" s="140"/>
      <c r="J31" s="175">
        <f>H31/DAY(B2)</f>
        <v>-40524.530322580642</v>
      </c>
      <c r="K31" s="63"/>
      <c r="L31" s="89"/>
      <c r="N31" s="87"/>
      <c r="O31" s="71"/>
    </row>
    <row r="32" spans="1:15" s="88" customFormat="1" ht="33" customHeight="1" x14ac:dyDescent="0.5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400800</v>
      </c>
      <c r="I32" s="140"/>
      <c r="J32" s="175">
        <f>H32/DAY(B2)</f>
        <v>12929.032258064517</v>
      </c>
      <c r="K32" s="63"/>
      <c r="L32" s="89"/>
      <c r="N32" s="87"/>
      <c r="O32" s="71"/>
    </row>
    <row r="33" spans="1:15" s="88" customFormat="1" ht="33" customHeight="1" x14ac:dyDescent="0.5">
      <c r="A33" s="211" t="s">
        <v>159</v>
      </c>
      <c r="B33" s="212"/>
      <c r="C33" s="213"/>
      <c r="D33" s="142"/>
      <c r="E33" s="142"/>
      <c r="F33" s="142"/>
      <c r="G33" s="143">
        <f>G28+G29+G30+G31+G32</f>
        <v>-1190414</v>
      </c>
      <c r="H33" s="99">
        <f>G33+'30'!H32</f>
        <v>624803.67600000021</v>
      </c>
      <c r="I33" s="144"/>
      <c r="J33" s="175">
        <f>H33/DAY(B2)</f>
        <v>20154.957290322589</v>
      </c>
      <c r="K33" s="63"/>
      <c r="L33" s="89"/>
      <c r="N33" s="87"/>
      <c r="O33" s="71"/>
    </row>
    <row r="34" spans="1:15" ht="33" customHeight="1" x14ac:dyDescent="0.35">
      <c r="A34" s="916" t="s">
        <v>331</v>
      </c>
      <c r="B34" s="917"/>
      <c r="C34" s="917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 x14ac:dyDescent="0.5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 x14ac:dyDescent="0.4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-1252.9799999999959</v>
      </c>
      <c r="I36" s="95"/>
      <c r="J36" s="175">
        <f>H36/DAY(B2)</f>
        <v>-40.418709677419223</v>
      </c>
      <c r="K36" s="79"/>
      <c r="L36" s="66"/>
      <c r="N36" s="87"/>
      <c r="O36" s="71"/>
    </row>
    <row r="37" spans="1:15" ht="33" customHeight="1" x14ac:dyDescent="0.4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29.260000000002037</v>
      </c>
      <c r="I37" s="95"/>
      <c r="J37" s="175">
        <f>H37/DAY(B2)</f>
        <v>0.94387096774200119</v>
      </c>
      <c r="K37" s="79"/>
      <c r="L37" s="66"/>
      <c r="N37" s="87"/>
      <c r="O37" s="344"/>
    </row>
    <row r="38" spans="1:15" ht="33" customHeight="1" x14ac:dyDescent="0.4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-425.08999999999651</v>
      </c>
      <c r="I38" s="95"/>
      <c r="J38" s="175">
        <f>H38/DAY(B2)</f>
        <v>-13.712580645161177</v>
      </c>
      <c r="K38" s="79"/>
      <c r="L38" s="66"/>
      <c r="N38" s="87"/>
      <c r="O38" s="234"/>
    </row>
    <row r="39" spans="1:15" ht="33" customHeight="1" x14ac:dyDescent="0.4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40.569999999999709</v>
      </c>
      <c r="I39" s="95"/>
      <c r="J39" s="175">
        <f>H39/DAY(B2)</f>
        <v>1.3087096774193454</v>
      </c>
      <c r="K39" s="79"/>
      <c r="L39" s="66"/>
      <c r="N39" s="87"/>
      <c r="O39" s="71"/>
    </row>
    <row r="40" spans="1:15" ht="33" customHeight="1" x14ac:dyDescent="0.4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1236.7099999999955</v>
      </c>
      <c r="I40" s="95"/>
      <c r="J40" s="175">
        <f>H40/DAY(B2)</f>
        <v>39.89387096774179</v>
      </c>
      <c r="K40" s="79"/>
      <c r="L40" s="66"/>
      <c r="N40" s="87"/>
      <c r="O40" s="71"/>
    </row>
    <row r="41" spans="1:15" ht="33" customHeight="1" x14ac:dyDescent="0.4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-1460.9900000000016</v>
      </c>
      <c r="I41" s="95"/>
      <c r="J41" s="175">
        <f>H41/DAY(B2)</f>
        <v>-47.128709677419408</v>
      </c>
      <c r="K41" s="80"/>
      <c r="L41" s="66"/>
      <c r="N41" s="87"/>
      <c r="O41" s="71"/>
    </row>
    <row r="42" spans="1:15" ht="33" customHeight="1" x14ac:dyDescent="0.4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-62.73</v>
      </c>
      <c r="I42" s="95"/>
      <c r="J42" s="175">
        <f>H42/DAY(B2)</f>
        <v>-2.0235483870967741</v>
      </c>
      <c r="K42" s="79"/>
      <c r="L42" s="66"/>
      <c r="N42" s="87"/>
      <c r="O42" s="71"/>
    </row>
    <row r="43" spans="1:15" ht="33" customHeight="1" x14ac:dyDescent="0.4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62338.259999999995</v>
      </c>
      <c r="I43" s="95"/>
      <c r="J43" s="175">
        <f>H43/DAY(B2)</f>
        <v>2010.9116129032257</v>
      </c>
      <c r="K43" s="79"/>
      <c r="L43" s="66"/>
      <c r="N43" s="87"/>
      <c r="O43" s="71"/>
    </row>
    <row r="44" spans="1:15" ht="33" customHeight="1" x14ac:dyDescent="0.4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66638.399999999994</v>
      </c>
      <c r="I44" s="95"/>
      <c r="J44" s="175">
        <f>H44/DAY(B2)</f>
        <v>2149.6258064516128</v>
      </c>
      <c r="K44" s="79"/>
      <c r="L44" s="66"/>
      <c r="N44" s="87"/>
      <c r="O44" s="71"/>
    </row>
    <row r="45" spans="1:15" ht="33" customHeight="1" x14ac:dyDescent="0.4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 x14ac:dyDescent="0.4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 x14ac:dyDescent="0.4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 x14ac:dyDescent="0.5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127081.41</v>
      </c>
      <c r="I48" s="95"/>
      <c r="J48" s="175">
        <f>H48/DAY(B2)</f>
        <v>4099.4003225806455</v>
      </c>
      <c r="K48" s="79"/>
      <c r="L48" s="66"/>
      <c r="N48" s="87"/>
      <c r="O48" s="71"/>
    </row>
    <row r="49" spans="1:15" ht="33" customHeight="1" x14ac:dyDescent="0.5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 x14ac:dyDescent="0.4">
      <c r="A50" s="194" t="s">
        <v>161</v>
      </c>
      <c r="B50" s="217"/>
      <c r="C50" s="217"/>
      <c r="D50" s="151" t="s">
        <v>130</v>
      </c>
      <c r="E50" s="95">
        <f>'30'!F49</f>
        <v>24139</v>
      </c>
      <c r="F50" s="145">
        <v>419822</v>
      </c>
      <c r="G50" s="112">
        <f t="shared" ref="G50:G59" si="3">F50-E50</f>
        <v>395683</v>
      </c>
      <c r="H50" s="99">
        <f>G50+'30'!H49</f>
        <v>394825.81</v>
      </c>
      <c r="I50" s="95"/>
      <c r="J50" s="175">
        <f>H50/DAY(B2)</f>
        <v>12736.316451612904</v>
      </c>
      <c r="K50" s="79"/>
      <c r="L50" s="66"/>
      <c r="N50" s="87"/>
      <c r="O50" s="71"/>
    </row>
    <row r="51" spans="1:15" ht="33" customHeight="1" x14ac:dyDescent="0.4">
      <c r="A51" s="194" t="s">
        <v>175</v>
      </c>
      <c r="B51" s="217"/>
      <c r="C51" s="217"/>
      <c r="D51" s="151" t="s">
        <v>130</v>
      </c>
      <c r="E51" s="95">
        <f>'30'!F50</f>
        <v>55316</v>
      </c>
      <c r="F51" s="145">
        <v>607298</v>
      </c>
      <c r="G51" s="112">
        <f t="shared" si="3"/>
        <v>551982</v>
      </c>
      <c r="H51" s="99">
        <f>G51+'30'!H50</f>
        <v>550911.37</v>
      </c>
      <c r="I51" s="95"/>
      <c r="J51" s="175">
        <f>H51/DAY(B2)</f>
        <v>17771.334516129031</v>
      </c>
      <c r="K51" s="79"/>
      <c r="L51" s="66"/>
      <c r="N51" s="87"/>
      <c r="O51" s="71"/>
    </row>
    <row r="52" spans="1:15" ht="33" customHeight="1" x14ac:dyDescent="0.4">
      <c r="A52" s="194" t="s">
        <v>163</v>
      </c>
      <c r="B52" s="217"/>
      <c r="C52" s="217"/>
      <c r="D52" s="151" t="s">
        <v>130</v>
      </c>
      <c r="E52" s="95">
        <f>'30'!F51</f>
        <v>0</v>
      </c>
      <c r="F52" s="145">
        <v>144640</v>
      </c>
      <c r="G52" s="112">
        <f t="shared" si="3"/>
        <v>144640</v>
      </c>
      <c r="H52" s="99">
        <f>G52+'30'!H51</f>
        <v>144640</v>
      </c>
      <c r="I52" s="95"/>
      <c r="J52" s="175">
        <f>H52/DAY(B2)</f>
        <v>4665.8064516129034</v>
      </c>
      <c r="K52" s="79"/>
      <c r="L52" s="66"/>
      <c r="N52" s="87"/>
      <c r="O52" s="71"/>
    </row>
    <row r="53" spans="1:15" ht="33" customHeight="1" x14ac:dyDescent="0.4">
      <c r="A53" s="194" t="s">
        <v>176</v>
      </c>
      <c r="B53" s="217"/>
      <c r="C53" s="217"/>
      <c r="D53" s="151" t="s">
        <v>130</v>
      </c>
      <c r="E53" s="95">
        <f>'30'!F52</f>
        <v>0</v>
      </c>
      <c r="F53" s="145">
        <v>539606</v>
      </c>
      <c r="G53" s="112">
        <f t="shared" si="3"/>
        <v>539606</v>
      </c>
      <c r="H53" s="99">
        <f>G53+'30'!H52</f>
        <v>539606</v>
      </c>
      <c r="I53" s="95"/>
      <c r="J53" s="175">
        <f>H53/DAY(B2)</f>
        <v>17406.645161290322</v>
      </c>
      <c r="K53" s="79"/>
      <c r="L53" s="66"/>
      <c r="N53" s="87"/>
      <c r="O53" s="71"/>
    </row>
    <row r="54" spans="1:15" ht="33" customHeight="1" x14ac:dyDescent="0.4">
      <c r="A54" s="194" t="s">
        <v>165</v>
      </c>
      <c r="B54" s="217"/>
      <c r="C54" s="217"/>
      <c r="D54" s="151" t="s">
        <v>130</v>
      </c>
      <c r="E54" s="95">
        <f>'30'!F53</f>
        <v>0</v>
      </c>
      <c r="F54" s="145">
        <v>434232</v>
      </c>
      <c r="G54" s="112">
        <f t="shared" si="3"/>
        <v>434232</v>
      </c>
      <c r="H54" s="99">
        <f>G54+'30'!H53</f>
        <v>434232</v>
      </c>
      <c r="I54" s="95"/>
      <c r="J54" s="175">
        <f>H54/DAY(B2)</f>
        <v>14007.483870967742</v>
      </c>
      <c r="K54" s="79"/>
      <c r="L54" s="66"/>
      <c r="N54" s="87"/>
      <c r="O54" s="71"/>
    </row>
    <row r="55" spans="1:15" ht="33" customHeight="1" x14ac:dyDescent="0.4">
      <c r="A55" s="194" t="s">
        <v>177</v>
      </c>
      <c r="B55" s="217"/>
      <c r="C55" s="217"/>
      <c r="D55" s="151" t="s">
        <v>130</v>
      </c>
      <c r="E55" s="95">
        <f>'30'!F54</f>
        <v>5147</v>
      </c>
      <c r="F55" s="145">
        <v>14967</v>
      </c>
      <c r="G55" s="112">
        <f t="shared" si="3"/>
        <v>9820</v>
      </c>
      <c r="H55" s="99">
        <f>G55+'30'!H54</f>
        <v>9819.58</v>
      </c>
      <c r="I55" s="95"/>
      <c r="J55" s="175">
        <f>H55/DAY(B2)</f>
        <v>316.76064516129031</v>
      </c>
      <c r="K55" s="79"/>
      <c r="L55" s="66"/>
      <c r="N55" s="87"/>
      <c r="O55" s="71"/>
    </row>
    <row r="56" spans="1:15" ht="33" customHeight="1" x14ac:dyDescent="0.4">
      <c r="A56" s="194" t="s">
        <v>178</v>
      </c>
      <c r="B56" s="217"/>
      <c r="C56" s="217"/>
      <c r="D56" s="151" t="s">
        <v>130</v>
      </c>
      <c r="E56" s="95">
        <f>'30'!F55</f>
        <v>74366</v>
      </c>
      <c r="F56" s="145">
        <v>306268.99</v>
      </c>
      <c r="G56" s="112">
        <f t="shared" si="3"/>
        <v>231902.99</v>
      </c>
      <c r="H56" s="99">
        <f>G56+'30'!H55</f>
        <v>231902.88</v>
      </c>
      <c r="I56" s="95"/>
      <c r="J56" s="175">
        <f>H56/DAY(B2)</f>
        <v>7480.7380645161293</v>
      </c>
      <c r="K56" s="79"/>
      <c r="L56" s="66"/>
      <c r="N56" s="87"/>
      <c r="O56" s="71"/>
    </row>
    <row r="57" spans="1:15" ht="33" customHeight="1" x14ac:dyDescent="0.4">
      <c r="A57" s="194" t="s">
        <v>179</v>
      </c>
      <c r="B57" s="217"/>
      <c r="C57" s="217"/>
      <c r="D57" s="151" t="s">
        <v>180</v>
      </c>
      <c r="E57" s="95">
        <f>'30'!F56</f>
        <v>8610.5400000000009</v>
      </c>
      <c r="F57" s="145">
        <v>661019</v>
      </c>
      <c r="G57" s="112">
        <f t="shared" si="3"/>
        <v>652408.46</v>
      </c>
      <c r="H57" s="99">
        <f>G57+'30'!H56</f>
        <v>652408.46</v>
      </c>
      <c r="I57" s="95"/>
      <c r="J57" s="175">
        <f>H57/DAY(B2)</f>
        <v>21045.434193548386</v>
      </c>
      <c r="K57" s="78"/>
      <c r="L57" s="66"/>
      <c r="N57" s="87"/>
      <c r="O57" s="71"/>
    </row>
    <row r="58" spans="1:15" ht="33" customHeight="1" x14ac:dyDescent="0.4">
      <c r="A58" s="194" t="s">
        <v>169</v>
      </c>
      <c r="B58" s="217"/>
      <c r="C58" s="217"/>
      <c r="D58" s="151" t="s">
        <v>130</v>
      </c>
      <c r="E58" s="95">
        <f>'30'!F57</f>
        <v>0</v>
      </c>
      <c r="F58" s="145">
        <v>7711</v>
      </c>
      <c r="G58" s="112">
        <f t="shared" si="3"/>
        <v>7711</v>
      </c>
      <c r="H58" s="99">
        <f>G58+'30'!H57</f>
        <v>7711</v>
      </c>
      <c r="I58" s="95"/>
      <c r="J58" s="175">
        <f>H58/DAY(B2)</f>
        <v>248.74193548387098</v>
      </c>
      <c r="K58" s="79"/>
      <c r="L58" s="66"/>
      <c r="N58" s="87"/>
      <c r="O58" s="71"/>
    </row>
    <row r="59" spans="1:15" ht="33" customHeight="1" x14ac:dyDescent="0.4">
      <c r="A59" s="194" t="s">
        <v>181</v>
      </c>
      <c r="B59" s="217"/>
      <c r="C59" s="217"/>
      <c r="D59" s="151" t="s">
        <v>130</v>
      </c>
      <c r="E59" s="95">
        <f>'30'!F58</f>
        <v>4599</v>
      </c>
      <c r="F59" s="145">
        <v>66014</v>
      </c>
      <c r="G59" s="112">
        <f t="shared" si="3"/>
        <v>61415</v>
      </c>
      <c r="H59" s="99">
        <f>G59+'30'!H58</f>
        <v>61217.79</v>
      </c>
      <c r="I59" s="95"/>
      <c r="J59" s="175">
        <f>H59/DAY(B2)</f>
        <v>1974.7674193548387</v>
      </c>
      <c r="K59" s="79"/>
      <c r="L59" s="66"/>
      <c r="N59" s="87"/>
      <c r="O59" s="71"/>
    </row>
    <row r="60" spans="1:15" ht="33" customHeight="1" x14ac:dyDescent="0.5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3029400.45</v>
      </c>
      <c r="H60" s="99">
        <f>G60+'30'!H59</f>
        <v>3027274.89</v>
      </c>
      <c r="I60" s="95">
        <f>G7-G61</f>
        <v>-3044263.45</v>
      </c>
      <c r="J60" s="175">
        <f>H60/DAY(B2)</f>
        <v>97654.028709677426</v>
      </c>
      <c r="K60" s="79"/>
      <c r="L60" s="66"/>
      <c r="N60" s="87"/>
      <c r="O60" s="71"/>
    </row>
    <row r="61" spans="1:15" ht="33" customHeight="1" x14ac:dyDescent="0.4">
      <c r="A61" s="194"/>
      <c r="B61" s="195"/>
      <c r="C61" s="195"/>
      <c r="D61" s="146" t="s">
        <v>182</v>
      </c>
      <c r="E61" s="146"/>
      <c r="F61" s="146"/>
      <c r="G61" s="119">
        <f>G48+G60</f>
        <v>3044263.45</v>
      </c>
      <c r="H61" s="99">
        <f>G61+'30'!H60</f>
        <v>3154356.3000000003</v>
      </c>
      <c r="I61" s="95">
        <f>G14-G61</f>
        <v>-3044263.45</v>
      </c>
      <c r="J61" s="175">
        <f>H61/DAY(B2)</f>
        <v>101753.42903225808</v>
      </c>
      <c r="K61" s="79"/>
      <c r="L61" s="66"/>
      <c r="N61" s="87"/>
      <c r="O61" s="71"/>
    </row>
    <row r="62" spans="1:15" s="68" customFormat="1" ht="33" customHeight="1" x14ac:dyDescent="0.5">
      <c r="A62" s="918" t="s">
        <v>332</v>
      </c>
      <c r="B62" s="919"/>
      <c r="C62" s="920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 x14ac:dyDescent="0.5">
      <c r="A63" s="884" t="s">
        <v>198</v>
      </c>
      <c r="B63" s="885"/>
      <c r="C63" s="886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 x14ac:dyDescent="0.5">
      <c r="A64" s="884" t="s">
        <v>199</v>
      </c>
      <c r="B64" s="885"/>
      <c r="C64" s="886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259692.22999999998</v>
      </c>
      <c r="I64" s="118"/>
      <c r="J64" s="175">
        <f>H64/DAY(B2)</f>
        <v>8377.1687096774185</v>
      </c>
      <c r="K64" s="69"/>
      <c r="L64" s="66"/>
      <c r="N64" s="87"/>
      <c r="O64" s="71"/>
    </row>
    <row r="65" spans="1:15" ht="33" customHeight="1" x14ac:dyDescent="0.5">
      <c r="A65" s="893" t="s">
        <v>200</v>
      </c>
      <c r="B65" s="894"/>
      <c r="C65" s="895"/>
      <c r="D65" s="151"/>
      <c r="E65" s="122"/>
      <c r="F65" s="122"/>
      <c r="G65" s="112">
        <f>G63+G64</f>
        <v>451111</v>
      </c>
      <c r="H65" s="99">
        <f>G65+'30'!H95</f>
        <v>451118.5148627297</v>
      </c>
      <c r="I65" s="118"/>
      <c r="J65" s="175">
        <f>H65/DAY(B2)</f>
        <v>14552.210156862249</v>
      </c>
      <c r="K65" s="69"/>
      <c r="L65" s="66"/>
      <c r="N65" s="87"/>
      <c r="O65" s="71"/>
    </row>
    <row r="66" spans="1:15" ht="33" customHeight="1" x14ac:dyDescent="0.5">
      <c r="A66" s="884" t="s">
        <v>201</v>
      </c>
      <c r="B66" s="885"/>
      <c r="C66" s="886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478689.42</v>
      </c>
      <c r="I66" s="118"/>
      <c r="J66" s="175">
        <f>H66/DAY(B2)</f>
        <v>15441.594193548386</v>
      </c>
      <c r="K66" s="69"/>
      <c r="L66" s="66"/>
      <c r="N66" s="87"/>
      <c r="O66" s="71"/>
    </row>
    <row r="67" spans="1:15" ht="33" customHeight="1" x14ac:dyDescent="0.5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104641.58682449872</v>
      </c>
      <c r="I67" s="118"/>
      <c r="J67" s="175">
        <f>H67/DAY(B2)</f>
        <v>3375.5350588547976</v>
      </c>
      <c r="K67" s="78"/>
      <c r="L67" s="66"/>
      <c r="N67" s="87"/>
      <c r="O67" s="71"/>
    </row>
    <row r="68" spans="1:15" ht="33" customHeight="1" x14ac:dyDescent="0.5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97720.709999999992</v>
      </c>
      <c r="I68" s="118"/>
      <c r="J68" s="175">
        <f>H68/DAY(B2)</f>
        <v>3152.280967741935</v>
      </c>
      <c r="K68" s="81"/>
      <c r="L68" s="66"/>
      <c r="N68" s="87"/>
      <c r="O68" s="71"/>
    </row>
    <row r="69" spans="1:15" ht="33" customHeight="1" x14ac:dyDescent="0.5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152139.42022301065</v>
      </c>
      <c r="I69" s="118"/>
      <c r="J69" s="175">
        <f>H69/DAY(B2)</f>
        <v>4907.7232330003435</v>
      </c>
      <c r="K69" s="69"/>
      <c r="L69" s="66"/>
      <c r="N69" s="87"/>
      <c r="O69" s="71"/>
    </row>
    <row r="70" spans="1:15" ht="33" customHeight="1" x14ac:dyDescent="0.5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7017.57</v>
      </c>
      <c r="I70" s="118"/>
      <c r="J70" s="175">
        <f>H70/DAY(B2)</f>
        <v>226.37322580645161</v>
      </c>
      <c r="K70" s="69"/>
      <c r="L70" s="66"/>
      <c r="N70" s="87"/>
      <c r="O70" s="71"/>
    </row>
    <row r="71" spans="1:15" ht="33" customHeight="1" x14ac:dyDescent="0.5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6375.8997193434898</v>
      </c>
      <c r="I71" s="118"/>
      <c r="J71" s="175">
        <f>H71/DAY(B2)</f>
        <v>205.67418449495128</v>
      </c>
      <c r="K71" s="69"/>
      <c r="L71" s="66"/>
      <c r="N71" s="87"/>
      <c r="O71" s="71"/>
    </row>
    <row r="72" spans="1:15" ht="33" customHeight="1" x14ac:dyDescent="0.5">
      <c r="A72" s="893" t="s">
        <v>208</v>
      </c>
      <c r="B72" s="894"/>
      <c r="C72" s="895"/>
      <c r="D72" s="152"/>
      <c r="E72" s="152"/>
      <c r="F72" s="152"/>
      <c r="G72" s="153">
        <f>SUM(G66:G71)</f>
        <v>793178</v>
      </c>
      <c r="H72" s="99">
        <f>G72+'30'!H102</f>
        <v>791468.63</v>
      </c>
      <c r="I72" s="154"/>
      <c r="J72" s="175">
        <f>H72/DAY(B2)</f>
        <v>25531.246129032257</v>
      </c>
      <c r="K72" s="69"/>
      <c r="L72" s="66"/>
      <c r="N72" s="87"/>
      <c r="O72" s="71"/>
    </row>
    <row r="73" spans="1:15" s="88" customFormat="1" ht="33" customHeight="1" x14ac:dyDescent="0.5">
      <c r="A73" s="880"/>
      <c r="B73" s="865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 x14ac:dyDescent="0.5">
      <c r="A74" s="890" t="s">
        <v>333</v>
      </c>
      <c r="B74" s="891"/>
      <c r="C74" s="892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 x14ac:dyDescent="0.5">
      <c r="A75" s="884" t="s">
        <v>220</v>
      </c>
      <c r="B75" s="885"/>
      <c r="C75" s="886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 x14ac:dyDescent="0.5">
      <c r="A76" s="884" t="s">
        <v>221</v>
      </c>
      <c r="B76" s="885"/>
      <c r="C76" s="886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 x14ac:dyDescent="0.5">
      <c r="A77" s="881" t="s">
        <v>222</v>
      </c>
      <c r="B77" s="882"/>
      <c r="C77" s="883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 x14ac:dyDescent="0.5">
      <c r="A78" s="881" t="s">
        <v>223</v>
      </c>
      <c r="B78" s="882"/>
      <c r="C78" s="883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 x14ac:dyDescent="0.5">
      <c r="A79" s="881" t="s">
        <v>224</v>
      </c>
      <c r="B79" s="882"/>
      <c r="C79" s="883"/>
      <c r="D79" s="151" t="s">
        <v>139</v>
      </c>
      <c r="E79" s="95">
        <f>'30'!F128</f>
        <v>47434</v>
      </c>
      <c r="F79" s="232">
        <v>9180</v>
      </c>
      <c r="G79" s="112">
        <f t="shared" si="6"/>
        <v>-38254</v>
      </c>
      <c r="H79" s="99">
        <f>G79+'30'!H128</f>
        <v>-38566</v>
      </c>
      <c r="I79" s="118"/>
      <c r="J79" s="175">
        <f>H79/DAY(B2)</f>
        <v>-1244.0645161290322</v>
      </c>
      <c r="K79" s="69"/>
      <c r="L79" s="66"/>
      <c r="N79" s="87"/>
      <c r="O79" s="71"/>
    </row>
    <row r="80" spans="1:15" s="57" customFormat="1" ht="33" customHeight="1" x14ac:dyDescent="0.5">
      <c r="A80" s="881" t="s">
        <v>225</v>
      </c>
      <c r="B80" s="882"/>
      <c r="C80" s="883"/>
      <c r="D80" s="151"/>
      <c r="E80" s="117"/>
      <c r="F80" s="117"/>
      <c r="G80" s="112">
        <f>G16-SUM(G75:G79)</f>
        <v>-1079638.3999999999</v>
      </c>
      <c r="H80" s="99">
        <f>G80+'30'!H129</f>
        <v>-1079829.27</v>
      </c>
      <c r="I80" s="118"/>
      <c r="J80" s="175"/>
      <c r="K80" s="59"/>
      <c r="L80" s="58"/>
      <c r="N80" s="87"/>
      <c r="O80" s="71"/>
    </row>
    <row r="81" spans="1:15" s="57" customFormat="1" ht="33" customHeight="1" x14ac:dyDescent="0.5">
      <c r="A81" s="893" t="s">
        <v>329</v>
      </c>
      <c r="B81" s="894"/>
      <c r="C81" s="895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 x14ac:dyDescent="0.4">
      <c r="A82" s="898" t="s">
        <v>226</v>
      </c>
      <c r="B82" s="899"/>
      <c r="C82" s="900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 x14ac:dyDescent="0.5">
      <c r="A83" s="322" t="s">
        <v>227</v>
      </c>
      <c r="B83" s="323"/>
      <c r="C83" s="323"/>
      <c r="D83" s="151" t="s">
        <v>228</v>
      </c>
      <c r="E83" s="95">
        <f>'30'!F131</f>
        <v>15261</v>
      </c>
      <c r="F83" s="122"/>
      <c r="G83" s="112">
        <f t="shared" ref="G83:G93" si="7">F83-E83</f>
        <v>-15261</v>
      </c>
      <c r="H83" s="99">
        <f>G83+'30'!H131</f>
        <v>-15307.68</v>
      </c>
      <c r="I83" s="118"/>
      <c r="J83" s="175">
        <f>H83/DAY(B2)</f>
        <v>-493.79612903225808</v>
      </c>
      <c r="O83" s="71"/>
    </row>
    <row r="84" spans="1:15" ht="33" customHeight="1" x14ac:dyDescent="0.5">
      <c r="A84" s="322" t="s">
        <v>229</v>
      </c>
      <c r="B84" s="323"/>
      <c r="C84" s="323"/>
      <c r="D84" s="151" t="s">
        <v>228</v>
      </c>
      <c r="E84" s="95">
        <f>'30'!F132</f>
        <v>51683</v>
      </c>
      <c r="F84" s="122"/>
      <c r="G84" s="112">
        <f t="shared" si="7"/>
        <v>-51683</v>
      </c>
      <c r="H84" s="99">
        <f>G84+'30'!H132</f>
        <v>-51848.3</v>
      </c>
      <c r="I84" s="118"/>
      <c r="J84" s="175">
        <f>H84/DAY(B2)</f>
        <v>-1672.5258064516131</v>
      </c>
      <c r="O84" s="71"/>
    </row>
    <row r="85" spans="1:15" ht="33" customHeight="1" x14ac:dyDescent="0.5">
      <c r="A85" s="322" t="s">
        <v>230</v>
      </c>
      <c r="B85" s="323"/>
      <c r="C85" s="323"/>
      <c r="D85" s="151" t="s">
        <v>228</v>
      </c>
      <c r="E85" s="95">
        <f>'30'!F133</f>
        <v>104906</v>
      </c>
      <c r="F85" s="164">
        <v>40922</v>
      </c>
      <c r="G85" s="112">
        <f t="shared" si="7"/>
        <v>-63984</v>
      </c>
      <c r="H85" s="99">
        <f>G85+'30'!H133</f>
        <v>-64421.7</v>
      </c>
      <c r="I85" s="118"/>
      <c r="J85" s="175">
        <f>H85/DAY(B2)</f>
        <v>-2078.1193548387096</v>
      </c>
      <c r="O85" s="71"/>
    </row>
    <row r="86" spans="1:15" ht="33" customHeight="1" x14ac:dyDescent="0.5">
      <c r="A86" s="322" t="s">
        <v>231</v>
      </c>
      <c r="B86" s="323"/>
      <c r="C86" s="323"/>
      <c r="D86" s="151" t="s">
        <v>228</v>
      </c>
      <c r="E86" s="95">
        <f>'30'!F134</f>
        <v>8446</v>
      </c>
      <c r="F86" s="164">
        <v>856</v>
      </c>
      <c r="G86" s="112">
        <f t="shared" si="7"/>
        <v>-7590</v>
      </c>
      <c r="H86" s="99">
        <f>G86+'30'!H134</f>
        <v>-7745.23</v>
      </c>
      <c r="I86" s="118">
        <f>G83+G84+G85+G86</f>
        <v>-138518</v>
      </c>
      <c r="J86" s="175">
        <f>H86/DAY(B2)</f>
        <v>-249.84612903225806</v>
      </c>
      <c r="O86" s="71"/>
    </row>
    <row r="87" spans="1:15" ht="33" customHeight="1" x14ac:dyDescent="0.5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70171.389999999985</v>
      </c>
      <c r="I87" s="118"/>
      <c r="J87" s="175">
        <f>H87/DAY(B2)</f>
        <v>2263.5932258064513</v>
      </c>
      <c r="O87" s="71"/>
    </row>
    <row r="88" spans="1:15" ht="33" customHeight="1" x14ac:dyDescent="0.5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 x14ac:dyDescent="0.5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 x14ac:dyDescent="0.5">
      <c r="A90" s="322" t="s">
        <v>235</v>
      </c>
      <c r="B90" s="323"/>
      <c r="C90" s="323"/>
      <c r="D90" s="151" t="s">
        <v>228</v>
      </c>
      <c r="E90" s="95">
        <f>'30'!F138</f>
        <v>866114</v>
      </c>
      <c r="F90" s="164">
        <v>25132.959999999999</v>
      </c>
      <c r="G90" s="112">
        <f t="shared" si="7"/>
        <v>-840981.04</v>
      </c>
      <c r="H90" s="99">
        <f>G90+'30'!H138</f>
        <v>-841040.04</v>
      </c>
      <c r="I90" s="118"/>
      <c r="J90" s="175">
        <f>H90/DAY(B2)</f>
        <v>-27130.323870967743</v>
      </c>
      <c r="O90" s="71"/>
    </row>
    <row r="91" spans="1:15" ht="33" customHeight="1" x14ac:dyDescent="0.5">
      <c r="A91" s="322" t="s">
        <v>236</v>
      </c>
      <c r="B91" s="323"/>
      <c r="C91" s="323"/>
      <c r="D91" s="151" t="s">
        <v>228</v>
      </c>
      <c r="E91" s="95">
        <f>'30'!F139</f>
        <v>886572</v>
      </c>
      <c r="F91" s="164">
        <v>70524.55</v>
      </c>
      <c r="G91" s="112">
        <f t="shared" si="7"/>
        <v>-816047.45</v>
      </c>
      <c r="H91" s="99">
        <f>G91+'30'!H139</f>
        <v>-816048.45</v>
      </c>
      <c r="I91" s="118">
        <f>G90+G91</f>
        <v>-1657028.49</v>
      </c>
      <c r="J91" s="175">
        <f>H91/DAY(B2)</f>
        <v>-26324.143548387096</v>
      </c>
      <c r="O91" s="71"/>
    </row>
    <row r="92" spans="1:15" ht="33" customHeight="1" x14ac:dyDescent="0.5">
      <c r="A92" s="322" t="s">
        <v>237</v>
      </c>
      <c r="B92" s="323"/>
      <c r="C92" s="323"/>
      <c r="D92" s="151" t="s">
        <v>228</v>
      </c>
      <c r="E92" s="95">
        <f>'30'!F140</f>
        <v>88922</v>
      </c>
      <c r="F92" s="122">
        <v>2627.98</v>
      </c>
      <c r="G92" s="112">
        <f t="shared" si="7"/>
        <v>-86294.02</v>
      </c>
      <c r="H92" s="99">
        <f>G92+'30'!H140</f>
        <v>-86294.02</v>
      </c>
      <c r="I92" s="165"/>
      <c r="J92" s="175">
        <f>H92/DAY(B2)</f>
        <v>-2783.6780645161293</v>
      </c>
      <c r="O92" s="71"/>
    </row>
    <row r="93" spans="1:15" ht="33" customHeight="1" x14ac:dyDescent="0.5">
      <c r="A93" s="322" t="s">
        <v>238</v>
      </c>
      <c r="B93" s="323"/>
      <c r="C93" s="323"/>
      <c r="D93" s="151" t="s">
        <v>228</v>
      </c>
      <c r="E93" s="95">
        <f>'30'!F141</f>
        <v>54513</v>
      </c>
      <c r="F93" s="122">
        <v>4754</v>
      </c>
      <c r="G93" s="112">
        <f t="shared" si="7"/>
        <v>-49759</v>
      </c>
      <c r="H93" s="99">
        <f>G93+'30'!H141</f>
        <v>-49931.58</v>
      </c>
      <c r="I93" s="165"/>
      <c r="J93" s="175">
        <f>H93/DAY(B2)</f>
        <v>-1610.6961290322581</v>
      </c>
      <c r="O93" s="71"/>
    </row>
    <row r="94" spans="1:15" ht="33" customHeight="1" x14ac:dyDescent="0.5">
      <c r="A94" s="887" t="s">
        <v>239</v>
      </c>
      <c r="B94" s="888"/>
      <c r="C94" s="889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 x14ac:dyDescent="0.5">
      <c r="A95" s="884" t="s">
        <v>240</v>
      </c>
      <c r="B95" s="885"/>
      <c r="C95" s="886"/>
      <c r="D95" s="151" t="s">
        <v>130</v>
      </c>
      <c r="E95" s="151"/>
      <c r="F95" s="151"/>
      <c r="G95" s="99">
        <f>G36+G44+G50+G58</f>
        <v>405889</v>
      </c>
      <c r="H95" s="99">
        <f>G95+'30'!H143</f>
        <v>405860.61</v>
      </c>
      <c r="I95" s="118"/>
      <c r="J95" s="175">
        <f>H95/DAY(B2)</f>
        <v>13092.277741935484</v>
      </c>
      <c r="K95" s="69"/>
      <c r="L95" s="66"/>
      <c r="O95" s="71"/>
    </row>
    <row r="96" spans="1:15" ht="33" customHeight="1" x14ac:dyDescent="0.5">
      <c r="A96" s="884" t="s">
        <v>241</v>
      </c>
      <c r="B96" s="885"/>
      <c r="C96" s="886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 x14ac:dyDescent="0.5">
      <c r="A97" s="884" t="s">
        <v>242</v>
      </c>
      <c r="B97" s="885"/>
      <c r="C97" s="886"/>
      <c r="D97" s="151" t="s">
        <v>130</v>
      </c>
      <c r="E97" s="95"/>
      <c r="F97" s="95"/>
      <c r="G97" s="99">
        <f>G42+G43+G56+G57</f>
        <v>888916.45</v>
      </c>
      <c r="H97" s="99">
        <f>G97+'30'!H145</f>
        <v>888906.61</v>
      </c>
      <c r="I97" s="118"/>
      <c r="J97" s="175">
        <f>H97/DAY(B2)</f>
        <v>28674.406774193547</v>
      </c>
      <c r="K97" s="69"/>
      <c r="L97" s="66"/>
      <c r="O97" s="71"/>
    </row>
    <row r="98" spans="1:15" ht="33" customHeight="1" x14ac:dyDescent="0.5">
      <c r="A98" s="884" t="s">
        <v>243</v>
      </c>
      <c r="B98" s="885"/>
      <c r="C98" s="886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 x14ac:dyDescent="0.5">
      <c r="A99" s="884" t="s">
        <v>244</v>
      </c>
      <c r="B99" s="885"/>
      <c r="C99" s="886"/>
      <c r="D99" s="151" t="s">
        <v>130</v>
      </c>
      <c r="E99" s="95"/>
      <c r="F99" s="95"/>
      <c r="G99" s="99">
        <f>G40+G54</f>
        <v>438118</v>
      </c>
      <c r="H99" s="99">
        <f>G99+'30'!H147</f>
        <v>437770.48</v>
      </c>
      <c r="I99" s="168"/>
      <c r="J99" s="175">
        <f>H99/DAY(B2)</f>
        <v>14121.628387096773</v>
      </c>
      <c r="K99" s="69"/>
      <c r="L99" s="66"/>
      <c r="O99" s="71"/>
    </row>
    <row r="100" spans="1:15" ht="33" customHeight="1" x14ac:dyDescent="0.5">
      <c r="A100" s="884" t="s">
        <v>245</v>
      </c>
      <c r="B100" s="885"/>
      <c r="C100" s="886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 x14ac:dyDescent="0.5">
      <c r="A101" s="884" t="s">
        <v>246</v>
      </c>
      <c r="B101" s="885"/>
      <c r="C101" s="886"/>
      <c r="D101" s="151" t="s">
        <v>180</v>
      </c>
      <c r="E101" s="95"/>
      <c r="F101" s="95"/>
      <c r="G101" s="99">
        <f>G39+G53</f>
        <v>541274</v>
      </c>
      <c r="H101" s="99">
        <f>G101+'30'!H149</f>
        <v>540874.80000000005</v>
      </c>
      <c r="I101" s="118"/>
      <c r="J101" s="175">
        <f>H101/DAY(B2)</f>
        <v>17447.574193548389</v>
      </c>
      <c r="K101" s="70"/>
      <c r="O101" s="71"/>
    </row>
    <row r="102" spans="1:15" ht="33" customHeight="1" x14ac:dyDescent="0.5">
      <c r="A102" s="884" t="s">
        <v>247</v>
      </c>
      <c r="B102" s="885"/>
      <c r="C102" s="886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 x14ac:dyDescent="0.5">
      <c r="A103" s="884" t="s">
        <v>248</v>
      </c>
      <c r="B103" s="885"/>
      <c r="C103" s="886"/>
      <c r="D103" s="151" t="s">
        <v>180</v>
      </c>
      <c r="E103" s="95"/>
      <c r="F103" s="95"/>
      <c r="G103" s="99">
        <f>G37+G51</f>
        <v>552650</v>
      </c>
      <c r="H103" s="99">
        <f>G103+'30'!H156</f>
        <v>554226</v>
      </c>
      <c r="I103" s="168"/>
      <c r="J103" s="175">
        <f>H103/DAY(B2)</f>
        <v>17878.258064516129</v>
      </c>
      <c r="O103" s="71"/>
    </row>
    <row r="104" spans="1:15" ht="33" customHeight="1" x14ac:dyDescent="0.5">
      <c r="A104" s="884" t="s">
        <v>249</v>
      </c>
      <c r="B104" s="885"/>
      <c r="C104" s="886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 x14ac:dyDescent="0.5">
      <c r="A105" s="884" t="s">
        <v>250</v>
      </c>
      <c r="B105" s="885"/>
      <c r="C105" s="886"/>
      <c r="D105" s="151" t="s">
        <v>180</v>
      </c>
      <c r="E105" s="95"/>
      <c r="F105" s="95"/>
      <c r="G105" s="99">
        <f>G38+G52</f>
        <v>145803</v>
      </c>
      <c r="H105" s="99">
        <f>G105+'30'!H161</f>
        <v>145760.44</v>
      </c>
      <c r="I105" s="118"/>
      <c r="J105" s="175">
        <f>H105/DAY(B2)</f>
        <v>4701.9496774193549</v>
      </c>
      <c r="O105" s="71"/>
    </row>
    <row r="106" spans="1:15" ht="33" customHeight="1" thickBot="1" x14ac:dyDescent="0.55000000000000004">
      <c r="A106" s="877" t="s">
        <v>251</v>
      </c>
      <c r="B106" s="878"/>
      <c r="C106" s="879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 x14ac:dyDescent="0.5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 x14ac:dyDescent="0.55000000000000004">
      <c r="A109" s="873" t="s">
        <v>324</v>
      </c>
      <c r="B109" s="873"/>
      <c r="C109" s="873"/>
      <c r="D109" s="873"/>
      <c r="E109" s="873"/>
      <c r="F109" s="873"/>
      <c r="G109" s="873"/>
      <c r="H109" s="873"/>
      <c r="I109" s="873"/>
      <c r="J109" s="873"/>
    </row>
    <row r="110" spans="1:15" ht="33" customHeight="1" x14ac:dyDescent="0.5">
      <c r="A110" s="901"/>
      <c r="B110" s="901"/>
    </row>
    <row r="111" spans="1:15" ht="33" customHeight="1" x14ac:dyDescent="0.5">
      <c r="A111" s="874" t="s">
        <v>165</v>
      </c>
      <c r="B111" s="875"/>
      <c r="C111" s="875"/>
      <c r="D111" s="875"/>
      <c r="E111" s="875"/>
      <c r="F111" s="875"/>
      <c r="G111" s="875"/>
      <c r="H111" s="875"/>
      <c r="I111" s="875"/>
      <c r="J111" s="876"/>
    </row>
    <row r="112" spans="1:15" ht="33" customHeight="1" x14ac:dyDescent="0.5">
      <c r="A112" s="867"/>
      <c r="B112" s="868"/>
      <c r="C112" s="869"/>
      <c r="D112" s="165"/>
      <c r="E112" s="165"/>
      <c r="F112" s="165"/>
      <c r="G112" s="165"/>
      <c r="H112" s="156"/>
      <c r="I112" s="165"/>
      <c r="J112" s="327"/>
    </row>
    <row r="113" spans="1:18" ht="33" customHeight="1" x14ac:dyDescent="0.5">
      <c r="A113" s="863" t="s">
        <v>252</v>
      </c>
      <c r="B113" s="864"/>
      <c r="C113" s="865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 x14ac:dyDescent="0.5">
      <c r="A114" s="863" t="s">
        <v>253</v>
      </c>
      <c r="B114" s="864"/>
      <c r="C114" s="865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 x14ac:dyDescent="0.5">
      <c r="A115" s="863" t="s">
        <v>254</v>
      </c>
      <c r="B115" s="864"/>
      <c r="C115" s="865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 x14ac:dyDescent="0.5">
      <c r="A116" s="863" t="s">
        <v>255</v>
      </c>
      <c r="B116" s="864"/>
      <c r="C116" s="865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 x14ac:dyDescent="0.5">
      <c r="A117" s="870" t="s">
        <v>96</v>
      </c>
      <c r="B117" s="871"/>
      <c r="C117" s="872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44933</v>
      </c>
      <c r="I117" s="165"/>
      <c r="J117" s="328" t="e">
        <f t="shared" si="9"/>
        <v>#DIV/0!</v>
      </c>
      <c r="Q117" s="863" t="s">
        <v>311</v>
      </c>
      <c r="R117" s="865"/>
    </row>
    <row r="118" spans="1:18" ht="33" customHeight="1" x14ac:dyDescent="0.5">
      <c r="A118" s="870" t="s">
        <v>184</v>
      </c>
      <c r="B118" s="871"/>
      <c r="C118" s="872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45295</v>
      </c>
      <c r="I118" s="165"/>
      <c r="J118" s="328" t="e">
        <f t="shared" si="9"/>
        <v>#DIV/0!</v>
      </c>
      <c r="Q118" s="863" t="s">
        <v>312</v>
      </c>
      <c r="R118" s="865"/>
    </row>
    <row r="119" spans="1:18" ht="33" customHeight="1" x14ac:dyDescent="0.5">
      <c r="A119" s="862" t="s">
        <v>97</v>
      </c>
      <c r="B119" s="862"/>
      <c r="C119" s="862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44923</v>
      </c>
      <c r="I119" s="165"/>
      <c r="J119" s="328" t="e">
        <f t="shared" si="9"/>
        <v>#DIV/0!</v>
      </c>
      <c r="Q119" s="863" t="s">
        <v>311</v>
      </c>
      <c r="R119" s="865"/>
    </row>
    <row r="120" spans="1:18" ht="33" customHeight="1" x14ac:dyDescent="0.5">
      <c r="A120" s="862" t="s">
        <v>98</v>
      </c>
      <c r="B120" s="862"/>
      <c r="C120" s="862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45285</v>
      </c>
      <c r="I120" s="165"/>
      <c r="J120" s="328" t="e">
        <f t="shared" si="9"/>
        <v>#DIV/0!</v>
      </c>
    </row>
    <row r="121" spans="1:18" ht="33" customHeight="1" x14ac:dyDescent="0.5">
      <c r="A121" s="862" t="s">
        <v>99</v>
      </c>
      <c r="B121" s="862"/>
      <c r="C121" s="862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 x14ac:dyDescent="0.5">
      <c r="A122" s="862" t="s">
        <v>100</v>
      </c>
      <c r="B122" s="862"/>
      <c r="C122" s="862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44824</v>
      </c>
      <c r="I122" s="165"/>
      <c r="J122" s="328" t="e">
        <f t="shared" si="9"/>
        <v>#DIV/0!</v>
      </c>
    </row>
    <row r="123" spans="1:18" ht="33" customHeight="1" x14ac:dyDescent="0.5">
      <c r="A123" s="862" t="s">
        <v>101</v>
      </c>
      <c r="B123" s="862"/>
      <c r="C123" s="862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44884</v>
      </c>
      <c r="I123" s="165"/>
      <c r="J123" s="328" t="e">
        <f t="shared" si="9"/>
        <v>#DIV/0!</v>
      </c>
    </row>
    <row r="124" spans="1:18" ht="33" customHeight="1" x14ac:dyDescent="0.5">
      <c r="A124" s="862" t="s">
        <v>102</v>
      </c>
      <c r="B124" s="862"/>
      <c r="C124" s="862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44924</v>
      </c>
      <c r="I124" s="165"/>
      <c r="J124" s="328" t="e">
        <f t="shared" si="9"/>
        <v>#DIV/0!</v>
      </c>
    </row>
    <row r="125" spans="1:18" ht="33" customHeight="1" x14ac:dyDescent="0.5">
      <c r="A125" s="867"/>
      <c r="B125" s="868"/>
      <c r="C125" s="869"/>
      <c r="D125" s="165"/>
      <c r="E125" s="165"/>
      <c r="F125" s="165"/>
      <c r="G125" s="327"/>
      <c r="H125" s="156"/>
      <c r="I125" s="165"/>
      <c r="J125" s="327"/>
    </row>
    <row r="126" spans="1:18" ht="33" customHeight="1" x14ac:dyDescent="0.5">
      <c r="A126" s="852"/>
      <c r="B126" s="852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 x14ac:dyDescent="0.5">
      <c r="A127" s="866" t="s">
        <v>317</v>
      </c>
      <c r="B127" s="866"/>
      <c r="C127" s="866"/>
      <c r="D127" s="866"/>
      <c r="E127" s="866"/>
      <c r="F127" s="866"/>
      <c r="G127" s="866"/>
      <c r="H127" s="866"/>
      <c r="I127" s="866"/>
      <c r="J127" s="866"/>
    </row>
    <row r="128" spans="1:18" ht="33" customHeight="1" x14ac:dyDescent="0.5">
      <c r="A128" s="852"/>
      <c r="B128" s="852"/>
      <c r="C128" s="245"/>
      <c r="D128" s="307"/>
      <c r="E128" s="308"/>
      <c r="F128" s="308"/>
      <c r="G128" s="309"/>
      <c r="H128" s="99">
        <f>G128+'30'!H184</f>
        <v>-7</v>
      </c>
      <c r="I128" s="165"/>
      <c r="J128" s="328" t="e">
        <f t="shared" ref="J128:J136" si="10">H128/DAY(B47)</f>
        <v>#DIV/0!</v>
      </c>
    </row>
    <row r="129" spans="1:15" ht="33" customHeight="1" x14ac:dyDescent="0.5">
      <c r="A129" s="863" t="s">
        <v>318</v>
      </c>
      <c r="B129" s="864"/>
      <c r="C129" s="865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 x14ac:dyDescent="0.5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-18</v>
      </c>
      <c r="I130" s="165"/>
      <c r="J130" s="328" t="e">
        <f t="shared" si="10"/>
        <v>#DIV/0!</v>
      </c>
      <c r="N130" s="240"/>
      <c r="O130" s="241"/>
    </row>
    <row r="131" spans="1:15" ht="33" customHeight="1" x14ac:dyDescent="0.5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-139</v>
      </c>
      <c r="I131" s="165"/>
      <c r="J131" s="328" t="e">
        <f t="shared" si="10"/>
        <v>#DIV/0!</v>
      </c>
      <c r="N131" s="240"/>
      <c r="O131" s="241"/>
    </row>
    <row r="132" spans="1:15" ht="33" customHeight="1" x14ac:dyDescent="0.5">
      <c r="A132" s="863" t="s">
        <v>321</v>
      </c>
      <c r="B132" s="864"/>
      <c r="C132" s="865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2223</v>
      </c>
      <c r="I132" s="165"/>
      <c r="J132" s="328" t="e">
        <f t="shared" si="10"/>
        <v>#DIV/0!</v>
      </c>
      <c r="N132" s="240"/>
      <c r="O132" s="241"/>
    </row>
    <row r="133" spans="1:15" ht="33" customHeight="1" x14ac:dyDescent="0.5">
      <c r="A133" s="863" t="s">
        <v>322</v>
      </c>
      <c r="B133" s="864"/>
      <c r="C133" s="865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1057</v>
      </c>
      <c r="I133" s="165"/>
      <c r="J133" s="328" t="e">
        <f t="shared" si="10"/>
        <v>#DIV/0!</v>
      </c>
    </row>
    <row r="134" spans="1:15" ht="33" customHeight="1" x14ac:dyDescent="0.5">
      <c r="A134" s="863" t="s">
        <v>323</v>
      </c>
      <c r="B134" s="864"/>
      <c r="C134" s="865"/>
      <c r="D134" s="151" t="s">
        <v>183</v>
      </c>
      <c r="E134" s="95">
        <f>'30'!F190</f>
        <v>52948.703000000001</v>
      </c>
      <c r="F134" s="165"/>
      <c r="G134" s="112">
        <f t="shared" si="11"/>
        <v>-52948.703000000001</v>
      </c>
      <c r="H134" s="99">
        <f>G134+'30'!H190</f>
        <v>-52948.703000000001</v>
      </c>
      <c r="I134" s="165"/>
      <c r="J134" s="328" t="e">
        <f t="shared" si="10"/>
        <v>#DIV/0!</v>
      </c>
    </row>
    <row r="135" spans="1:15" ht="33" customHeight="1" x14ac:dyDescent="0.5">
      <c r="A135" s="867"/>
      <c r="B135" s="868"/>
      <c r="C135" s="869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 x14ac:dyDescent="0.5">
      <c r="A136" s="867"/>
      <c r="B136" s="868"/>
      <c r="C136" s="869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 x14ac:dyDescent="0.55000000000000004">
      <c r="A137" s="851" t="s">
        <v>325</v>
      </c>
      <c r="B137" s="851"/>
      <c r="C137" s="851"/>
      <c r="D137" s="851"/>
      <c r="E137" s="851"/>
      <c r="F137" s="851"/>
      <c r="G137" s="851"/>
      <c r="H137" s="851"/>
      <c r="I137" s="851"/>
      <c r="J137" s="851"/>
    </row>
    <row r="138" spans="1:15" ht="33" customHeight="1" x14ac:dyDescent="0.5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 x14ac:dyDescent="0.5">
      <c r="A139" s="862" t="s">
        <v>185</v>
      </c>
      <c r="B139" s="862"/>
      <c r="C139" s="862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 x14ac:dyDescent="0.5">
      <c r="A140" s="862" t="s">
        <v>186</v>
      </c>
      <c r="B140" s="862"/>
      <c r="C140" s="862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 x14ac:dyDescent="0.5">
      <c r="A141" s="862" t="s">
        <v>187</v>
      </c>
      <c r="B141" s="862"/>
      <c r="C141" s="862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 x14ac:dyDescent="0.5">
      <c r="A142" s="843" t="s">
        <v>188</v>
      </c>
      <c r="B142" s="843"/>
      <c r="C142" s="843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 x14ac:dyDescent="0.5">
      <c r="A143" s="843" t="s">
        <v>189</v>
      </c>
      <c r="B143" s="843"/>
      <c r="C143" s="843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 x14ac:dyDescent="0.5">
      <c r="A144" s="862" t="s">
        <v>190</v>
      </c>
      <c r="B144" s="862"/>
      <c r="C144" s="862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 x14ac:dyDescent="0.5">
      <c r="A145" s="897" t="s">
        <v>191</v>
      </c>
      <c r="B145" s="882"/>
      <c r="C145" s="883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 x14ac:dyDescent="0.5">
      <c r="A146" s="843" t="s">
        <v>90</v>
      </c>
      <c r="B146" s="843"/>
      <c r="C146" s="843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 x14ac:dyDescent="0.5">
      <c r="A147" s="843" t="s">
        <v>192</v>
      </c>
      <c r="B147" s="843"/>
      <c r="C147" s="843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 x14ac:dyDescent="0.5">
      <c r="A148" s="843" t="s">
        <v>193</v>
      </c>
      <c r="B148" s="843"/>
      <c r="C148" s="843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 x14ac:dyDescent="0.5">
      <c r="A149" s="843" t="s">
        <v>91</v>
      </c>
      <c r="B149" s="843"/>
      <c r="C149" s="843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 x14ac:dyDescent="0.5">
      <c r="A150" s="843" t="s">
        <v>194</v>
      </c>
      <c r="B150" s="843"/>
      <c r="C150" s="843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 x14ac:dyDescent="0.5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 x14ac:dyDescent="0.55000000000000004">
      <c r="A153" s="851" t="s">
        <v>326</v>
      </c>
      <c r="B153" s="851"/>
      <c r="C153" s="851"/>
      <c r="D153" s="851"/>
      <c r="E153" s="851"/>
      <c r="F153" s="851"/>
      <c r="G153" s="851"/>
      <c r="H153" s="851"/>
      <c r="I153" s="851"/>
      <c r="J153" s="851"/>
    </row>
    <row r="154" spans="1:10" ht="33" customHeight="1" x14ac:dyDescent="0.5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 x14ac:dyDescent="0.5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 x14ac:dyDescent="0.5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 x14ac:dyDescent="0.5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 x14ac:dyDescent="0.5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 x14ac:dyDescent="0.5">
      <c r="A159" s="852" t="s">
        <v>328</v>
      </c>
      <c r="B159" s="852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 x14ac:dyDescent="0.5">
      <c r="A160" s="852" t="s">
        <v>327</v>
      </c>
      <c r="B160" s="852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 x14ac:dyDescent="0.5">
      <c r="A161" s="852" t="s">
        <v>328</v>
      </c>
      <c r="B161" s="852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 x14ac:dyDescent="0.35">
      <c r="A164" s="853" t="s">
        <v>330</v>
      </c>
      <c r="B164" s="854"/>
      <c r="C164" s="854"/>
      <c r="D164" s="854"/>
      <c r="E164" s="854"/>
      <c r="F164" s="854"/>
      <c r="G164" s="854"/>
      <c r="H164" s="854"/>
      <c r="I164" s="854"/>
      <c r="J164" s="855"/>
    </row>
    <row r="165" spans="1:10" ht="33" customHeight="1" x14ac:dyDescent="0.5">
      <c r="A165" s="860"/>
      <c r="B165" s="861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 x14ac:dyDescent="0.5">
      <c r="A166" s="856" t="s">
        <v>209</v>
      </c>
      <c r="B166" s="857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 x14ac:dyDescent="0.5">
      <c r="A167" s="856" t="s">
        <v>75</v>
      </c>
      <c r="B167" s="857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 x14ac:dyDescent="0.5">
      <c r="A168" s="856" t="s">
        <v>76</v>
      </c>
      <c r="B168" s="896"/>
      <c r="C168" s="857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 x14ac:dyDescent="0.5">
      <c r="A169" s="856" t="s">
        <v>196</v>
      </c>
      <c r="B169" s="857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 x14ac:dyDescent="0.5">
      <c r="A170" s="856" t="s">
        <v>77</v>
      </c>
      <c r="B170" s="857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 x14ac:dyDescent="0.5">
      <c r="A171" s="856" t="s">
        <v>210</v>
      </c>
      <c r="B171" s="857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 x14ac:dyDescent="0.5">
      <c r="A172" s="856" t="s">
        <v>211</v>
      </c>
      <c r="B172" s="857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 x14ac:dyDescent="0.5">
      <c r="A173" s="856" t="s">
        <v>212</v>
      </c>
      <c r="B173" s="857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 x14ac:dyDescent="0.5">
      <c r="A174" s="849" t="s">
        <v>108</v>
      </c>
      <c r="B174" s="850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 x14ac:dyDescent="0.5">
      <c r="A175" s="856" t="s">
        <v>213</v>
      </c>
      <c r="B175" s="857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 x14ac:dyDescent="0.5">
      <c r="A176" s="856" t="s">
        <v>214</v>
      </c>
      <c r="B176" s="857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 x14ac:dyDescent="0.5">
      <c r="A177" s="856" t="s">
        <v>215</v>
      </c>
      <c r="B177" s="857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 x14ac:dyDescent="0.5">
      <c r="A178" s="856" t="s">
        <v>216</v>
      </c>
      <c r="B178" s="857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 x14ac:dyDescent="0.5">
      <c r="A179" s="856" t="s">
        <v>196</v>
      </c>
      <c r="B179" s="857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 x14ac:dyDescent="0.5">
      <c r="A180" s="849" t="s">
        <v>217</v>
      </c>
      <c r="B180" s="850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 x14ac:dyDescent="0.5">
      <c r="A181" s="849" t="s">
        <v>218</v>
      </c>
      <c r="B181" s="850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 x14ac:dyDescent="0.5">
      <c r="A182" s="849" t="s">
        <v>219</v>
      </c>
      <c r="B182" s="850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 x14ac:dyDescent="0.5">
      <c r="A183" s="849"/>
      <c r="B183" s="850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2021-08-31T02:26:59Z</cp:lastPrinted>
  <dcterms:created xsi:type="dcterms:W3CDTF">2013-11-14T06:06:34Z</dcterms:created>
  <dcterms:modified xsi:type="dcterms:W3CDTF">2022-02-14T09:16:40Z</dcterms:modified>
</cp:coreProperties>
</file>