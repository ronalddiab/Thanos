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ABACB96-8BE7-4DFC-BA44-FBF2271F50C4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3" l="1"/>
  <c r="O31" i="3"/>
  <c r="M31" i="3"/>
  <c r="K31" i="3"/>
  <c r="I31" i="3"/>
  <c r="Y26" i="2"/>
  <c r="AB31" i="2"/>
  <c r="Y31" i="2"/>
  <c r="W31" i="2"/>
  <c r="N31" i="2"/>
  <c r="G31" i="2"/>
  <c r="E31" i="2"/>
  <c r="C31" i="2"/>
  <c r="H31" i="2" s="1"/>
  <c r="I31" i="2" s="1"/>
  <c r="J31" i="2" s="1"/>
  <c r="N32" i="2"/>
  <c r="Y30" i="2"/>
  <c r="E31" i="3" l="1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W30" i="2"/>
  <c r="W29" i="2"/>
  <c r="N30" i="2"/>
  <c r="C30" i="2"/>
  <c r="S31" i="2"/>
  <c r="K31" i="2"/>
  <c r="W28" i="2" l="1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U31" i="2" s="1"/>
  <c r="G31" i="3" s="1"/>
  <c r="S30" i="2"/>
  <c r="U30" i="2" s="1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3" i="2"/>
  <c r="H4" i="2"/>
  <c r="I4" i="2" s="1"/>
  <c r="I8" i="2"/>
  <c r="I12" i="2"/>
  <c r="C33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<sst xmlns="http://schemas.openxmlformats.org/spreadsheetml/2006/main" count="76" uniqueCount="40">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</sst>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1"/>
  <sheetViews>
    <sheetView tabSelected="1" topLeftCell="A9" workbookViewId="0">
      <selection activeCell="D37" sqref="D37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11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11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11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11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11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11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11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11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11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11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5871</v>
      </c>
      <c r="F11" s="110">
        <f>('November 2025'!C11*0.27)/('November 2025'!C11+'November 2025'!E11)</f>
        <v>0.23583035258048035</v>
      </c>
      <c r="G11" s="97">
        <f>'November 2025'!U11</f>
        <v>164</v>
      </c>
      <c r="H11" s="113">
        <v>0.62</v>
      </c>
      <c r="I11" s="98">
        <f>'November 2025'!W11</f>
        <v>115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7000</v>
      </c>
      <c r="N11" s="119">
        <v>0.88</v>
      </c>
      <c r="O11" s="100">
        <f>'November 2025'!AC11</f>
        <v>221</v>
      </c>
      <c r="P11" s="100">
        <f>'November 2025'!AD11</f>
        <v>409</v>
      </c>
    </row>
    <row r="12" spans="1:16" ht="15" x14ac:dyDescent="0.25">
      <c r="A12" s="95" t="s">
        <v>37</v>
      </c>
      <c r="B12" s="5">
        <f t="shared" si="0"/>
        <v>11</v>
      </c>
      <c r="C12" s="122">
        <v>11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6041</v>
      </c>
      <c r="F12" s="110">
        <f>('November 2025'!C12*0.27)/('November 2025'!C12+'November 2025'!E12)</f>
        <v>0.23554047343155107</v>
      </c>
      <c r="G12" s="97">
        <f>'November 2025'!U12</f>
        <v>125</v>
      </c>
      <c r="H12" s="113">
        <v>0.62</v>
      </c>
      <c r="I12" s="98">
        <f>'November 2025'!W12</f>
        <v>113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219</v>
      </c>
      <c r="P12" s="100">
        <f>'November 2025'!AD12</f>
        <v>391</v>
      </c>
    </row>
    <row r="13" spans="1:16" ht="15" x14ac:dyDescent="0.25">
      <c r="A13" s="95" t="s">
        <v>37</v>
      </c>
      <c r="B13" s="5">
        <f t="shared" si="0"/>
        <v>12</v>
      </c>
      <c r="C13" s="122">
        <v>11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5943</v>
      </c>
      <c r="F13" s="110">
        <f>('November 2025'!C13*0.27)/('November 2025'!C13+'November 2025'!E13)</f>
        <v>0.24696617869762746</v>
      </c>
      <c r="G13" s="97">
        <f>'November 2025'!U13</f>
        <v>85</v>
      </c>
      <c r="H13" s="113">
        <v>0.62</v>
      </c>
      <c r="I13" s="98">
        <f>'November 2025'!W13</f>
        <v>111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231</v>
      </c>
      <c r="P13" s="100">
        <f>'November 2025'!AD13</f>
        <v>397</v>
      </c>
    </row>
    <row r="14" spans="1:16" ht="15" x14ac:dyDescent="0.25">
      <c r="A14" s="95" t="s">
        <v>37</v>
      </c>
      <c r="B14" s="5">
        <f t="shared" si="0"/>
        <v>13</v>
      </c>
      <c r="C14" s="122">
        <v>11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5721</v>
      </c>
      <c r="F14" s="110">
        <f>('November 2025'!C14*0.27)/('November 2025'!C14+'November 2025'!E14)</f>
        <v>0.2515469323544835</v>
      </c>
      <c r="G14" s="97">
        <f>'November 2025'!U14</f>
        <v>200</v>
      </c>
      <c r="H14" s="113">
        <v>0.62</v>
      </c>
      <c r="I14" s="98">
        <f>'November 2025'!W14</f>
        <v>106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214</v>
      </c>
      <c r="P14" s="100">
        <f>'November 2025'!AD14</f>
        <v>376</v>
      </c>
    </row>
    <row r="15" spans="1:16" ht="15" x14ac:dyDescent="0.25">
      <c r="A15" s="95" t="s">
        <v>37</v>
      </c>
      <c r="B15" s="5">
        <f t="shared" si="0"/>
        <v>14</v>
      </c>
      <c r="C15" s="122">
        <v>11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5813</v>
      </c>
      <c r="F15" s="110">
        <f>('November 2025'!C15*0.27)/('November 2025'!C15+'November 2025'!E15)</f>
        <v>0.24422157233786343</v>
      </c>
      <c r="G15" s="97">
        <f>'November 2025'!U15</f>
        <v>95</v>
      </c>
      <c r="H15" s="113">
        <v>0.62</v>
      </c>
      <c r="I15" s="98">
        <f>'November 2025'!W15</f>
        <v>113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207</v>
      </c>
      <c r="P15" s="100">
        <f>'November 2025'!AD15</f>
        <v>378</v>
      </c>
    </row>
    <row r="16" spans="1:16" ht="15" x14ac:dyDescent="0.25">
      <c r="A16" s="95" t="s">
        <v>37</v>
      </c>
      <c r="B16" s="5">
        <f t="shared" si="0"/>
        <v>15</v>
      </c>
      <c r="C16" s="122">
        <v>11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5859</v>
      </c>
      <c r="F16" s="110">
        <f>('November 2025'!C16*0.27)/('November 2025'!C16+'November 2025'!E16)</f>
        <v>0.23244239631336408</v>
      </c>
      <c r="G16" s="97">
        <f>'November 2025'!U16</f>
        <v>95</v>
      </c>
      <c r="H16" s="113">
        <v>0.62</v>
      </c>
      <c r="I16" s="98">
        <f>'November 2025'!W16</f>
        <v>99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222</v>
      </c>
      <c r="P16" s="100">
        <f>'November 2025'!AD16</f>
        <v>407</v>
      </c>
    </row>
    <row r="17" spans="1:16" ht="15" x14ac:dyDescent="0.25">
      <c r="A17" s="95" t="s">
        <v>37</v>
      </c>
      <c r="B17" s="5">
        <f t="shared" si="0"/>
        <v>16</v>
      </c>
      <c r="C17" s="122">
        <v>11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2489</v>
      </c>
      <c r="F17" s="110">
        <f>('November 2025'!C17*0.27)/('November 2025'!C17+'November 2025'!E17)</f>
        <v>0.18484531940538371</v>
      </c>
      <c r="G17" s="97">
        <f>'November 2025'!U17</f>
        <v>80</v>
      </c>
      <c r="H17" s="113">
        <v>0.62</v>
      </c>
      <c r="I17" s="98">
        <f>'November 2025'!W17</f>
        <v>113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190</v>
      </c>
      <c r="P17" s="100">
        <f>'November 2025'!AD17</f>
        <v>327</v>
      </c>
    </row>
    <row r="18" spans="1:16" ht="15" x14ac:dyDescent="0.25">
      <c r="A18" s="95" t="s">
        <v>37</v>
      </c>
      <c r="B18" s="5">
        <f t="shared" si="0"/>
        <v>17</v>
      </c>
      <c r="C18" s="122">
        <v>11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8264</v>
      </c>
      <c r="F18" s="110">
        <f>('November 2025'!C18*0.27)/('November 2025'!C18+'November 2025'!E18)</f>
        <v>0.24690101645692161</v>
      </c>
      <c r="G18" s="97">
        <f>'November 2025'!U18</f>
        <v>178</v>
      </c>
      <c r="H18" s="113">
        <v>0.62</v>
      </c>
      <c r="I18" s="98">
        <f>'November 2025'!W18</f>
        <v>88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182</v>
      </c>
      <c r="P18" s="100">
        <f>'November 2025'!AD18</f>
        <v>309</v>
      </c>
    </row>
    <row r="19" spans="1:16" ht="15" x14ac:dyDescent="0.25">
      <c r="A19" s="95" t="s">
        <v>37</v>
      </c>
      <c r="B19" s="5">
        <f t="shared" si="0"/>
        <v>18</v>
      </c>
      <c r="C19" s="122">
        <v>11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5281</v>
      </c>
      <c r="F19" s="110">
        <f>('November 2025'!C19*0.27)/('November 2025'!C19+'November 2025'!E19)</f>
        <v>0.244590039765196</v>
      </c>
      <c r="G19" s="97">
        <f>'November 2025'!U19</f>
        <v>95</v>
      </c>
      <c r="H19" s="113">
        <v>0.62</v>
      </c>
      <c r="I19" s="98">
        <f>'November 2025'!W19</f>
        <v>106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175</v>
      </c>
      <c r="P19" s="100">
        <f>'November 2025'!AD19</f>
        <v>301</v>
      </c>
    </row>
    <row r="20" spans="1:16" ht="15" x14ac:dyDescent="0.25">
      <c r="A20" s="95" t="s">
        <v>37</v>
      </c>
      <c r="B20" s="5">
        <f t="shared" si="0"/>
        <v>19</v>
      </c>
      <c r="C20" s="122">
        <v>11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5454</v>
      </c>
      <c r="F20" s="110">
        <f>('November 2025'!C20*0.27)/('November 2025'!C20+'November 2025'!E20)</f>
        <v>0.23356435643564358</v>
      </c>
      <c r="G20" s="97">
        <f>'November 2025'!U20</f>
        <v>125</v>
      </c>
      <c r="H20" s="113">
        <v>0.62</v>
      </c>
      <c r="I20" s="98">
        <f>'November 2025'!W20</f>
        <v>91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143</v>
      </c>
      <c r="P20" s="100">
        <f>'November 2025'!AD20</f>
        <v>241</v>
      </c>
    </row>
    <row r="21" spans="1:16" ht="15" x14ac:dyDescent="0.25">
      <c r="A21" s="95" t="s">
        <v>37</v>
      </c>
      <c r="B21" s="5">
        <f t="shared" si="0"/>
        <v>20</v>
      </c>
      <c r="C21" s="122">
        <v>11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5465</v>
      </c>
      <c r="F21" s="110">
        <f>('November 2025'!C21*0.27)/('November 2025'!C21+'November 2025'!E21)</f>
        <v>0.23423055809698082</v>
      </c>
      <c r="G21" s="97">
        <f>'November 2025'!U21</f>
        <v>180</v>
      </c>
      <c r="H21" s="113">
        <v>0.62</v>
      </c>
      <c r="I21" s="98">
        <f>'November 2025'!W21</f>
        <v>112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168</v>
      </c>
      <c r="P21" s="100">
        <f>'November 2025'!AD21</f>
        <v>268</v>
      </c>
    </row>
    <row r="22" spans="1:16" ht="15" x14ac:dyDescent="0.25">
      <c r="A22" s="95" t="s">
        <v>37</v>
      </c>
      <c r="B22" s="5">
        <f t="shared" si="0"/>
        <v>21</v>
      </c>
      <c r="C22" s="122">
        <v>11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5424</v>
      </c>
      <c r="F22" s="110">
        <f>('November 2025'!C22*0.27)/('November 2025'!C22+'November 2025'!E22)</f>
        <v>0.23470685840707967</v>
      </c>
      <c r="G22" s="97">
        <f>'November 2025'!U22</f>
        <v>25</v>
      </c>
      <c r="H22" s="113">
        <v>0.62</v>
      </c>
      <c r="I22" s="98">
        <f>'November 2025'!W22</f>
        <v>87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138</v>
      </c>
      <c r="P22" s="100">
        <f>'November 2025'!AD22</f>
        <v>234</v>
      </c>
    </row>
    <row r="23" spans="1:16" ht="15" x14ac:dyDescent="0.25">
      <c r="A23" s="95" t="s">
        <v>37</v>
      </c>
      <c r="B23" s="5">
        <f t="shared" si="0"/>
        <v>22</v>
      </c>
      <c r="C23" s="122">
        <v>11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5351</v>
      </c>
      <c r="F23" s="110">
        <f>('November 2025'!C23*0.27)/('November 2025'!C23+'November 2025'!E23)</f>
        <v>0.23790880209306675</v>
      </c>
      <c r="G23" s="97">
        <f>'November 2025'!U23</f>
        <v>75</v>
      </c>
      <c r="H23" s="113">
        <v>0.62</v>
      </c>
      <c r="I23" s="98">
        <f>'November 2025'!W23</f>
        <v>93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138</v>
      </c>
      <c r="P23" s="100">
        <f>'November 2025'!AD23</f>
        <v>239</v>
      </c>
    </row>
    <row r="24" spans="1:16" ht="15" x14ac:dyDescent="0.25">
      <c r="A24" s="95" t="s">
        <v>37</v>
      </c>
      <c r="B24" s="5">
        <f t="shared" si="0"/>
        <v>23</v>
      </c>
      <c r="C24" s="122">
        <v>11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5435</v>
      </c>
      <c r="F24" s="110">
        <f>('November 2025'!C24*0.27)/('November 2025'!C24+'November 2025'!E24)</f>
        <v>0.25792824287028521</v>
      </c>
      <c r="G24" s="97">
        <f>'November 2025'!U24</f>
        <v>75</v>
      </c>
      <c r="H24" s="113">
        <v>0.62</v>
      </c>
      <c r="I24" s="98">
        <f>'November 2025'!W24</f>
        <v>84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120</v>
      </c>
      <c r="P24" s="100">
        <f>'November 2025'!AD24</f>
        <v>206</v>
      </c>
    </row>
    <row r="25" spans="1:16" ht="15" x14ac:dyDescent="0.25">
      <c r="A25" s="95" t="s">
        <v>37</v>
      </c>
      <c r="B25" s="5">
        <f t="shared" si="0"/>
        <v>24</v>
      </c>
      <c r="C25" s="122">
        <v>11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5180</v>
      </c>
      <c r="F25" s="110">
        <f>('November 2025'!C25*0.27)/('November 2025'!C25+'November 2025'!E25)</f>
        <v>0.24633590733590732</v>
      </c>
      <c r="G25" s="97">
        <f>'November 2025'!U25</f>
        <v>84</v>
      </c>
      <c r="H25" s="113">
        <v>0.62</v>
      </c>
      <c r="I25" s="98">
        <f>'November 2025'!W25</f>
        <v>88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110</v>
      </c>
      <c r="P25" s="100">
        <f>'November 2025'!AD25</f>
        <v>184</v>
      </c>
    </row>
    <row r="26" spans="1:16" ht="15" x14ac:dyDescent="0.25">
      <c r="A26" s="95" t="s">
        <v>37</v>
      </c>
      <c r="B26" s="5">
        <f>B25+1</f>
        <v>25</v>
      </c>
      <c r="C26" s="122">
        <v>11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4986</v>
      </c>
      <c r="F26" s="110">
        <f>('November 2025'!C26*0.27)/('November 2025'!C26+'November 2025'!E26)</f>
        <v>0.2460649819494585</v>
      </c>
      <c r="G26" s="97">
        <f>'November 2025'!U26</f>
        <v>120</v>
      </c>
      <c r="H26" s="113">
        <v>0.62</v>
      </c>
      <c r="I26" s="98">
        <f>'November 2025'!W26</f>
        <v>67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7000</v>
      </c>
      <c r="N26" s="119">
        <v>0.88</v>
      </c>
      <c r="O26" s="100">
        <f>'November 2025'!AC26</f>
        <v>105</v>
      </c>
      <c r="P26" s="100">
        <f>'November 2025'!AD26</f>
        <v>168</v>
      </c>
    </row>
    <row r="27" spans="1:16" ht="15" x14ac:dyDescent="0.25">
      <c r="A27" s="95" t="s">
        <v>37</v>
      </c>
      <c r="B27" s="5">
        <f t="shared" si="0"/>
        <v>26</v>
      </c>
      <c r="C27" s="122">
        <v>11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4921</v>
      </c>
      <c r="F27" s="110">
        <f>('November 2025'!C27*0.27)/('November 2025'!C27+'November 2025'!E27)</f>
        <v>0.24168868116236539</v>
      </c>
      <c r="G27" s="97">
        <f>'November 2025'!U27</f>
        <v>100</v>
      </c>
      <c r="H27" s="113">
        <v>0.62</v>
      </c>
      <c r="I27" s="98">
        <f>'November 2025'!W27</f>
        <v>70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106</v>
      </c>
      <c r="P27" s="100">
        <f>'November 2025'!AD27</f>
        <v>168</v>
      </c>
    </row>
    <row r="28" spans="1:16" ht="15" x14ac:dyDescent="0.25">
      <c r="A28" s="95" t="s">
        <v>37</v>
      </c>
      <c r="B28" s="5">
        <f t="shared" si="0"/>
        <v>27</v>
      </c>
      <c r="C28" s="122">
        <v>11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4755</v>
      </c>
      <c r="F28" s="110">
        <f>('November 2025'!C28*0.27)/('November 2025'!C28+'November 2025'!E28)</f>
        <v>0.23099053627760255</v>
      </c>
      <c r="G28" s="97">
        <f>'November 2025'!U28</f>
        <v>125</v>
      </c>
      <c r="H28" s="113">
        <v>0.62</v>
      </c>
      <c r="I28" s="98">
        <f>'November 2025'!W28</f>
        <v>108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115</v>
      </c>
      <c r="P28" s="100">
        <f>'November 2025'!AD28</f>
        <v>203</v>
      </c>
    </row>
    <row r="29" spans="1:16" ht="15" x14ac:dyDescent="0.25">
      <c r="A29" s="95" t="s">
        <v>37</v>
      </c>
      <c r="B29" s="5">
        <f t="shared" si="0"/>
        <v>28</v>
      </c>
      <c r="C29" s="122">
        <v>11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4810</v>
      </c>
      <c r="F29" s="110">
        <f>('November 2025'!C29*0.27)/('November 2025'!C29+'November 2025'!E29)</f>
        <v>0.25753846153846155</v>
      </c>
      <c r="G29" s="97">
        <f>'November 2025'!U29</f>
        <v>25</v>
      </c>
      <c r="H29" s="113">
        <v>0.62</v>
      </c>
      <c r="I29" s="98">
        <f>'November 2025'!W29</f>
        <v>71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119</v>
      </c>
      <c r="P29" s="100">
        <f>'November 2025'!AD29</f>
        <v>214</v>
      </c>
    </row>
    <row r="30" spans="1:16" ht="15" x14ac:dyDescent="0.25">
      <c r="A30" s="95" t="s">
        <v>37</v>
      </c>
      <c r="B30" s="5">
        <f t="shared" si="0"/>
        <v>29</v>
      </c>
      <c r="C30" s="122">
        <v>11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4434</v>
      </c>
      <c r="F30" s="110">
        <f>('November 2025'!C30*0.27)/('November 2025'!C30+'November 2025'!E30)</f>
        <v>0.23864005412719894</v>
      </c>
      <c r="G30" s="97">
        <f>'November 2025'!U30</f>
        <v>50</v>
      </c>
      <c r="H30" s="113">
        <v>0.62</v>
      </c>
      <c r="I30" s="98">
        <f>'November 2025'!W30</f>
        <v>70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92</v>
      </c>
      <c r="P30" s="100">
        <f>'November 2025'!AD30</f>
        <v>161</v>
      </c>
    </row>
    <row r="31" spans="1:16" ht="15" x14ac:dyDescent="0.25">
      <c r="A31" s="95" t="s">
        <v>37</v>
      </c>
      <c r="B31" s="5">
        <f t="shared" si="0"/>
        <v>30</v>
      </c>
      <c r="C31" s="122">
        <v>11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4224</v>
      </c>
      <c r="F31" s="110">
        <f>('November 2025'!C31*0.27)/('November 2025'!C31+'November 2025'!E31)</f>
        <v>0.24315340909090913</v>
      </c>
      <c r="G31" s="97">
        <f>'November 2025'!U31</f>
        <v>50</v>
      </c>
      <c r="H31" s="113">
        <v>0.62</v>
      </c>
      <c r="I31" s="98">
        <f>'November 2025'!W31</f>
        <v>58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51</v>
      </c>
      <c r="P31" s="100">
        <f>'November 2025'!AD31</f>
        <v>75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K41" s="106"/>
      <c r="L41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opLeftCell="F19" zoomScale="115" zoomScaleNormal="115" workbookViewId="0">
      <selection activeCell="D33" sqref="D3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-7306.9700000000084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>
        <f t="shared" si="2"/>
        <v>5128</v>
      </c>
      <c r="D11" s="11">
        <v>981999</v>
      </c>
      <c r="E11" s="14">
        <f t="shared" si="3"/>
        <v>743</v>
      </c>
      <c r="F11" s="27">
        <v>1704</v>
      </c>
      <c r="G11" s="67">
        <f t="shared" si="4"/>
        <v>0</v>
      </c>
      <c r="H11" s="69">
        <f t="shared" si="5"/>
        <v>5871</v>
      </c>
      <c r="I11" s="73">
        <f t="shared" si="6"/>
        <v>-47101.3</v>
      </c>
      <c r="J11" s="32">
        <f t="shared" si="0"/>
        <v>7168.7500000000073</v>
      </c>
      <c r="K11" s="20">
        <f t="shared" si="7"/>
        <v>45971</v>
      </c>
      <c r="L11" s="33">
        <v>915</v>
      </c>
      <c r="M11" s="31">
        <v>7000</v>
      </c>
      <c r="N11" s="32">
        <f t="shared" si="8"/>
        <v>289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>
        <v>269</v>
      </c>
      <c r="U11" s="32">
        <f t="shared" si="10"/>
        <v>164</v>
      </c>
      <c r="V11" s="41">
        <v>36219</v>
      </c>
      <c r="W11" s="32">
        <f t="shared" si="1"/>
        <v>115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221</v>
      </c>
      <c r="AD11" s="18">
        <v>409</v>
      </c>
    </row>
    <row r="12" spans="1:30" ht="21.4" customHeight="1" x14ac:dyDescent="0.2">
      <c r="A12" s="19">
        <v>45972</v>
      </c>
      <c r="B12" s="10">
        <v>1306075</v>
      </c>
      <c r="C12" s="14">
        <f t="shared" si="2"/>
        <v>5270</v>
      </c>
      <c r="D12" s="11">
        <v>982742</v>
      </c>
      <c r="E12" s="14">
        <f t="shared" si="3"/>
        <v>771</v>
      </c>
      <c r="F12" s="27">
        <v>1704</v>
      </c>
      <c r="G12" s="67">
        <f t="shared" si="4"/>
        <v>0</v>
      </c>
      <c r="H12" s="69">
        <f t="shared" si="5"/>
        <v>6041</v>
      </c>
      <c r="I12" s="73">
        <f t="shared" si="6"/>
        <v>-39932.549999999996</v>
      </c>
      <c r="J12" s="32">
        <f t="shared" si="0"/>
        <v>-98.930000000007567</v>
      </c>
      <c r="K12" s="20">
        <f t="shared" si="7"/>
        <v>45972</v>
      </c>
      <c r="L12" s="33">
        <v>7626</v>
      </c>
      <c r="M12" s="31">
        <v>0</v>
      </c>
      <c r="N12" s="32">
        <f t="shared" si="8"/>
        <v>307</v>
      </c>
      <c r="O12" s="85">
        <v>0.7</v>
      </c>
      <c r="P12" s="86">
        <v>0.7</v>
      </c>
      <c r="Q12" s="85">
        <v>0.85</v>
      </c>
      <c r="R12" s="86">
        <v>0.8</v>
      </c>
      <c r="S12" s="38">
        <f t="shared" si="9"/>
        <v>4325</v>
      </c>
      <c r="T12" s="123"/>
      <c r="U12" s="32">
        <f t="shared" si="10"/>
        <v>125</v>
      </c>
      <c r="V12" s="41">
        <v>36334</v>
      </c>
      <c r="W12" s="32">
        <f t="shared" si="1"/>
        <v>113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219</v>
      </c>
      <c r="AD12" s="18">
        <v>391</v>
      </c>
    </row>
    <row r="13" spans="1:30" ht="20.65" customHeight="1" x14ac:dyDescent="0.2">
      <c r="A13" s="19">
        <v>45973</v>
      </c>
      <c r="B13" s="10">
        <v>1311345</v>
      </c>
      <c r="C13" s="14">
        <f t="shared" si="2"/>
        <v>5436</v>
      </c>
      <c r="D13" s="11">
        <v>983513</v>
      </c>
      <c r="E13" s="14">
        <f t="shared" si="3"/>
        <v>507</v>
      </c>
      <c r="F13" s="27">
        <v>1704</v>
      </c>
      <c r="G13" s="67">
        <f t="shared" si="4"/>
        <v>0</v>
      </c>
      <c r="H13" s="69">
        <f t="shared" si="5"/>
        <v>5943</v>
      </c>
      <c r="I13" s="73">
        <f t="shared" si="6"/>
        <v>-40031.480000000003</v>
      </c>
      <c r="J13" s="32">
        <f t="shared" si="0"/>
        <v>-222.97000000000116</v>
      </c>
      <c r="K13" s="20">
        <f t="shared" si="7"/>
        <v>45973</v>
      </c>
      <c r="L13" s="33">
        <v>7319</v>
      </c>
      <c r="M13" s="31">
        <v>0</v>
      </c>
      <c r="N13" s="32">
        <f t="shared" si="8"/>
        <v>301</v>
      </c>
      <c r="O13" s="85">
        <v>0.68</v>
      </c>
      <c r="P13" s="86">
        <v>0.69</v>
      </c>
      <c r="Q13" s="85">
        <v>0.8</v>
      </c>
      <c r="R13" s="86">
        <v>0.75</v>
      </c>
      <c r="S13" s="38">
        <f t="shared" si="9"/>
        <v>4200</v>
      </c>
      <c r="T13" s="123"/>
      <c r="U13" s="32">
        <f t="shared" si="10"/>
        <v>85</v>
      </c>
      <c r="V13" s="41">
        <v>36447</v>
      </c>
      <c r="W13" s="32">
        <f t="shared" si="1"/>
        <v>111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231</v>
      </c>
      <c r="AD13" s="18">
        <v>397</v>
      </c>
    </row>
    <row r="14" spans="1:30" ht="20.65" customHeight="1" x14ac:dyDescent="0.2">
      <c r="A14" s="19">
        <v>45974</v>
      </c>
      <c r="B14" s="10">
        <v>1316781</v>
      </c>
      <c r="C14" s="14">
        <f t="shared" si="2"/>
        <v>5330</v>
      </c>
      <c r="D14" s="11">
        <v>984020</v>
      </c>
      <c r="E14" s="14">
        <f t="shared" si="3"/>
        <v>391</v>
      </c>
      <c r="F14" s="27">
        <v>1704</v>
      </c>
      <c r="G14" s="67">
        <f t="shared" si="4"/>
        <v>0</v>
      </c>
      <c r="H14" s="69">
        <f t="shared" si="5"/>
        <v>5721</v>
      </c>
      <c r="I14" s="73">
        <f t="shared" si="6"/>
        <v>-40254.450000000004</v>
      </c>
      <c r="J14" s="32">
        <f t="shared" si="0"/>
        <v>91.060000000004948</v>
      </c>
      <c r="K14" s="20">
        <f t="shared" si="7"/>
        <v>45974</v>
      </c>
      <c r="L14" s="33">
        <v>7018</v>
      </c>
      <c r="M14" s="31">
        <v>0</v>
      </c>
      <c r="N14" s="32">
        <f t="shared" si="8"/>
        <v>355</v>
      </c>
      <c r="O14" s="85">
        <v>0.66</v>
      </c>
      <c r="P14" s="86">
        <v>0.68</v>
      </c>
      <c r="Q14" s="85">
        <v>0.79</v>
      </c>
      <c r="R14" s="86">
        <v>0.74</v>
      </c>
      <c r="S14" s="38">
        <f t="shared" si="9"/>
        <v>4115</v>
      </c>
      <c r="T14" s="123"/>
      <c r="U14" s="32">
        <f t="shared" si="10"/>
        <v>200</v>
      </c>
      <c r="V14" s="41">
        <v>36558</v>
      </c>
      <c r="W14" s="32">
        <f t="shared" si="1"/>
        <v>106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214</v>
      </c>
      <c r="AD14" s="18">
        <v>376</v>
      </c>
    </row>
    <row r="15" spans="1:30" ht="20.65" customHeight="1" x14ac:dyDescent="0.2">
      <c r="A15" s="19">
        <v>45975</v>
      </c>
      <c r="B15" s="10">
        <v>1322111</v>
      </c>
      <c r="C15" s="14">
        <f t="shared" si="2"/>
        <v>5258</v>
      </c>
      <c r="D15" s="11">
        <v>984411</v>
      </c>
      <c r="E15" s="14">
        <f t="shared" si="3"/>
        <v>555</v>
      </c>
      <c r="F15" s="27">
        <v>1704</v>
      </c>
      <c r="G15" s="67">
        <f t="shared" si="4"/>
        <v>0</v>
      </c>
      <c r="H15" s="69">
        <f t="shared" si="5"/>
        <v>5813</v>
      </c>
      <c r="I15" s="73">
        <f t="shared" si="6"/>
        <v>-40163.39</v>
      </c>
      <c r="J15" s="32">
        <f t="shared" si="0"/>
        <v>45.129999999997381</v>
      </c>
      <c r="K15" s="20">
        <f t="shared" si="7"/>
        <v>45975</v>
      </c>
      <c r="L15" s="33">
        <v>6663</v>
      </c>
      <c r="M15" s="34">
        <v>0</v>
      </c>
      <c r="N15" s="32">
        <f t="shared" si="8"/>
        <v>352</v>
      </c>
      <c r="O15" s="85">
        <v>0.64</v>
      </c>
      <c r="P15" s="86">
        <v>0.66</v>
      </c>
      <c r="Q15" s="85">
        <v>0.75</v>
      </c>
      <c r="R15" s="86">
        <v>0.57999999999999996</v>
      </c>
      <c r="S15" s="38">
        <f t="shared" si="9"/>
        <v>3915</v>
      </c>
      <c r="T15" s="123"/>
      <c r="U15" s="32">
        <f t="shared" si="10"/>
        <v>95</v>
      </c>
      <c r="V15" s="41">
        <v>36664</v>
      </c>
      <c r="W15" s="32">
        <f t="shared" si="1"/>
        <v>113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207</v>
      </c>
      <c r="AD15" s="18">
        <v>378</v>
      </c>
    </row>
    <row r="16" spans="1:30" ht="20.65" customHeight="1" x14ac:dyDescent="0.2">
      <c r="A16" s="19">
        <v>45976</v>
      </c>
      <c r="B16" s="10">
        <v>1327369</v>
      </c>
      <c r="C16" s="14">
        <f t="shared" si="2"/>
        <v>5044</v>
      </c>
      <c r="D16" s="11">
        <v>984966</v>
      </c>
      <c r="E16" s="14">
        <f t="shared" si="3"/>
        <v>815</v>
      </c>
      <c r="F16" s="27">
        <v>1704</v>
      </c>
      <c r="G16" s="67">
        <f t="shared" si="4"/>
        <v>0</v>
      </c>
      <c r="H16" s="69">
        <f t="shared" si="5"/>
        <v>5859</v>
      </c>
      <c r="I16" s="73">
        <f t="shared" si="6"/>
        <v>-40118.26</v>
      </c>
      <c r="J16" s="32">
        <f t="shared" si="0"/>
        <v>-3370.9599999999991</v>
      </c>
      <c r="K16" s="20">
        <f t="shared" si="7"/>
        <v>45976</v>
      </c>
      <c r="L16" s="33">
        <v>6311</v>
      </c>
      <c r="M16" s="34">
        <v>0</v>
      </c>
      <c r="N16" s="32">
        <f t="shared" si="8"/>
        <v>365</v>
      </c>
      <c r="O16" s="85">
        <v>0.61</v>
      </c>
      <c r="P16" s="86">
        <v>0.66</v>
      </c>
      <c r="Q16" s="85">
        <v>0.65</v>
      </c>
      <c r="R16" s="86">
        <v>0.64</v>
      </c>
      <c r="S16" s="38">
        <f t="shared" si="9"/>
        <v>3820</v>
      </c>
      <c r="T16" s="123"/>
      <c r="U16" s="32">
        <f t="shared" si="10"/>
        <v>95</v>
      </c>
      <c r="V16" s="41">
        <v>36777</v>
      </c>
      <c r="W16" s="32">
        <f t="shared" si="1"/>
        <v>99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222</v>
      </c>
      <c r="AD16" s="18">
        <v>407</v>
      </c>
    </row>
    <row r="17" spans="1:30" ht="20.65" customHeight="1" x14ac:dyDescent="0.2">
      <c r="A17" s="19">
        <v>45977</v>
      </c>
      <c r="B17" s="10">
        <v>1332413</v>
      </c>
      <c r="C17" s="14">
        <f t="shared" si="2"/>
        <v>1704</v>
      </c>
      <c r="D17" s="11">
        <v>985781</v>
      </c>
      <c r="E17" s="14">
        <f t="shared" si="3"/>
        <v>785</v>
      </c>
      <c r="F17" s="27">
        <v>1704</v>
      </c>
      <c r="G17" s="67">
        <f t="shared" si="4"/>
        <v>0</v>
      </c>
      <c r="H17" s="69">
        <f t="shared" si="5"/>
        <v>2489</v>
      </c>
      <c r="I17" s="73">
        <f t="shared" si="6"/>
        <v>-43489.22</v>
      </c>
      <c r="J17" s="32">
        <f t="shared" si="0"/>
        <v>5774.0300000000061</v>
      </c>
      <c r="K17" s="20">
        <f t="shared" si="7"/>
        <v>45977</v>
      </c>
      <c r="L17" s="33">
        <v>5946</v>
      </c>
      <c r="M17" s="34">
        <v>0</v>
      </c>
      <c r="N17" s="32">
        <f t="shared" si="8"/>
        <v>378</v>
      </c>
      <c r="O17" s="85">
        <v>0.6</v>
      </c>
      <c r="P17" s="86">
        <v>0.64</v>
      </c>
      <c r="Q17" s="85">
        <v>0.62</v>
      </c>
      <c r="R17" s="86">
        <v>0.63</v>
      </c>
      <c r="S17" s="38">
        <f t="shared" si="9"/>
        <v>3725</v>
      </c>
      <c r="T17" s="123"/>
      <c r="U17" s="32">
        <f t="shared" si="10"/>
        <v>80</v>
      </c>
      <c r="V17" s="41">
        <v>36876</v>
      </c>
      <c r="W17" s="32">
        <f t="shared" si="1"/>
        <v>113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190</v>
      </c>
      <c r="AD17" s="18">
        <v>327</v>
      </c>
    </row>
    <row r="18" spans="1:30" ht="20.65" customHeight="1" x14ac:dyDescent="0.2">
      <c r="A18" s="19">
        <v>45978</v>
      </c>
      <c r="B18" s="10">
        <v>1334117</v>
      </c>
      <c r="C18" s="14">
        <f t="shared" si="2"/>
        <v>7557</v>
      </c>
      <c r="D18" s="11">
        <v>986566</v>
      </c>
      <c r="E18" s="14">
        <f t="shared" si="3"/>
        <v>707</v>
      </c>
      <c r="F18" s="27">
        <v>1704</v>
      </c>
      <c r="G18" s="67">
        <f t="shared" si="4"/>
        <v>0</v>
      </c>
      <c r="H18" s="69">
        <f t="shared" si="5"/>
        <v>8264</v>
      </c>
      <c r="I18" s="73">
        <f t="shared" si="6"/>
        <v>-37715.189999999995</v>
      </c>
      <c r="J18" s="32">
        <f t="shared" si="0"/>
        <v>-2984.4900000000052</v>
      </c>
      <c r="K18" s="20">
        <f t="shared" si="7"/>
        <v>45978</v>
      </c>
      <c r="L18" s="33">
        <v>5568</v>
      </c>
      <c r="M18" s="34">
        <v>0</v>
      </c>
      <c r="N18" s="32">
        <f t="shared" si="8"/>
        <v>349</v>
      </c>
      <c r="O18" s="85">
        <v>0.6</v>
      </c>
      <c r="P18" s="86">
        <v>0.62</v>
      </c>
      <c r="Q18" s="85">
        <v>0.59</v>
      </c>
      <c r="R18" s="86">
        <v>0.6</v>
      </c>
      <c r="S18" s="38">
        <f t="shared" si="9"/>
        <v>3645</v>
      </c>
      <c r="T18" s="123">
        <v>1348</v>
      </c>
      <c r="U18" s="32">
        <f t="shared" si="10"/>
        <v>178</v>
      </c>
      <c r="V18" s="41">
        <v>36989</v>
      </c>
      <c r="W18" s="32">
        <f t="shared" si="1"/>
        <v>88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182</v>
      </c>
      <c r="AD18" s="18">
        <v>309</v>
      </c>
    </row>
    <row r="19" spans="1:30" ht="20.65" customHeight="1" x14ac:dyDescent="0.2">
      <c r="A19" s="19">
        <v>45979</v>
      </c>
      <c r="B19" s="10">
        <v>1341674</v>
      </c>
      <c r="C19" s="14">
        <f t="shared" si="2"/>
        <v>4784</v>
      </c>
      <c r="D19" s="11">
        <v>987273</v>
      </c>
      <c r="E19" s="14">
        <f t="shared" si="3"/>
        <v>497</v>
      </c>
      <c r="F19" s="27">
        <v>1704</v>
      </c>
      <c r="G19" s="67">
        <f t="shared" si="4"/>
        <v>0</v>
      </c>
      <c r="H19" s="69">
        <f t="shared" si="5"/>
        <v>5281</v>
      </c>
      <c r="I19" s="73">
        <f t="shared" si="6"/>
        <v>-40699.68</v>
      </c>
      <c r="J19" s="32">
        <f t="shared" si="0"/>
        <v>172.06000000000495</v>
      </c>
      <c r="K19" s="20">
        <f t="shared" si="7"/>
        <v>45979</v>
      </c>
      <c r="L19" s="33">
        <v>5219</v>
      </c>
      <c r="M19" s="34">
        <v>0</v>
      </c>
      <c r="N19" s="32">
        <f t="shared" si="8"/>
        <v>343</v>
      </c>
      <c r="O19" s="85">
        <v>0.83</v>
      </c>
      <c r="P19" s="86">
        <v>0.78</v>
      </c>
      <c r="Q19" s="85">
        <v>0.85</v>
      </c>
      <c r="R19" s="86">
        <v>0.73</v>
      </c>
      <c r="S19" s="38">
        <f t="shared" si="9"/>
        <v>4815</v>
      </c>
      <c r="T19" s="123"/>
      <c r="U19" s="32">
        <f t="shared" si="10"/>
        <v>95</v>
      </c>
      <c r="V19" s="41">
        <v>37077</v>
      </c>
      <c r="W19" s="32">
        <f t="shared" si="1"/>
        <v>106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175</v>
      </c>
      <c r="AD19" s="18">
        <v>301</v>
      </c>
    </row>
    <row r="20" spans="1:30" ht="20.65" customHeight="1" x14ac:dyDescent="0.2">
      <c r="A20" s="19">
        <v>45980</v>
      </c>
      <c r="B20" s="10">
        <v>1346458</v>
      </c>
      <c r="C20" s="14">
        <f t="shared" si="2"/>
        <v>4718</v>
      </c>
      <c r="D20" s="11">
        <v>987770</v>
      </c>
      <c r="E20" s="14">
        <f t="shared" si="3"/>
        <v>736</v>
      </c>
      <c r="F20" s="27">
        <v>1704</v>
      </c>
      <c r="G20" s="67">
        <f t="shared" si="4"/>
        <v>0</v>
      </c>
      <c r="H20" s="69">
        <f t="shared" si="5"/>
        <v>5454</v>
      </c>
      <c r="I20" s="73">
        <f t="shared" si="6"/>
        <v>-40527.619999999995</v>
      </c>
      <c r="J20" s="32">
        <f t="shared" si="0"/>
        <v>10.07999999999447</v>
      </c>
      <c r="K20" s="20">
        <f t="shared" si="7"/>
        <v>45980</v>
      </c>
      <c r="L20" s="33">
        <v>4876</v>
      </c>
      <c r="M20" s="34">
        <v>0</v>
      </c>
      <c r="N20" s="32">
        <f t="shared" si="8"/>
        <v>359</v>
      </c>
      <c r="O20" s="85">
        <v>0.81</v>
      </c>
      <c r="P20" s="86">
        <v>0.77</v>
      </c>
      <c r="Q20" s="85">
        <v>0.81</v>
      </c>
      <c r="R20" s="86">
        <v>0.73</v>
      </c>
      <c r="S20" s="38">
        <f t="shared" si="9"/>
        <v>4720</v>
      </c>
      <c r="T20" s="123"/>
      <c r="U20" s="32">
        <f t="shared" si="10"/>
        <v>125</v>
      </c>
      <c r="V20" s="41">
        <v>37183</v>
      </c>
      <c r="W20" s="32">
        <f t="shared" si="1"/>
        <v>91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143</v>
      </c>
      <c r="AD20" s="18">
        <v>241</v>
      </c>
    </row>
    <row r="21" spans="1:30" ht="20.65" customHeight="1" x14ac:dyDescent="0.2">
      <c r="A21" s="19">
        <v>45981</v>
      </c>
      <c r="B21" s="10">
        <v>1351176</v>
      </c>
      <c r="C21" s="14">
        <f t="shared" si="2"/>
        <v>4741</v>
      </c>
      <c r="D21" s="11">
        <v>988506</v>
      </c>
      <c r="E21" s="14">
        <f t="shared" si="3"/>
        <v>724</v>
      </c>
      <c r="F21" s="27">
        <v>1704</v>
      </c>
      <c r="G21" s="67">
        <f t="shared" si="4"/>
        <v>0</v>
      </c>
      <c r="H21" s="69">
        <f t="shared" si="5"/>
        <v>5465</v>
      </c>
      <c r="I21" s="73">
        <f t="shared" si="6"/>
        <v>-40517.54</v>
      </c>
      <c r="J21" s="32">
        <f t="shared" si="0"/>
        <v>-41.889999999999418</v>
      </c>
      <c r="K21" s="20">
        <f t="shared" si="7"/>
        <v>45981</v>
      </c>
      <c r="L21" s="33">
        <v>4517</v>
      </c>
      <c r="M21" s="34">
        <v>0</v>
      </c>
      <c r="N21" s="32">
        <f t="shared" si="8"/>
        <v>333</v>
      </c>
      <c r="O21" s="85">
        <v>0.79</v>
      </c>
      <c r="P21" s="86">
        <v>0.76</v>
      </c>
      <c r="Q21" s="85">
        <v>0.75</v>
      </c>
      <c r="R21" s="86">
        <v>0.69</v>
      </c>
      <c r="S21" s="38">
        <f t="shared" si="9"/>
        <v>4595</v>
      </c>
      <c r="T21" s="123"/>
      <c r="U21" s="32">
        <f t="shared" si="10"/>
        <v>180</v>
      </c>
      <c r="V21" s="41">
        <v>37274</v>
      </c>
      <c r="W21" s="32">
        <f t="shared" si="1"/>
        <v>112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168</v>
      </c>
      <c r="AD21" s="18">
        <v>268</v>
      </c>
    </row>
    <row r="22" spans="1:30" ht="20.65" customHeight="1" x14ac:dyDescent="0.2">
      <c r="A22" s="19">
        <v>45982</v>
      </c>
      <c r="B22" s="10">
        <v>1355917</v>
      </c>
      <c r="C22" s="14">
        <f t="shared" si="2"/>
        <v>4715</v>
      </c>
      <c r="D22" s="11">
        <v>989230</v>
      </c>
      <c r="E22" s="14">
        <f t="shared" si="3"/>
        <v>709</v>
      </c>
      <c r="F22" s="27">
        <v>1704</v>
      </c>
      <c r="G22" s="67">
        <f t="shared" si="4"/>
        <v>0</v>
      </c>
      <c r="H22" s="69">
        <f t="shared" si="5"/>
        <v>5424</v>
      </c>
      <c r="I22" s="73">
        <f t="shared" si="6"/>
        <v>-40559.43</v>
      </c>
      <c r="J22" s="32">
        <f t="shared" si="0"/>
        <v>-74</v>
      </c>
      <c r="K22" s="20">
        <f t="shared" si="7"/>
        <v>45982</v>
      </c>
      <c r="L22" s="33">
        <v>4184</v>
      </c>
      <c r="M22" s="34">
        <v>0</v>
      </c>
      <c r="N22" s="32">
        <f t="shared" si="8"/>
        <v>333</v>
      </c>
      <c r="O22" s="85">
        <v>0.75</v>
      </c>
      <c r="P22" s="86">
        <v>0.75</v>
      </c>
      <c r="Q22" s="85">
        <v>0.68</v>
      </c>
      <c r="R22" s="86">
        <v>0.65</v>
      </c>
      <c r="S22" s="38">
        <f t="shared" si="9"/>
        <v>4415</v>
      </c>
      <c r="T22" s="123"/>
      <c r="U22" s="32">
        <f t="shared" si="10"/>
        <v>25</v>
      </c>
      <c r="V22" s="41">
        <v>37386</v>
      </c>
      <c r="W22" s="32">
        <f t="shared" si="1"/>
        <v>87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138</v>
      </c>
      <c r="AD22" s="18">
        <v>234</v>
      </c>
    </row>
    <row r="23" spans="1:30" ht="20.65" customHeight="1" x14ac:dyDescent="0.2">
      <c r="A23" s="19">
        <v>45983</v>
      </c>
      <c r="B23" s="10">
        <v>1360632</v>
      </c>
      <c r="C23" s="14">
        <f t="shared" si="2"/>
        <v>4715</v>
      </c>
      <c r="D23" s="11">
        <v>989939</v>
      </c>
      <c r="E23" s="14">
        <f t="shared" si="3"/>
        <v>636</v>
      </c>
      <c r="F23" s="27">
        <v>1704</v>
      </c>
      <c r="G23" s="67">
        <f t="shared" si="4"/>
        <v>0</v>
      </c>
      <c r="H23" s="69">
        <f t="shared" si="5"/>
        <v>5351</v>
      </c>
      <c r="I23" s="73">
        <f t="shared" si="6"/>
        <v>-40633.43</v>
      </c>
      <c r="J23" s="32">
        <f t="shared" si="0"/>
        <v>83.019999999996799</v>
      </c>
      <c r="K23" s="20">
        <f t="shared" si="7"/>
        <v>45983</v>
      </c>
      <c r="L23" s="33">
        <v>3851</v>
      </c>
      <c r="M23" s="34">
        <v>0</v>
      </c>
      <c r="N23" s="32">
        <f t="shared" si="8"/>
        <v>348</v>
      </c>
      <c r="O23" s="85">
        <v>0.75</v>
      </c>
      <c r="P23" s="86">
        <v>0.74</v>
      </c>
      <c r="Q23" s="85">
        <v>0.68</v>
      </c>
      <c r="R23" s="86">
        <v>0.65</v>
      </c>
      <c r="S23" s="38">
        <f t="shared" si="9"/>
        <v>4390</v>
      </c>
      <c r="T23" s="123"/>
      <c r="U23" s="32">
        <f t="shared" si="10"/>
        <v>75</v>
      </c>
      <c r="V23" s="41">
        <v>37473</v>
      </c>
      <c r="W23" s="32">
        <f t="shared" si="1"/>
        <v>93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138</v>
      </c>
      <c r="AD23" s="18">
        <v>239</v>
      </c>
    </row>
    <row r="24" spans="1:30" ht="20.65" customHeight="1" x14ac:dyDescent="0.2">
      <c r="A24" s="19">
        <v>45984</v>
      </c>
      <c r="B24" s="10">
        <v>1365347</v>
      </c>
      <c r="C24" s="14">
        <f t="shared" si="2"/>
        <v>5192</v>
      </c>
      <c r="D24" s="11">
        <v>990575</v>
      </c>
      <c r="E24" s="14">
        <f t="shared" si="3"/>
        <v>243</v>
      </c>
      <c r="F24" s="27">
        <v>1704</v>
      </c>
      <c r="G24" s="67">
        <f t="shared" si="4"/>
        <v>0</v>
      </c>
      <c r="H24" s="69">
        <f t="shared" si="5"/>
        <v>5435</v>
      </c>
      <c r="I24" s="73">
        <f t="shared" si="6"/>
        <v>-40550.410000000003</v>
      </c>
      <c r="J24" s="32">
        <f t="shared" si="0"/>
        <v>-255.97999999999593</v>
      </c>
      <c r="K24" s="20">
        <f t="shared" si="7"/>
        <v>45984</v>
      </c>
      <c r="L24" s="33">
        <v>3503</v>
      </c>
      <c r="M24" s="34">
        <v>0</v>
      </c>
      <c r="N24" s="32">
        <f t="shared" si="8"/>
        <v>344</v>
      </c>
      <c r="O24" s="85">
        <v>0.73</v>
      </c>
      <c r="P24" s="86">
        <v>0.73</v>
      </c>
      <c r="Q24" s="85">
        <v>0.68</v>
      </c>
      <c r="R24" s="86">
        <v>0.65</v>
      </c>
      <c r="S24" s="38">
        <f t="shared" si="9"/>
        <v>4315</v>
      </c>
      <c r="T24" s="123"/>
      <c r="U24" s="32">
        <f t="shared" si="10"/>
        <v>75</v>
      </c>
      <c r="V24" s="41">
        <v>37566</v>
      </c>
      <c r="W24" s="32">
        <f t="shared" si="1"/>
        <v>84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120</v>
      </c>
      <c r="AD24" s="18">
        <v>206</v>
      </c>
    </row>
    <row r="25" spans="1:30" ht="20.65" customHeight="1" x14ac:dyDescent="0.2">
      <c r="A25" s="19">
        <v>45985</v>
      </c>
      <c r="B25" s="10">
        <v>1370539</v>
      </c>
      <c r="C25" s="14">
        <f t="shared" si="2"/>
        <v>4726</v>
      </c>
      <c r="D25" s="11">
        <v>990818</v>
      </c>
      <c r="E25" s="14">
        <f t="shared" si="3"/>
        <v>454</v>
      </c>
      <c r="F25" s="27">
        <v>1704</v>
      </c>
      <c r="G25" s="67">
        <f t="shared" si="4"/>
        <v>0</v>
      </c>
      <c r="H25" s="69">
        <f t="shared" si="5"/>
        <v>5180</v>
      </c>
      <c r="I25" s="73">
        <f t="shared" si="6"/>
        <v>-40806.39</v>
      </c>
      <c r="J25" s="32">
        <f t="shared" si="0"/>
        <v>-7195.1599999999962</v>
      </c>
      <c r="K25" s="20">
        <f t="shared" si="7"/>
        <v>45985</v>
      </c>
      <c r="L25" s="33">
        <v>3159</v>
      </c>
      <c r="M25" s="34">
        <v>0</v>
      </c>
      <c r="N25" s="32">
        <f t="shared" si="8"/>
        <v>316</v>
      </c>
      <c r="O25" s="85">
        <v>0.71</v>
      </c>
      <c r="P25" s="86">
        <v>0.72</v>
      </c>
      <c r="Q25" s="85">
        <v>0.68</v>
      </c>
      <c r="R25" s="86">
        <v>0.65</v>
      </c>
      <c r="S25" s="38">
        <f t="shared" si="9"/>
        <v>4240</v>
      </c>
      <c r="T25" s="123">
        <v>159</v>
      </c>
      <c r="U25" s="32">
        <f t="shared" si="10"/>
        <v>84</v>
      </c>
      <c r="V25" s="41">
        <v>37650</v>
      </c>
      <c r="W25" s="32">
        <f t="shared" si="1"/>
        <v>88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110</v>
      </c>
      <c r="AD25" s="18">
        <v>184</v>
      </c>
    </row>
    <row r="26" spans="1:30" ht="20.65" customHeight="1" x14ac:dyDescent="0.2">
      <c r="A26" s="19">
        <v>45986</v>
      </c>
      <c r="B26" s="10">
        <v>1375265</v>
      </c>
      <c r="C26" s="14">
        <f t="shared" si="2"/>
        <v>4544</v>
      </c>
      <c r="D26" s="11">
        <v>991272</v>
      </c>
      <c r="E26" s="14">
        <f t="shared" si="3"/>
        <v>442</v>
      </c>
      <c r="F26" s="27">
        <v>1704</v>
      </c>
      <c r="G26" s="67">
        <f t="shared" si="4"/>
        <v>0</v>
      </c>
      <c r="H26" s="69">
        <f t="shared" si="5"/>
        <v>4986</v>
      </c>
      <c r="I26" s="73">
        <f t="shared" si="6"/>
        <v>-48001.549999999996</v>
      </c>
      <c r="J26" s="32">
        <f t="shared" si="0"/>
        <v>6934.0799999999945</v>
      </c>
      <c r="K26" s="20">
        <f t="shared" si="7"/>
        <v>45986</v>
      </c>
      <c r="L26" s="33">
        <v>2843</v>
      </c>
      <c r="M26" s="34">
        <v>7000</v>
      </c>
      <c r="N26" s="32">
        <f t="shared" si="8"/>
        <v>299</v>
      </c>
      <c r="O26" s="85">
        <v>0.7</v>
      </c>
      <c r="P26" s="86">
        <v>0.7</v>
      </c>
      <c r="Q26" s="85">
        <v>0.85</v>
      </c>
      <c r="R26" s="86">
        <v>0.78</v>
      </c>
      <c r="S26" s="38">
        <f t="shared" si="9"/>
        <v>4315</v>
      </c>
      <c r="T26" s="123"/>
      <c r="U26" s="32">
        <f t="shared" si="10"/>
        <v>120</v>
      </c>
      <c r="V26" s="41">
        <v>37738</v>
      </c>
      <c r="W26" s="32">
        <f t="shared" si="1"/>
        <v>67</v>
      </c>
      <c r="X26" s="44">
        <v>61265</v>
      </c>
      <c r="Y26" s="14">
        <f>IF((X27-X26)&lt;0,"0",X27-X26)</f>
        <v>0</v>
      </c>
      <c r="Z26" s="47">
        <v>2405</v>
      </c>
      <c r="AA26" s="52"/>
      <c r="AB26" s="32">
        <f t="shared" si="12"/>
        <v>0</v>
      </c>
      <c r="AC26" s="13">
        <v>105</v>
      </c>
      <c r="AD26" s="18">
        <v>168</v>
      </c>
    </row>
    <row r="27" spans="1:30" ht="20.65" customHeight="1" x14ac:dyDescent="0.2">
      <c r="A27" s="19">
        <v>45987</v>
      </c>
      <c r="B27" s="10">
        <v>1379809</v>
      </c>
      <c r="C27" s="14">
        <f t="shared" si="2"/>
        <v>4405</v>
      </c>
      <c r="D27" s="11">
        <v>991714</v>
      </c>
      <c r="E27" s="14">
        <f t="shared" si="3"/>
        <v>516</v>
      </c>
      <c r="F27" s="27">
        <v>1704</v>
      </c>
      <c r="G27" s="67">
        <f t="shared" si="4"/>
        <v>0</v>
      </c>
      <c r="H27" s="69">
        <f t="shared" si="5"/>
        <v>4921</v>
      </c>
      <c r="I27" s="73">
        <f t="shared" si="6"/>
        <v>-41067.47</v>
      </c>
      <c r="J27" s="32">
        <f t="shared" si="0"/>
        <v>-166.9800000000032</v>
      </c>
      <c r="K27" s="20">
        <f t="shared" si="7"/>
        <v>45987</v>
      </c>
      <c r="L27" s="33">
        <v>9544</v>
      </c>
      <c r="M27" s="34">
        <v>0</v>
      </c>
      <c r="N27" s="32">
        <f t="shared" si="8"/>
        <v>286</v>
      </c>
      <c r="O27" s="85">
        <v>0.67</v>
      </c>
      <c r="P27" s="86">
        <v>0.7</v>
      </c>
      <c r="Q27" s="85">
        <v>0.8</v>
      </c>
      <c r="R27" s="86">
        <v>0.74</v>
      </c>
      <c r="S27" s="38">
        <f t="shared" si="9"/>
        <v>4195</v>
      </c>
      <c r="T27" s="123"/>
      <c r="U27" s="32">
        <f t="shared" si="10"/>
        <v>100</v>
      </c>
      <c r="V27" s="41">
        <v>37805</v>
      </c>
      <c r="W27" s="32">
        <f t="shared" si="1"/>
        <v>70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106</v>
      </c>
      <c r="AD27" s="18">
        <v>168</v>
      </c>
    </row>
    <row r="28" spans="1:30" ht="20.65" customHeight="1" x14ac:dyDescent="0.2">
      <c r="A28" s="19">
        <v>45988</v>
      </c>
      <c r="B28" s="10">
        <v>1384214</v>
      </c>
      <c r="C28" s="14">
        <f t="shared" si="2"/>
        <v>4068</v>
      </c>
      <c r="D28" s="11">
        <v>992230</v>
      </c>
      <c r="E28" s="14">
        <f t="shared" si="3"/>
        <v>687</v>
      </c>
      <c r="F28" s="27">
        <v>1704</v>
      </c>
      <c r="G28" s="67">
        <f t="shared" si="4"/>
        <v>0</v>
      </c>
      <c r="H28" s="69">
        <f t="shared" si="5"/>
        <v>4755</v>
      </c>
      <c r="I28" s="73">
        <f t="shared" si="6"/>
        <v>-41234.450000000004</v>
      </c>
      <c r="J28" s="32">
        <f t="shared" si="0"/>
        <v>54.020000000004075</v>
      </c>
      <c r="K28" s="20">
        <f t="shared" si="7"/>
        <v>45988</v>
      </c>
      <c r="L28" s="33">
        <v>9258</v>
      </c>
      <c r="M28" s="34">
        <v>0</v>
      </c>
      <c r="N28" s="32">
        <f t="shared" si="8"/>
        <v>289</v>
      </c>
      <c r="O28" s="85">
        <v>0.65</v>
      </c>
      <c r="P28" s="86">
        <v>0.68</v>
      </c>
      <c r="Q28" s="85">
        <v>0.8</v>
      </c>
      <c r="R28" s="86">
        <v>0.74</v>
      </c>
      <c r="S28" s="38">
        <f t="shared" si="9"/>
        <v>4095</v>
      </c>
      <c r="T28" s="123"/>
      <c r="U28" s="32">
        <f t="shared" si="10"/>
        <v>125</v>
      </c>
      <c r="V28" s="41">
        <v>37875</v>
      </c>
      <c r="W28" s="32">
        <f t="shared" si="1"/>
        <v>108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115</v>
      </c>
      <c r="AD28" s="18">
        <v>203</v>
      </c>
    </row>
    <row r="29" spans="1:30" ht="20.65" customHeight="1" x14ac:dyDescent="0.2">
      <c r="A29" s="19">
        <v>45989</v>
      </c>
      <c r="B29" s="10">
        <v>1388282</v>
      </c>
      <c r="C29" s="14">
        <f t="shared" si="2"/>
        <v>4588</v>
      </c>
      <c r="D29" s="11">
        <v>992917</v>
      </c>
      <c r="E29" s="14">
        <f t="shared" si="3"/>
        <v>222</v>
      </c>
      <c r="F29" s="27">
        <v>1704</v>
      </c>
      <c r="G29" s="67">
        <f t="shared" si="4"/>
        <v>0</v>
      </c>
      <c r="H29" s="69">
        <f t="shared" si="5"/>
        <v>4810</v>
      </c>
      <c r="I29" s="73">
        <f t="shared" si="6"/>
        <v>-41180.43</v>
      </c>
      <c r="J29" s="32">
        <f t="shared" si="0"/>
        <v>-376.99000000000524</v>
      </c>
      <c r="K29" s="20">
        <f t="shared" si="7"/>
        <v>45989</v>
      </c>
      <c r="L29" s="33">
        <v>8969</v>
      </c>
      <c r="M29" s="34">
        <v>0</v>
      </c>
      <c r="N29" s="32">
        <f t="shared" si="8"/>
        <v>280</v>
      </c>
      <c r="O29" s="85">
        <v>0.63</v>
      </c>
      <c r="P29" s="86">
        <v>0.65</v>
      </c>
      <c r="Q29" s="85">
        <v>0.8</v>
      </c>
      <c r="R29" s="86">
        <v>0.74</v>
      </c>
      <c r="S29" s="38">
        <f t="shared" si="9"/>
        <v>3970</v>
      </c>
      <c r="T29" s="123"/>
      <c r="U29" s="32">
        <f t="shared" si="10"/>
        <v>25</v>
      </c>
      <c r="V29" s="41">
        <v>37983</v>
      </c>
      <c r="W29" s="32">
        <f t="shared" si="1"/>
        <v>71</v>
      </c>
      <c r="X29" s="44">
        <v>61265</v>
      </c>
      <c r="Y29" s="14" t="str">
        <f t="shared" si="11"/>
        <v>0</v>
      </c>
      <c r="Z29" s="47">
        <v>2405</v>
      </c>
      <c r="AA29" s="52"/>
      <c r="AB29" s="32">
        <f t="shared" si="12"/>
        <v>0</v>
      </c>
      <c r="AC29" s="13">
        <v>119</v>
      </c>
      <c r="AD29" s="18">
        <v>214</v>
      </c>
    </row>
    <row r="30" spans="1:30" ht="20.65" customHeight="1" x14ac:dyDescent="0.2">
      <c r="A30" s="19">
        <v>45990</v>
      </c>
      <c r="B30" s="10">
        <v>1392870</v>
      </c>
      <c r="C30" s="14">
        <f t="shared" si="2"/>
        <v>3919</v>
      </c>
      <c r="D30" s="11">
        <v>993139</v>
      </c>
      <c r="E30" s="14">
        <f t="shared" si="3"/>
        <v>515</v>
      </c>
      <c r="F30" s="27">
        <v>1704</v>
      </c>
      <c r="G30" s="67">
        <f t="shared" si="4"/>
        <v>0</v>
      </c>
      <c r="H30" s="69">
        <f t="shared" si="5"/>
        <v>4434</v>
      </c>
      <c r="I30" s="73">
        <f t="shared" si="6"/>
        <v>-41557.420000000006</v>
      </c>
      <c r="J30" s="32">
        <f t="shared" si="0"/>
        <v>-210.98999999999796</v>
      </c>
      <c r="K30" s="20">
        <f t="shared" si="7"/>
        <v>45990</v>
      </c>
      <c r="L30" s="33">
        <v>8689</v>
      </c>
      <c r="M30" s="34">
        <v>0</v>
      </c>
      <c r="N30" s="32">
        <f t="shared" si="8"/>
        <v>269</v>
      </c>
      <c r="O30" s="85">
        <v>0.62</v>
      </c>
      <c r="P30" s="86">
        <v>0.65</v>
      </c>
      <c r="Q30" s="85">
        <v>0.8</v>
      </c>
      <c r="R30" s="86">
        <v>0.74</v>
      </c>
      <c r="S30" s="38">
        <f t="shared" si="9"/>
        <v>3945</v>
      </c>
      <c r="T30" s="37"/>
      <c r="U30" s="32">
        <f t="shared" si="10"/>
        <v>50</v>
      </c>
      <c r="V30" s="41">
        <v>38054</v>
      </c>
      <c r="W30" s="32">
        <f t="shared" si="1"/>
        <v>70</v>
      </c>
      <c r="X30" s="44">
        <v>61264</v>
      </c>
      <c r="Y30" s="14">
        <f t="shared" si="11"/>
        <v>1</v>
      </c>
      <c r="Z30" s="47">
        <v>2405</v>
      </c>
      <c r="AA30" s="52"/>
      <c r="AB30" s="32">
        <f t="shared" si="12"/>
        <v>0</v>
      </c>
      <c r="AC30" s="13">
        <v>92</v>
      </c>
      <c r="AD30" s="18">
        <v>161</v>
      </c>
    </row>
    <row r="31" spans="1:30" ht="20.65" customHeight="1" thickBot="1" x14ac:dyDescent="0.25">
      <c r="A31" s="19">
        <v>45991</v>
      </c>
      <c r="B31" s="10">
        <v>1396789</v>
      </c>
      <c r="C31" s="14">
        <f t="shared" si="2"/>
        <v>3804</v>
      </c>
      <c r="D31" s="11">
        <v>993654</v>
      </c>
      <c r="E31" s="14">
        <f t="shared" si="3"/>
        <v>420</v>
      </c>
      <c r="F31" s="27">
        <v>1704</v>
      </c>
      <c r="G31" s="67">
        <f t="shared" ref="G31" si="13">F32-F31</f>
        <v>0</v>
      </c>
      <c r="H31" s="69">
        <f t="shared" ref="H31" si="14">C31+E31-G31</f>
        <v>4224</v>
      </c>
      <c r="I31" s="73">
        <f t="shared" ref="I31" si="15">H31-K31-M31-O31-Q31</f>
        <v>-41768.410000000003</v>
      </c>
      <c r="J31" s="32">
        <f t="shared" si="0"/>
        <v>41768.410000000003</v>
      </c>
      <c r="K31" s="20">
        <f t="shared" si="7"/>
        <v>45991</v>
      </c>
      <c r="L31" s="33">
        <v>8420</v>
      </c>
      <c r="M31" s="34">
        <v>0</v>
      </c>
      <c r="N31" s="32">
        <f t="shared" si="8"/>
        <v>280</v>
      </c>
      <c r="O31" s="85">
        <v>0.61</v>
      </c>
      <c r="P31" s="86">
        <v>0.64</v>
      </c>
      <c r="Q31" s="85">
        <v>0.8</v>
      </c>
      <c r="R31" s="86">
        <v>0.74</v>
      </c>
      <c r="S31" s="38">
        <f t="shared" ref="S31" si="16">(2500*O31)+(2500*P31)+(500*Q31)+(500*R31)</f>
        <v>3895</v>
      </c>
      <c r="T31" s="37"/>
      <c r="U31" s="32">
        <f t="shared" si="10"/>
        <v>50</v>
      </c>
      <c r="V31" s="41">
        <v>38124</v>
      </c>
      <c r="W31" s="32">
        <f t="shared" si="1"/>
        <v>58</v>
      </c>
      <c r="X31" s="44">
        <v>61265</v>
      </c>
      <c r="Y31" s="14">
        <f t="shared" si="11"/>
        <v>0</v>
      </c>
      <c r="Z31" s="47">
        <v>2405</v>
      </c>
      <c r="AA31" s="52"/>
      <c r="AB31" s="32">
        <f t="shared" si="12"/>
        <v>0</v>
      </c>
      <c r="AC31" s="13">
        <v>51</v>
      </c>
      <c r="AD31" s="18">
        <v>75</v>
      </c>
    </row>
    <row r="32" spans="1:30" ht="20.65" customHeight="1" thickTop="1" thickBot="1" x14ac:dyDescent="0.25">
      <c r="A32" s="19">
        <v>45992</v>
      </c>
      <c r="B32" s="53">
        <v>1400593</v>
      </c>
      <c r="C32" s="63"/>
      <c r="D32" s="62">
        <v>994074</v>
      </c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>
        <v>8140</v>
      </c>
      <c r="M32" s="65">
        <v>0</v>
      </c>
      <c r="N32" s="32" t="str">
        <f t="shared" si="8"/>
        <v>0</v>
      </c>
      <c r="O32" s="87">
        <v>0.6</v>
      </c>
      <c r="P32" s="88">
        <v>0.63</v>
      </c>
      <c r="Q32" s="87">
        <v>0.8</v>
      </c>
      <c r="R32" s="88">
        <v>0.74</v>
      </c>
      <c r="S32" s="38">
        <f t="shared" si="9"/>
        <v>3845</v>
      </c>
      <c r="T32" s="54"/>
      <c r="U32" s="63"/>
      <c r="V32" s="60">
        <v>38182</v>
      </c>
      <c r="W32" s="63"/>
      <c r="X32" s="59">
        <v>61265</v>
      </c>
      <c r="Y32" s="63"/>
      <c r="Z32" s="58">
        <v>2405</v>
      </c>
      <c r="AA32" s="55"/>
      <c r="AB32" s="56"/>
      <c r="AC32" s="57"/>
      <c r="AD32" s="57"/>
    </row>
    <row r="33" spans="1:30" s="81" customFormat="1" ht="10.5" thickTop="1" x14ac:dyDescent="0.2">
      <c r="A33" s="75"/>
      <c r="B33" s="75"/>
      <c r="C33" s="76">
        <f>SUM(C2:C32)</f>
        <v>148070</v>
      </c>
      <c r="D33" s="77"/>
      <c r="E33" s="76">
        <f>SUM(E2:E32)</f>
        <v>18983</v>
      </c>
      <c r="F33" s="78"/>
      <c r="G33" s="76">
        <f>SUM(G2:G32)</f>
        <v>0</v>
      </c>
      <c r="H33" s="77">
        <f>SUM(H2:H32)</f>
        <v>167053</v>
      </c>
      <c r="I33" s="76">
        <f>SUM(I2:I31)</f>
        <v>-1226284.6299999999</v>
      </c>
      <c r="J33" s="76">
        <f>SUM(J2:J32)</f>
        <v>39988.22</v>
      </c>
      <c r="K33" s="75"/>
      <c r="L33" s="77"/>
      <c r="M33" s="77"/>
      <c r="N33" s="76">
        <f>SUM(N2:N32)</f>
        <v>9380</v>
      </c>
      <c r="O33" s="75"/>
      <c r="P33" s="75"/>
      <c r="Q33" s="75"/>
      <c r="R33" s="75"/>
      <c r="S33" s="75"/>
      <c r="T33" s="77">
        <f>SUM(T2:T32)</f>
        <v>3382</v>
      </c>
      <c r="U33" s="76">
        <f>SUM(U2:U32)</f>
        <v>3227</v>
      </c>
      <c r="V33" s="75"/>
      <c r="W33" s="76">
        <f>SUM(W2:W32)</f>
        <v>2961</v>
      </c>
      <c r="X33" s="75"/>
      <c r="Y33" s="76">
        <f>SUM(Y2:Y32)</f>
        <v>1</v>
      </c>
      <c r="Z33" s="75"/>
      <c r="AA33" s="75">
        <f>SUM(AA2:AA32)</f>
        <v>0</v>
      </c>
      <c r="AB33" s="76">
        <f>SUM(AB2:AB32)</f>
        <v>0</v>
      </c>
      <c r="AC33" s="79">
        <f>SUM(AC2:AC32)</f>
        <v>4981</v>
      </c>
      <c r="AD33" s="80">
        <f>SUM(AD2:AD32)</f>
        <v>8860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2025-12-01T07:04:39Z</dcterms:modified>
  <cp:category/>
  <cp:contentStatus/>
</cp:coreProperties>
</file>