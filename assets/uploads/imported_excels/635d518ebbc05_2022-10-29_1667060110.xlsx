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081" documentId="8_{5B502D95-7A37-4D5A-8B6B-374537CC2F26}" xr6:coauthVersionLast="47" xr6:coauthVersionMax="47" xr10:uidLastSave="{8BA5C532-11FB-46D5-A15A-5159B5DEFE2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6" i="2" l="1"/>
  <c r="V37" i="2"/>
  <c r="N38" i="2"/>
  <c r="M38" i="2"/>
  <c r="L38" i="2"/>
  <c r="M37" i="2"/>
  <c r="F38" i="2"/>
  <c r="K37" i="6"/>
  <c r="I37" i="6"/>
  <c r="G37" i="6"/>
  <c r="E37" i="6"/>
  <c r="C37" i="6"/>
  <c r="N37" i="2"/>
  <c r="L37" i="2"/>
  <c r="F37" i="2"/>
  <c r="K36" i="6"/>
  <c r="I36" i="6"/>
  <c r="G36" i="6"/>
  <c r="E36" i="6"/>
  <c r="C36" i="6"/>
  <c r="V35" i="2"/>
  <c r="N36" i="2"/>
  <c r="M36" i="2"/>
  <c r="L36" i="2"/>
  <c r="F36" i="2"/>
  <c r="K35" i="6"/>
  <c r="I35" i="6"/>
  <c r="G35" i="6"/>
  <c r="E35" i="6"/>
  <c r="C35" i="6"/>
  <c r="V34" i="2"/>
  <c r="N35" i="2"/>
  <c r="M35" i="2"/>
  <c r="L35" i="2"/>
  <c r="F35" i="2"/>
  <c r="K34" i="6"/>
  <c r="I34" i="6"/>
  <c r="G34" i="6"/>
  <c r="E34" i="6"/>
  <c r="C34" i="6"/>
  <c r="F34" i="2"/>
  <c r="E33" i="6"/>
  <c r="Q39" i="2"/>
  <c r="V33" i="2"/>
  <c r="N34" i="2"/>
  <c r="M34" i="2"/>
  <c r="L34" i="2"/>
  <c r="K33" i="6"/>
  <c r="I33" i="6"/>
  <c r="G33" i="6"/>
  <c r="C33" i="6"/>
  <c r="V30" i="2"/>
  <c r="N30" i="2"/>
  <c r="N31" i="2"/>
  <c r="N32" i="2"/>
  <c r="N33" i="2"/>
  <c r="M30" i="2"/>
  <c r="M31" i="2"/>
  <c r="M32" i="2"/>
  <c r="M33" i="2"/>
  <c r="L31" i="2"/>
  <c r="L32" i="2"/>
  <c r="L33" i="2"/>
  <c r="F30" i="2"/>
  <c r="F31" i="2"/>
  <c r="F32" i="2"/>
  <c r="F33" i="2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V28" i="2"/>
  <c r="N29" i="2"/>
  <c r="M29" i="2"/>
  <c r="L29" i="2"/>
  <c r="L30" i="2"/>
  <c r="F29" i="2"/>
  <c r="K28" i="6"/>
  <c r="I28" i="6"/>
  <c r="G28" i="6"/>
  <c r="E28" i="6"/>
  <c r="C28" i="6"/>
  <c r="V26" i="2"/>
  <c r="V27" i="2"/>
  <c r="N27" i="2"/>
  <c r="N28" i="2"/>
  <c r="M27" i="2"/>
  <c r="M28" i="2"/>
  <c r="L27" i="2"/>
  <c r="L28" i="2"/>
  <c r="F27" i="2"/>
  <c r="F28" i="2"/>
  <c r="K27" i="6"/>
  <c r="I27" i="6"/>
  <c r="G27" i="6"/>
  <c r="E27" i="6"/>
  <c r="C27" i="6"/>
  <c r="K26" i="6"/>
  <c r="I26" i="6"/>
  <c r="G26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E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6" i="2"/>
  <c r="V17" i="2"/>
  <c r="V18" i="2"/>
  <c r="V19" i="2"/>
  <c r="V20" i="2"/>
  <c r="N17" i="2"/>
  <c r="N18" i="2"/>
  <c r="N19" i="2"/>
  <c r="N20" i="2"/>
  <c r="N21" i="2"/>
  <c r="M17" i="2"/>
  <c r="M18" i="2"/>
  <c r="M19" i="2"/>
  <c r="M20" i="2"/>
  <c r="M21" i="2"/>
  <c r="L17" i="2"/>
  <c r="L18" i="2"/>
  <c r="L19" i="2"/>
  <c r="L20" i="2"/>
  <c r="L21" i="2"/>
  <c r="F17" i="2"/>
  <c r="F18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V11" i="2"/>
  <c r="V12" i="2"/>
  <c r="V13" i="2"/>
  <c r="V14" i="2"/>
  <c r="V15" i="2"/>
  <c r="V10" i="2"/>
  <c r="N16" i="2"/>
  <c r="M16" i="2"/>
  <c r="L16" i="2"/>
  <c r="F16" i="2"/>
  <c r="K15" i="6"/>
  <c r="I15" i="6"/>
  <c r="G15" i="6"/>
  <c r="E15" i="6"/>
  <c r="C15" i="6"/>
  <c r="C11" i="6"/>
  <c r="C12" i="6"/>
  <c r="C13" i="6"/>
  <c r="C14" i="6"/>
  <c r="C10" i="6"/>
  <c r="N11" i="2"/>
  <c r="N12" i="2"/>
  <c r="N13" i="2"/>
  <c r="N14" i="2"/>
  <c r="N15" i="2"/>
  <c r="M11" i="2"/>
  <c r="M12" i="2"/>
  <c r="M13" i="2"/>
  <c r="M14" i="2"/>
  <c r="M15" i="2"/>
  <c r="L11" i="2"/>
  <c r="L12" i="2"/>
  <c r="L13" i="2"/>
  <c r="L14" i="2"/>
  <c r="L15" i="2"/>
  <c r="K11" i="6"/>
  <c r="K12" i="6"/>
  <c r="K13" i="6"/>
  <c r="K14" i="6"/>
  <c r="K10" i="6"/>
  <c r="I11" i="6"/>
  <c r="I12" i="6"/>
  <c r="I13" i="6"/>
  <c r="I14" i="6"/>
  <c r="I10" i="6"/>
  <c r="G11" i="6"/>
  <c r="G12" i="6"/>
  <c r="G13" i="6"/>
  <c r="G14" i="6"/>
  <c r="G10" i="6"/>
  <c r="E11" i="6"/>
  <c r="E12" i="6"/>
  <c r="E13" i="6"/>
  <c r="E14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O39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5" i="4"/>
  <c r="P36" i="4"/>
  <c r="P37" i="4"/>
  <c r="P38" i="4"/>
  <c r="P39" i="4"/>
  <c r="P40" i="4"/>
  <c r="X10" i="2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5" i="4" l="1"/>
  <c r="V31" i="2"/>
  <c r="P26" i="4"/>
  <c r="V32" i="2"/>
  <c r="P23" i="4"/>
  <c r="V29" i="2"/>
  <c r="P16" i="4"/>
  <c r="V22" i="2"/>
  <c r="C31" i="4"/>
  <c r="G31" i="4"/>
  <c r="E31" i="4"/>
  <c r="X31" i="2"/>
  <c r="X32" i="2"/>
  <c r="E31" i="21"/>
  <c r="E31" i="22" s="1"/>
  <c r="Q40" i="2"/>
  <c r="O40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X29" i="2" l="1"/>
  <c r="G21" i="22"/>
  <c r="X22" i="2"/>
  <c r="G14" i="22"/>
  <c r="G24" i="22"/>
  <c r="G23" i="22"/>
  <c r="I31" i="22"/>
  <c r="H40" i="2"/>
  <c r="F41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<sst xmlns="http://schemas.openxmlformats.org/spreadsheetml/2006/main" count="482" uniqueCount="186">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</sst>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  <c:pt idx="28">
                  <c:v>165.60000000000582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  <c:pt idx="28">
                  <c:v>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  <c:pt idx="28">
                  <c:v>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  <c:pt idx="28">
                  <c:v>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511.98736000000002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1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12.74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19635</v>
      </c>
      <c r="F3" s="134">
        <v>1.05</v>
      </c>
      <c r="G3" s="134">
        <f>'Consommation mensuel énergie'!V11</f>
        <v>447.98894000000001</v>
      </c>
      <c r="H3" s="134">
        <v>12.74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12.74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12.74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12.74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12.74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12.74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12.74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12.74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12.74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12.74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12.74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12.74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12.74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12.74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12.74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12.74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12.74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12.74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12.74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12.74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12.74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12.74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12.74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319.99209999999999</v>
      </c>
      <c r="H28" s="134">
        <v>12.74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511.98736000000002</v>
      </c>
      <c r="H29" s="134">
        <v>12.74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113</v>
      </c>
      <c r="L29" s="137">
        <f>'Consommation mensuel énergie'!E37</f>
        <v>191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16949</v>
      </c>
      <c r="F30" s="134">
        <v>1.05</v>
      </c>
      <c r="G30" s="134">
        <f>'Consommation mensuel énergie'!V38</f>
        <v>0</v>
      </c>
      <c r="H30" s="134">
        <v>12.74</v>
      </c>
      <c r="I30" s="134">
        <f>'Consommation mensuel énergie'!F38</f>
        <v>165.60000000000582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12.74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0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énergie'!N14</f>
        <v>4642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113</v>
      </c>
      <c r="I29" s="137">
        <f>'Consommation mensuel énergie'!E37</f>
        <v>191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5751</v>
      </c>
      <c r="F30" s="137">
        <f>'Consommation mensuel énergie'!M38</f>
        <v>7361</v>
      </c>
      <c r="G30" s="137">
        <f>'Consommation mensuel énergie'!N38</f>
        <v>3837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énergie'!L40</f>
        <v>0</v>
      </c>
      <c r="F31" s="137">
        <f>'Consommation mensuel énergie'!M40</f>
        <v>0</v>
      </c>
      <c r="G31" s="137">
        <f>'Consommation mensuel énergie'!N40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M38" activePane="bottomRight" state="frozen"/>
      <selection pane="bottomRight" activeCell="E37" sqref="E3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1">V11*12.74</f>
        <v>5707.3790956000003</v>
      </c>
    </row>
    <row r="12" spans="1:24" ht="32.25" customHeight="1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>L12+M12+N12</f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1"/>
        <v>4892.0392247999998</v>
      </c>
    </row>
    <row r="13" spans="1:24" ht="32.25" customHeight="1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ref="O13:O36" si="2">L13+M13+N13</f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4901.2869360000004</v>
      </c>
    </row>
    <row r="14" spans="1:24" ht="32.25" customHeight="1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2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2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3261.3594832000003</v>
      </c>
    </row>
    <row r="16" spans="1:24" ht="32.25" customHeight="1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2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5299.7091602</v>
      </c>
    </row>
    <row r="17" spans="1:24" s="5" customFormat="1" ht="32.25" customHeight="1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2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4484.3692893999996</v>
      </c>
    </row>
    <row r="18" spans="1:24" ht="32.25" customHeight="1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2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4484.3692893999996</v>
      </c>
    </row>
    <row r="19" spans="1:24" ht="32.25" customHeight="1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2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5299.7091602</v>
      </c>
    </row>
    <row r="20" spans="1:24" ht="32.25" customHeight="1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2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1"/>
        <v>2853.6895478000001</v>
      </c>
    </row>
    <row r="21" spans="1:24" ht="32.25" customHeight="1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>L21+M21+N21</f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2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3261.3594832000003</v>
      </c>
    </row>
    <row r="23" spans="1:24" ht="32.25" customHeight="1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>L23+M23+N23</f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1"/>
        <v>5707.3790956000003</v>
      </c>
    </row>
    <row r="24" spans="1:24" ht="32.25" customHeight="1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>L24+M24+N24</f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1"/>
        <v>4892.0392247999998</v>
      </c>
    </row>
    <row r="25" spans="1:24" ht="32.25" customHeight="1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>L25+M25+N25</f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3669.0294186000001</v>
      </c>
    </row>
    <row r="26" spans="1:24" ht="32.25" customHeight="1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>L26+M26+N26</f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3261.3594832000003</v>
      </c>
    </row>
    <row r="27" spans="1:24" ht="32.25" customHeight="1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2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6522.7189664000007</v>
      </c>
    </row>
    <row r="28" spans="1:24" ht="32.25" customHeight="1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2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5299.7091602</v>
      </c>
    </row>
    <row r="29" spans="1:24" ht="32.25" customHeight="1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>L29+M29+N29</f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1"/>
        <v>6115.0490310000005</v>
      </c>
    </row>
    <row r="30" spans="1:24" ht="32.25" customHeight="1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>L30+M30+N30</f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2853.6895478000001</v>
      </c>
    </row>
    <row r="31" spans="1:24" ht="27.75" customHeight="1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>L31+M31+N31</f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4484.3692893999996</v>
      </c>
    </row>
    <row r="32" spans="1:24" ht="37.5" customHeight="1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2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1"/>
        <v>4076.6993539999999</v>
      </c>
    </row>
    <row r="33" spans="1:24" ht="37.5" customHeight="1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2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1"/>
        <v>11007.088255800001</v>
      </c>
    </row>
    <row r="34" spans="1:24" ht="37.5" customHeight="1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2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4076.6993539999999</v>
      </c>
    </row>
    <row r="35" spans="1:24" ht="33.75" customHeight="1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2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1"/>
        <v>4076.6993539999999</v>
      </c>
    </row>
    <row r="36" spans="1:24" ht="33.75" customHeight="1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2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1"/>
        <v>4076.6993539999999</v>
      </c>
    </row>
    <row r="37" spans="1:24" ht="33.75" customHeight="1">
      <c r="A37" s="2"/>
      <c r="B37" s="6">
        <v>44862</v>
      </c>
      <c r="C37" s="7"/>
      <c r="D37" s="143">
        <v>113</v>
      </c>
      <c r="E37" s="143">
        <v>191</v>
      </c>
      <c r="F37" s="13">
        <f>'Suivi EAU-ELEC'!E36</f>
        <v>151.89999999999418</v>
      </c>
      <c r="G37" s="11"/>
      <c r="H37" s="168">
        <f t="shared" si="5"/>
        <v>1335.2009999999486</v>
      </c>
      <c r="I37" s="169"/>
      <c r="J37" s="169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>L37+M37+N37</f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>
        <f>'Suvi Gaz'!O31</f>
        <v>511.98736000000002</v>
      </c>
      <c r="W37" s="11"/>
      <c r="X37" s="34">
        <f t="shared" si="1"/>
        <v>6522.7189664000007</v>
      </c>
    </row>
    <row r="38" spans="1:24" ht="33.75" customHeight="1">
      <c r="A38" s="2"/>
      <c r="B38" s="6">
        <v>44863</v>
      </c>
      <c r="C38" s="7"/>
      <c r="D38" s="143"/>
      <c r="E38" s="143"/>
      <c r="F38" s="13">
        <f>'Suivi EAU-ELEC'!E37</f>
        <v>165.60000000000582</v>
      </c>
      <c r="G38" s="11"/>
      <c r="H38" s="168">
        <f>F38*8.79</f>
        <v>1455.624000000051</v>
      </c>
      <c r="I38" s="169"/>
      <c r="J38" s="169"/>
      <c r="K38" s="60">
        <v>42304</v>
      </c>
      <c r="L38" s="90">
        <f>'Suivi EAU-ELEC'!G37</f>
        <v>5751</v>
      </c>
      <c r="M38" s="91">
        <f>'Suivi EAU-ELEC'!I37</f>
        <v>7361</v>
      </c>
      <c r="N38" s="91">
        <f>'Suivi EAU-ELEC'!K37</f>
        <v>3837</v>
      </c>
      <c r="O38" s="91">
        <f>L38+M38+N38</f>
        <v>16949</v>
      </c>
      <c r="P38" s="11"/>
      <c r="Q38" s="34">
        <f>L38*0.6985+M38*0.9514+N38*1.3304</f>
        <v>16125.073700000001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44864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>
        <f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44865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ref="O40" si="6">L40+M40+N40</f>
        <v>0</v>
      </c>
      <c r="P40" s="11"/>
      <c r="Q40" s="34">
        <f t="shared" ref="Q40" si="7">L40*0.6985+M40*0.9514+N40*1.3304</f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3776</v>
      </c>
      <c r="E41" s="8">
        <f>SUM(E10:E40)</f>
        <v>5804</v>
      </c>
      <c r="F41" s="152">
        <f>SUM(F10:F40)</f>
        <v>4096.7999999999884</v>
      </c>
      <c r="G41" s="1"/>
      <c r="H41" s="249">
        <f>SUM(H10:H40)</f>
        <v>36010.871999999901</v>
      </c>
      <c r="I41" s="250"/>
      <c r="J41" s="251"/>
      <c r="K41" s="1"/>
      <c r="L41" s="53">
        <f>SUM(L10:L40)</f>
        <v>154813</v>
      </c>
      <c r="M41" s="53">
        <f>SUM(M10:M40)</f>
        <v>235475</v>
      </c>
      <c r="N41" s="54">
        <f>SUM(N10:N40)</f>
        <v>115031</v>
      </c>
      <c r="O41" s="55">
        <f>SUM(O10:O40)</f>
        <v>505319</v>
      </c>
      <c r="P41" s="31"/>
      <c r="Q41" s="34">
        <f t="shared" ref="Q41" si="8">L41*0.6985+M41*0.9514+N41*1.3304</f>
        <v>485205.0379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10592.464389999997</v>
      </c>
      <c r="W41" s="31"/>
      <c r="X41" s="32">
        <f>SUM(X10:X40)</f>
        <v>134947.99632859998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154813</v>
      </c>
      <c r="J44" s="210"/>
      <c r="K44" s="211"/>
      <c r="L44" s="170">
        <f>I44*H44</f>
        <v>108136.8805</v>
      </c>
      <c r="M44" s="171"/>
      <c r="N44" s="227">
        <f>L44+L45+L46</f>
        <v>485205.0379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235475</v>
      </c>
      <c r="J45" s="210"/>
      <c r="K45" s="211"/>
      <c r="L45" s="170">
        <f>I45*H45</f>
        <v>224030.91500000001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115031</v>
      </c>
      <c r="J46" s="241"/>
      <c r="K46" s="242"/>
      <c r="L46" s="170">
        <f>I46*H46</f>
        <v>153037.24240000002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630766.54926999996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4096.7999999999884</v>
      </c>
      <c r="J48" s="202"/>
      <c r="K48" s="203"/>
      <c r="L48" s="207">
        <f>I48*H48</f>
        <v>36010.871999999894</v>
      </c>
      <c r="M48" s="208"/>
      <c r="N48" s="224">
        <f>L48</f>
        <v>36010.871999999894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12.74</v>
      </c>
      <c r="I49" s="199">
        <f>V41</f>
        <v>10592.464389999997</v>
      </c>
      <c r="J49" s="239"/>
      <c r="K49" s="200"/>
      <c r="L49" s="199">
        <f>I49*H49</f>
        <v>134947.99632859995</v>
      </c>
      <c r="M49" s="200"/>
      <c r="N49" s="221">
        <f>L49</f>
        <v>134947.99632859995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3" activePane="bottomRight" state="frozen"/>
      <selection pane="bottomRight" activeCell="B37" sqref="B37:K3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>
      <c r="A11" s="59">
        <v>44837</v>
      </c>
      <c r="B11" s="116">
        <v>2560</v>
      </c>
      <c r="C11" s="115">
        <f t="shared" ref="C11:C37" si="0">B11-B10</f>
        <v>0</v>
      </c>
      <c r="D11" s="57">
        <v>168386</v>
      </c>
      <c r="E11" s="50">
        <f t="shared" ref="E11:E37" si="1">D11-D10</f>
        <v>134</v>
      </c>
      <c r="F11" s="51">
        <v>12482017</v>
      </c>
      <c r="G11" s="50">
        <f t="shared" ref="G11:H30" si="2">F11-F10</f>
        <v>5388</v>
      </c>
      <c r="H11" s="51">
        <v>21377728</v>
      </c>
      <c r="I11" s="50">
        <f t="shared" ref="I11:I37" si="3">H11-H10</f>
        <v>7402</v>
      </c>
      <c r="J11" s="51">
        <v>9350842</v>
      </c>
      <c r="K11" s="50">
        <f t="shared" ref="K11:L30" si="4">J11-J10</f>
        <v>3620</v>
      </c>
    </row>
    <row r="12" spans="1:12" ht="19.5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ref="G31:G37" si="5">F31-F30</f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ref="K31:K37" si="6">J31-J30</f>
        <v>3987</v>
      </c>
    </row>
    <row r="32" spans="1:29" ht="19.5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5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6"/>
        <v>3721</v>
      </c>
    </row>
    <row r="33" spans="1:11" ht="19.5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5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6"/>
        <v>3635</v>
      </c>
    </row>
    <row r="34" spans="1:11" ht="19.5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5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6"/>
        <v>3817</v>
      </c>
    </row>
    <row r="35" spans="1:11" ht="19.5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5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6"/>
        <v>3819</v>
      </c>
    </row>
    <row r="36" spans="1:11" ht="19.5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5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6"/>
        <v>3728</v>
      </c>
    </row>
    <row r="37" spans="1:11" ht="19.5">
      <c r="A37" s="59">
        <v>44863</v>
      </c>
      <c r="B37" s="116">
        <v>2569</v>
      </c>
      <c r="C37" s="115">
        <f t="shared" si="0"/>
        <v>0</v>
      </c>
      <c r="D37" s="57">
        <v>172089.5</v>
      </c>
      <c r="E37" s="50">
        <f t="shared" si="1"/>
        <v>165.60000000000582</v>
      </c>
      <c r="F37" s="51">
        <v>12620214</v>
      </c>
      <c r="G37" s="50">
        <f t="shared" si="5"/>
        <v>5751</v>
      </c>
      <c r="H37" s="51">
        <v>21589168</v>
      </c>
      <c r="I37" s="50">
        <f t="shared" si="3"/>
        <v>7361</v>
      </c>
      <c r="J37" s="51">
        <v>9454244</v>
      </c>
      <c r="K37" s="50">
        <f t="shared" si="6"/>
        <v>3837</v>
      </c>
    </row>
    <row r="38" spans="1:11" ht="19.5">
      <c r="A38" s="59">
        <v>44864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44865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1" activePane="bottomRight" state="frozen"/>
      <selection pane="bottomRight" activeCell="B32" sqref="B32:H3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O4*12.74</f>
        <v>6115.0490310000005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44836</v>
      </c>
      <c r="B5" s="41">
        <v>80</v>
      </c>
      <c r="C5" s="39">
        <f t="shared" ref="C4:C35" si="7">IF(AC5&gt;0,((B5-R5)+(S5-B6)),IF(B6=0, ,(B5-B6)))</f>
        <v>4</v>
      </c>
      <c r="D5" s="41">
        <v>76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3" si="10">O5*12.74</f>
        <v>5707.3790956000003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4892.0392247999998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4901.2869360000004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3261.3594832000003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5299.7091602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4484.3692893999996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4484.3692893999996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5299.7091602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2853.6895478000001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3261.3594832000003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5707.3790956000003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4892.0392247999998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3669.0294186000001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3261.3594832000003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6522.7189664000007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5299.7091602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6115.0490310000005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2853.6895478000001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4484.3692893999996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4076.6993539999999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11007.088255800001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4076.6993539999999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4076.6993539999999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1"/>
        <v>2</v>
      </c>
      <c r="J30" s="39">
        <f t="shared" si="12"/>
        <v>263</v>
      </c>
      <c r="K30" s="39">
        <f t="shared" si="13"/>
        <v>65.75</v>
      </c>
      <c r="L30" s="39">
        <f t="shared" si="18"/>
        <v>2.5</v>
      </c>
      <c r="M30" s="149">
        <f t="shared" si="17"/>
        <v>24196</v>
      </c>
      <c r="N30" s="39">
        <f t="shared" si="15"/>
        <v>604.9</v>
      </c>
      <c r="O30" s="39">
        <f t="shared" si="16"/>
        <v>319.99209999999999</v>
      </c>
      <c r="P30" s="42">
        <f t="shared" si="10"/>
        <v>4076.6993539999999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44862</v>
      </c>
      <c r="B31" s="41">
        <v>70</v>
      </c>
      <c r="C31" s="39">
        <f t="shared" si="7"/>
        <v>4</v>
      </c>
      <c r="D31" s="41">
        <v>64</v>
      </c>
      <c r="E31" s="39">
        <f t="shared" si="8"/>
        <v>4</v>
      </c>
      <c r="F31" s="41">
        <v>59</v>
      </c>
      <c r="G31" s="39">
        <f t="shared" si="9"/>
        <v>4</v>
      </c>
      <c r="H31" s="41">
        <v>60</v>
      </c>
      <c r="I31" s="39">
        <f t="shared" si="11"/>
        <v>4</v>
      </c>
      <c r="J31" s="39">
        <f t="shared" si="12"/>
        <v>253</v>
      </c>
      <c r="K31" s="39">
        <f t="shared" si="13"/>
        <v>63.25</v>
      </c>
      <c r="L31" s="39">
        <f t="shared" si="18"/>
        <v>4</v>
      </c>
      <c r="M31" s="149">
        <f t="shared" si="17"/>
        <v>24196</v>
      </c>
      <c r="N31" s="39">
        <f t="shared" si="15"/>
        <v>967.84</v>
      </c>
      <c r="O31" s="39">
        <f t="shared" si="16"/>
        <v>511.98736000000002</v>
      </c>
      <c r="P31" s="42">
        <f t="shared" si="10"/>
        <v>6522.7189664000007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44863</v>
      </c>
      <c r="B32" s="41">
        <v>66</v>
      </c>
      <c r="C32" s="39">
        <f t="shared" si="7"/>
        <v>0</v>
      </c>
      <c r="D32" s="41">
        <v>60</v>
      </c>
      <c r="E32" s="39">
        <f t="shared" si="8"/>
        <v>0</v>
      </c>
      <c r="F32" s="41">
        <v>55</v>
      </c>
      <c r="G32" s="39">
        <f t="shared" si="9"/>
        <v>0</v>
      </c>
      <c r="H32" s="41">
        <v>56</v>
      </c>
      <c r="I32" s="39">
        <f t="shared" si="11"/>
        <v>0</v>
      </c>
      <c r="J32" s="39">
        <f t="shared" si="12"/>
        <v>237</v>
      </c>
      <c r="K32" s="39">
        <f t="shared" si="13"/>
        <v>59.25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44864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44865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44866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20022.190000000006</v>
      </c>
      <c r="O43" s="39">
        <f>N43*0.529</f>
        <v>10591.738510000003</v>
      </c>
      <c r="P43" s="42">
        <f>O43*12.74</f>
        <v>134938.74861740004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20022.190000000006</v>
      </c>
      <c r="L47" s="46">
        <f>O43</f>
        <v>10591.738510000003</v>
      </c>
      <c r="M47" s="46">
        <f>P43</f>
        <v>134938.74861740004</v>
      </c>
    </row>
    <row r="48" spans="1:31" ht="54.75" customHeight="1" thickBot="1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L48*12.74</f>
        <v>137586.0759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7" workbookViewId="0">
      <selection activeCell="G13" sqref="G1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44691</v>
      </c>
      <c r="D8" s="350"/>
      <c r="E8" s="113">
        <v>44722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21405863</v>
      </c>
      <c r="D17" s="66">
        <v>21396435</v>
      </c>
      <c r="E17" s="67">
        <f>MIN(C17-D17)</f>
        <v>9428</v>
      </c>
      <c r="F17" s="67">
        <f>+E17</f>
        <v>9428</v>
      </c>
      <c r="G17" s="329"/>
      <c r="H17" s="330"/>
      <c r="I17" s="329">
        <f>+E17</f>
        <v>9428</v>
      </c>
      <c r="J17" s="330"/>
    </row>
    <row r="18" spans="1:10">
      <c r="A18" s="327" t="s">
        <v>111</v>
      </c>
      <c r="B18" s="328"/>
      <c r="C18" s="66">
        <v>12500312</v>
      </c>
      <c r="D18" s="66">
        <v>12494016</v>
      </c>
      <c r="E18" s="67">
        <f>MIN(C18-D18)</f>
        <v>6296</v>
      </c>
      <c r="F18" s="67">
        <f>+E18</f>
        <v>6296</v>
      </c>
      <c r="G18" s="329"/>
      <c r="H18" s="330"/>
      <c r="I18" s="329">
        <f>+E18</f>
        <v>6296</v>
      </c>
      <c r="J18" s="330"/>
    </row>
    <row r="19" spans="1:10">
      <c r="A19" s="327" t="s">
        <v>112</v>
      </c>
      <c r="B19" s="328"/>
      <c r="C19" s="66">
        <v>9364545</v>
      </c>
      <c r="D19" s="66">
        <v>9359997</v>
      </c>
      <c r="E19" s="67">
        <f>AVERAGE(C19-D19)</f>
        <v>4548</v>
      </c>
      <c r="F19" s="67">
        <f>+E19</f>
        <v>4548</v>
      </c>
      <c r="G19" s="329"/>
      <c r="H19" s="330"/>
      <c r="I19" s="329">
        <f>+E19</f>
        <v>4548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20272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9428</v>
      </c>
      <c r="E25" s="72">
        <v>0.95140000000000002</v>
      </c>
      <c r="F25" s="73">
        <f>PRODUCT(D25*E25)</f>
        <v>8969.7991999999995</v>
      </c>
      <c r="G25" s="151">
        <v>14</v>
      </c>
      <c r="H25" s="65">
        <f>PRODUCT(0.14,F25)</f>
        <v>1255.771888</v>
      </c>
      <c r="I25" s="304">
        <f>SUM(H25,F25)</f>
        <v>10225.571087999999</v>
      </c>
      <c r="J25" s="305"/>
    </row>
    <row r="26" spans="1:10" ht="15">
      <c r="A26" s="301" t="s">
        <v>124</v>
      </c>
      <c r="B26" s="302"/>
      <c r="C26" s="303"/>
      <c r="D26" s="67">
        <f>+E18</f>
        <v>6296</v>
      </c>
      <c r="E26" s="74">
        <v>0.69850000000000001</v>
      </c>
      <c r="F26" s="73">
        <f>PRODUCT(D26*E26)</f>
        <v>4397.7560000000003</v>
      </c>
      <c r="G26">
        <v>14</v>
      </c>
      <c r="H26" s="67">
        <f>PRODUCT(0.14,F26)</f>
        <v>615.6858400000001</v>
      </c>
      <c r="I26" s="304">
        <f t="shared" ref="I26:I31" si="0">SUM(H26,F26)</f>
        <v>5013.4418400000004</v>
      </c>
      <c r="J26" s="305"/>
    </row>
    <row r="27" spans="1:10" ht="15">
      <c r="A27" s="301" t="s">
        <v>125</v>
      </c>
      <c r="B27" s="302"/>
      <c r="C27" s="303"/>
      <c r="D27" s="67">
        <f>+E19</f>
        <v>4548</v>
      </c>
      <c r="E27" s="74">
        <v>1.3304</v>
      </c>
      <c r="F27" s="73">
        <f>PRODUCT(D27*E27)</f>
        <v>6050.6592000000001</v>
      </c>
      <c r="G27">
        <v>14</v>
      </c>
      <c r="H27" s="67">
        <f>PRODUCT(0.14,F27)</f>
        <v>847.09228800000005</v>
      </c>
      <c r="I27" s="304">
        <f>SUM(H27,F27)</f>
        <v>6897.7514879999999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65632.884399999995</v>
      </c>
      <c r="G32" s="85"/>
      <c r="H32" s="86"/>
      <c r="I32" s="313">
        <f>SUM(I25:J31)</f>
        <v>74767.508216000002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5" zoomScaleNormal="100" workbookViewId="0">
      <selection activeCell="G12" sqref="G12:H1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44467</v>
      </c>
      <c r="D8" s="350"/>
      <c r="E8" s="113">
        <v>44862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1046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29"/>
      <c r="H17" s="330"/>
      <c r="I17" s="329">
        <f>+E17</f>
        <v>244745</v>
      </c>
      <c r="J17" s="330"/>
    </row>
    <row r="18" spans="1:10">
      <c r="A18" s="327" t="s">
        <v>111</v>
      </c>
      <c r="B18" s="328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29"/>
      <c r="H18" s="330"/>
      <c r="I18" s="329">
        <f>+E18</f>
        <v>159595</v>
      </c>
      <c r="J18" s="330"/>
    </row>
    <row r="19" spans="1:10">
      <c r="A19" s="327" t="s">
        <v>112</v>
      </c>
      <c r="B19" s="328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29"/>
      <c r="H19" s="330"/>
      <c r="I19" s="329">
        <f>+E19</f>
        <v>118312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522652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04">
        <f>SUM(H25,F25)</f>
        <v>265449.44802000001</v>
      </c>
      <c r="J25" s="305"/>
    </row>
    <row r="26" spans="1:10" ht="15">
      <c r="A26" s="301" t="s">
        <v>124</v>
      </c>
      <c r="B26" s="302"/>
      <c r="C26" s="303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04">
        <f t="shared" ref="I26:I31" si="0">SUM(H26,F26)</f>
        <v>127083.90255</v>
      </c>
      <c r="J26" s="305"/>
    </row>
    <row r="27" spans="1:10" ht="15">
      <c r="A27" s="301" t="s">
        <v>125</v>
      </c>
      <c r="B27" s="302"/>
      <c r="C27" s="303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04">
        <f>SUM(H27,F27)</f>
        <v>179438.60467199999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17">
        <f t="shared" si="0"/>
        <v>3451.7321621999999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550972.29053</v>
      </c>
      <c r="G32" s="85"/>
      <c r="H32" s="86"/>
      <c r="I32" s="313">
        <f>SUM(I25:J31)</f>
        <v>628054.43120420002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168665.8</v>
      </c>
      <c r="D8" s="97">
        <v>44805</v>
      </c>
      <c r="E8" s="96">
        <v>168812.4</v>
      </c>
      <c r="F8" s="97">
        <v>44835</v>
      </c>
      <c r="G8" s="98">
        <f>E8-C8</f>
        <v>146.60000000000582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146.60000000000582</v>
      </c>
      <c r="C13" s="397"/>
      <c r="D13" s="397">
        <v>8.7899999999999991</v>
      </c>
      <c r="E13" s="397"/>
      <c r="F13" s="399">
        <f>PRODUCT(D13,B13)</f>
        <v>1288.614000000051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146.60000000000582</v>
      </c>
      <c r="C19" s="397"/>
      <c r="D19" s="397">
        <v>2.61</v>
      </c>
      <c r="E19" s="397"/>
      <c r="F19" s="397">
        <f>PRODUCT(D19,B19)</f>
        <v>382.62600000001515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1694.2400000000662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118.59680000000465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326.85680000000463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2021.0968000000707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44839</v>
      </c>
      <c r="E8" s="96">
        <v>153581</v>
      </c>
      <c r="F8" s="97">
        <v>44840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2022-10-29T16:10:49Z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