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J32" i="2" l="1"/>
  <c r="I32" i="2"/>
  <c r="H32" i="2"/>
  <c r="F32" i="2"/>
  <c r="E32" i="2"/>
  <c r="J31" i="2"/>
  <c r="I31" i="2"/>
  <c r="H31" i="2"/>
  <c r="F31" i="2"/>
  <c r="E31" i="2"/>
  <c r="L32" i="3"/>
  <c r="K32" i="3"/>
  <c r="I32" i="3"/>
  <c r="G32" i="3"/>
  <c r="E32" i="3"/>
  <c r="L31" i="3"/>
  <c r="K31" i="3"/>
  <c r="I31" i="3"/>
  <c r="G31" i="3"/>
  <c r="E31" i="3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K39" i="1" l="1"/>
  <c r="J39" i="1"/>
  <c r="I39" i="1"/>
  <c r="I40" i="1" s="1"/>
  <c r="H39" i="1"/>
  <c r="H40" i="1" s="1"/>
  <c r="G39" i="1"/>
  <c r="F39" i="1"/>
  <c r="E39" i="1"/>
  <c r="C39" i="1"/>
  <c r="B39" i="1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<sst xmlns="http://schemas.openxmlformats.org/spreadsheetml/2006/main" count="107" uniqueCount="38">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</sst>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28" sqref="Q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9411</v>
      </c>
      <c r="F14" s="22">
        <v>0.11799999999999999</v>
      </c>
      <c r="G14" s="24">
        <f>(('10 - 2020'!E20-'10 - 2020'!E19)+('10 - 2020'!F20-'10 - 2020'!F19)+('10 - 2020'!G20-'10 - 2020'!G19))*1.81</f>
        <v>98.626900000002081</v>
      </c>
      <c r="H14" s="22">
        <v>0.99</v>
      </c>
      <c r="I14" s="24">
        <f>'10 - 2020'!J20-'10 - 2020'!J19</f>
        <v>27642</v>
      </c>
      <c r="J14" s="22">
        <v>8.1000000000000003E-2</v>
      </c>
      <c r="K14" s="56">
        <f>'10 - 2020'!H20-'10 - 2020'!H19</f>
        <v>0</v>
      </c>
      <c r="L14" s="24">
        <f>'10 - 2020'!I20-'10 - 2020'!I19</f>
        <v>61</v>
      </c>
      <c r="M14" s="23">
        <v>4.393629424766913</v>
      </c>
      <c r="N14" s="24">
        <v>32</v>
      </c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8851</v>
      </c>
      <c r="F15" s="22">
        <v>0.11799999999999999</v>
      </c>
      <c r="G15" s="24">
        <f>(('10 - 2020'!E21-'10 - 2020'!E20)+('10 - 2020'!F21-'10 - 2020'!F20)+('10 - 2020'!G21-'10 - 2020'!G20))*1.81</f>
        <v>85.051899999997133</v>
      </c>
      <c r="H15" s="22">
        <v>0.99</v>
      </c>
      <c r="I15" s="24">
        <f>'10 - 2020'!J21-'10 - 2020'!J20</f>
        <v>24040</v>
      </c>
      <c r="J15" s="22">
        <v>8.1000000000000003E-2</v>
      </c>
      <c r="K15" s="56">
        <f>'10 - 2020'!H21-'10 - 2020'!H20</f>
        <v>0</v>
      </c>
      <c r="L15" s="24">
        <f>'10 - 2020'!I21-'10 - 2020'!I20</f>
        <v>64</v>
      </c>
      <c r="M15" s="23">
        <v>4.393629424766913</v>
      </c>
      <c r="N15" s="24">
        <v>34</v>
      </c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8058</v>
      </c>
      <c r="F16" s="22">
        <v>0.11799999999999999</v>
      </c>
      <c r="G16" s="24">
        <f>(('10 - 2020'!E22-'10 - 2020'!E21)+('10 - 2020'!F22-'10 - 2020'!F21)+('10 - 2020'!G22-'10 - 2020'!G21))*1.81</f>
        <v>84.128800000002499</v>
      </c>
      <c r="H16" s="22">
        <v>0.99</v>
      </c>
      <c r="I16" s="24">
        <f>'10 - 2020'!J22-'10 - 2020'!J21</f>
        <v>18639</v>
      </c>
      <c r="J16" s="22">
        <v>8.1000000000000003E-2</v>
      </c>
      <c r="K16" s="56">
        <f>'10 - 2020'!H22-'10 - 2020'!H21</f>
        <v>0</v>
      </c>
      <c r="L16" s="24">
        <f>'10 - 2020'!I22-'10 - 2020'!I21</f>
        <v>48</v>
      </c>
      <c r="M16" s="23">
        <v>4.393629424766913</v>
      </c>
      <c r="N16" s="24">
        <v>30</v>
      </c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9144</v>
      </c>
      <c r="F17" s="22">
        <v>0.11799999999999999</v>
      </c>
      <c r="G17" s="24">
        <f>(('10 - 2020'!E23-'10 - 2020'!E22)+('10 - 2020'!F23-'10 - 2020'!F22)+('10 - 2020'!G23-'10 - 2020'!G22))*1.81</f>
        <v>100.87130000000003</v>
      </c>
      <c r="H17" s="22">
        <v>0.99</v>
      </c>
      <c r="I17" s="24">
        <f>'10 - 2020'!J23-'10 - 2020'!J22</f>
        <v>20112</v>
      </c>
      <c r="J17" s="22">
        <v>8.1000000000000003E-2</v>
      </c>
      <c r="K17" s="56">
        <f>'10 - 2020'!H23-'10 - 2020'!H22</f>
        <v>0</v>
      </c>
      <c r="L17" s="24">
        <f>'10 - 2020'!I23-'10 - 2020'!I22</f>
        <v>60</v>
      </c>
      <c r="M17" s="23">
        <v>4.393629424766913</v>
      </c>
      <c r="N17" s="24">
        <v>36</v>
      </c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9279</v>
      </c>
      <c r="F18" s="22">
        <v>0.11799999999999999</v>
      </c>
      <c r="G18" s="24">
        <f>(('10 - 2020'!E24-'10 - 2020'!E23)+('10 - 2020'!F24-'10 - 2020'!F23)+('10 - 2020'!G24-'10 - 2020'!G23))*1.81</f>
        <v>103.78540000000027</v>
      </c>
      <c r="H18" s="22">
        <v>0.99</v>
      </c>
      <c r="I18" s="24">
        <f>'10 - 2020'!J24-'10 - 2020'!J23</f>
        <v>21095</v>
      </c>
      <c r="J18" s="22">
        <v>8.1000000000000003E-2</v>
      </c>
      <c r="K18" s="56">
        <f>'10 - 2020'!H24-'10 - 2020'!H23</f>
        <v>0</v>
      </c>
      <c r="L18" s="24">
        <f>'10 - 2020'!I24-'10 - 2020'!I23</f>
        <v>67</v>
      </c>
      <c r="M18" s="23">
        <v>4.393629424766913</v>
      </c>
      <c r="N18" s="24">
        <v>39</v>
      </c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8604</v>
      </c>
      <c r="F19" s="22">
        <v>0.11799999999999999</v>
      </c>
      <c r="G19" s="24">
        <f>(('10 - 2020'!E25-'10 - 2020'!E24)+('10 - 2020'!F25-'10 - 2020'!F24)+('10 - 2020'!G25-'10 - 2020'!G24))*1.81</f>
        <v>100.92560000000122</v>
      </c>
      <c r="H19" s="22">
        <v>0.99</v>
      </c>
      <c r="I19" s="24">
        <f>'10 - 2020'!J25-'10 - 2020'!J24</f>
        <v>21817</v>
      </c>
      <c r="J19" s="22">
        <v>8.1000000000000003E-2</v>
      </c>
      <c r="K19" s="56">
        <f>'10 - 2020'!H25-'10 - 2020'!H24</f>
        <v>0</v>
      </c>
      <c r="L19" s="24">
        <f>'10 - 2020'!I25-'10 - 2020'!I24</f>
        <v>78</v>
      </c>
      <c r="M19" s="23">
        <v>4.393629424766913</v>
      </c>
      <c r="N19" s="49">
        <v>33</v>
      </c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8630</v>
      </c>
      <c r="F20" s="22">
        <v>0.11799999999999999</v>
      </c>
      <c r="G20" s="24">
        <f>(('10 - 2020'!E26-'10 - 2020'!E25)+('10 - 2020'!F26-'10 - 2020'!F25)+('10 - 2020'!G26-'10 - 2020'!G25))*1.81</f>
        <v>85.395799999997237</v>
      </c>
      <c r="H20" s="22">
        <v>0.99</v>
      </c>
      <c r="I20" s="24">
        <f>'10 - 2020'!J26-'10 - 2020'!J25</f>
        <v>17889</v>
      </c>
      <c r="J20" s="22">
        <v>8.1000000000000003E-2</v>
      </c>
      <c r="K20" s="56">
        <f>'10 - 2020'!H26-'10 - 2020'!H25</f>
        <v>0</v>
      </c>
      <c r="L20" s="24">
        <f>'10 - 2020'!I26-'10 - 2020'!I25</f>
        <v>63</v>
      </c>
      <c r="M20" s="23">
        <v>4.393629424766913</v>
      </c>
      <c r="N20" s="49">
        <v>27</v>
      </c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9138</v>
      </c>
      <c r="F21" s="22">
        <v>0.11799999999999999</v>
      </c>
      <c r="G21" s="24">
        <f>(('10 - 2020'!E27-'10 - 2020'!E26)+('10 - 2020'!F27-'10 - 2020'!F26)+('10 - 2020'!G27-'10 - 2020'!G26))*1.81</f>
        <v>88.092700000000136</v>
      </c>
      <c r="H21" s="22">
        <v>0.99</v>
      </c>
      <c r="I21" s="24">
        <f>'10 - 2020'!J27-'10 - 2020'!J26</f>
        <v>19497</v>
      </c>
      <c r="J21" s="22">
        <v>8.1000000000000003E-2</v>
      </c>
      <c r="K21" s="56">
        <f>'10 - 2020'!H27-'10 - 2020'!H26</f>
        <v>0</v>
      </c>
      <c r="L21" s="24">
        <f>'10 - 2020'!I27-'10 - 2020'!I26</f>
        <v>79</v>
      </c>
      <c r="M21" s="23">
        <v>4.393629424766913</v>
      </c>
      <c r="N21" s="49">
        <v>30</v>
      </c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8970</v>
      </c>
      <c r="F22" s="22">
        <v>0.11799999999999999</v>
      </c>
      <c r="G22" s="24">
        <f>(('10 - 2020'!E28-'10 - 2020'!E27)+('10 - 2020'!F28-'10 - 2020'!F27)+('10 - 2020'!G28-'10 - 2020'!G27))*1.81</f>
        <v>92.889199999997004</v>
      </c>
      <c r="H22" s="22">
        <v>0.99</v>
      </c>
      <c r="I22" s="24">
        <f>'10 - 2020'!J28-'10 - 2020'!J27</f>
        <v>19890</v>
      </c>
      <c r="J22" s="22">
        <v>8.1000000000000003E-2</v>
      </c>
      <c r="K22" s="56">
        <f>'10 - 2020'!H28-'10 - 2020'!H27</f>
        <v>0</v>
      </c>
      <c r="L22" s="24">
        <f>'10 - 2020'!I28-'10 - 2020'!I27</f>
        <v>49</v>
      </c>
      <c r="M22" s="23">
        <v>4.393629424766913</v>
      </c>
      <c r="N22" s="49">
        <v>34</v>
      </c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9178</v>
      </c>
      <c r="F23" s="22">
        <v>0.11799999999999999</v>
      </c>
      <c r="G23" s="24">
        <f>(('10 - 2020'!E29-'10 - 2020'!E28)+('10 - 2020'!F29-'10 - 2020'!F28)+('10 - 2020'!G29-'10 - 2020'!G28))*1.81</f>
        <v>93.522700000002601</v>
      </c>
      <c r="H23" s="22">
        <v>0.99</v>
      </c>
      <c r="I23" s="24">
        <f>'10 - 2020'!J29-'10 - 2020'!J28</f>
        <v>20228</v>
      </c>
      <c r="J23" s="22">
        <v>8.1000000000000003E-2</v>
      </c>
      <c r="K23" s="56">
        <f>'10 - 2020'!H29-'10 - 2020'!H28</f>
        <v>0</v>
      </c>
      <c r="L23" s="24">
        <f>'10 - 2020'!I29-'10 - 2020'!I28</f>
        <v>56</v>
      </c>
      <c r="M23" s="23">
        <v>4.393629424766913</v>
      </c>
      <c r="N23" s="49">
        <v>31</v>
      </c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8561</v>
      </c>
      <c r="F24" s="22">
        <v>0.11799999999999999</v>
      </c>
      <c r="G24" s="24">
        <f>(('10 - 2020'!E30-'10 - 2020'!E29)+('10 - 2020'!F30-'10 - 2020'!F29)+('10 - 2020'!G30-'10 - 2020'!G29))*1.81</f>
        <v>96.509200000000305</v>
      </c>
      <c r="H24" s="22">
        <v>0.99</v>
      </c>
      <c r="I24" s="24">
        <f>'10 - 2020'!J30-'10 - 2020'!J29</f>
        <v>23484</v>
      </c>
      <c r="J24" s="22">
        <v>8.1000000000000003E-2</v>
      </c>
      <c r="K24" s="56">
        <f>'10 - 2020'!H30-'10 - 2020'!H29</f>
        <v>0</v>
      </c>
      <c r="L24" s="24">
        <f>'10 - 2020'!I30-'10 - 2020'!I29</f>
        <v>67</v>
      </c>
      <c r="M24" s="23">
        <v>4.393629424766913</v>
      </c>
      <c r="N24" s="49">
        <v>37</v>
      </c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8878</v>
      </c>
      <c r="F25" s="22">
        <v>0.11799999999999999</v>
      </c>
      <c r="G25" s="24">
        <f>(('10 - 2020'!E31-'10 - 2020'!E30)+('10 - 2020'!F31-'10 - 2020'!F30)+('10 - 2020'!G31-'10 - 2020'!G30))*1.81</f>
        <v>89.558800000000858</v>
      </c>
      <c r="H25" s="22">
        <v>0.99</v>
      </c>
      <c r="I25" s="24">
        <f>'10 - 2020'!J31-'10 - 2020'!J30</f>
        <v>20592</v>
      </c>
      <c r="J25" s="22">
        <v>8.1000000000000003E-2</v>
      </c>
      <c r="K25" s="56">
        <f>'10 - 2020'!H31-'10 - 2020'!H30</f>
        <v>0</v>
      </c>
      <c r="L25" s="24">
        <f>'10 - 2020'!I31-'10 - 2020'!I30</f>
        <v>67</v>
      </c>
      <c r="M25" s="23">
        <v>4.3936294247669103</v>
      </c>
      <c r="N25" s="49">
        <v>45</v>
      </c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8666</v>
      </c>
      <c r="F26" s="22">
        <v>0.11799999999999999</v>
      </c>
      <c r="G26" s="24">
        <f>(('10 - 2020'!E32-'10 - 2020'!E31)+('10 - 2020'!F32-'10 - 2020'!F31)+('10 - 2020'!G32-'10 - 2020'!G31))*1.81</f>
        <v>84.32790000000027</v>
      </c>
      <c r="H26" s="22">
        <v>0.99</v>
      </c>
      <c r="I26" s="24">
        <f>'10 - 2020'!J32-'10 - 2020'!J31</f>
        <v>18529</v>
      </c>
      <c r="J26" s="22">
        <v>8.1000000000000003E-2</v>
      </c>
      <c r="K26" s="56">
        <f>'10 - 2020'!H32-'10 - 2020'!H31</f>
        <v>0</v>
      </c>
      <c r="L26" s="24">
        <f>'10 - 2020'!I32-'10 - 2020'!I31</f>
        <v>77</v>
      </c>
      <c r="M26" s="23">
        <v>4.3936294247669103</v>
      </c>
      <c r="N26" s="49">
        <v>48</v>
      </c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8522</v>
      </c>
      <c r="F27" s="22">
        <v>0.11799999999999999</v>
      </c>
      <c r="G27" s="24">
        <f>(('10 - 2020'!E33-'10 - 2020'!E32)+('10 - 2020'!F33-'10 - 2020'!F32)+('10 - 2020'!G33-'10 - 2020'!G32))*1.81</f>
        <v>93.450300000000198</v>
      </c>
      <c r="H27" s="22">
        <v>0.99</v>
      </c>
      <c r="I27" s="24">
        <f>'10 - 2020'!J33-'10 - 2020'!J32</f>
        <v>20324</v>
      </c>
      <c r="J27" s="22">
        <v>8.1000000000000003E-2</v>
      </c>
      <c r="K27" s="56">
        <f>'10 - 2020'!H33-'10 - 2020'!H32</f>
        <v>0</v>
      </c>
      <c r="L27" s="24">
        <f>'10 - 2020'!I33-'10 - 2020'!I32</f>
        <v>57</v>
      </c>
      <c r="M27" s="23">
        <v>4.3936294247669103</v>
      </c>
      <c r="N27" s="49">
        <v>46</v>
      </c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8536</v>
      </c>
      <c r="F28" s="22">
        <v>0.11799999999999999</v>
      </c>
      <c r="G28" s="24">
        <f>(('10 - 2020'!E34-'10 - 2020'!E33)+('10 - 2020'!F34-'10 - 2020'!F33)+('10 - 2020'!G34-'10 - 2020'!G33))*1.81</f>
        <v>97.215100000000064</v>
      </c>
      <c r="H28" s="22">
        <v>0.99</v>
      </c>
      <c r="I28" s="24">
        <f>'10 - 2020'!J34-'10 - 2020'!J33</f>
        <v>17543</v>
      </c>
      <c r="J28" s="22">
        <v>8.1000000000000003E-2</v>
      </c>
      <c r="K28" s="56">
        <f>'10 - 2020'!H34-'10 - 2020'!H33</f>
        <v>0</v>
      </c>
      <c r="L28" s="24">
        <f>'10 - 2020'!I34-'10 - 2020'!I33</f>
        <v>61</v>
      </c>
      <c r="M28" s="23">
        <v>4.3936294247669103</v>
      </c>
      <c r="N28" s="49">
        <v>49</v>
      </c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9238</v>
      </c>
      <c r="F29" s="22">
        <v>0.11799999999999999</v>
      </c>
      <c r="G29" s="24">
        <f>(('10 - 2020'!E35-'10 - 2020'!E34)+('10 - 2020'!F35-'10 - 2020'!F34)+('10 - 2020'!G35-'10 - 2020'!G34))*1.81</f>
        <v>96.056699999999481</v>
      </c>
      <c r="H29" s="22">
        <v>0.99</v>
      </c>
      <c r="I29" s="24">
        <f>'10 - 2020'!J35-'10 - 2020'!J34</f>
        <v>18502</v>
      </c>
      <c r="J29" s="22">
        <v>8.1000000000000003E-2</v>
      </c>
      <c r="K29" s="56">
        <f>'10 - 2020'!H35-'10 - 2020'!H34</f>
        <v>0</v>
      </c>
      <c r="L29" s="24">
        <f>'10 - 2020'!I35-'10 - 2020'!I34</f>
        <v>67</v>
      </c>
      <c r="M29" s="23">
        <v>4.3936294247669103</v>
      </c>
      <c r="N29" s="49">
        <v>52</v>
      </c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8855</v>
      </c>
      <c r="F30" s="22">
        <v>0.11799999999999999</v>
      </c>
      <c r="G30" s="24">
        <f>(('10 - 2020'!E36-'10 - 2020'!E35)+('10 - 2020'!F36-'10 - 2020'!F35)+('10 - 2020'!G36-'10 - 2020'!G35))*1.81</f>
        <v>94.12</v>
      </c>
      <c r="H30" s="22">
        <v>0.99</v>
      </c>
      <c r="I30" s="24">
        <f>'10 - 2020'!J36-'10 - 2020'!J35</f>
        <v>19728</v>
      </c>
      <c r="J30" s="22">
        <v>8.1000000000000003E-2</v>
      </c>
      <c r="K30" s="56">
        <f>'10 - 2020'!H36-'10 - 2020'!H35</f>
        <v>0</v>
      </c>
      <c r="L30" s="24">
        <f>'10 - 2020'!I36-'10 - 2020'!I35</f>
        <v>60</v>
      </c>
      <c r="M30" s="23">
        <v>4.3936294247669103</v>
      </c>
      <c r="N30" s="49">
        <v>58</v>
      </c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9058</v>
      </c>
      <c r="F31" s="22">
        <v>0.11799999999999999</v>
      </c>
      <c r="G31" s="24">
        <f>(('10 - 2020'!E37-'10 - 2020'!E36)+('10 - 2020'!F37-'10 - 2020'!F36)+('10 - 2020'!G37-'10 - 2020'!G36))*1.81</f>
        <v>108.60000000000001</v>
      </c>
      <c r="H31" s="22">
        <v>0.99</v>
      </c>
      <c r="I31" s="24">
        <f>'10 - 2020'!J37-'10 - 2020'!J36</f>
        <v>21571</v>
      </c>
      <c r="J31" s="22">
        <v>8.1000000000000003E-2</v>
      </c>
      <c r="K31" s="56">
        <f>'10 - 2020'!H37-'10 - 2020'!H36</f>
        <v>0</v>
      </c>
      <c r="L31" s="24">
        <f>'10 - 2020'!I37-'10 - 2020'!I36</f>
        <v>76</v>
      </c>
      <c r="M31" s="23">
        <v>4.3936294247669103</v>
      </c>
      <c r="N31" s="50">
        <v>75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9239</v>
      </c>
      <c r="F32" s="22">
        <v>0.11799999999999999</v>
      </c>
      <c r="G32" s="24">
        <f>(('10 - 2020'!E38-'10 - 2020'!E37)+('10 - 2020'!F38-'10 - 2020'!F37)+('10 - 2020'!G38-'10 - 2020'!G37))*1.81</f>
        <v>101.36</v>
      </c>
      <c r="H32" s="22">
        <v>0.99</v>
      </c>
      <c r="I32" s="24">
        <f>'10 - 2020'!J38-'10 - 2020'!J37</f>
        <v>21351</v>
      </c>
      <c r="J32" s="22">
        <v>8.1000000000000003E-2</v>
      </c>
      <c r="K32" s="56">
        <f>'10 - 2020'!H38-'10 - 2020'!H37</f>
        <v>0</v>
      </c>
      <c r="L32" s="24">
        <f>'10 - 2020'!I38-'10 - 2020'!I37</f>
        <v>84</v>
      </c>
      <c r="M32" s="23">
        <v>4.3936294247669103</v>
      </c>
      <c r="N32" s="50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8" sqref="N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3303</v>
      </c>
      <c r="F14" s="24">
        <f>'10 - 2020'!C20-'10 - 2020'!C19</f>
        <v>6108</v>
      </c>
      <c r="G14" s="22">
        <v>0.11799999999999999</v>
      </c>
      <c r="H14" s="24">
        <f>'10 - 2020'!E20-'10 - 2020'!E19</f>
        <v>23.329999999999927</v>
      </c>
      <c r="I14" s="24">
        <f>'10 - 2020'!F20-'10 - 2020'!F19</f>
        <v>4.2800000000002001</v>
      </c>
      <c r="J14" s="24">
        <f>'10 - 2020'!G20-'10 - 2020'!G19</f>
        <v>26.880000000001019</v>
      </c>
      <c r="K14" s="22">
        <v>0.74</v>
      </c>
      <c r="L14" s="24">
        <v>32</v>
      </c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3112</v>
      </c>
      <c r="F15" s="24">
        <f>'10 - 2020'!C21-'10 - 2020'!C20</f>
        <v>5739</v>
      </c>
      <c r="G15" s="22">
        <v>0.11799999999999999</v>
      </c>
      <c r="H15" s="24">
        <f>'10 - 2020'!E21-'10 - 2020'!E20</f>
        <v>16.489999999999782</v>
      </c>
      <c r="I15" s="24">
        <f>'10 - 2020'!F21-'10 - 2020'!F20</f>
        <v>4.5599999999999454</v>
      </c>
      <c r="J15" s="24">
        <f>'10 - 2020'!G21-'10 - 2020'!G20</f>
        <v>25.93999999999869</v>
      </c>
      <c r="K15" s="22">
        <v>0.74</v>
      </c>
      <c r="L15" s="24">
        <v>34</v>
      </c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2882</v>
      </c>
      <c r="F16" s="24">
        <f>'10 - 2020'!C22-'10 - 2020'!C21</f>
        <v>5176</v>
      </c>
      <c r="G16" s="22">
        <v>0.11799999999999999</v>
      </c>
      <c r="H16" s="24">
        <f>'10 - 2020'!E22-'10 - 2020'!E21</f>
        <v>18.709999999999127</v>
      </c>
      <c r="I16" s="24">
        <f>'10 - 2020'!F22-'10 - 2020'!F21</f>
        <v>4.3299999999999272</v>
      </c>
      <c r="J16" s="24">
        <f>'10 - 2020'!G22-'10 - 2020'!G21</f>
        <v>23.440000000002328</v>
      </c>
      <c r="K16" s="22">
        <v>0.74</v>
      </c>
      <c r="L16" s="24">
        <v>30</v>
      </c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3184</v>
      </c>
      <c r="F17" s="24">
        <f>'10 - 2020'!C23-'10 - 2020'!C22</f>
        <v>5960</v>
      </c>
      <c r="G17" s="22">
        <v>0.11799999999999999</v>
      </c>
      <c r="H17" s="24">
        <f>'10 - 2020'!E23-'10 - 2020'!E22</f>
        <v>22.090000000000146</v>
      </c>
      <c r="I17" s="24">
        <f>'10 - 2020'!F23-'10 - 2020'!F22</f>
        <v>6.7300000000000182</v>
      </c>
      <c r="J17" s="24">
        <f>'10 - 2020'!G23-'10 - 2020'!G22</f>
        <v>26.909999999999854</v>
      </c>
      <c r="K17" s="22">
        <v>0.74</v>
      </c>
      <c r="L17" s="24">
        <v>36</v>
      </c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3171</v>
      </c>
      <c r="F18" s="24">
        <f>'10 - 2020'!C24-'10 - 2020'!C23</f>
        <v>6108</v>
      </c>
      <c r="G18" s="22">
        <v>0.11799999999999999</v>
      </c>
      <c r="H18" s="24">
        <f>'10 - 2020'!E24-'10 - 2020'!E23</f>
        <v>23.8700000000008</v>
      </c>
      <c r="I18" s="24">
        <f>'10 - 2020'!F24-'10 - 2020'!F23</f>
        <v>2.4200000000000728</v>
      </c>
      <c r="J18" s="24">
        <f>'10 - 2020'!G24-'10 - 2020'!G23</f>
        <v>31.049999999999272</v>
      </c>
      <c r="K18" s="22">
        <v>0.74</v>
      </c>
      <c r="L18" s="24">
        <v>39</v>
      </c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2916</v>
      </c>
      <c r="F19" s="24">
        <f>'10 - 2020'!C25-'10 - 2020'!C24</f>
        <v>5688</v>
      </c>
      <c r="G19" s="22">
        <v>0.11799999999999999</v>
      </c>
      <c r="H19" s="24">
        <f>'10 - 2020'!E25-'10 - 2020'!E24</f>
        <v>23.659999999999854</v>
      </c>
      <c r="I19" s="24">
        <f>'10 - 2020'!F25-'10 - 2020'!F24</f>
        <v>4.1299999999996544</v>
      </c>
      <c r="J19" s="24">
        <f>'10 - 2020'!G25-'10 - 2020'!G24</f>
        <v>27.970000000001164</v>
      </c>
      <c r="K19" s="22">
        <v>0.74</v>
      </c>
      <c r="L19" s="24">
        <v>33</v>
      </c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3060</v>
      </c>
      <c r="F20" s="24">
        <f>'10 - 2020'!C26-'10 - 2020'!C25</f>
        <v>5570</v>
      </c>
      <c r="G20" s="22">
        <v>0.11799999999999999</v>
      </c>
      <c r="H20" s="24">
        <f>'10 - 2020'!E26-'10 - 2020'!E25</f>
        <v>15.700000000000728</v>
      </c>
      <c r="I20" s="24">
        <f>'10 - 2020'!F26-'10 - 2020'!F25</f>
        <v>4.4200000000000728</v>
      </c>
      <c r="J20" s="24">
        <f>'10 - 2020'!G26-'10 - 2020'!G25</f>
        <v>27.059999999997672</v>
      </c>
      <c r="K20" s="22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3238</v>
      </c>
      <c r="F21" s="24">
        <f>'10 - 2020'!C27-'10 - 2020'!C26</f>
        <v>5900</v>
      </c>
      <c r="G21" s="22">
        <v>0.11799999999999999</v>
      </c>
      <c r="H21" s="24">
        <f>'10 - 2020'!E27-'10 - 2020'!E26</f>
        <v>17.609999999998763</v>
      </c>
      <c r="I21" s="24">
        <f>'10 - 2020'!F27-'10 - 2020'!F26</f>
        <v>5.0900000000001455</v>
      </c>
      <c r="J21" s="24">
        <f>'10 - 2020'!G27-'10 - 2020'!G26</f>
        <v>25.970000000001164</v>
      </c>
      <c r="K21" s="22">
        <v>0.74</v>
      </c>
      <c r="L21" s="6">
        <v>30</v>
      </c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3273</v>
      </c>
      <c r="F22" s="24">
        <f>'10 - 2020'!C28-'10 - 2020'!C27</f>
        <v>5697</v>
      </c>
      <c r="G22" s="22">
        <v>0.11799999999999999</v>
      </c>
      <c r="H22" s="24">
        <f>'10 - 2020'!E28-'10 - 2020'!E27</f>
        <v>19.489999999999782</v>
      </c>
      <c r="I22" s="24">
        <f>'10 - 2020'!F28-'10 - 2020'!F27</f>
        <v>4.2300000000000182</v>
      </c>
      <c r="J22" s="24">
        <f>'10 - 2020'!G28-'10 - 2020'!G27</f>
        <v>27.599999999998545</v>
      </c>
      <c r="K22" s="22">
        <v>0.74</v>
      </c>
      <c r="L22" s="24">
        <v>34</v>
      </c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3304</v>
      </c>
      <c r="F23" s="24">
        <f>'10 - 2020'!C29-'10 - 2020'!C28</f>
        <v>5874</v>
      </c>
      <c r="G23" s="22">
        <v>0.11799999999999999</v>
      </c>
      <c r="H23" s="24">
        <f>'10 - 2020'!E29-'10 - 2020'!E28</f>
        <v>21.380000000001019</v>
      </c>
      <c r="I23" s="24">
        <f>'10 - 2020'!F29-'10 - 2020'!F28</f>
        <v>4.1100000000001273</v>
      </c>
      <c r="J23" s="24">
        <f>'10 - 2020'!G29-'10 - 2020'!G28</f>
        <v>26.180000000000291</v>
      </c>
      <c r="K23" s="22">
        <v>0.74</v>
      </c>
      <c r="L23" s="24">
        <v>31</v>
      </c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3275</v>
      </c>
      <c r="F24" s="24">
        <f>'10 - 2020'!C30-'10 - 2020'!C29</f>
        <v>5286</v>
      </c>
      <c r="G24" s="22">
        <v>0.11799999999999999</v>
      </c>
      <c r="H24" s="24">
        <f>'10 - 2020'!E30-'10 - 2020'!E29</f>
        <v>22.219999999999345</v>
      </c>
      <c r="I24" s="24">
        <f>'10 - 2020'!F30-'10 - 2020'!F29</f>
        <v>4.3799999999996544</v>
      </c>
      <c r="J24" s="24">
        <f>'10 - 2020'!G30-'10 - 2020'!G29</f>
        <v>26.720000000001164</v>
      </c>
      <c r="K24" s="22">
        <v>0.74</v>
      </c>
      <c r="L24" s="24">
        <v>37</v>
      </c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3193</v>
      </c>
      <c r="F25" s="24">
        <f>'10 - 2020'!C31-'10 - 2020'!C30</f>
        <v>5685</v>
      </c>
      <c r="G25" s="22">
        <v>0.11799999999999999</v>
      </c>
      <c r="H25" s="24">
        <f>'10 - 2020'!E31-'10 - 2020'!E30</f>
        <v>18.180000000000291</v>
      </c>
      <c r="I25" s="24">
        <f>'10 - 2020'!F31-'10 - 2020'!F30</f>
        <v>4.3000000000001819</v>
      </c>
      <c r="J25" s="24">
        <f>'10 - 2020'!G31-'10 - 2020'!G30</f>
        <v>27</v>
      </c>
      <c r="K25" s="22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3152</v>
      </c>
      <c r="F26" s="24">
        <f>'10 - 2020'!C32-'10 - 2020'!C31</f>
        <v>5514</v>
      </c>
      <c r="G26" s="22">
        <v>0.11799999999999999</v>
      </c>
      <c r="H26" s="24">
        <f>'10 - 2020'!E32-'10 - 2020'!E31</f>
        <v>16.180000000000291</v>
      </c>
      <c r="I26" s="24">
        <f>'10 - 2020'!F32-'10 - 2020'!F31</f>
        <v>4</v>
      </c>
      <c r="J26" s="24">
        <f>'10 - 2020'!G32-'10 - 2020'!G31</f>
        <v>26.409999999999854</v>
      </c>
      <c r="K26" s="22">
        <v>0.74</v>
      </c>
      <c r="L26" s="6">
        <v>48</v>
      </c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3050</v>
      </c>
      <c r="F27" s="24">
        <f>'10 - 2020'!C33-'10 - 2020'!C32</f>
        <v>5472</v>
      </c>
      <c r="G27" s="22">
        <v>0.11799999999999999</v>
      </c>
      <c r="H27" s="24">
        <f>'10 - 2020'!E33-'10 - 2020'!E32</f>
        <v>20.020000000000437</v>
      </c>
      <c r="I27" s="24">
        <f>'10 - 2020'!F33-'10 - 2020'!F32</f>
        <v>4.3800000000001091</v>
      </c>
      <c r="J27" s="24">
        <f>'10 - 2020'!G33-'10 - 2020'!G32</f>
        <v>27.229999999999563</v>
      </c>
      <c r="K27" s="22">
        <v>0.74</v>
      </c>
      <c r="L27" s="24">
        <v>46</v>
      </c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3063</v>
      </c>
      <c r="F28" s="24">
        <f>'10 - 2020'!C34-'10 - 2020'!C33</f>
        <v>5473</v>
      </c>
      <c r="G28" s="22">
        <v>0.11799999999999999</v>
      </c>
      <c r="H28" s="24">
        <f>'10 - 2020'!E34-'10 - 2020'!E33</f>
        <v>21.729999999999563</v>
      </c>
      <c r="I28" s="24">
        <f>'10 - 2020'!F34-'10 - 2020'!F33</f>
        <v>4.6199999999998909</v>
      </c>
      <c r="J28" s="24">
        <f>'10 - 2020'!G34-'10 - 2020'!G33</f>
        <v>27.360000000000582</v>
      </c>
      <c r="K28" s="22">
        <v>0.74</v>
      </c>
      <c r="L28" s="6">
        <v>49</v>
      </c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3673</v>
      </c>
      <c r="F29" s="24">
        <f>'10 - 2020'!C35-'10 - 2020'!C34</f>
        <v>5565</v>
      </c>
      <c r="G29" s="22">
        <v>0.11799999999999999</v>
      </c>
      <c r="H29" s="24">
        <f>'10 - 2020'!E35-'10 - 2020'!E34</f>
        <v>21.069999999999709</v>
      </c>
      <c r="I29" s="24">
        <f>'10 - 2020'!F35-'10 - 2020'!F34</f>
        <v>4</v>
      </c>
      <c r="J29" s="24">
        <f>'10 - 2020'!G35-'10 - 2020'!G34</f>
        <v>28</v>
      </c>
      <c r="K29" s="22">
        <v>0.74</v>
      </c>
      <c r="L29" s="6">
        <v>52</v>
      </c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3314</v>
      </c>
      <c r="F30" s="24">
        <f>'10 - 2020'!C36-'10 - 2020'!C35</f>
        <v>5541</v>
      </c>
      <c r="G30" s="22">
        <v>0.11799999999999999</v>
      </c>
      <c r="H30" s="24">
        <f>'10 - 2020'!E36-'10 - 2020'!E35</f>
        <v>19</v>
      </c>
      <c r="I30" s="24">
        <f>'10 - 2020'!F36-'10 - 2020'!F35</f>
        <v>4</v>
      </c>
      <c r="J30" s="24">
        <f>'10 - 2020'!G36-'10 - 2020'!G35</f>
        <v>29</v>
      </c>
      <c r="K30" s="22">
        <v>0.74</v>
      </c>
      <c r="L30" s="6">
        <v>58</v>
      </c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3384</v>
      </c>
      <c r="F31" s="24">
        <f>'10 - 2020'!C37-'10 - 2020'!C36</f>
        <v>5674</v>
      </c>
      <c r="G31" s="22">
        <v>0.11799999999999999</v>
      </c>
      <c r="H31" s="24">
        <f>'10 - 2020'!E37-'10 - 2020'!E36</f>
        <v>25</v>
      </c>
      <c r="I31" s="24">
        <f>'10 - 2020'!F37-'10 - 2020'!F36</f>
        <v>5</v>
      </c>
      <c r="J31" s="24">
        <f>'10 - 2020'!G37-'10 - 2020'!G36</f>
        <v>30</v>
      </c>
      <c r="K31" s="22">
        <v>0.74</v>
      </c>
      <c r="L31" s="24">
        <v>75</v>
      </c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3548</v>
      </c>
      <c r="F32" s="24">
        <f>'10 - 2020'!C38-'10 - 2020'!C37</f>
        <v>5691</v>
      </c>
      <c r="G32" s="22">
        <v>0.11799999999999999</v>
      </c>
      <c r="H32" s="24">
        <f>'10 - 2020'!E38-'10 - 2020'!E37</f>
        <v>21</v>
      </c>
      <c r="I32" s="24">
        <f>'10 - 2020'!F38-'10 - 2020'!F37</f>
        <v>4</v>
      </c>
      <c r="J32" s="24">
        <f>'10 - 2020'!G38-'10 - 2020'!G37</f>
        <v>31</v>
      </c>
      <c r="K32" s="22">
        <v>0.74</v>
      </c>
      <c r="L32" s="24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0" zoomScaleNormal="100" workbookViewId="0">
      <selection activeCell="D39" sqref="D3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>
        <v>944508</v>
      </c>
      <c r="C20" s="57">
        <v>1514854</v>
      </c>
      <c r="D20" s="16">
        <v>0.85</v>
      </c>
      <c r="E20" s="58">
        <v>12632.6</v>
      </c>
      <c r="F20" s="21">
        <v>2505.3000000000002</v>
      </c>
      <c r="G20" s="58">
        <v>22091.16</v>
      </c>
      <c r="H20" s="15">
        <v>14528</v>
      </c>
      <c r="I20" s="57">
        <v>99701</v>
      </c>
      <c r="J20" s="57">
        <v>42469881</v>
      </c>
      <c r="K20" s="18">
        <v>3500</v>
      </c>
      <c r="L20" s="30"/>
      <c r="M20" s="46"/>
    </row>
    <row r="21" spans="1:16" ht="12.75" customHeight="1" x14ac:dyDescent="0.25">
      <c r="A21" s="45">
        <v>44118</v>
      </c>
      <c r="B21" s="57">
        <v>947620</v>
      </c>
      <c r="C21" s="57">
        <v>1520593</v>
      </c>
      <c r="D21" s="16">
        <v>0.8</v>
      </c>
      <c r="E21" s="58">
        <v>12649.09</v>
      </c>
      <c r="F21" s="21">
        <v>2509.86</v>
      </c>
      <c r="G21" s="58">
        <v>22117.1</v>
      </c>
      <c r="H21" s="15">
        <v>14528</v>
      </c>
      <c r="I21" s="57">
        <v>99765</v>
      </c>
      <c r="J21" s="57">
        <v>42493921</v>
      </c>
      <c r="K21" s="18"/>
      <c r="L21" s="30"/>
      <c r="M21" s="46"/>
    </row>
    <row r="22" spans="1:16" ht="12.75" customHeight="1" x14ac:dyDescent="0.25">
      <c r="A22" s="45">
        <v>44119</v>
      </c>
      <c r="B22" s="57">
        <v>950502</v>
      </c>
      <c r="C22" s="57">
        <v>1525769</v>
      </c>
      <c r="D22" s="16">
        <v>0.74</v>
      </c>
      <c r="E22" s="58">
        <v>12667.8</v>
      </c>
      <c r="F22" s="21">
        <v>2514.19</v>
      </c>
      <c r="G22" s="58">
        <v>22140.54</v>
      </c>
      <c r="H22" s="15">
        <v>14528</v>
      </c>
      <c r="I22" s="58">
        <v>99813</v>
      </c>
      <c r="J22" s="57">
        <v>42512560</v>
      </c>
      <c r="K22" s="25"/>
      <c r="L22" s="30"/>
      <c r="M22" s="46"/>
    </row>
    <row r="23" spans="1:16" ht="12.75" customHeight="1" x14ac:dyDescent="0.25">
      <c r="A23" s="45">
        <v>44120</v>
      </c>
      <c r="B23" s="57">
        <v>953686</v>
      </c>
      <c r="C23" s="57">
        <v>1531729</v>
      </c>
      <c r="D23" s="16">
        <v>0.68</v>
      </c>
      <c r="E23" s="58">
        <v>12689.89</v>
      </c>
      <c r="F23" s="21">
        <v>2520.92</v>
      </c>
      <c r="G23" s="58">
        <v>22167.45</v>
      </c>
      <c r="H23" s="15">
        <v>14528</v>
      </c>
      <c r="I23" s="57">
        <v>99873</v>
      </c>
      <c r="J23" s="57">
        <v>42532672</v>
      </c>
      <c r="K23" s="25"/>
      <c r="L23" s="30"/>
      <c r="M23" s="46"/>
    </row>
    <row r="24" spans="1:16" ht="12.75" customHeight="1" x14ac:dyDescent="0.25">
      <c r="A24" s="45">
        <v>44121</v>
      </c>
      <c r="B24" s="57">
        <v>956857</v>
      </c>
      <c r="C24" s="57">
        <v>1537837</v>
      </c>
      <c r="D24" s="16">
        <v>0.62</v>
      </c>
      <c r="E24" s="58">
        <v>12713.76</v>
      </c>
      <c r="F24" s="21">
        <v>2523.34</v>
      </c>
      <c r="G24" s="58">
        <v>22198.5</v>
      </c>
      <c r="H24" s="15">
        <v>14528</v>
      </c>
      <c r="I24" s="57">
        <v>99940</v>
      </c>
      <c r="J24" s="57">
        <v>42553767</v>
      </c>
      <c r="K24" s="18"/>
      <c r="L24" s="31"/>
      <c r="M24" s="46"/>
    </row>
    <row r="25" spans="1:16" ht="12.75" customHeight="1" x14ac:dyDescent="0.25">
      <c r="A25" s="45">
        <v>44122</v>
      </c>
      <c r="B25" s="58">
        <v>959773</v>
      </c>
      <c r="C25" s="58">
        <v>1543525</v>
      </c>
      <c r="D25" s="26">
        <v>0.55000000000000004</v>
      </c>
      <c r="E25" s="58">
        <v>12737.42</v>
      </c>
      <c r="F25" s="21">
        <v>2527.4699999999998</v>
      </c>
      <c r="G25" s="58">
        <v>22226.47</v>
      </c>
      <c r="H25" s="15">
        <v>14528</v>
      </c>
      <c r="I25" s="57">
        <v>100018</v>
      </c>
      <c r="J25" s="57">
        <v>42575584</v>
      </c>
      <c r="K25" s="25"/>
      <c r="L25" s="31"/>
      <c r="M25" s="46"/>
    </row>
    <row r="26" spans="1:16" ht="12.75" customHeight="1" x14ac:dyDescent="0.25">
      <c r="A26" s="45">
        <v>44123</v>
      </c>
      <c r="B26" s="58">
        <v>962833</v>
      </c>
      <c r="C26" s="58">
        <v>1549095</v>
      </c>
      <c r="D26" s="26">
        <v>0.78</v>
      </c>
      <c r="E26" s="58">
        <v>12753.12</v>
      </c>
      <c r="F26" s="21">
        <v>2531.89</v>
      </c>
      <c r="G26" s="58">
        <v>22253.53</v>
      </c>
      <c r="H26" s="15">
        <v>14528</v>
      </c>
      <c r="I26" s="57">
        <v>100081</v>
      </c>
      <c r="J26" s="57">
        <v>42593473</v>
      </c>
      <c r="K26" s="25"/>
      <c r="L26" s="31"/>
      <c r="M26" s="46"/>
    </row>
    <row r="27" spans="1:16" ht="12.75" customHeight="1" x14ac:dyDescent="0.25">
      <c r="A27" s="45">
        <v>44124</v>
      </c>
      <c r="B27" s="57">
        <v>966071</v>
      </c>
      <c r="C27" s="57">
        <v>1554995</v>
      </c>
      <c r="D27" s="16">
        <v>0.42</v>
      </c>
      <c r="E27" s="58">
        <v>12770.73</v>
      </c>
      <c r="F27" s="21">
        <v>2536.98</v>
      </c>
      <c r="G27" s="58">
        <v>22279.5</v>
      </c>
      <c r="H27" s="15">
        <v>14528</v>
      </c>
      <c r="I27" s="57">
        <v>100160</v>
      </c>
      <c r="J27" s="57">
        <v>42612970</v>
      </c>
      <c r="K27" s="18"/>
      <c r="L27" s="30"/>
      <c r="M27" s="46"/>
    </row>
    <row r="28" spans="1:16" ht="12.75" customHeight="1" x14ac:dyDescent="0.25">
      <c r="A28" s="45">
        <v>44125</v>
      </c>
      <c r="B28" s="59">
        <v>969344</v>
      </c>
      <c r="C28" s="57">
        <v>1560692</v>
      </c>
      <c r="D28" s="16">
        <v>0.37</v>
      </c>
      <c r="E28" s="58">
        <v>12790.22</v>
      </c>
      <c r="F28" s="21">
        <v>2541.21</v>
      </c>
      <c r="G28" s="58">
        <v>22307.1</v>
      </c>
      <c r="H28" s="15">
        <v>14528</v>
      </c>
      <c r="I28" s="57">
        <v>100209</v>
      </c>
      <c r="J28" s="57">
        <v>42632860</v>
      </c>
      <c r="K28" s="18"/>
      <c r="L28" s="30"/>
      <c r="M28" s="46"/>
    </row>
    <row r="29" spans="1:16" ht="12.75" customHeight="1" x14ac:dyDescent="0.25">
      <c r="A29" s="45">
        <v>44126</v>
      </c>
      <c r="B29" s="57">
        <v>972648</v>
      </c>
      <c r="C29" s="57">
        <v>1566566</v>
      </c>
      <c r="D29" s="16">
        <v>0.3</v>
      </c>
      <c r="E29" s="58">
        <v>12811.6</v>
      </c>
      <c r="F29" s="21">
        <v>2545.3200000000002</v>
      </c>
      <c r="G29" s="58">
        <v>22333.279999999999</v>
      </c>
      <c r="H29" s="15">
        <v>14528</v>
      </c>
      <c r="I29" s="57">
        <v>100265</v>
      </c>
      <c r="J29" s="57">
        <v>42653088</v>
      </c>
      <c r="K29" s="18"/>
      <c r="L29" s="30"/>
      <c r="M29" s="46"/>
      <c r="P29" s="6"/>
    </row>
    <row r="30" spans="1:16" ht="12.75" customHeight="1" x14ac:dyDescent="0.25">
      <c r="A30" s="45">
        <v>44127</v>
      </c>
      <c r="B30" s="57">
        <v>975923</v>
      </c>
      <c r="C30" s="57">
        <v>1571852</v>
      </c>
      <c r="D30" s="16">
        <v>0.75</v>
      </c>
      <c r="E30" s="58">
        <v>12833.82</v>
      </c>
      <c r="F30" s="21">
        <v>2549.6999999999998</v>
      </c>
      <c r="G30" s="58">
        <v>22360</v>
      </c>
      <c r="H30" s="15">
        <v>14528</v>
      </c>
      <c r="I30" s="57">
        <v>100332</v>
      </c>
      <c r="J30" s="57">
        <v>42676572</v>
      </c>
      <c r="K30" s="18">
        <v>3190</v>
      </c>
      <c r="L30" s="30"/>
      <c r="M30" s="46"/>
      <c r="P30" s="6"/>
    </row>
    <row r="31" spans="1:16" ht="12.75" customHeight="1" x14ac:dyDescent="0.25">
      <c r="A31" s="45">
        <v>44128</v>
      </c>
      <c r="B31" s="57">
        <v>979116</v>
      </c>
      <c r="C31" s="57">
        <v>1577537</v>
      </c>
      <c r="D31" s="16">
        <v>0.7</v>
      </c>
      <c r="E31" s="58">
        <v>12852</v>
      </c>
      <c r="F31" s="21">
        <v>2554</v>
      </c>
      <c r="G31" s="58">
        <v>22387</v>
      </c>
      <c r="H31" s="15">
        <v>14528</v>
      </c>
      <c r="I31" s="57">
        <v>100399</v>
      </c>
      <c r="J31" s="57">
        <v>42697164</v>
      </c>
      <c r="K31" s="18"/>
      <c r="L31" s="32"/>
      <c r="M31" s="46"/>
      <c r="P31" s="6"/>
    </row>
    <row r="32" spans="1:16" ht="12.75" customHeight="1" x14ac:dyDescent="0.25">
      <c r="A32" s="45">
        <v>44129</v>
      </c>
      <c r="B32" s="57">
        <v>982268</v>
      </c>
      <c r="C32" s="57">
        <v>1583051</v>
      </c>
      <c r="D32" s="16">
        <v>0.6</v>
      </c>
      <c r="E32" s="58">
        <v>12868.18</v>
      </c>
      <c r="F32" s="21">
        <v>2558</v>
      </c>
      <c r="G32" s="58">
        <v>22413.41</v>
      </c>
      <c r="H32" s="15">
        <v>14528</v>
      </c>
      <c r="I32" s="57">
        <v>100476</v>
      </c>
      <c r="J32" s="57">
        <v>42715693</v>
      </c>
      <c r="K32" s="18"/>
      <c r="L32" s="32"/>
      <c r="M32" s="46"/>
      <c r="P32" s="6"/>
    </row>
    <row r="33" spans="1:16" ht="12.75" customHeight="1" x14ac:dyDescent="0.25">
      <c r="A33" s="45">
        <v>44130</v>
      </c>
      <c r="B33" s="57">
        <v>985318</v>
      </c>
      <c r="C33" s="57">
        <v>1588523</v>
      </c>
      <c r="D33" s="16">
        <v>0.55000000000000004</v>
      </c>
      <c r="E33" s="58">
        <v>12888.2</v>
      </c>
      <c r="F33" s="21">
        <v>2562.38</v>
      </c>
      <c r="G33" s="58">
        <v>22440.639999999999</v>
      </c>
      <c r="H33" s="15">
        <v>14528</v>
      </c>
      <c r="I33" s="57">
        <v>100533</v>
      </c>
      <c r="J33" s="57">
        <v>42736017</v>
      </c>
      <c r="K33" s="18"/>
      <c r="L33" s="30"/>
      <c r="M33" s="46"/>
      <c r="P33" s="6"/>
    </row>
    <row r="34" spans="1:16" ht="12.75" customHeight="1" x14ac:dyDescent="0.25">
      <c r="A34" s="45">
        <v>44131</v>
      </c>
      <c r="B34" s="58">
        <v>988381</v>
      </c>
      <c r="C34" s="60">
        <v>1593996</v>
      </c>
      <c r="D34" s="26">
        <v>0.5</v>
      </c>
      <c r="E34" s="58">
        <v>12909.93</v>
      </c>
      <c r="F34" s="21">
        <v>2567</v>
      </c>
      <c r="G34" s="58">
        <v>22468</v>
      </c>
      <c r="H34" s="15">
        <v>14528</v>
      </c>
      <c r="I34" s="58">
        <v>100594</v>
      </c>
      <c r="J34" s="58">
        <v>42753560</v>
      </c>
      <c r="K34" s="18"/>
      <c r="L34" s="30"/>
      <c r="M34" s="46"/>
    </row>
    <row r="35" spans="1:16" ht="12.75" customHeight="1" x14ac:dyDescent="0.25">
      <c r="A35" s="45">
        <v>44132</v>
      </c>
      <c r="B35" s="15">
        <v>992054</v>
      </c>
      <c r="C35" s="62">
        <v>1599561</v>
      </c>
      <c r="D35" s="16">
        <v>0.45</v>
      </c>
      <c r="E35" s="17">
        <v>12931</v>
      </c>
      <c r="F35" s="17">
        <v>2571</v>
      </c>
      <c r="G35" s="17">
        <v>22496</v>
      </c>
      <c r="H35" s="15">
        <v>14528</v>
      </c>
      <c r="I35" s="15">
        <v>100661</v>
      </c>
      <c r="J35" s="15">
        <v>42772062</v>
      </c>
      <c r="K35" s="18"/>
      <c r="L35" s="30"/>
      <c r="M35" s="46"/>
    </row>
    <row r="36" spans="1:16" ht="12.75" customHeight="1" x14ac:dyDescent="0.25">
      <c r="A36" s="45">
        <v>44133</v>
      </c>
      <c r="B36" s="15">
        <v>995368</v>
      </c>
      <c r="C36" s="62">
        <v>1605102</v>
      </c>
      <c r="D36" s="16">
        <v>0.4</v>
      </c>
      <c r="E36" s="17">
        <v>12950</v>
      </c>
      <c r="F36" s="17">
        <v>2575</v>
      </c>
      <c r="G36" s="17">
        <v>22525</v>
      </c>
      <c r="H36" s="15">
        <v>14528</v>
      </c>
      <c r="I36" s="15">
        <v>100721</v>
      </c>
      <c r="J36" s="15">
        <v>42791790</v>
      </c>
      <c r="K36" s="18"/>
      <c r="L36" s="30"/>
      <c r="M36" s="46"/>
    </row>
    <row r="37" spans="1:16" s="22" customFormat="1" ht="12.75" customHeight="1" x14ac:dyDescent="0.25">
      <c r="A37" s="45">
        <v>44134</v>
      </c>
      <c r="B37" s="15">
        <v>998752</v>
      </c>
      <c r="C37" s="15">
        <v>1610776</v>
      </c>
      <c r="D37" s="16">
        <v>0.35</v>
      </c>
      <c r="E37" s="17">
        <v>12975</v>
      </c>
      <c r="F37" s="17">
        <v>2580</v>
      </c>
      <c r="G37" s="17">
        <v>22555</v>
      </c>
      <c r="H37" s="15">
        <v>14528</v>
      </c>
      <c r="I37" s="15">
        <v>100797</v>
      </c>
      <c r="J37" s="15">
        <v>42813361</v>
      </c>
      <c r="K37" s="18"/>
      <c r="L37" s="30"/>
      <c r="M37" s="46"/>
    </row>
    <row r="38" spans="1:16" s="22" customFormat="1" x14ac:dyDescent="0.25">
      <c r="A38" s="63">
        <v>44135</v>
      </c>
      <c r="B38" s="15">
        <v>1002300</v>
      </c>
      <c r="C38" s="15">
        <v>1616467</v>
      </c>
      <c r="D38" s="16">
        <v>0.28000000000000003</v>
      </c>
      <c r="E38" s="17">
        <v>12996</v>
      </c>
      <c r="F38" s="17">
        <v>2584</v>
      </c>
      <c r="G38" s="17">
        <v>22586</v>
      </c>
      <c r="H38" s="15">
        <v>14528</v>
      </c>
      <c r="I38" s="15">
        <v>100881</v>
      </c>
      <c r="J38" s="15">
        <v>42834712</v>
      </c>
      <c r="K38" s="18"/>
      <c r="L38" s="25"/>
      <c r="M38" s="46"/>
    </row>
    <row r="39" spans="1:16" x14ac:dyDescent="0.25">
      <c r="A39" s="47" t="s">
        <v>35</v>
      </c>
      <c r="B39" s="33">
        <f>B38-B7</f>
        <v>97296</v>
      </c>
      <c r="C39" s="33">
        <f>C38-C7</f>
        <v>175907</v>
      </c>
      <c r="D39" s="33"/>
      <c r="E39" s="33">
        <f t="shared" ref="E39:J39" si="0">E38-E7</f>
        <v>643</v>
      </c>
      <c r="F39" s="33">
        <f t="shared" si="0"/>
        <v>137</v>
      </c>
      <c r="G39" s="33">
        <f t="shared" si="0"/>
        <v>847</v>
      </c>
      <c r="H39" s="33">
        <f t="shared" si="0"/>
        <v>0</v>
      </c>
      <c r="I39" s="33">
        <f t="shared" si="0"/>
        <v>1985</v>
      </c>
      <c r="J39" s="33">
        <f t="shared" si="0"/>
        <v>747853</v>
      </c>
      <c r="K39" s="33">
        <f>SUM(K7:K38)</f>
        <v>11290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0</v>
      </c>
      <c r="I40" s="33">
        <f>I39*219.969</f>
        <v>436638.46499999997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2020-11-01T04:29:34Z</dcterms:modified>
</cp:coreProperties>
</file>