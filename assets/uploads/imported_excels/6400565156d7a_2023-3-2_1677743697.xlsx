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1" i="3" l="1"/>
  <c r="F31" i="3" l="1"/>
  <c r="E30" i="3"/>
  <c r="F30" i="3" l="1"/>
  <c r="E29" i="3"/>
  <c r="F29" i="3" l="1"/>
  <c r="E28" i="3"/>
  <c r="F28" i="3" l="1"/>
  <c r="E27" i="3"/>
  <c r="F27" i="3" l="1"/>
  <c r="E26" i="3"/>
  <c r="F25" i="3" l="1"/>
  <c r="E23" i="3" l="1"/>
  <c r="F24" i="3"/>
  <c r="F26" i="3" l="1"/>
  <c r="E24" i="3"/>
  <c r="E25" i="3"/>
  <c r="F23" i="3" l="1"/>
  <c r="E22" i="3"/>
  <c r="F22" i="3" l="1"/>
  <c r="E21" i="3"/>
  <c r="F21" i="3" l="1"/>
  <c r="E20" i="3"/>
  <c r="F18" i="3" l="1"/>
  <c r="E17" i="3"/>
  <c r="F19" i="3" l="1"/>
  <c r="E18" i="3"/>
  <c r="F20" i="3" l="1"/>
  <c r="E19" i="3"/>
  <c r="F17" i="3" l="1"/>
  <c r="E16" i="3"/>
  <c r="E15" i="3" l="1"/>
  <c r="F16" i="3"/>
  <c r="F15" i="3" l="1"/>
  <c r="E14" i="3" l="1"/>
  <c r="F14" i="3" l="1"/>
  <c r="E13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BK31" i="3" s="1"/>
  <c r="FA39" i="4"/>
  <c r="EZ39" i="4"/>
  <c r="EY39" i="4"/>
  <c r="EX39" i="4"/>
  <c r="EW39" i="4"/>
  <c r="EV39" i="4"/>
  <c r="BH31" i="3" s="1"/>
  <c r="EU39" i="4"/>
  <c r="ET39" i="4"/>
  <c r="ER39" i="4"/>
  <c r="EQ39" i="4"/>
  <c r="EP39" i="4"/>
  <c r="EO39" i="4"/>
  <c r="BF31" i="3" s="1"/>
  <c r="EN39" i="4"/>
  <c r="EM39" i="4"/>
  <c r="EL39" i="4"/>
  <c r="EK39" i="4"/>
  <c r="EJ39" i="4"/>
  <c r="EI39" i="4"/>
  <c r="BB31" i="3" s="1"/>
  <c r="EH39" i="4"/>
  <c r="EG39" i="4"/>
  <c r="EE39" i="4"/>
  <c r="ED39" i="4"/>
  <c r="EC39" i="4"/>
  <c r="EB39" i="4"/>
  <c r="AY31" i="3" s="1"/>
  <c r="EA39" i="4"/>
  <c r="DZ39" i="4"/>
  <c r="DY39" i="4"/>
  <c r="DX39" i="4"/>
  <c r="DW39" i="4"/>
  <c r="DV39" i="4"/>
  <c r="DU39" i="4"/>
  <c r="DT39" i="4"/>
  <c r="DR39" i="4"/>
  <c r="DQ39" i="4"/>
  <c r="DP39" i="4"/>
  <c r="DO39" i="4"/>
  <c r="AR31" i="3" s="1"/>
  <c r="DN39" i="4"/>
  <c r="DM39" i="4"/>
  <c r="DL39" i="4"/>
  <c r="DK39" i="4"/>
  <c r="DJ39" i="4"/>
  <c r="DI39" i="4"/>
  <c r="AQ31" i="3" s="1"/>
  <c r="DH39" i="4"/>
  <c r="DG39" i="4"/>
  <c r="DF39" i="4"/>
  <c r="DE39" i="4"/>
  <c r="DD39" i="4"/>
  <c r="DC39" i="4"/>
  <c r="AL31" i="3" s="1"/>
  <c r="DB39" i="4"/>
  <c r="DA39" i="4"/>
  <c r="CZ39" i="4"/>
  <c r="CY39" i="4"/>
  <c r="CX39" i="4"/>
  <c r="CW39" i="4"/>
  <c r="AK31" i="3" s="1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AI31" i="3" s="1"/>
  <c r="CH39" i="4"/>
  <c r="CG39" i="4"/>
  <c r="CF39" i="4"/>
  <c r="CE39" i="4"/>
  <c r="CD39" i="4"/>
  <c r="CC39" i="4"/>
  <c r="AF31" i="3" s="1"/>
  <c r="CB39" i="4"/>
  <c r="CA39" i="4"/>
  <c r="BZ39" i="4"/>
  <c r="BY39" i="4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W31" i="3" s="1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S31" i="3" s="1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O31" i="3" s="1"/>
  <c r="Z39" i="4"/>
  <c r="Y39" i="4"/>
  <c r="X39" i="4"/>
  <c r="W39" i="4"/>
  <c r="V39" i="4"/>
  <c r="U39" i="4"/>
  <c r="M31" i="3" s="1"/>
  <c r="S39" i="4"/>
  <c r="R39" i="4"/>
  <c r="Q39" i="4"/>
  <c r="P39" i="4"/>
  <c r="O39" i="4"/>
  <c r="K31" i="3" s="1"/>
  <c r="N39" i="4"/>
  <c r="M39" i="4"/>
  <c r="L39" i="4"/>
  <c r="K39" i="4"/>
  <c r="J39" i="4"/>
  <c r="I39" i="4"/>
  <c r="H39" i="4"/>
  <c r="G39" i="4"/>
  <c r="F39" i="4"/>
  <c r="E39" i="4"/>
  <c r="D39" i="4"/>
  <c r="C39" i="4"/>
  <c r="G31" i="3" s="1"/>
  <c r="B39" i="4"/>
  <c r="FC38" i="4"/>
  <c r="FB38" i="4"/>
  <c r="FA38" i="4"/>
  <c r="EZ38" i="4"/>
  <c r="EY38" i="4"/>
  <c r="EX38" i="4"/>
  <c r="BJ30" i="3" s="1"/>
  <c r="EW38" i="4"/>
  <c r="EV38" i="4"/>
  <c r="EU38" i="4"/>
  <c r="ET38" i="4"/>
  <c r="ER38" i="4"/>
  <c r="EQ38" i="4"/>
  <c r="BC30" i="3" s="1"/>
  <c r="EP38" i="4"/>
  <c r="EO38" i="4"/>
  <c r="EN38" i="4"/>
  <c r="EM38" i="4"/>
  <c r="EL38" i="4"/>
  <c r="EK38" i="4"/>
  <c r="BD30" i="3" s="1"/>
  <c r="EJ38" i="4"/>
  <c r="EI38" i="4"/>
  <c r="EH38" i="4"/>
  <c r="EG38" i="4"/>
  <c r="EE38" i="4"/>
  <c r="ED38" i="4"/>
  <c r="AZ30" i="3" s="1"/>
  <c r="EC38" i="4"/>
  <c r="EB38" i="4"/>
  <c r="EA38" i="4"/>
  <c r="DZ38" i="4"/>
  <c r="DY38" i="4"/>
  <c r="DX38" i="4"/>
  <c r="AW30" i="3" s="1"/>
  <c r="DW38" i="4"/>
  <c r="DV38" i="4"/>
  <c r="DU38" i="4"/>
  <c r="DT38" i="4"/>
  <c r="DR38" i="4"/>
  <c r="DQ38" i="4"/>
  <c r="AT30" i="3" s="1"/>
  <c r="DP38" i="4"/>
  <c r="DO38" i="4"/>
  <c r="DN38" i="4"/>
  <c r="DM38" i="4"/>
  <c r="DL38" i="4"/>
  <c r="DK38" i="4"/>
  <c r="AP30" i="3" s="1"/>
  <c r="DJ38" i="4"/>
  <c r="DI38" i="4"/>
  <c r="DH38" i="4"/>
  <c r="DG38" i="4"/>
  <c r="DF38" i="4"/>
  <c r="DE38" i="4"/>
  <c r="AO30" i="3" s="1"/>
  <c r="DD38" i="4"/>
  <c r="DC38" i="4"/>
  <c r="DB38" i="4"/>
  <c r="DA38" i="4"/>
  <c r="CZ38" i="4"/>
  <c r="CY38" i="4"/>
  <c r="AJ30" i="3" s="1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AE30" i="3" s="1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V30" i="3" s="1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R30" i="3" s="1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N30" i="3" s="1"/>
  <c r="W38" i="4"/>
  <c r="V38" i="4"/>
  <c r="U38" i="4"/>
  <c r="S38" i="4"/>
  <c r="R38" i="4"/>
  <c r="L30" i="3" s="1"/>
  <c r="Q38" i="4"/>
  <c r="P38" i="4"/>
  <c r="O38" i="4"/>
  <c r="N38" i="4"/>
  <c r="M38" i="4"/>
  <c r="L38" i="4"/>
  <c r="K38" i="4"/>
  <c r="J38" i="4"/>
  <c r="I38" i="4"/>
  <c r="H38" i="4"/>
  <c r="G38" i="4"/>
  <c r="F38" i="4"/>
  <c r="H30" i="3" s="1"/>
  <c r="E38" i="4"/>
  <c r="D38" i="4"/>
  <c r="C38" i="4"/>
  <c r="B38" i="4"/>
  <c r="FC37" i="4"/>
  <c r="FB37" i="4"/>
  <c r="BK29" i="3" s="1"/>
  <c r="FA37" i="4"/>
  <c r="EZ37" i="4"/>
  <c r="EY37" i="4"/>
  <c r="EX37" i="4"/>
  <c r="EW37" i="4"/>
  <c r="EV37" i="4"/>
  <c r="BH29" i="3" s="1"/>
  <c r="EU37" i="4"/>
  <c r="ET37" i="4"/>
  <c r="ER37" i="4"/>
  <c r="EQ37" i="4"/>
  <c r="EP37" i="4"/>
  <c r="EO37" i="4"/>
  <c r="BF29" i="3" s="1"/>
  <c r="EN37" i="4"/>
  <c r="EM37" i="4"/>
  <c r="EL37" i="4"/>
  <c r="EK37" i="4"/>
  <c r="EJ37" i="4"/>
  <c r="EI37" i="4"/>
  <c r="BB29" i="3" s="1"/>
  <c r="EH37" i="4"/>
  <c r="EG37" i="4"/>
  <c r="EE37" i="4"/>
  <c r="ED37" i="4"/>
  <c r="EC37" i="4"/>
  <c r="EB37" i="4"/>
  <c r="AY29" i="3" s="1"/>
  <c r="EA37" i="4"/>
  <c r="DZ37" i="4"/>
  <c r="DY37" i="4"/>
  <c r="DX37" i="4"/>
  <c r="DW37" i="4"/>
  <c r="DV37" i="4"/>
  <c r="DU37" i="4"/>
  <c r="DT37" i="4"/>
  <c r="DR37" i="4"/>
  <c r="DQ37" i="4"/>
  <c r="DP37" i="4"/>
  <c r="DO37" i="4"/>
  <c r="AR29" i="3" s="1"/>
  <c r="DN37" i="4"/>
  <c r="DM37" i="4"/>
  <c r="DL37" i="4"/>
  <c r="DK37" i="4"/>
  <c r="DJ37" i="4"/>
  <c r="DI37" i="4"/>
  <c r="AQ29" i="3" s="1"/>
  <c r="DH37" i="4"/>
  <c r="DG37" i="4"/>
  <c r="DF37" i="4"/>
  <c r="DE37" i="4"/>
  <c r="DD37" i="4"/>
  <c r="DC37" i="4"/>
  <c r="AL29" i="3" s="1"/>
  <c r="DB37" i="4"/>
  <c r="DA37" i="4"/>
  <c r="CZ37" i="4"/>
  <c r="CY37" i="4"/>
  <c r="CX37" i="4"/>
  <c r="CW37" i="4"/>
  <c r="AK29" i="3" s="1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K29" i="3" s="1"/>
  <c r="N37" i="4"/>
  <c r="M37" i="4"/>
  <c r="L37" i="4"/>
  <c r="K37" i="4"/>
  <c r="J37" i="4"/>
  <c r="I37" i="4"/>
  <c r="H37" i="4"/>
  <c r="G37" i="4"/>
  <c r="F37" i="4"/>
  <c r="E37" i="4"/>
  <c r="D37" i="4"/>
  <c r="C37" i="4"/>
  <c r="G29" i="3" s="1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AH28" i="3" s="1"/>
  <c r="CF36" i="4"/>
  <c r="CE36" i="4"/>
  <c r="CD36" i="4"/>
  <c r="CC36" i="4"/>
  <c r="CB36" i="4"/>
  <c r="CA36" i="4"/>
  <c r="AE28" i="3" s="1"/>
  <c r="BZ36" i="4"/>
  <c r="BY36" i="4"/>
  <c r="BX36" i="4"/>
  <c r="BW36" i="4"/>
  <c r="BV36" i="4"/>
  <c r="BT36" i="4"/>
  <c r="BS36" i="4"/>
  <c r="BH36" i="4"/>
  <c r="BF36" i="4"/>
  <c r="BE36" i="4"/>
  <c r="BC36" i="4"/>
  <c r="BB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AB27" i="3" s="1"/>
  <c r="CP35" i="4"/>
  <c r="CO35" i="4"/>
  <c r="CN35" i="4"/>
  <c r="CM35" i="4"/>
  <c r="CL35" i="4"/>
  <c r="CK35" i="4"/>
  <c r="Z27" i="3" s="1"/>
  <c r="CJ35" i="4"/>
  <c r="CI35" i="4"/>
  <c r="CH35" i="4"/>
  <c r="CG35" i="4"/>
  <c r="CF35" i="4"/>
  <c r="CE35" i="4"/>
  <c r="AG27" i="3" s="1"/>
  <c r="CD35" i="4"/>
  <c r="CC35" i="4"/>
  <c r="CB35" i="4"/>
  <c r="CA35" i="4"/>
  <c r="BZ35" i="4"/>
  <c r="BY35" i="4"/>
  <c r="AD27" i="3" s="1"/>
  <c r="BX35" i="4"/>
  <c r="BW35" i="4"/>
  <c r="BV35" i="4"/>
  <c r="BT35" i="4"/>
  <c r="BS35" i="4"/>
  <c r="BH35" i="4"/>
  <c r="BF35" i="4"/>
  <c r="BE35" i="4"/>
  <c r="BC35" i="4"/>
  <c r="BB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L27" i="3" s="1"/>
  <c r="Q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Y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Y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AA30" i="3" l="1"/>
  <c r="AC30" i="3"/>
  <c r="AM30" i="3"/>
  <c r="AN30" i="3"/>
  <c r="AS30" i="3"/>
  <c r="AU30" i="3"/>
  <c r="AX30" i="3"/>
  <c r="BA30" i="3"/>
  <c r="BE30" i="3"/>
  <c r="BG30" i="3"/>
  <c r="AD31" i="3"/>
  <c r="AG31" i="3"/>
  <c r="Z31" i="3"/>
  <c r="AB31" i="3"/>
  <c r="J31" i="3"/>
  <c r="I31" i="3"/>
  <c r="N31" i="3"/>
  <c r="P31" i="3"/>
  <c r="R31" i="3"/>
  <c r="T31" i="3"/>
  <c r="V31" i="3"/>
  <c r="X31" i="3"/>
  <c r="AJ31" i="3"/>
  <c r="AO31" i="3"/>
  <c r="AP31" i="3"/>
  <c r="AT31" i="3"/>
  <c r="AW31" i="3"/>
  <c r="AZ31" i="3"/>
  <c r="BD31" i="3"/>
  <c r="BC31" i="3"/>
  <c r="BJ31" i="3"/>
  <c r="H31" i="3"/>
  <c r="L31" i="3"/>
  <c r="AE31" i="3"/>
  <c r="AH31" i="3"/>
  <c r="AA31" i="3"/>
  <c r="AC31" i="3"/>
  <c r="AM31" i="3"/>
  <c r="AN31" i="3"/>
  <c r="AS31" i="3"/>
  <c r="AU31" i="3"/>
  <c r="AX31" i="3"/>
  <c r="BA31" i="3"/>
  <c r="BE31" i="3"/>
  <c r="BG31" i="3"/>
  <c r="BI31" i="3"/>
  <c r="I30" i="3"/>
  <c r="J30" i="3"/>
  <c r="AH30" i="3"/>
  <c r="BI30" i="3"/>
  <c r="M30" i="3"/>
  <c r="O30" i="3"/>
  <c r="Q30" i="3"/>
  <c r="S30" i="3"/>
  <c r="U30" i="3"/>
  <c r="W30" i="3"/>
  <c r="Y30" i="3"/>
  <c r="AF30" i="3"/>
  <c r="AI30" i="3"/>
  <c r="G30" i="3"/>
  <c r="K30" i="3"/>
  <c r="AK30" i="3"/>
  <c r="AL30" i="3"/>
  <c r="AQ30" i="3"/>
  <c r="AR30" i="3"/>
  <c r="AY30" i="3"/>
  <c r="BB30" i="3"/>
  <c r="BF30" i="3"/>
  <c r="BH30" i="3"/>
  <c r="BK30" i="3"/>
  <c r="AD30" i="3"/>
  <c r="AG30" i="3"/>
  <c r="Z30" i="3"/>
  <c r="AB30" i="3"/>
  <c r="M29" i="3"/>
  <c r="O29" i="3"/>
  <c r="Q29" i="3"/>
  <c r="S29" i="3"/>
  <c r="U29" i="3"/>
  <c r="W29" i="3"/>
  <c r="Y29" i="3"/>
  <c r="AF29" i="3"/>
  <c r="AI29" i="3"/>
  <c r="AD29" i="3"/>
  <c r="AG29" i="3"/>
  <c r="Z29" i="3"/>
  <c r="AB29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G22" i="3"/>
  <c r="K22" i="3"/>
  <c r="AK22" i="3"/>
  <c r="AO22" i="3"/>
  <c r="AP22" i="3"/>
  <c r="AT22" i="3"/>
  <c r="AW22" i="3"/>
  <c r="H29" i="3"/>
  <c r="L29" i="3"/>
  <c r="AE29" i="3"/>
  <c r="AH29" i="3"/>
  <c r="AA29" i="3"/>
  <c r="AC29" i="3"/>
  <c r="AM29" i="3"/>
  <c r="AN29" i="3"/>
  <c r="AS29" i="3"/>
  <c r="AU29" i="3"/>
  <c r="AX29" i="3"/>
  <c r="BA29" i="3"/>
  <c r="BE29" i="3"/>
  <c r="BG29" i="3"/>
  <c r="BI29" i="3"/>
  <c r="H28" i="3"/>
  <c r="M28" i="3"/>
  <c r="O28" i="3"/>
  <c r="Q28" i="3"/>
  <c r="S28" i="3"/>
  <c r="U28" i="3"/>
  <c r="W28" i="3"/>
  <c r="AJ28" i="3"/>
  <c r="AO28" i="3"/>
  <c r="AP28" i="3"/>
  <c r="AT28" i="3"/>
  <c r="AW28" i="3"/>
  <c r="AZ28" i="3"/>
  <c r="BD28" i="3"/>
  <c r="BC28" i="3"/>
  <c r="BJ28" i="3"/>
  <c r="X28" i="3"/>
  <c r="AA28" i="3"/>
  <c r="AC28" i="3"/>
  <c r="AM28" i="3"/>
  <c r="AN28" i="3"/>
  <c r="AS28" i="3"/>
  <c r="AU28" i="3"/>
  <c r="AX28" i="3"/>
  <c r="BA28" i="3"/>
  <c r="BE28" i="3"/>
  <c r="BG28" i="3"/>
  <c r="BI28" i="3"/>
  <c r="G28" i="3"/>
  <c r="K28" i="3"/>
  <c r="N28" i="3"/>
  <c r="P28" i="3"/>
  <c r="R28" i="3"/>
  <c r="T28" i="3"/>
  <c r="V28" i="3"/>
  <c r="AF28" i="3"/>
  <c r="AI28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Y28" i="3"/>
  <c r="AK28" i="3"/>
  <c r="AL28" i="3"/>
  <c r="AQ28" i="3"/>
  <c r="AR28" i="3"/>
  <c r="AY28" i="3"/>
  <c r="BB28" i="3"/>
  <c r="BF28" i="3"/>
  <c r="BH28" i="3"/>
  <c r="BK28" i="3"/>
  <c r="J28" i="3"/>
  <c r="I28" i="3"/>
  <c r="L28" i="3"/>
  <c r="AD28" i="3"/>
  <c r="AG28" i="3"/>
  <c r="Z28" i="3"/>
  <c r="AB28" i="3"/>
  <c r="Y27" i="3"/>
  <c r="AK27" i="3"/>
  <c r="AL27" i="3"/>
  <c r="AQ27" i="3"/>
  <c r="AR27" i="3"/>
  <c r="AY27" i="3"/>
  <c r="BB27" i="3"/>
  <c r="BF27" i="3"/>
  <c r="BH27" i="3"/>
  <c r="BK27" i="3"/>
  <c r="AA22" i="3"/>
  <c r="AC22" i="3"/>
  <c r="AL22" i="3"/>
  <c r="AQ22" i="3"/>
  <c r="AR22" i="3"/>
  <c r="AY22" i="3"/>
  <c r="BB22" i="3"/>
  <c r="BF22" i="3"/>
  <c r="H27" i="3"/>
  <c r="M27" i="3"/>
  <c r="O27" i="3"/>
  <c r="Q27" i="3"/>
  <c r="S27" i="3"/>
  <c r="U27" i="3"/>
  <c r="W27" i="3"/>
  <c r="AJ27" i="3"/>
  <c r="AO27" i="3"/>
  <c r="AP27" i="3"/>
  <c r="AT27" i="3"/>
  <c r="AW27" i="3"/>
  <c r="AZ27" i="3"/>
  <c r="BD27" i="3"/>
  <c r="BC27" i="3"/>
  <c r="BJ27" i="3"/>
  <c r="AE27" i="3"/>
  <c r="AH27" i="3"/>
  <c r="N24" i="3"/>
  <c r="P24" i="3"/>
  <c r="R24" i="3"/>
  <c r="T24" i="3"/>
  <c r="V24" i="3"/>
  <c r="X24" i="3"/>
  <c r="AJ24" i="3"/>
  <c r="AO24" i="3"/>
  <c r="X27" i="3"/>
  <c r="AA27" i="3"/>
  <c r="AC27" i="3"/>
  <c r="AM27" i="3"/>
  <c r="AN27" i="3"/>
  <c r="AS27" i="3"/>
  <c r="AU27" i="3"/>
  <c r="AX27" i="3"/>
  <c r="BA27" i="3"/>
  <c r="BE27" i="3"/>
  <c r="BG27" i="3"/>
  <c r="BI27" i="3"/>
  <c r="I27" i="3"/>
  <c r="J27" i="3"/>
  <c r="H26" i="3"/>
  <c r="L26" i="3"/>
  <c r="AE26" i="3"/>
  <c r="AH26" i="3"/>
  <c r="G27" i="3"/>
  <c r="K27" i="3"/>
  <c r="N27" i="3"/>
  <c r="P27" i="3"/>
  <c r="R27" i="3"/>
  <c r="T27" i="3"/>
  <c r="V27" i="3"/>
  <c r="AF27" i="3"/>
  <c r="AI27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AA26" i="3"/>
  <c r="AC26" i="3"/>
  <c r="AM26" i="3"/>
  <c r="AN26" i="3"/>
  <c r="AS26" i="3"/>
  <c r="AU26" i="3"/>
  <c r="AX26" i="3"/>
  <c r="BA26" i="3"/>
  <c r="BE26" i="3"/>
  <c r="BG26" i="3"/>
  <c r="BI26" i="3"/>
  <c r="M26" i="3"/>
  <c r="O26" i="3"/>
  <c r="Q26" i="3"/>
  <c r="S26" i="3"/>
  <c r="U26" i="3"/>
  <c r="W26" i="3"/>
  <c r="Y26" i="3"/>
  <c r="AF26" i="3"/>
  <c r="AI26" i="3"/>
  <c r="BH22" i="3"/>
  <c r="BK22" i="3"/>
  <c r="H23" i="3"/>
  <c r="L23" i="3"/>
  <c r="AE23" i="3"/>
  <c r="AH23" i="3"/>
  <c r="G26" i="3"/>
  <c r="K26" i="3"/>
  <c r="AK26" i="3"/>
  <c r="AL26" i="3"/>
  <c r="AQ26" i="3"/>
  <c r="AR26" i="3"/>
  <c r="AY26" i="3"/>
  <c r="BB26" i="3"/>
  <c r="BF26" i="3"/>
  <c r="BH26" i="3"/>
  <c r="BK26" i="3"/>
  <c r="AD26" i="3"/>
  <c r="AG26" i="3"/>
  <c r="Z26" i="3"/>
  <c r="AB26" i="3"/>
  <c r="I24" i="3"/>
  <c r="J24" i="3"/>
  <c r="AD22" i="3"/>
  <c r="AG22" i="3"/>
  <c r="Z22" i="3"/>
  <c r="AB22" i="3"/>
  <c r="AJ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J23" i="3"/>
  <c r="I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J25" i="3"/>
  <c r="I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2" i="3"/>
  <c r="J22" i="3"/>
  <c r="N22" i="3"/>
  <c r="P22" i="3"/>
  <c r="R22" i="3"/>
  <c r="T22" i="3"/>
  <c r="V22" i="3"/>
  <c r="X22" i="3"/>
  <c r="AM22" i="3"/>
  <c r="AN22" i="3"/>
  <c r="AS22" i="3"/>
  <c r="AU22" i="3"/>
  <c r="AX22" i="3"/>
  <c r="BA22" i="3"/>
  <c r="BE22" i="3"/>
  <c r="BG22" i="3"/>
  <c r="BI22" i="3"/>
  <c r="H22" i="3"/>
  <c r="L22" i="3"/>
  <c r="AE22" i="3"/>
  <c r="AH22" i="3"/>
  <c r="M22" i="3"/>
  <c r="O22" i="3"/>
  <c r="Q22" i="3"/>
  <c r="S22" i="3"/>
  <c r="U22" i="3"/>
  <c r="W22" i="3"/>
  <c r="Y22" i="3"/>
  <c r="AF22" i="3"/>
  <c r="AI22" i="3"/>
  <c r="G10" i="3"/>
  <c r="K10" i="3"/>
  <c r="AK10" i="3"/>
  <c r="M15" i="3"/>
  <c r="O15" i="3"/>
  <c r="Q15" i="3"/>
  <c r="S15" i="3"/>
  <c r="U15" i="3"/>
  <c r="W15" i="3"/>
  <c r="Y15" i="3"/>
  <c r="AF15" i="3"/>
  <c r="AI15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21" i="3"/>
  <c r="O21" i="3"/>
  <c r="Q21" i="3"/>
  <c r="S21" i="3"/>
  <c r="U21" i="3"/>
  <c r="W21" i="3"/>
  <c r="Y21" i="3"/>
  <c r="AF21" i="3"/>
  <c r="AI21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H7" i="3"/>
  <c r="L7" i="3"/>
  <c r="AE7" i="3"/>
  <c r="AL8" i="3"/>
  <c r="AR8" i="3"/>
  <c r="AY8" i="3"/>
  <c r="BF8" i="3"/>
  <c r="BK8" i="3"/>
  <c r="AH9" i="3"/>
  <c r="AQ10" i="3"/>
  <c r="BB10" i="3"/>
  <c r="BH10" i="3"/>
  <c r="H11" i="3"/>
  <c r="L11" i="3"/>
  <c r="AE11" i="3"/>
  <c r="AL12" i="3"/>
  <c r="AR12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A20" i="3"/>
  <c r="AC20" i="3"/>
  <c r="AM20" i="3"/>
  <c r="AN20" i="3"/>
  <c r="AS20" i="3"/>
  <c r="AU20" i="3"/>
  <c r="AX20" i="3"/>
  <c r="BA20" i="3"/>
  <c r="BE20" i="3"/>
  <c r="BG20" i="3"/>
  <c r="BI20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G15" i="3"/>
  <c r="K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AD19" i="3"/>
  <c r="AG19" i="3"/>
  <c r="Z19" i="3"/>
  <c r="AB19" i="3"/>
  <c r="J18" i="3"/>
  <c r="I18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J19" i="3"/>
  <c r="I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AA19" i="3"/>
  <c r="AC19" i="3"/>
  <c r="AM19" i="3"/>
  <c r="AN19" i="3"/>
  <c r="AS19" i="3"/>
  <c r="AU19" i="3"/>
  <c r="AX19" i="3"/>
  <c r="BA19" i="3"/>
  <c r="BE19" i="3"/>
  <c r="BG19" i="3"/>
  <c r="BI19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J15" i="3"/>
  <c r="I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H15" i="3"/>
  <c r="L15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I16" i="3"/>
  <c r="J16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4" i="3"/>
  <c r="L14" i="3"/>
  <c r="AE14" i="3"/>
  <c r="AH7" i="3"/>
  <c r="G8" i="3"/>
  <c r="K8" i="3"/>
  <c r="AK8" i="3"/>
  <c r="AQ8" i="3"/>
  <c r="BB8" i="3"/>
  <c r="BH8" i="3"/>
  <c r="H9" i="3"/>
  <c r="L9" i="3"/>
  <c r="AE9" i="3"/>
  <c r="AL10" i="3"/>
  <c r="AR10" i="3"/>
  <c r="AY10" i="3"/>
  <c r="BF10" i="3"/>
  <c r="BK10" i="3"/>
  <c r="AH11" i="3"/>
  <c r="G12" i="3"/>
  <c r="K12" i="3"/>
  <c r="AK12" i="3"/>
  <c r="AQ12" i="3"/>
  <c r="AH14" i="3"/>
  <c r="AY12" i="3"/>
  <c r="BB12" i="3"/>
  <c r="AA13" i="3"/>
  <c r="AC13" i="3"/>
  <c r="AM13" i="3"/>
  <c r="AN13" i="3"/>
  <c r="AS13" i="3"/>
  <c r="AU13" i="3"/>
  <c r="AX13" i="3"/>
  <c r="BA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N10" i="3"/>
  <c r="P10" i="3"/>
  <c r="R10" i="3"/>
  <c r="T10" i="3"/>
  <c r="V10" i="3"/>
  <c r="X10" i="3"/>
  <c r="AA14" i="3"/>
  <c r="AC14" i="3"/>
  <c r="AM14" i="3"/>
  <c r="AN14" i="3"/>
  <c r="AS14" i="3"/>
  <c r="AU14" i="3"/>
  <c r="AX14" i="3"/>
  <c r="BA14" i="3"/>
  <c r="BE14" i="3"/>
  <c r="BG14" i="3"/>
  <c r="BI14" i="3"/>
  <c r="M14" i="3"/>
  <c r="O14" i="3"/>
  <c r="Q14" i="3"/>
  <c r="S14" i="3"/>
  <c r="U14" i="3"/>
  <c r="W14" i="3"/>
  <c r="Y14" i="3"/>
  <c r="AF14" i="3"/>
  <c r="AI14" i="3"/>
  <c r="G14" i="3"/>
  <c r="K14" i="3"/>
  <c r="AK14" i="3"/>
  <c r="AL14" i="3"/>
  <c r="AQ14" i="3"/>
  <c r="AR14" i="3"/>
  <c r="AY14" i="3"/>
  <c r="BB14" i="3"/>
  <c r="BF14" i="3"/>
  <c r="BH14" i="3"/>
  <c r="BK14" i="3"/>
  <c r="AD14" i="3"/>
  <c r="AG14" i="3"/>
  <c r="Z14" i="3"/>
  <c r="AB14" i="3"/>
  <c r="M13" i="3"/>
  <c r="O13" i="3"/>
  <c r="Q13" i="3"/>
  <c r="S13" i="3"/>
  <c r="U13" i="3"/>
  <c r="W13" i="3"/>
  <c r="Y13" i="3"/>
  <c r="AF13" i="3"/>
  <c r="AI13" i="3"/>
  <c r="BF13" i="3"/>
  <c r="BH13" i="3"/>
  <c r="BK13" i="3"/>
  <c r="G13" i="3"/>
  <c r="K13" i="3"/>
  <c r="AK13" i="3"/>
  <c r="AL13" i="3"/>
  <c r="AQ13" i="3"/>
  <c r="AR13" i="3"/>
  <c r="AY13" i="3"/>
  <c r="BB13" i="3"/>
  <c r="BE12" i="3"/>
  <c r="BG12" i="3"/>
  <c r="BI12" i="3"/>
  <c r="AD13" i="3"/>
  <c r="AG13" i="3"/>
  <c r="Z13" i="3"/>
  <c r="AB13" i="3"/>
  <c r="BC13" i="3"/>
  <c r="BJ13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H13" i="3"/>
  <c r="L13" i="3"/>
  <c r="AE13" i="3"/>
  <c r="AH13" i="3"/>
  <c r="BE13" i="3"/>
  <c r="BG13" i="3"/>
  <c r="BI13" i="3"/>
  <c r="AD12" i="3"/>
  <c r="AG12" i="3"/>
  <c r="Z12" i="3"/>
  <c r="AB12" i="3"/>
  <c r="BC12" i="3"/>
  <c r="BJ12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H12" i="3"/>
  <c r="L12" i="3"/>
  <c r="AE12" i="3"/>
  <c r="AA12" i="3"/>
  <c r="AC12" i="3"/>
  <c r="AM12" i="3"/>
  <c r="AN12" i="3"/>
  <c r="AS12" i="3"/>
  <c r="AU12" i="3"/>
  <c r="AX12" i="3"/>
  <c r="BA12" i="3"/>
  <c r="AH12" i="3"/>
  <c r="M12" i="3"/>
  <c r="O12" i="3"/>
  <c r="Q12" i="3"/>
  <c r="S12" i="3"/>
  <c r="U12" i="3"/>
  <c r="W12" i="3"/>
  <c r="Y12" i="3"/>
  <c r="AF12" i="3"/>
  <c r="AI12" i="3"/>
  <c r="BF12" i="3"/>
  <c r="BH12" i="3"/>
  <c r="BK12" i="3"/>
  <c r="I10" i="3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W9" i="4" l="1"/>
  <c r="CO9" i="4" l="1"/>
  <c r="AA2" i="3"/>
  <c r="V2" i="3"/>
  <c r="AW9" i="4"/>
  <c r="Q2" i="3"/>
  <c r="AH9" i="4"/>
  <c r="Z2" i="3"/>
  <c r="CL9" i="4"/>
  <c r="U2" i="3"/>
  <c r="AT9" i="4"/>
  <c r="P2" i="3"/>
  <c r="AE9" i="4"/>
  <c r="AB9" i="4"/>
  <c r="O2" i="3"/>
  <c r="K2" i="3"/>
  <c r="P9" i="4"/>
  <c r="F47" i="4"/>
  <c r="F49" i="4" s="1"/>
  <c r="F44" i="4"/>
  <c r="T2" i="3"/>
  <c r="AQ9" i="4"/>
  <c r="Y9" i="4"/>
  <c r="N2" i="3"/>
  <c r="S2" i="3"/>
  <c r="AN9" i="4"/>
  <c r="C44" i="4"/>
  <c r="C47" i="4"/>
  <c r="C49" i="4" s="1"/>
  <c r="CR9" i="4"/>
  <c r="AB2" i="3"/>
  <c r="W2" i="3"/>
  <c r="BA9" i="4"/>
  <c r="AK9" i="4"/>
  <c r="R2" i="3"/>
  <c r="O45" i="4" l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E21" i="1"/>
  <c r="E22" i="1"/>
  <c r="E12" i="1"/>
  <c r="E13" i="1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EL21" i="4" l="1"/>
  <c r="EL20" i="4"/>
  <c r="CZ30" i="4" l="1"/>
  <c r="CX30" i="4"/>
  <c r="CZ29" i="4"/>
  <c r="CX29" i="4"/>
  <c r="BG36" i="4" l="1"/>
  <c r="BD36" i="4"/>
  <c r="BA36" i="4"/>
  <c r="S36" i="4"/>
  <c r="P36" i="4"/>
  <c r="BG35" i="4"/>
  <c r="BF48" i="4" s="1"/>
  <c r="BF49" i="4" s="1"/>
  <c r="BD35" i="4"/>
  <c r="BA35" i="4"/>
  <c r="S35" i="4"/>
  <c r="P35" i="4"/>
  <c r="R48" i="4" l="1"/>
  <c r="R49" i="4" s="1"/>
  <c r="AZ48" i="4"/>
  <c r="BC48" i="4"/>
  <c r="BC49" i="4" s="1"/>
  <c r="AZ49" i="4"/>
  <c r="BC51" i="4"/>
  <c r="O48" i="4"/>
  <c r="O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<sst xmlns="http://schemas.openxmlformats.org/spreadsheetml/2006/main" count="410" uniqueCount="203">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</sst>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B21">
            <v>0.85</v>
          </cell>
          <cell r="E21">
            <v>98929</v>
          </cell>
          <cell r="F21">
            <v>822</v>
          </cell>
          <cell r="G21">
            <v>515</v>
          </cell>
          <cell r="H21">
            <v>145532</v>
          </cell>
          <cell r="I21">
            <v>414</v>
          </cell>
          <cell r="J21">
            <v>347</v>
          </cell>
          <cell r="K21">
            <v>164625</v>
          </cell>
          <cell r="L21">
            <v>0</v>
          </cell>
          <cell r="N21">
            <v>844179</v>
          </cell>
          <cell r="O21">
            <v>326</v>
          </cell>
          <cell r="Q21">
            <v>198392</v>
          </cell>
          <cell r="R21">
            <v>196</v>
          </cell>
          <cell r="U21">
            <v>63954.75</v>
          </cell>
          <cell r="V21">
            <v>143.72000000000116</v>
          </cell>
          <cell r="W21">
            <v>108.74000000000001</v>
          </cell>
          <cell r="X21">
            <v>88</v>
          </cell>
          <cell r="Y21">
            <v>19</v>
          </cell>
          <cell r="AE21">
            <v>7504292.8799999999</v>
          </cell>
          <cell r="AF21">
            <v>2436</v>
          </cell>
          <cell r="AG21">
            <v>1948.7999999998137</v>
          </cell>
          <cell r="AH21">
            <v>14340244.799999999</v>
          </cell>
          <cell r="AI21">
            <v>4774.5599999986589</v>
          </cell>
          <cell r="AJ21">
            <v>4628.3999999985099</v>
          </cell>
          <cell r="AK21">
            <v>13980398.880000001</v>
          </cell>
          <cell r="AL21">
            <v>194.88000000081956</v>
          </cell>
          <cell r="AM21">
            <v>11546.639999998733</v>
          </cell>
          <cell r="AN21">
            <v>17180815.68</v>
          </cell>
          <cell r="AO21">
            <v>10669.679999999702</v>
          </cell>
          <cell r="AP21">
            <v>974.39999999850988</v>
          </cell>
          <cell r="AQ21">
            <v>17572475.760000002</v>
          </cell>
          <cell r="AR21">
            <v>3215.5200000032783</v>
          </cell>
          <cell r="AS21">
            <v>730.80000000074506</v>
          </cell>
          <cell r="AT21">
            <v>16195746</v>
          </cell>
          <cell r="AU21">
            <v>5846.4000000003725</v>
          </cell>
          <cell r="AV21">
            <v>3654</v>
          </cell>
          <cell r="AW21">
            <v>13702694.880000001</v>
          </cell>
          <cell r="AX21">
            <v>4482.2400000002235</v>
          </cell>
          <cell r="AY21">
            <v>4628.3999999985099</v>
          </cell>
          <cell r="AZ21">
            <v>13206871.439999999</v>
          </cell>
          <cell r="BB21">
            <v>4189.9200000017881</v>
          </cell>
          <cell r="BC21">
            <v>10476066.719999999</v>
          </cell>
          <cell r="BD21">
            <v>2825.7599999997765</v>
          </cell>
          <cell r="BE21">
            <v>3020.6399999987334</v>
          </cell>
          <cell r="BF21">
            <v>16347070.319999998</v>
          </cell>
          <cell r="BG21">
            <v>5359.1999999992549</v>
          </cell>
          <cell r="BH21">
            <v>6090</v>
          </cell>
          <cell r="BM21">
            <v>69273700</v>
          </cell>
          <cell r="BN21">
            <v>0</v>
          </cell>
          <cell r="BO21">
            <v>65700</v>
          </cell>
          <cell r="BP21">
            <v>72708100</v>
          </cell>
          <cell r="BQ21">
            <v>52800</v>
          </cell>
          <cell r="BR21">
            <v>0</v>
          </cell>
          <cell r="BS21">
            <v>67314200</v>
          </cell>
          <cell r="BT21">
            <v>14000</v>
          </cell>
          <cell r="BU21">
            <v>0</v>
          </cell>
          <cell r="BV21">
            <v>8441080</v>
          </cell>
          <cell r="BW21">
            <v>6070</v>
          </cell>
          <cell r="BY21">
            <v>0.74</v>
          </cell>
          <cell r="BZ21">
            <v>5.0000000000000044E-2</v>
          </cell>
          <cell r="CA21">
            <v>6.0000000000000053E-2</v>
          </cell>
          <cell r="CB21">
            <v>59364</v>
          </cell>
          <cell r="CC21">
            <v>20</v>
          </cell>
          <cell r="CD21">
            <v>50914</v>
          </cell>
          <cell r="CE21">
            <v>20</v>
          </cell>
          <cell r="CF21">
            <v>17379</v>
          </cell>
          <cell r="CG21">
            <v>6</v>
          </cell>
          <cell r="CH21">
            <v>23328</v>
          </cell>
          <cell r="CI21">
            <v>8</v>
          </cell>
          <cell r="CJ21">
            <v>25478</v>
          </cell>
          <cell r="CK21">
            <v>12</v>
          </cell>
          <cell r="CL21">
            <v>56638</v>
          </cell>
          <cell r="CM21">
            <v>28</v>
          </cell>
          <cell r="CN21">
            <v>247067</v>
          </cell>
          <cell r="CO21">
            <v>109</v>
          </cell>
          <cell r="CP21">
            <v>97</v>
          </cell>
          <cell r="CQ21">
            <v>194569</v>
          </cell>
          <cell r="CR21">
            <v>78</v>
          </cell>
          <cell r="CS21">
            <v>94</v>
          </cell>
          <cell r="CT21">
            <v>348375</v>
          </cell>
          <cell r="CU21">
            <v>79</v>
          </cell>
          <cell r="CV21">
            <v>59</v>
          </cell>
          <cell r="CW21">
            <v>649004</v>
          </cell>
          <cell r="CX21">
            <v>250</v>
          </cell>
          <cell r="CZ21">
            <v>7454</v>
          </cell>
          <cell r="DA21">
            <v>5</v>
          </cell>
          <cell r="DB21">
            <v>4808</v>
          </cell>
          <cell r="DC21">
            <v>2</v>
          </cell>
          <cell r="DD21">
            <v>29070</v>
          </cell>
          <cell r="DE21">
            <v>17</v>
          </cell>
          <cell r="DF21">
            <v>29585</v>
          </cell>
          <cell r="DG21">
            <v>14</v>
          </cell>
          <cell r="DH21">
            <v>19822</v>
          </cell>
          <cell r="DI21">
            <v>10</v>
          </cell>
          <cell r="DJ21">
            <v>22740</v>
          </cell>
          <cell r="DK21">
            <v>7</v>
          </cell>
          <cell r="DL21">
            <v>4710</v>
          </cell>
          <cell r="DM21">
            <v>10</v>
          </cell>
          <cell r="DN21">
            <v>7957</v>
          </cell>
          <cell r="DO21">
            <v>4</v>
          </cell>
          <cell r="DP21">
            <v>2364</v>
          </cell>
          <cell r="DQ21">
            <v>4</v>
          </cell>
          <cell r="DR21">
            <v>4474</v>
          </cell>
          <cell r="DS21">
            <v>5</v>
          </cell>
          <cell r="DT21">
            <v>27434</v>
          </cell>
          <cell r="DU21">
            <v>20</v>
          </cell>
          <cell r="DW21">
            <v>4220.8999999999996</v>
          </cell>
          <cell r="DX21">
            <v>8.7999999999992724</v>
          </cell>
          <cell r="DY21">
            <v>9153.2999999999993</v>
          </cell>
          <cell r="DZ21">
            <v>7.5999999999985448</v>
          </cell>
          <cell r="EA21">
            <v>3191.5</v>
          </cell>
          <cell r="EB21">
            <v>6.6999999999998181</v>
          </cell>
          <cell r="EC21">
            <v>3397.9</v>
          </cell>
          <cell r="ED21">
            <v>7.2000000000002728</v>
          </cell>
          <cell r="EE21">
            <v>945572</v>
          </cell>
          <cell r="EF21">
            <v>642</v>
          </cell>
          <cell r="EI21">
            <v>195559.3</v>
          </cell>
          <cell r="EJ21">
            <v>151.79999999998836</v>
          </cell>
          <cell r="EL21">
            <v>10794200</v>
          </cell>
          <cell r="EM21">
            <v>4100</v>
          </cell>
          <cell r="EN21">
            <v>858540</v>
          </cell>
          <cell r="EO21">
            <v>240</v>
          </cell>
          <cell r="EP21">
            <v>6515600</v>
          </cell>
          <cell r="EQ21">
            <v>2200</v>
          </cell>
          <cell r="ER21">
            <v>2294800</v>
          </cell>
          <cell r="ES21">
            <v>600</v>
          </cell>
          <cell r="ET21">
            <v>1075690</v>
          </cell>
          <cell r="EU21">
            <v>650</v>
          </cell>
          <cell r="EV21">
            <v>14652600</v>
          </cell>
          <cell r="EW21">
            <v>5300</v>
          </cell>
          <cell r="EY21">
            <v>39323</v>
          </cell>
          <cell r="EZ21">
            <v>16</v>
          </cell>
          <cell r="FA21">
            <v>34027</v>
          </cell>
          <cell r="FB21">
            <v>13</v>
          </cell>
          <cell r="FC21">
            <v>5093</v>
          </cell>
          <cell r="FD21">
            <v>10</v>
          </cell>
          <cell r="FE21">
            <v>56250</v>
          </cell>
          <cell r="FF21">
            <v>12</v>
          </cell>
          <cell r="FG21">
            <v>41606</v>
          </cell>
          <cell r="FH21">
            <v>26</v>
          </cell>
        </row>
        <row r="22">
          <cell r="B22">
            <v>0.86</v>
          </cell>
          <cell r="E22">
            <v>99635</v>
          </cell>
          <cell r="F22">
            <v>706</v>
          </cell>
          <cell r="G22">
            <v>566</v>
          </cell>
          <cell r="H22">
            <v>145929</v>
          </cell>
          <cell r="I22">
            <v>397</v>
          </cell>
          <cell r="J22">
            <v>333</v>
          </cell>
          <cell r="K22">
            <v>164625</v>
          </cell>
          <cell r="L22">
            <v>0</v>
          </cell>
          <cell r="N22">
            <v>844509</v>
          </cell>
          <cell r="O22">
            <v>330</v>
          </cell>
          <cell r="Q22">
            <v>198508</v>
          </cell>
          <cell r="R22">
            <v>116</v>
          </cell>
          <cell r="U22">
            <v>64091.49</v>
          </cell>
          <cell r="V22">
            <v>136.73999999999796</v>
          </cell>
          <cell r="W22">
            <v>118.54999999999995</v>
          </cell>
          <cell r="X22">
            <v>115</v>
          </cell>
          <cell r="Y22">
            <v>27</v>
          </cell>
          <cell r="AE22">
            <v>7506436.5599999996</v>
          </cell>
          <cell r="AF22">
            <v>2143.679999999702</v>
          </cell>
          <cell r="AG22">
            <v>2143.6800000006333</v>
          </cell>
          <cell r="AH22">
            <v>14345165.52</v>
          </cell>
          <cell r="AI22">
            <v>4920.7200000006706</v>
          </cell>
          <cell r="AJ22">
            <v>4920.7200000006706</v>
          </cell>
          <cell r="AK22">
            <v>13980545.039999999</v>
          </cell>
          <cell r="AL22">
            <v>146.15999999828637</v>
          </cell>
          <cell r="AM22">
            <v>12082.560000002384</v>
          </cell>
          <cell r="AN22">
            <v>17193044.399999999</v>
          </cell>
          <cell r="AO22">
            <v>12228.719999998808</v>
          </cell>
          <cell r="AP22">
            <v>1412.8800000008196</v>
          </cell>
          <cell r="AQ22">
            <v>17573693.760000002</v>
          </cell>
          <cell r="AR22">
            <v>1218</v>
          </cell>
          <cell r="AS22">
            <v>1753.9199999980628</v>
          </cell>
          <cell r="AT22">
            <v>16201689.839999998</v>
          </cell>
          <cell r="AU22">
            <v>5943.8399999979883</v>
          </cell>
          <cell r="AV22">
            <v>6187.4399999994785</v>
          </cell>
          <cell r="AW22">
            <v>13707177.119999999</v>
          </cell>
          <cell r="AX22">
            <v>4482.2399999983609</v>
          </cell>
          <cell r="AY22">
            <v>4725.839999999851</v>
          </cell>
          <cell r="AZ22">
            <v>13211646</v>
          </cell>
          <cell r="BB22">
            <v>4384.7999999988824</v>
          </cell>
          <cell r="BC22">
            <v>10478941.199999999</v>
          </cell>
          <cell r="BD22">
            <v>2874.480000000447</v>
          </cell>
          <cell r="BE22">
            <v>3215.519999999553</v>
          </cell>
          <cell r="BF22">
            <v>16352526.960000001</v>
          </cell>
          <cell r="BG22">
            <v>5456.6400000024587</v>
          </cell>
          <cell r="BH22">
            <v>6284.8800000008196</v>
          </cell>
          <cell r="BM22">
            <v>69273700</v>
          </cell>
          <cell r="BN22">
            <v>0</v>
          </cell>
          <cell r="BO22">
            <v>62500</v>
          </cell>
          <cell r="BP22">
            <v>72772600</v>
          </cell>
          <cell r="BQ22">
            <v>64500</v>
          </cell>
          <cell r="BR22">
            <v>0</v>
          </cell>
          <cell r="BS22">
            <v>67314200</v>
          </cell>
          <cell r="BT22">
            <v>0</v>
          </cell>
          <cell r="BU22">
            <v>5500</v>
          </cell>
          <cell r="BV22">
            <v>8447020</v>
          </cell>
          <cell r="BW22">
            <v>5940</v>
          </cell>
          <cell r="BY22">
            <v>0.69</v>
          </cell>
          <cell r="BZ22">
            <v>5.0000000000000044E-2</v>
          </cell>
          <cell r="CA22">
            <v>-8.0000000000000071E-2</v>
          </cell>
          <cell r="CB22">
            <v>59386</v>
          </cell>
          <cell r="CC22">
            <v>22</v>
          </cell>
          <cell r="CD22">
            <v>50935</v>
          </cell>
          <cell r="CE22">
            <v>21</v>
          </cell>
          <cell r="CF22">
            <v>17384</v>
          </cell>
          <cell r="CG22">
            <v>5</v>
          </cell>
          <cell r="CH22">
            <v>23335</v>
          </cell>
          <cell r="CI22">
            <v>7</v>
          </cell>
          <cell r="CJ22">
            <v>25487</v>
          </cell>
          <cell r="CK22">
            <v>9</v>
          </cell>
          <cell r="CL22">
            <v>56666</v>
          </cell>
          <cell r="CM22">
            <v>28</v>
          </cell>
          <cell r="CN22">
            <v>247178</v>
          </cell>
          <cell r="CO22">
            <v>111</v>
          </cell>
          <cell r="CP22">
            <v>99</v>
          </cell>
          <cell r="CQ22">
            <v>194671</v>
          </cell>
          <cell r="CR22">
            <v>102</v>
          </cell>
          <cell r="CS22">
            <v>91</v>
          </cell>
          <cell r="CT22">
            <v>348427</v>
          </cell>
          <cell r="CU22">
            <v>52</v>
          </cell>
          <cell r="CV22">
            <v>64</v>
          </cell>
          <cell r="CW22">
            <v>649256</v>
          </cell>
          <cell r="CX22">
            <v>252</v>
          </cell>
          <cell r="CZ22">
            <v>7458</v>
          </cell>
          <cell r="DA22">
            <v>4</v>
          </cell>
          <cell r="DB22">
            <v>4811</v>
          </cell>
          <cell r="DC22">
            <v>3</v>
          </cell>
          <cell r="DD22">
            <v>29087</v>
          </cell>
          <cell r="DE22">
            <v>17</v>
          </cell>
          <cell r="DF22">
            <v>29599</v>
          </cell>
          <cell r="DG22">
            <v>14</v>
          </cell>
          <cell r="DH22">
            <v>19830</v>
          </cell>
          <cell r="DI22">
            <v>8</v>
          </cell>
          <cell r="DJ22">
            <v>22747</v>
          </cell>
          <cell r="DK22">
            <v>7</v>
          </cell>
          <cell r="DL22">
            <v>4720</v>
          </cell>
          <cell r="DM22">
            <v>10</v>
          </cell>
          <cell r="DN22">
            <v>7962</v>
          </cell>
          <cell r="DO22">
            <v>5</v>
          </cell>
          <cell r="DP22">
            <v>2368</v>
          </cell>
          <cell r="DQ22">
            <v>4</v>
          </cell>
          <cell r="DR22">
            <v>4479</v>
          </cell>
          <cell r="DS22">
            <v>5</v>
          </cell>
          <cell r="DT22">
            <v>27454</v>
          </cell>
          <cell r="DU22">
            <v>20</v>
          </cell>
          <cell r="DW22">
            <v>4229.7</v>
          </cell>
          <cell r="DX22">
            <v>8.8000000000001819</v>
          </cell>
          <cell r="DY22">
            <v>9161.1</v>
          </cell>
          <cell r="DZ22">
            <v>7.8000000000010914</v>
          </cell>
          <cell r="EA22">
            <v>3198.1</v>
          </cell>
          <cell r="EB22">
            <v>6.5999999999999091</v>
          </cell>
          <cell r="EC22">
            <v>3405.6</v>
          </cell>
          <cell r="ED22">
            <v>7.6999999999998181</v>
          </cell>
          <cell r="EE22">
            <v>946223</v>
          </cell>
          <cell r="EF22">
            <v>651</v>
          </cell>
          <cell r="EI22">
            <v>195712</v>
          </cell>
          <cell r="EJ22">
            <v>152.70000000001164</v>
          </cell>
          <cell r="EL22">
            <v>10798200</v>
          </cell>
          <cell r="EM22">
            <v>4000</v>
          </cell>
          <cell r="EN22">
            <v>858770</v>
          </cell>
          <cell r="EO22">
            <v>230</v>
          </cell>
          <cell r="EP22">
            <v>6517800</v>
          </cell>
          <cell r="EQ22">
            <v>2200</v>
          </cell>
          <cell r="ER22">
            <v>2295200</v>
          </cell>
          <cell r="ES22">
            <v>400</v>
          </cell>
          <cell r="ET22">
            <v>1076320</v>
          </cell>
          <cell r="EU22">
            <v>630</v>
          </cell>
          <cell r="EV22">
            <v>14657700</v>
          </cell>
          <cell r="EW22">
            <v>5100</v>
          </cell>
          <cell r="EY22">
            <v>39337</v>
          </cell>
          <cell r="EZ22">
            <v>14</v>
          </cell>
          <cell r="FA22">
            <v>34039</v>
          </cell>
          <cell r="FB22">
            <v>12</v>
          </cell>
          <cell r="FC22">
            <v>5103</v>
          </cell>
          <cell r="FD22">
            <v>10</v>
          </cell>
          <cell r="FE22">
            <v>56258</v>
          </cell>
          <cell r="FF22">
            <v>8</v>
          </cell>
          <cell r="FG22">
            <v>41633</v>
          </cell>
          <cell r="FH22">
            <v>27</v>
          </cell>
        </row>
        <row r="23">
          <cell r="B23">
            <v>0.91</v>
          </cell>
          <cell r="E23">
            <v>100489</v>
          </cell>
          <cell r="F23">
            <v>854</v>
          </cell>
          <cell r="G23">
            <v>490</v>
          </cell>
          <cell r="H23">
            <v>146353</v>
          </cell>
          <cell r="I23">
            <v>424</v>
          </cell>
          <cell r="J23">
            <v>330</v>
          </cell>
          <cell r="K23">
            <v>164625</v>
          </cell>
          <cell r="L23">
            <v>0</v>
          </cell>
          <cell r="N23">
            <v>844871.8</v>
          </cell>
          <cell r="O23">
            <v>362.80000000004657</v>
          </cell>
          <cell r="Q23">
            <v>198713</v>
          </cell>
          <cell r="R23">
            <v>205</v>
          </cell>
          <cell r="U23">
            <v>64240.25</v>
          </cell>
          <cell r="V23">
            <v>148.76000000000204</v>
          </cell>
          <cell r="W23">
            <v>115.56999999999994</v>
          </cell>
          <cell r="X23">
            <v>141</v>
          </cell>
          <cell r="Y23">
            <v>26</v>
          </cell>
          <cell r="AE23">
            <v>7508628.959999999</v>
          </cell>
          <cell r="AF23">
            <v>2192.3999999994412</v>
          </cell>
          <cell r="AG23">
            <v>1607.7599999997765</v>
          </cell>
          <cell r="AH23">
            <v>14350232.4</v>
          </cell>
          <cell r="AI23">
            <v>5066.8800000008196</v>
          </cell>
          <cell r="AJ23">
            <v>4336.0800000000745</v>
          </cell>
          <cell r="AK23">
            <v>13980642.48</v>
          </cell>
          <cell r="AL23">
            <v>97.440000001341105</v>
          </cell>
          <cell r="AM23">
            <v>11497.919999998063</v>
          </cell>
          <cell r="AN23">
            <v>17206393.68</v>
          </cell>
          <cell r="AO23">
            <v>13349.280000001192</v>
          </cell>
          <cell r="AP23">
            <v>925.67999999970198</v>
          </cell>
          <cell r="AQ23">
            <v>17575057.919999998</v>
          </cell>
          <cell r="AR23">
            <v>1364.1599999964237</v>
          </cell>
          <cell r="AS23">
            <v>876.96000000089407</v>
          </cell>
          <cell r="AT23">
            <v>16207779.839999998</v>
          </cell>
          <cell r="AU23">
            <v>6090</v>
          </cell>
          <cell r="AV23">
            <v>4579.679999999702</v>
          </cell>
          <cell r="AW23">
            <v>13711951.68</v>
          </cell>
          <cell r="AX23">
            <v>4774.5600000005215</v>
          </cell>
          <cell r="AY23">
            <v>3654</v>
          </cell>
          <cell r="AZ23">
            <v>13216615.439999999</v>
          </cell>
          <cell r="BB23">
            <v>3800.160000000149</v>
          </cell>
          <cell r="BC23">
            <v>10481864.4</v>
          </cell>
          <cell r="BD23">
            <v>2923.2000000011176</v>
          </cell>
          <cell r="BE23">
            <v>2777.0400000009686</v>
          </cell>
          <cell r="BF23">
            <v>16358275.919999998</v>
          </cell>
          <cell r="BG23">
            <v>5748.9599999971688</v>
          </cell>
          <cell r="BH23">
            <v>5700.2400000002235</v>
          </cell>
          <cell r="BM23">
            <v>69273700</v>
          </cell>
          <cell r="BN23">
            <v>0</v>
          </cell>
          <cell r="BO23">
            <v>68100</v>
          </cell>
          <cell r="BP23">
            <v>72841100</v>
          </cell>
          <cell r="BQ23">
            <v>68500</v>
          </cell>
          <cell r="BR23">
            <v>0</v>
          </cell>
          <cell r="BS23">
            <v>67314200</v>
          </cell>
          <cell r="BT23">
            <v>0</v>
          </cell>
          <cell r="BU23">
            <v>0</v>
          </cell>
          <cell r="BV23">
            <v>8453330</v>
          </cell>
          <cell r="BW23">
            <v>6310</v>
          </cell>
          <cell r="BY23">
            <v>0.64</v>
          </cell>
          <cell r="BZ23">
            <v>4.9999999999999933E-2</v>
          </cell>
          <cell r="CA23">
            <v>5.0000000000000044E-2</v>
          </cell>
          <cell r="CB23">
            <v>59407</v>
          </cell>
          <cell r="CC23">
            <v>21</v>
          </cell>
          <cell r="CD23">
            <v>50957</v>
          </cell>
          <cell r="CE23">
            <v>22</v>
          </cell>
          <cell r="CF23">
            <v>17389</v>
          </cell>
          <cell r="CG23">
            <v>5</v>
          </cell>
          <cell r="CH23">
            <v>23343</v>
          </cell>
          <cell r="CI23">
            <v>8</v>
          </cell>
          <cell r="CJ23">
            <v>25500</v>
          </cell>
          <cell r="CK23">
            <v>13</v>
          </cell>
          <cell r="CL23">
            <v>56694</v>
          </cell>
          <cell r="CM23">
            <v>28</v>
          </cell>
          <cell r="CN23">
            <v>247291</v>
          </cell>
          <cell r="CO23">
            <v>113</v>
          </cell>
          <cell r="CP23">
            <v>88</v>
          </cell>
          <cell r="CQ23">
            <v>194788</v>
          </cell>
          <cell r="CR23">
            <v>117</v>
          </cell>
          <cell r="CS23">
            <v>99</v>
          </cell>
          <cell r="CT23">
            <v>348487</v>
          </cell>
          <cell r="CU23">
            <v>60</v>
          </cell>
          <cell r="CV23">
            <v>70</v>
          </cell>
          <cell r="CW23">
            <v>649513</v>
          </cell>
          <cell r="CX23">
            <v>257</v>
          </cell>
          <cell r="CZ23">
            <v>7462</v>
          </cell>
          <cell r="DA23">
            <v>4</v>
          </cell>
          <cell r="DB23">
            <v>4815</v>
          </cell>
          <cell r="DC23">
            <v>4</v>
          </cell>
          <cell r="DD23">
            <v>29105</v>
          </cell>
          <cell r="DE23">
            <v>18</v>
          </cell>
          <cell r="DF23">
            <v>29613</v>
          </cell>
          <cell r="DG23">
            <v>14</v>
          </cell>
          <cell r="DH23">
            <v>19838</v>
          </cell>
          <cell r="DI23">
            <v>8</v>
          </cell>
          <cell r="DJ23">
            <v>22754</v>
          </cell>
          <cell r="DK23">
            <v>7</v>
          </cell>
          <cell r="DL23">
            <v>4730</v>
          </cell>
          <cell r="DM23">
            <v>10</v>
          </cell>
          <cell r="DN23">
            <v>7967</v>
          </cell>
          <cell r="DO23">
            <v>5</v>
          </cell>
          <cell r="DP23">
            <v>2372</v>
          </cell>
          <cell r="DQ23">
            <v>4</v>
          </cell>
          <cell r="DR23">
            <v>4484</v>
          </cell>
          <cell r="DS23">
            <v>5</v>
          </cell>
          <cell r="DT23">
            <v>27483</v>
          </cell>
          <cell r="DU23">
            <v>29</v>
          </cell>
          <cell r="DW23">
            <v>4239.6000000000004</v>
          </cell>
          <cell r="DX23">
            <v>9.9000000000005457</v>
          </cell>
          <cell r="DY23">
            <v>9169.5</v>
          </cell>
          <cell r="DZ23">
            <v>8.3999999999996362</v>
          </cell>
          <cell r="EA23">
            <v>3205.5</v>
          </cell>
          <cell r="EB23">
            <v>7.4000000000000909</v>
          </cell>
          <cell r="EC23">
            <v>3413.9</v>
          </cell>
          <cell r="ED23">
            <v>8.3000000000001819</v>
          </cell>
          <cell r="EE23">
            <v>947024</v>
          </cell>
          <cell r="EF23">
            <v>801</v>
          </cell>
          <cell r="EI23">
            <v>195879.2</v>
          </cell>
          <cell r="EJ23">
            <v>167.20000000001164</v>
          </cell>
          <cell r="EL23">
            <v>10802000</v>
          </cell>
          <cell r="EM23">
            <v>3800</v>
          </cell>
          <cell r="EN23">
            <v>858990</v>
          </cell>
          <cell r="EO23">
            <v>220</v>
          </cell>
          <cell r="EP23">
            <v>6519800</v>
          </cell>
          <cell r="EQ23">
            <v>2000</v>
          </cell>
          <cell r="ER23">
            <v>2295800</v>
          </cell>
          <cell r="ES23">
            <v>600</v>
          </cell>
          <cell r="ET23">
            <v>1076900</v>
          </cell>
          <cell r="EU23">
            <v>580</v>
          </cell>
          <cell r="EV23">
            <v>14662300</v>
          </cell>
          <cell r="EW23">
            <v>4600</v>
          </cell>
          <cell r="EY23">
            <v>39354</v>
          </cell>
          <cell r="EZ23">
            <v>17</v>
          </cell>
          <cell r="FA23">
            <v>34052</v>
          </cell>
          <cell r="FB23">
            <v>13</v>
          </cell>
          <cell r="FC23">
            <v>5114</v>
          </cell>
          <cell r="FD23">
            <v>11</v>
          </cell>
          <cell r="FE23">
            <v>56266</v>
          </cell>
          <cell r="FF23">
            <v>8</v>
          </cell>
          <cell r="FG23">
            <v>41664</v>
          </cell>
          <cell r="FH23">
            <v>31</v>
          </cell>
        </row>
        <row r="24">
          <cell r="B24">
            <v>0.94</v>
          </cell>
          <cell r="E24">
            <v>101206</v>
          </cell>
          <cell r="F24">
            <v>717</v>
          </cell>
          <cell r="G24">
            <v>595</v>
          </cell>
          <cell r="H24">
            <v>146790</v>
          </cell>
          <cell r="I24">
            <v>437</v>
          </cell>
          <cell r="J24">
            <v>409</v>
          </cell>
          <cell r="K24">
            <v>164625</v>
          </cell>
          <cell r="L24">
            <v>0</v>
          </cell>
          <cell r="N24">
            <v>844986</v>
          </cell>
          <cell r="O24">
            <v>114.19999999995343</v>
          </cell>
          <cell r="Q24">
            <v>198770</v>
          </cell>
          <cell r="R24">
            <v>57</v>
          </cell>
          <cell r="U24">
            <v>64408.79</v>
          </cell>
          <cell r="V24">
            <v>168.54000000000087</v>
          </cell>
          <cell r="W24">
            <v>126.35000000000014</v>
          </cell>
          <cell r="X24">
            <v>169</v>
          </cell>
          <cell r="Y24">
            <v>28</v>
          </cell>
          <cell r="AE24">
            <v>7511113.6799999997</v>
          </cell>
          <cell r="AF24">
            <v>2484.7200000006706</v>
          </cell>
          <cell r="AG24">
            <v>2777.0400000000373</v>
          </cell>
          <cell r="AH24">
            <v>14355104.4</v>
          </cell>
          <cell r="AI24">
            <v>4872</v>
          </cell>
          <cell r="AJ24">
            <v>4774.5600000005215</v>
          </cell>
          <cell r="AK24">
            <v>13980886.08</v>
          </cell>
          <cell r="AL24">
            <v>243.59999999962747</v>
          </cell>
          <cell r="AM24">
            <v>10328.640000000596</v>
          </cell>
          <cell r="AN24">
            <v>17218671.119999997</v>
          </cell>
          <cell r="AO24">
            <v>12277.439999997616</v>
          </cell>
          <cell r="AP24">
            <v>925.67999999970198</v>
          </cell>
          <cell r="AQ24">
            <v>17579052.960000001</v>
          </cell>
          <cell r="AR24">
            <v>3995.0400000028312</v>
          </cell>
          <cell r="AS24">
            <v>5407.9199999999255</v>
          </cell>
          <cell r="AT24">
            <v>16213480.08</v>
          </cell>
          <cell r="AU24">
            <v>5700.2400000020862</v>
          </cell>
          <cell r="AV24">
            <v>5505.3600000012666</v>
          </cell>
          <cell r="AW24">
            <v>13716823.68</v>
          </cell>
          <cell r="AX24">
            <v>4872</v>
          </cell>
          <cell r="AY24">
            <v>4141.1999999992549</v>
          </cell>
          <cell r="AZ24">
            <v>13220951.52</v>
          </cell>
          <cell r="BB24">
            <v>4384.7999999988824</v>
          </cell>
          <cell r="BC24">
            <v>10484738.880000001</v>
          </cell>
          <cell r="BD24">
            <v>2874.480000000447</v>
          </cell>
          <cell r="BE24">
            <v>3264.2399999983609</v>
          </cell>
          <cell r="BF24">
            <v>16364024.880000001</v>
          </cell>
          <cell r="BG24">
            <v>5748.9600000027567</v>
          </cell>
          <cell r="BH24">
            <v>6431.0399999991059</v>
          </cell>
          <cell r="BM24">
            <v>69273700</v>
          </cell>
          <cell r="BN24">
            <v>0</v>
          </cell>
          <cell r="BO24">
            <v>50500</v>
          </cell>
          <cell r="BP24">
            <v>72903100</v>
          </cell>
          <cell r="BQ24">
            <v>62000</v>
          </cell>
          <cell r="BR24">
            <v>0</v>
          </cell>
          <cell r="BS24">
            <v>67331700</v>
          </cell>
          <cell r="BT24">
            <v>17500</v>
          </cell>
          <cell r="BU24">
            <v>27000</v>
          </cell>
          <cell r="BV24">
            <v>8459990</v>
          </cell>
          <cell r="BW24">
            <v>6660</v>
          </cell>
          <cell r="BY24">
            <v>0.72</v>
          </cell>
          <cell r="BZ24">
            <v>-7.999999999999996E-2</v>
          </cell>
          <cell r="CA24">
            <v>-5.0000000000000044E-2</v>
          </cell>
          <cell r="CB24">
            <v>59427</v>
          </cell>
          <cell r="CC24">
            <v>20</v>
          </cell>
          <cell r="CD24">
            <v>50976</v>
          </cell>
          <cell r="CE24">
            <v>19</v>
          </cell>
          <cell r="CF24">
            <v>17395</v>
          </cell>
          <cell r="CG24">
            <v>6</v>
          </cell>
          <cell r="CH24">
            <v>23350</v>
          </cell>
          <cell r="CI24">
            <v>7</v>
          </cell>
          <cell r="CJ24">
            <v>25508</v>
          </cell>
          <cell r="CK24">
            <v>8</v>
          </cell>
          <cell r="CL24">
            <v>56721</v>
          </cell>
          <cell r="CM24">
            <v>27</v>
          </cell>
          <cell r="CN24">
            <v>247399</v>
          </cell>
          <cell r="CO24">
            <v>108</v>
          </cell>
          <cell r="CP24">
            <v>104</v>
          </cell>
          <cell r="CQ24">
            <v>194900</v>
          </cell>
          <cell r="CR24">
            <v>112</v>
          </cell>
          <cell r="CS24">
            <v>97</v>
          </cell>
          <cell r="CT24">
            <v>348539</v>
          </cell>
          <cell r="CU24">
            <v>52</v>
          </cell>
          <cell r="CV24">
            <v>76</v>
          </cell>
          <cell r="CW24">
            <v>649759</v>
          </cell>
          <cell r="CX24">
            <v>246</v>
          </cell>
          <cell r="CZ24">
            <v>7469</v>
          </cell>
          <cell r="DA24">
            <v>7</v>
          </cell>
          <cell r="DB24">
            <v>4818</v>
          </cell>
          <cell r="DC24">
            <v>3</v>
          </cell>
          <cell r="DD24">
            <v>29121</v>
          </cell>
          <cell r="DE24">
            <v>16</v>
          </cell>
          <cell r="DF24">
            <v>29629</v>
          </cell>
          <cell r="DG24">
            <v>16</v>
          </cell>
          <cell r="DH24">
            <v>19849</v>
          </cell>
          <cell r="DI24">
            <v>11</v>
          </cell>
          <cell r="DJ24">
            <v>22766</v>
          </cell>
          <cell r="DK24">
            <v>12</v>
          </cell>
          <cell r="DL24">
            <v>4742</v>
          </cell>
          <cell r="DM24">
            <v>12</v>
          </cell>
          <cell r="DN24">
            <v>7975</v>
          </cell>
          <cell r="DO24">
            <v>8</v>
          </cell>
          <cell r="DP24">
            <v>2379</v>
          </cell>
          <cell r="DQ24">
            <v>7</v>
          </cell>
          <cell r="DR24">
            <v>4492</v>
          </cell>
          <cell r="DS24">
            <v>8</v>
          </cell>
          <cell r="DT24">
            <v>27485</v>
          </cell>
          <cell r="DU24">
            <v>2</v>
          </cell>
          <cell r="DW24">
            <v>4248.3</v>
          </cell>
          <cell r="DX24">
            <v>8.6999999999998181</v>
          </cell>
          <cell r="DY24">
            <v>9177.5</v>
          </cell>
          <cell r="DZ24">
            <v>8</v>
          </cell>
          <cell r="EA24">
            <v>3212</v>
          </cell>
          <cell r="EB24">
            <v>6.5</v>
          </cell>
          <cell r="EC24">
            <v>3422.3</v>
          </cell>
          <cell r="ED24">
            <v>8.4000000000000909</v>
          </cell>
          <cell r="EE24">
            <v>947729</v>
          </cell>
          <cell r="EF24">
            <v>705</v>
          </cell>
          <cell r="EI24">
            <v>196020.9</v>
          </cell>
          <cell r="EJ24">
            <v>141.69999999998254</v>
          </cell>
          <cell r="EL24">
            <v>10806700</v>
          </cell>
          <cell r="EM24">
            <v>4700</v>
          </cell>
          <cell r="EN24">
            <v>859250</v>
          </cell>
          <cell r="EO24">
            <v>260</v>
          </cell>
          <cell r="EP24">
            <v>6522200</v>
          </cell>
          <cell r="EQ24">
            <v>2400</v>
          </cell>
          <cell r="ER24">
            <v>2296500</v>
          </cell>
          <cell r="ES24">
            <v>700</v>
          </cell>
          <cell r="ET24">
            <v>1077520</v>
          </cell>
          <cell r="EU24">
            <v>620</v>
          </cell>
          <cell r="EV24">
            <v>14668200</v>
          </cell>
          <cell r="EW24">
            <v>5900</v>
          </cell>
          <cell r="EY24">
            <v>39371</v>
          </cell>
          <cell r="EZ24">
            <v>17</v>
          </cell>
          <cell r="FA24">
            <v>34065</v>
          </cell>
          <cell r="FB24">
            <v>13</v>
          </cell>
          <cell r="FC24">
            <v>5124</v>
          </cell>
          <cell r="FD24">
            <v>10</v>
          </cell>
          <cell r="FE24">
            <v>56275</v>
          </cell>
          <cell r="FF24">
            <v>9</v>
          </cell>
          <cell r="FG24">
            <v>41690</v>
          </cell>
          <cell r="FH24">
            <v>26</v>
          </cell>
        </row>
        <row r="25">
          <cell r="B25">
            <v>0.89</v>
          </cell>
          <cell r="E25">
            <v>101924</v>
          </cell>
          <cell r="F25">
            <v>718</v>
          </cell>
          <cell r="G25">
            <v>564</v>
          </cell>
          <cell r="H25">
            <v>147238</v>
          </cell>
          <cell r="I25">
            <v>448</v>
          </cell>
          <cell r="J25">
            <v>357</v>
          </cell>
          <cell r="K25">
            <v>164625</v>
          </cell>
          <cell r="L25">
            <v>0</v>
          </cell>
          <cell r="N25">
            <v>845062</v>
          </cell>
          <cell r="O25">
            <v>76</v>
          </cell>
          <cell r="Q25">
            <v>198770</v>
          </cell>
          <cell r="R25">
            <v>0</v>
          </cell>
          <cell r="U25">
            <v>64589.47</v>
          </cell>
          <cell r="V25">
            <v>180.68000000000029</v>
          </cell>
          <cell r="W25">
            <v>106.95000000000005</v>
          </cell>
          <cell r="X25">
            <v>198</v>
          </cell>
          <cell r="Y25">
            <v>29</v>
          </cell>
          <cell r="AE25">
            <v>7514036.8799999999</v>
          </cell>
          <cell r="AF25">
            <v>2923.2000000001863</v>
          </cell>
          <cell r="AG25">
            <v>1802.6399999996647</v>
          </cell>
          <cell r="AH25">
            <v>14359830.24</v>
          </cell>
          <cell r="AI25">
            <v>4725.839999999851</v>
          </cell>
          <cell r="AJ25">
            <v>4384.7999999988824</v>
          </cell>
          <cell r="AK25">
            <v>13992432.719999999</v>
          </cell>
          <cell r="AL25">
            <v>11546.639999998733</v>
          </cell>
          <cell r="AM25">
            <v>11790.240000000224</v>
          </cell>
          <cell r="AN25">
            <v>17224614.960000001</v>
          </cell>
          <cell r="AO25">
            <v>5943.8400000035763</v>
          </cell>
          <cell r="AP25">
            <v>682.08000000193715</v>
          </cell>
          <cell r="AQ25">
            <v>17579101.68</v>
          </cell>
          <cell r="AR25">
            <v>48.719999998807907</v>
          </cell>
          <cell r="AS25">
            <v>730.80000000074506</v>
          </cell>
          <cell r="AT25">
            <v>16219277.760000002</v>
          </cell>
          <cell r="AU25">
            <v>5797.6800000015646</v>
          </cell>
          <cell r="AV25">
            <v>5066.8799999989569</v>
          </cell>
          <cell r="AW25">
            <v>13721890.559999999</v>
          </cell>
          <cell r="AX25">
            <v>5066.8799999989569</v>
          </cell>
          <cell r="AY25">
            <v>3605.2800000011921</v>
          </cell>
          <cell r="AZ25">
            <v>13225628.640000001</v>
          </cell>
          <cell r="BB25">
            <v>3995.0400000009686</v>
          </cell>
          <cell r="BC25">
            <v>10488003.119999999</v>
          </cell>
          <cell r="BD25">
            <v>3264.2399999983609</v>
          </cell>
          <cell r="BE25">
            <v>2874.480000000447</v>
          </cell>
          <cell r="BF25">
            <v>16370212.319999998</v>
          </cell>
          <cell r="BG25">
            <v>6187.4399999976158</v>
          </cell>
          <cell r="BH25">
            <v>5846.3999999985099</v>
          </cell>
          <cell r="BM25">
            <v>69330500</v>
          </cell>
          <cell r="BN25">
            <v>56800</v>
          </cell>
          <cell r="BO25">
            <v>69300</v>
          </cell>
          <cell r="BP25">
            <v>72937200</v>
          </cell>
          <cell r="BQ25">
            <v>34100</v>
          </cell>
          <cell r="BR25">
            <v>0</v>
          </cell>
          <cell r="BS25">
            <v>67331700</v>
          </cell>
          <cell r="BT25">
            <v>0</v>
          </cell>
          <cell r="BU25">
            <v>0</v>
          </cell>
          <cell r="BV25">
            <v>8467030</v>
          </cell>
          <cell r="BW25">
            <v>7040</v>
          </cell>
          <cell r="BY25">
            <v>0.67</v>
          </cell>
          <cell r="BZ25">
            <v>4.9999999999999933E-2</v>
          </cell>
          <cell r="CA25">
            <v>6.0000000000000053E-2</v>
          </cell>
          <cell r="CB25">
            <v>59449</v>
          </cell>
          <cell r="CC25">
            <v>22</v>
          </cell>
          <cell r="CD25">
            <v>50996</v>
          </cell>
          <cell r="CE25">
            <v>20</v>
          </cell>
          <cell r="CF25">
            <v>17402</v>
          </cell>
          <cell r="CG25">
            <v>7</v>
          </cell>
          <cell r="CH25">
            <v>23357</v>
          </cell>
          <cell r="CI25">
            <v>7</v>
          </cell>
          <cell r="CJ25">
            <v>25523</v>
          </cell>
          <cell r="CK25">
            <v>15</v>
          </cell>
          <cell r="CL25">
            <v>56747</v>
          </cell>
          <cell r="CM25">
            <v>26</v>
          </cell>
          <cell r="CN25">
            <v>247507</v>
          </cell>
          <cell r="CO25">
            <v>108</v>
          </cell>
          <cell r="CP25">
            <v>95</v>
          </cell>
          <cell r="CQ25">
            <v>195015</v>
          </cell>
          <cell r="CR25">
            <v>115</v>
          </cell>
          <cell r="CS25">
            <v>96</v>
          </cell>
          <cell r="CT25">
            <v>348585</v>
          </cell>
          <cell r="CU25">
            <v>46</v>
          </cell>
          <cell r="CV25">
            <v>111</v>
          </cell>
          <cell r="CW25">
            <v>650002</v>
          </cell>
          <cell r="CX25">
            <v>243</v>
          </cell>
          <cell r="CZ25">
            <v>7475</v>
          </cell>
          <cell r="DA25">
            <v>6</v>
          </cell>
          <cell r="DB25">
            <v>4821</v>
          </cell>
          <cell r="DC25">
            <v>3</v>
          </cell>
          <cell r="DD25">
            <v>29137</v>
          </cell>
          <cell r="DE25">
            <v>16</v>
          </cell>
          <cell r="DF25">
            <v>29645</v>
          </cell>
          <cell r="DG25">
            <v>16</v>
          </cell>
          <cell r="DH25">
            <v>19860</v>
          </cell>
          <cell r="DI25">
            <v>11</v>
          </cell>
          <cell r="DJ25">
            <v>22776</v>
          </cell>
          <cell r="DK25">
            <v>10</v>
          </cell>
          <cell r="DL25">
            <v>4754</v>
          </cell>
          <cell r="DM25">
            <v>12</v>
          </cell>
          <cell r="DN25">
            <v>7983</v>
          </cell>
          <cell r="DO25">
            <v>8</v>
          </cell>
          <cell r="DP25">
            <v>2386</v>
          </cell>
          <cell r="DQ25">
            <v>7</v>
          </cell>
          <cell r="DR25">
            <v>4500</v>
          </cell>
          <cell r="DS25">
            <v>8</v>
          </cell>
          <cell r="DT25">
            <v>27487</v>
          </cell>
          <cell r="DU25">
            <v>2</v>
          </cell>
          <cell r="DW25">
            <v>4258.7</v>
          </cell>
          <cell r="DX25">
            <v>10.399999999999636</v>
          </cell>
          <cell r="DY25">
            <v>9185.7999999999993</v>
          </cell>
          <cell r="DZ25">
            <v>8.2999999999992724</v>
          </cell>
          <cell r="EA25">
            <v>3218.9</v>
          </cell>
          <cell r="EB25">
            <v>6.9000000000000909</v>
          </cell>
          <cell r="EC25">
            <v>3432.1</v>
          </cell>
          <cell r="ED25">
            <v>9.7999999999997272</v>
          </cell>
          <cell r="EE25">
            <v>948530</v>
          </cell>
          <cell r="EF25">
            <v>801</v>
          </cell>
          <cell r="EI25">
            <v>196178.3</v>
          </cell>
          <cell r="EJ25">
            <v>157.39999999999418</v>
          </cell>
          <cell r="EL25">
            <v>10812300</v>
          </cell>
          <cell r="EM25">
            <v>5600</v>
          </cell>
          <cell r="EN25">
            <v>859540</v>
          </cell>
          <cell r="EO25">
            <v>290</v>
          </cell>
          <cell r="EP25">
            <v>6525000</v>
          </cell>
          <cell r="EQ25">
            <v>2800</v>
          </cell>
          <cell r="ER25">
            <v>2297300</v>
          </cell>
          <cell r="ES25">
            <v>800</v>
          </cell>
          <cell r="ET25">
            <v>1078210</v>
          </cell>
          <cell r="EU25">
            <v>690</v>
          </cell>
          <cell r="EV25">
            <v>14675000</v>
          </cell>
          <cell r="EW25">
            <v>6800</v>
          </cell>
          <cell r="EY25">
            <v>39387</v>
          </cell>
          <cell r="EZ25">
            <v>16</v>
          </cell>
          <cell r="FA25">
            <v>34080</v>
          </cell>
          <cell r="FB25">
            <v>15</v>
          </cell>
          <cell r="FC25">
            <v>5139</v>
          </cell>
          <cell r="FD25">
            <v>15</v>
          </cell>
          <cell r="FE25">
            <v>56283</v>
          </cell>
          <cell r="FF25">
            <v>8</v>
          </cell>
          <cell r="FG25">
            <v>41717</v>
          </cell>
          <cell r="FH25">
            <v>27</v>
          </cell>
        </row>
        <row r="26">
          <cell r="B26">
            <v>0.88</v>
          </cell>
          <cell r="E26">
            <v>102554</v>
          </cell>
          <cell r="F26">
            <v>630</v>
          </cell>
          <cell r="G26">
            <v>599</v>
          </cell>
          <cell r="H26">
            <v>147655</v>
          </cell>
          <cell r="I26">
            <v>417</v>
          </cell>
          <cell r="J26">
            <v>376.60000000000036</v>
          </cell>
          <cell r="K26">
            <v>164625</v>
          </cell>
          <cell r="L26">
            <v>0</v>
          </cell>
          <cell r="N26">
            <v>845327</v>
          </cell>
          <cell r="O26">
            <v>265</v>
          </cell>
          <cell r="Q26">
            <v>198770</v>
          </cell>
          <cell r="R26">
            <v>0</v>
          </cell>
          <cell r="U26">
            <v>64745.36</v>
          </cell>
          <cell r="V26">
            <v>155.88999999999942</v>
          </cell>
          <cell r="W26">
            <v>98.739999999999782</v>
          </cell>
          <cell r="X26">
            <v>223</v>
          </cell>
          <cell r="Y26">
            <v>25</v>
          </cell>
          <cell r="AE26">
            <v>7516765.2000000002</v>
          </cell>
          <cell r="AF26">
            <v>2728.320000000298</v>
          </cell>
          <cell r="AG26">
            <v>2582.1600000010803</v>
          </cell>
          <cell r="AH26">
            <v>14364653.52</v>
          </cell>
          <cell r="AI26">
            <v>4823.2799999993294</v>
          </cell>
          <cell r="AJ26">
            <v>4530.9599999990314</v>
          </cell>
          <cell r="AK26">
            <v>14004076.799999999</v>
          </cell>
          <cell r="AL26">
            <v>11644.080000000075</v>
          </cell>
          <cell r="AM26">
            <v>584.6399999987334</v>
          </cell>
          <cell r="AN26">
            <v>17228268.960000001</v>
          </cell>
          <cell r="AO26">
            <v>3654</v>
          </cell>
          <cell r="AP26">
            <v>11059.439999997616</v>
          </cell>
          <cell r="AQ26">
            <v>17579101.68</v>
          </cell>
          <cell r="AR26">
            <v>0</v>
          </cell>
          <cell r="AS26">
            <v>633.35999999940395</v>
          </cell>
          <cell r="AT26">
            <v>16224978</v>
          </cell>
          <cell r="AU26">
            <v>5700.2399999983609</v>
          </cell>
          <cell r="AV26">
            <v>5213.0400000009686</v>
          </cell>
          <cell r="AW26">
            <v>13726275.359999999</v>
          </cell>
          <cell r="AX26">
            <v>4384.8000000007451</v>
          </cell>
          <cell r="AY26">
            <v>3751.4399999994785</v>
          </cell>
          <cell r="AZ26">
            <v>13230305.76</v>
          </cell>
          <cell r="BB26">
            <v>4238.640000000596</v>
          </cell>
          <cell r="BC26">
            <v>10490877.6</v>
          </cell>
          <cell r="BD26">
            <v>2874.480000000447</v>
          </cell>
          <cell r="BE26">
            <v>2923.2000000011176</v>
          </cell>
          <cell r="BF26">
            <v>16376204.880000001</v>
          </cell>
          <cell r="BG26">
            <v>5992.5600000023842</v>
          </cell>
          <cell r="BH26">
            <v>5700.2400000020862</v>
          </cell>
          <cell r="BM26">
            <v>69388700</v>
          </cell>
          <cell r="BN26">
            <v>58200</v>
          </cell>
          <cell r="BO26">
            <v>2900</v>
          </cell>
          <cell r="BP26">
            <v>72956500</v>
          </cell>
          <cell r="BQ26">
            <v>19300</v>
          </cell>
          <cell r="BR26">
            <v>58200</v>
          </cell>
          <cell r="BS26">
            <v>67331700</v>
          </cell>
          <cell r="BT26">
            <v>0</v>
          </cell>
          <cell r="BU26">
            <v>0</v>
          </cell>
          <cell r="BV26">
            <v>8473390</v>
          </cell>
          <cell r="BW26">
            <v>6360</v>
          </cell>
          <cell r="BY26">
            <v>0.74</v>
          </cell>
          <cell r="BZ26">
            <v>-6.9999999999999951E-2</v>
          </cell>
          <cell r="CA26">
            <v>-5.0000000000000044E-2</v>
          </cell>
          <cell r="CB26">
            <v>59471</v>
          </cell>
          <cell r="CC26">
            <v>22</v>
          </cell>
          <cell r="CD26">
            <v>51016</v>
          </cell>
          <cell r="CE26">
            <v>20</v>
          </cell>
          <cell r="CF26">
            <v>17406</v>
          </cell>
          <cell r="CG26">
            <v>4</v>
          </cell>
          <cell r="CH26">
            <v>23364</v>
          </cell>
          <cell r="CI26">
            <v>7</v>
          </cell>
          <cell r="CJ26">
            <v>25538</v>
          </cell>
          <cell r="CK26">
            <v>15</v>
          </cell>
          <cell r="CL26">
            <v>56774</v>
          </cell>
          <cell r="CM26">
            <v>27</v>
          </cell>
          <cell r="CN26">
            <v>247617</v>
          </cell>
          <cell r="CO26">
            <v>110</v>
          </cell>
          <cell r="CP26">
            <v>98</v>
          </cell>
          <cell r="CQ26">
            <v>195135</v>
          </cell>
          <cell r="CR26">
            <v>120</v>
          </cell>
          <cell r="CS26">
            <v>95</v>
          </cell>
          <cell r="CT26">
            <v>348596</v>
          </cell>
          <cell r="CU26">
            <v>11</v>
          </cell>
          <cell r="CV26">
            <v>117</v>
          </cell>
          <cell r="CW26">
            <v>650252</v>
          </cell>
          <cell r="CX26">
            <v>250</v>
          </cell>
          <cell r="CZ26">
            <v>7478</v>
          </cell>
          <cell r="DA26">
            <v>3</v>
          </cell>
          <cell r="DB26">
            <v>4824</v>
          </cell>
          <cell r="DC26">
            <v>3</v>
          </cell>
          <cell r="DD26">
            <v>29155</v>
          </cell>
          <cell r="DE26">
            <v>18</v>
          </cell>
          <cell r="DF26">
            <v>29662</v>
          </cell>
          <cell r="DG26">
            <v>17</v>
          </cell>
          <cell r="DH26">
            <v>19868</v>
          </cell>
          <cell r="DI26">
            <v>8</v>
          </cell>
          <cell r="DJ26">
            <v>22782</v>
          </cell>
          <cell r="DK26">
            <v>6</v>
          </cell>
          <cell r="DL26">
            <v>4767</v>
          </cell>
          <cell r="DM26">
            <v>13</v>
          </cell>
          <cell r="DN26">
            <v>7995</v>
          </cell>
          <cell r="DO26">
            <v>12</v>
          </cell>
          <cell r="DP26">
            <v>2390</v>
          </cell>
          <cell r="DQ26">
            <v>4</v>
          </cell>
          <cell r="DR26">
            <v>4507</v>
          </cell>
          <cell r="DS26">
            <v>7</v>
          </cell>
          <cell r="DT26">
            <v>27505</v>
          </cell>
          <cell r="DU26">
            <v>18</v>
          </cell>
          <cell r="DW26">
            <v>4267.8999999999996</v>
          </cell>
          <cell r="DX26">
            <v>9.1999999999998181</v>
          </cell>
          <cell r="DY26">
            <v>9194</v>
          </cell>
          <cell r="DZ26">
            <v>8.2000000000007276</v>
          </cell>
          <cell r="EA26">
            <v>3225.7</v>
          </cell>
          <cell r="EB26">
            <v>6.7999999999997272</v>
          </cell>
          <cell r="EC26">
            <v>3441.6</v>
          </cell>
          <cell r="ED26">
            <v>9.5</v>
          </cell>
          <cell r="EE26">
            <v>949300</v>
          </cell>
          <cell r="EF26">
            <v>770</v>
          </cell>
          <cell r="EI26">
            <v>196322.4</v>
          </cell>
          <cell r="EJ26">
            <v>144.10000000000582</v>
          </cell>
          <cell r="EL26">
            <v>10816800</v>
          </cell>
          <cell r="EM26">
            <v>4500</v>
          </cell>
          <cell r="EN26">
            <v>859790</v>
          </cell>
          <cell r="EO26">
            <v>250</v>
          </cell>
          <cell r="EP26">
            <v>6527200</v>
          </cell>
          <cell r="EQ26">
            <v>2200</v>
          </cell>
          <cell r="ER26">
            <v>2298000</v>
          </cell>
          <cell r="ES26">
            <v>700</v>
          </cell>
          <cell r="ET26">
            <v>1078840</v>
          </cell>
          <cell r="EU26">
            <v>630</v>
          </cell>
          <cell r="EV26">
            <v>14680700</v>
          </cell>
          <cell r="EW26">
            <v>5700</v>
          </cell>
          <cell r="EY26">
            <v>39401</v>
          </cell>
          <cell r="EZ26">
            <v>14</v>
          </cell>
          <cell r="FA26">
            <v>34094</v>
          </cell>
          <cell r="FB26">
            <v>14</v>
          </cell>
          <cell r="FC26">
            <v>5151</v>
          </cell>
          <cell r="FD26">
            <v>12</v>
          </cell>
          <cell r="FE26">
            <v>56291</v>
          </cell>
          <cell r="FF26">
            <v>8</v>
          </cell>
          <cell r="FG26">
            <v>41747</v>
          </cell>
          <cell r="FH26">
            <v>30</v>
          </cell>
        </row>
        <row r="27">
          <cell r="B27">
            <v>0.88</v>
          </cell>
          <cell r="E27">
            <v>103272</v>
          </cell>
          <cell r="F27">
            <v>718</v>
          </cell>
          <cell r="G27">
            <v>506</v>
          </cell>
          <cell r="H27">
            <v>148067</v>
          </cell>
          <cell r="I27">
            <v>412</v>
          </cell>
          <cell r="J27">
            <v>350.78999999999905</v>
          </cell>
          <cell r="K27">
            <v>164625</v>
          </cell>
          <cell r="L27">
            <v>0</v>
          </cell>
          <cell r="N27">
            <v>845659</v>
          </cell>
          <cell r="O27">
            <v>332</v>
          </cell>
          <cell r="Q27">
            <v>198871</v>
          </cell>
          <cell r="R27">
            <v>101</v>
          </cell>
          <cell r="U27">
            <v>64858.77</v>
          </cell>
          <cell r="V27">
            <v>113.40999999999622</v>
          </cell>
          <cell r="W27">
            <v>109.0300000000002</v>
          </cell>
          <cell r="X27">
            <v>241</v>
          </cell>
          <cell r="Y27">
            <v>18</v>
          </cell>
          <cell r="AE27">
            <v>7519298.6400000006</v>
          </cell>
          <cell r="AF27">
            <v>2533.4400000004098</v>
          </cell>
          <cell r="AG27">
            <v>2728.3199999984354</v>
          </cell>
          <cell r="AH27">
            <v>14369622.959999999</v>
          </cell>
          <cell r="AI27">
            <v>4969.4399999994785</v>
          </cell>
          <cell r="AJ27">
            <v>4725.8400000017136</v>
          </cell>
          <cell r="AK27">
            <v>14015477.280000001</v>
          </cell>
          <cell r="AL27">
            <v>11400.48000000231</v>
          </cell>
          <cell r="AM27">
            <v>194.88000000081956</v>
          </cell>
          <cell r="AN27">
            <v>17228366.399999999</v>
          </cell>
          <cell r="AO27">
            <v>97.439999997615814</v>
          </cell>
          <cell r="AP27">
            <v>11010.720000000671</v>
          </cell>
          <cell r="AQ27">
            <v>17579101.68</v>
          </cell>
          <cell r="AR27">
            <v>0</v>
          </cell>
          <cell r="AS27">
            <v>779.51999999955297</v>
          </cell>
          <cell r="AT27">
            <v>16230921.839999998</v>
          </cell>
          <cell r="AU27">
            <v>5943.8399999979883</v>
          </cell>
          <cell r="AV27">
            <v>5505.359999999404</v>
          </cell>
          <cell r="AW27">
            <v>13731001.199999999</v>
          </cell>
          <cell r="AX27">
            <v>4725.839999999851</v>
          </cell>
          <cell r="AY27">
            <v>3848.8799999989569</v>
          </cell>
          <cell r="AZ27">
            <v>13235080.319999998</v>
          </cell>
          <cell r="BB27">
            <v>4336.0799999982119</v>
          </cell>
          <cell r="BC27">
            <v>10493898.24</v>
          </cell>
          <cell r="BD27">
            <v>3020.640000000596</v>
          </cell>
          <cell r="BE27">
            <v>3264.2400000002235</v>
          </cell>
          <cell r="BF27">
            <v>16381710.239999998</v>
          </cell>
          <cell r="BG27">
            <v>5505.3599999975413</v>
          </cell>
          <cell r="BH27">
            <v>5943.839999999851</v>
          </cell>
          <cell r="BM27">
            <v>69449700</v>
          </cell>
          <cell r="BN27">
            <v>61000</v>
          </cell>
          <cell r="BO27">
            <v>0</v>
          </cell>
          <cell r="BP27">
            <v>72956500</v>
          </cell>
          <cell r="BQ27">
            <v>0</v>
          </cell>
          <cell r="BR27">
            <v>59700</v>
          </cell>
          <cell r="BS27">
            <v>67331700</v>
          </cell>
          <cell r="BT27">
            <v>0</v>
          </cell>
          <cell r="BU27">
            <v>0</v>
          </cell>
          <cell r="BV27">
            <v>8479960</v>
          </cell>
          <cell r="BW27">
            <v>6570</v>
          </cell>
          <cell r="BY27">
            <v>0.68</v>
          </cell>
          <cell r="BZ27">
            <v>5.9999999999999942E-2</v>
          </cell>
          <cell r="CA27">
            <v>6.0000000000000053E-2</v>
          </cell>
          <cell r="CB27">
            <v>59491</v>
          </cell>
          <cell r="CC27">
            <v>20</v>
          </cell>
          <cell r="CD27">
            <v>51036</v>
          </cell>
          <cell r="CE27">
            <v>20</v>
          </cell>
          <cell r="CF27">
            <v>17412</v>
          </cell>
          <cell r="CG27">
            <v>6</v>
          </cell>
          <cell r="CH27">
            <v>23371</v>
          </cell>
          <cell r="CI27">
            <v>7</v>
          </cell>
          <cell r="CJ27">
            <v>25548</v>
          </cell>
          <cell r="CK27">
            <v>10</v>
          </cell>
          <cell r="CL27">
            <v>56802</v>
          </cell>
          <cell r="CM27">
            <v>28</v>
          </cell>
          <cell r="CN27">
            <v>247726</v>
          </cell>
          <cell r="CO27">
            <v>109</v>
          </cell>
          <cell r="CP27">
            <v>97</v>
          </cell>
          <cell r="CQ27">
            <v>195248</v>
          </cell>
          <cell r="CR27">
            <v>113</v>
          </cell>
          <cell r="CS27">
            <v>96</v>
          </cell>
          <cell r="CT27">
            <v>348758</v>
          </cell>
          <cell r="CU27">
            <v>162</v>
          </cell>
          <cell r="CV27">
            <v>237</v>
          </cell>
          <cell r="CW27">
            <v>650499</v>
          </cell>
          <cell r="CX27">
            <v>247</v>
          </cell>
          <cell r="CZ27">
            <v>7482</v>
          </cell>
          <cell r="DA27">
            <v>4</v>
          </cell>
          <cell r="DB27">
            <v>4827</v>
          </cell>
          <cell r="DC27">
            <v>3</v>
          </cell>
          <cell r="DD27">
            <v>29168</v>
          </cell>
          <cell r="DE27">
            <v>13</v>
          </cell>
          <cell r="DF27">
            <v>29680</v>
          </cell>
          <cell r="DG27">
            <v>18</v>
          </cell>
          <cell r="DH27">
            <v>19876</v>
          </cell>
          <cell r="DI27">
            <v>8</v>
          </cell>
          <cell r="DJ27">
            <v>22789</v>
          </cell>
          <cell r="DK27">
            <v>7</v>
          </cell>
          <cell r="DL27">
            <v>4778</v>
          </cell>
          <cell r="DM27">
            <v>11</v>
          </cell>
          <cell r="DN27">
            <v>8001</v>
          </cell>
          <cell r="DO27">
            <v>6</v>
          </cell>
          <cell r="DP27">
            <v>2392</v>
          </cell>
          <cell r="DQ27">
            <v>2</v>
          </cell>
          <cell r="DR27">
            <v>4513</v>
          </cell>
          <cell r="DS27">
            <v>6</v>
          </cell>
          <cell r="DT27">
            <v>27525</v>
          </cell>
          <cell r="DU27">
            <v>20</v>
          </cell>
          <cell r="DW27">
            <v>4277.3</v>
          </cell>
          <cell r="DX27">
            <v>9.4000000000005457</v>
          </cell>
          <cell r="DY27">
            <v>9201.5</v>
          </cell>
          <cell r="DZ27">
            <v>7.5</v>
          </cell>
          <cell r="EA27">
            <v>3232.1</v>
          </cell>
          <cell r="EB27">
            <v>6.4000000000000909</v>
          </cell>
          <cell r="EC27">
            <v>3449.2</v>
          </cell>
          <cell r="ED27">
            <v>7.5999999999999091</v>
          </cell>
          <cell r="EE27">
            <v>949927</v>
          </cell>
          <cell r="EF27">
            <v>627</v>
          </cell>
          <cell r="EI27">
            <v>196471.9</v>
          </cell>
          <cell r="EJ27">
            <v>149.5</v>
          </cell>
          <cell r="EL27">
            <v>10820500</v>
          </cell>
          <cell r="EM27">
            <v>3700</v>
          </cell>
          <cell r="EN27">
            <v>860030</v>
          </cell>
          <cell r="EO27">
            <v>240</v>
          </cell>
          <cell r="EP27">
            <v>6529000</v>
          </cell>
          <cell r="EQ27">
            <v>1800</v>
          </cell>
          <cell r="ER27">
            <v>2298600</v>
          </cell>
          <cell r="ES27">
            <v>600</v>
          </cell>
          <cell r="ET27">
            <v>1079440</v>
          </cell>
          <cell r="EU27">
            <v>600</v>
          </cell>
          <cell r="EV27">
            <v>14684600</v>
          </cell>
          <cell r="EW27">
            <v>3900</v>
          </cell>
          <cell r="EY27">
            <v>39417</v>
          </cell>
          <cell r="EZ27">
            <v>16</v>
          </cell>
          <cell r="FA27">
            <v>34108</v>
          </cell>
          <cell r="FB27">
            <v>14</v>
          </cell>
          <cell r="FC27">
            <v>5162</v>
          </cell>
          <cell r="FD27">
            <v>11</v>
          </cell>
          <cell r="FE27">
            <v>56300</v>
          </cell>
          <cell r="FF27">
            <v>9</v>
          </cell>
          <cell r="FG27">
            <v>41774</v>
          </cell>
          <cell r="FH27">
            <v>27</v>
          </cell>
        </row>
        <row r="28">
          <cell r="B28">
            <v>0.85</v>
          </cell>
          <cell r="E28">
            <v>104029</v>
          </cell>
          <cell r="F28">
            <v>757</v>
          </cell>
          <cell r="G28">
            <v>415</v>
          </cell>
          <cell r="H28">
            <v>148454</v>
          </cell>
          <cell r="I28">
            <v>387</v>
          </cell>
          <cell r="J28">
            <v>293.61000000000058</v>
          </cell>
          <cell r="K28">
            <v>164625</v>
          </cell>
          <cell r="L28">
            <v>0</v>
          </cell>
          <cell r="N28">
            <v>845984</v>
          </cell>
          <cell r="O28">
            <v>325</v>
          </cell>
          <cell r="Q28">
            <v>199068</v>
          </cell>
          <cell r="R28">
            <v>197</v>
          </cell>
          <cell r="U28">
            <v>65001.37</v>
          </cell>
          <cell r="V28">
            <v>142.60000000000582</v>
          </cell>
          <cell r="W28">
            <v>112.2199999999998</v>
          </cell>
          <cell r="X28">
            <v>263</v>
          </cell>
          <cell r="Y28">
            <v>22</v>
          </cell>
          <cell r="AE28">
            <v>7522221.8399999999</v>
          </cell>
          <cell r="AF28">
            <v>2923.1999999992549</v>
          </cell>
          <cell r="AG28">
            <v>2582.1600000010803</v>
          </cell>
          <cell r="AH28">
            <v>14374494.959999999</v>
          </cell>
          <cell r="AI28">
            <v>4872</v>
          </cell>
          <cell r="AJ28">
            <v>4628.4000000003725</v>
          </cell>
          <cell r="AK28">
            <v>14028485.52</v>
          </cell>
          <cell r="AL28">
            <v>13008.239999998361</v>
          </cell>
          <cell r="AM28">
            <v>146.16000000014901</v>
          </cell>
          <cell r="AN28">
            <v>17228415.119999997</v>
          </cell>
          <cell r="AO28">
            <v>48.719999998807907</v>
          </cell>
          <cell r="AP28">
            <v>10913.279999999329</v>
          </cell>
          <cell r="AQ28">
            <v>17579101.68</v>
          </cell>
          <cell r="AR28">
            <v>0</v>
          </cell>
          <cell r="AS28">
            <v>730.79999999888241</v>
          </cell>
          <cell r="AT28">
            <v>16236622.08</v>
          </cell>
          <cell r="AU28">
            <v>5700.2400000020862</v>
          </cell>
          <cell r="AV28">
            <v>5213.0400000009686</v>
          </cell>
          <cell r="AW28">
            <v>13735580.880000001</v>
          </cell>
          <cell r="AX28">
            <v>4579.6800000015646</v>
          </cell>
          <cell r="AY28">
            <v>4384.8000000007451</v>
          </cell>
          <cell r="AZ28">
            <v>13239708.719999999</v>
          </cell>
          <cell r="BB28">
            <v>4067.4400000013411</v>
          </cell>
          <cell r="BC28">
            <v>10496772.719999999</v>
          </cell>
          <cell r="BD28">
            <v>2874.4799999985844</v>
          </cell>
          <cell r="BE28">
            <v>3020.640000000596</v>
          </cell>
          <cell r="BF28">
            <v>16387118.16</v>
          </cell>
          <cell r="BG28">
            <v>5407.9200000017881</v>
          </cell>
          <cell r="BH28">
            <v>5456.640000000596</v>
          </cell>
          <cell r="BM28">
            <v>69518900</v>
          </cell>
          <cell r="BN28">
            <v>69200</v>
          </cell>
          <cell r="BO28">
            <v>0</v>
          </cell>
          <cell r="BP28">
            <v>72956500</v>
          </cell>
          <cell r="BQ28">
            <v>0</v>
          </cell>
          <cell r="BR28">
            <v>60200</v>
          </cell>
          <cell r="BS28">
            <v>67331700</v>
          </cell>
          <cell r="BT28">
            <v>0</v>
          </cell>
          <cell r="BU28">
            <v>0</v>
          </cell>
          <cell r="BV28">
            <v>8485980</v>
          </cell>
          <cell r="BW28">
            <v>6020</v>
          </cell>
          <cell r="BY28">
            <v>0.64</v>
          </cell>
          <cell r="BZ28">
            <v>4.0000000000000036E-2</v>
          </cell>
          <cell r="CA28">
            <v>5.9999999999999942E-2</v>
          </cell>
          <cell r="CB28">
            <v>59512</v>
          </cell>
          <cell r="CC28">
            <v>21</v>
          </cell>
          <cell r="CD28">
            <v>51055</v>
          </cell>
          <cell r="CE28">
            <v>19</v>
          </cell>
          <cell r="CF28">
            <v>17418</v>
          </cell>
          <cell r="CG28">
            <v>6</v>
          </cell>
          <cell r="CH28">
            <v>23379</v>
          </cell>
          <cell r="CI28">
            <v>8</v>
          </cell>
          <cell r="CJ28">
            <v>25559</v>
          </cell>
          <cell r="CK28">
            <v>11</v>
          </cell>
          <cell r="CL28">
            <v>56830</v>
          </cell>
          <cell r="CM28">
            <v>28</v>
          </cell>
          <cell r="CN28">
            <v>247831</v>
          </cell>
          <cell r="CO28">
            <v>105</v>
          </cell>
          <cell r="CP28">
            <v>100</v>
          </cell>
          <cell r="CQ28">
            <v>195360</v>
          </cell>
          <cell r="CR28">
            <v>112</v>
          </cell>
          <cell r="CS28">
            <v>97</v>
          </cell>
          <cell r="CT28">
            <v>348835</v>
          </cell>
          <cell r="CU28">
            <v>77</v>
          </cell>
          <cell r="CV28">
            <v>183</v>
          </cell>
          <cell r="CW28">
            <v>650555</v>
          </cell>
          <cell r="CX28">
            <v>56</v>
          </cell>
          <cell r="CZ28">
            <v>7486</v>
          </cell>
          <cell r="DA28">
            <v>4</v>
          </cell>
          <cell r="DB28">
            <v>4830</v>
          </cell>
          <cell r="DC28">
            <v>3</v>
          </cell>
          <cell r="DD28">
            <v>29184</v>
          </cell>
          <cell r="DE28">
            <v>16</v>
          </cell>
          <cell r="DF28">
            <v>29694</v>
          </cell>
          <cell r="DG28">
            <v>14</v>
          </cell>
          <cell r="DH28">
            <v>19885</v>
          </cell>
          <cell r="DI28">
            <v>9</v>
          </cell>
          <cell r="DJ28">
            <v>22795</v>
          </cell>
          <cell r="DK28">
            <v>6</v>
          </cell>
          <cell r="DL28">
            <v>4785</v>
          </cell>
          <cell r="DM28">
            <v>7</v>
          </cell>
          <cell r="DN28">
            <v>8006</v>
          </cell>
          <cell r="DO28">
            <v>5</v>
          </cell>
          <cell r="DP28">
            <v>2396</v>
          </cell>
          <cell r="DQ28">
            <v>4</v>
          </cell>
          <cell r="DR28">
            <v>4520</v>
          </cell>
          <cell r="DS28">
            <v>7</v>
          </cell>
          <cell r="DT28">
            <v>27545</v>
          </cell>
          <cell r="DU28">
            <v>20</v>
          </cell>
          <cell r="DW28">
            <v>4286.6000000000004</v>
          </cell>
          <cell r="DX28">
            <v>9.3000000000001819</v>
          </cell>
          <cell r="DY28">
            <v>9209.2000000000007</v>
          </cell>
          <cell r="DZ28">
            <v>7.7000000000007276</v>
          </cell>
          <cell r="EA28">
            <v>3238.6</v>
          </cell>
          <cell r="EB28">
            <v>6.5</v>
          </cell>
          <cell r="EC28">
            <v>3456.8</v>
          </cell>
          <cell r="ED28">
            <v>7.6000000000003638</v>
          </cell>
          <cell r="EE28">
            <v>950617</v>
          </cell>
          <cell r="EF28">
            <v>690</v>
          </cell>
          <cell r="EI28">
            <v>196625.1</v>
          </cell>
          <cell r="EJ28">
            <v>153.20000000001164</v>
          </cell>
          <cell r="EL28">
            <v>10825000</v>
          </cell>
          <cell r="EM28">
            <v>4500</v>
          </cell>
          <cell r="EN28">
            <v>860260</v>
          </cell>
          <cell r="EO28">
            <v>230</v>
          </cell>
          <cell r="EP28">
            <v>6531100</v>
          </cell>
          <cell r="EQ28">
            <v>2100</v>
          </cell>
          <cell r="ER28">
            <v>2299100</v>
          </cell>
          <cell r="ES28">
            <v>500</v>
          </cell>
          <cell r="ET28">
            <v>1080050</v>
          </cell>
          <cell r="EU28">
            <v>610</v>
          </cell>
          <cell r="EV28">
            <v>14689300</v>
          </cell>
          <cell r="EW28">
            <v>4700</v>
          </cell>
          <cell r="EY28">
            <v>39433</v>
          </cell>
          <cell r="EZ28">
            <v>16</v>
          </cell>
          <cell r="FA28">
            <v>34121</v>
          </cell>
          <cell r="FB28">
            <v>13</v>
          </cell>
          <cell r="FC28">
            <v>5170</v>
          </cell>
          <cell r="FD28">
            <v>8</v>
          </cell>
          <cell r="FE28">
            <v>56308</v>
          </cell>
          <cell r="FF28">
            <v>8</v>
          </cell>
          <cell r="FG28">
            <v>41801</v>
          </cell>
          <cell r="FH28">
            <v>27</v>
          </cell>
        </row>
        <row r="29">
          <cell r="B29">
            <v>0.93</v>
          </cell>
          <cell r="E29">
            <v>104877</v>
          </cell>
          <cell r="F29">
            <v>848</v>
          </cell>
          <cell r="G29">
            <v>483</v>
          </cell>
          <cell r="H29">
            <v>148854</v>
          </cell>
          <cell r="I29">
            <v>400</v>
          </cell>
          <cell r="J29">
            <v>315</v>
          </cell>
          <cell r="K29">
            <v>164625</v>
          </cell>
          <cell r="L29">
            <v>0</v>
          </cell>
          <cell r="N29">
            <v>846329</v>
          </cell>
          <cell r="O29">
            <v>345</v>
          </cell>
          <cell r="Q29">
            <v>199331</v>
          </cell>
          <cell r="R29">
            <v>263</v>
          </cell>
          <cell r="U29">
            <v>65130.98</v>
          </cell>
          <cell r="V29">
            <v>129.61000000000058</v>
          </cell>
          <cell r="W29">
            <v>135.87000000000035</v>
          </cell>
          <cell r="X29">
            <v>274</v>
          </cell>
          <cell r="Y29">
            <v>11</v>
          </cell>
          <cell r="AE29">
            <v>7525096.3200000003</v>
          </cell>
          <cell r="AF29">
            <v>2874.480000000447</v>
          </cell>
          <cell r="AG29">
            <v>2241.1200000001118</v>
          </cell>
          <cell r="AH29">
            <v>14379464.4</v>
          </cell>
          <cell r="AI29">
            <v>4969.4400000013411</v>
          </cell>
          <cell r="AJ29">
            <v>4238.6399999987334</v>
          </cell>
          <cell r="AK29">
            <v>14041980.959999999</v>
          </cell>
          <cell r="AL29">
            <v>13495.439999999478</v>
          </cell>
          <cell r="AM29">
            <v>3264.2400000002235</v>
          </cell>
          <cell r="AN29">
            <v>17228561.280000001</v>
          </cell>
          <cell r="AO29">
            <v>146.1600000038743</v>
          </cell>
          <cell r="AP29">
            <v>10036.320000002161</v>
          </cell>
          <cell r="AQ29">
            <v>17579101.68</v>
          </cell>
          <cell r="AR29">
            <v>0</v>
          </cell>
          <cell r="AS29">
            <v>779.52000000141561</v>
          </cell>
          <cell r="AT29">
            <v>16242419.760000002</v>
          </cell>
          <cell r="AU29">
            <v>5797.6800000015646</v>
          </cell>
          <cell r="AV29">
            <v>4872</v>
          </cell>
          <cell r="AW29">
            <v>13740111.84</v>
          </cell>
          <cell r="AX29">
            <v>4530.9599999990314</v>
          </cell>
          <cell r="AY29">
            <v>4141.1999999992549</v>
          </cell>
          <cell r="AZ29">
            <v>13244337.119999999</v>
          </cell>
          <cell r="BB29">
            <v>4068.7999999988824</v>
          </cell>
          <cell r="BC29">
            <v>10499501.040000001</v>
          </cell>
          <cell r="BD29">
            <v>2728.3200000021607</v>
          </cell>
          <cell r="BE29">
            <v>2777.0399999972433</v>
          </cell>
          <cell r="BF29">
            <v>16392672.239999998</v>
          </cell>
          <cell r="BG29">
            <v>5554.0799999982119</v>
          </cell>
          <cell r="BH29">
            <v>5066.8799999989569</v>
          </cell>
          <cell r="BM29">
            <v>69589900</v>
          </cell>
          <cell r="BN29">
            <v>71000</v>
          </cell>
          <cell r="BO29">
            <v>15900</v>
          </cell>
          <cell r="BP29">
            <v>72956500</v>
          </cell>
          <cell r="BQ29">
            <v>0</v>
          </cell>
          <cell r="BR29">
            <v>55500</v>
          </cell>
          <cell r="BS29">
            <v>67331700</v>
          </cell>
          <cell r="BT29">
            <v>0</v>
          </cell>
          <cell r="BU29">
            <v>0</v>
          </cell>
          <cell r="BV29">
            <v>8492220</v>
          </cell>
          <cell r="BW29">
            <v>6240</v>
          </cell>
          <cell r="BY29">
            <v>0.7</v>
          </cell>
          <cell r="BZ29">
            <v>-5.9999999999999942E-2</v>
          </cell>
          <cell r="CA29">
            <v>6.0000000000000053E-2</v>
          </cell>
          <cell r="CB29">
            <v>59531</v>
          </cell>
          <cell r="CC29">
            <v>19</v>
          </cell>
          <cell r="CD29">
            <v>51074</v>
          </cell>
          <cell r="CE29">
            <v>19</v>
          </cell>
          <cell r="CF29">
            <v>17423</v>
          </cell>
          <cell r="CG29">
            <v>5</v>
          </cell>
          <cell r="CH29">
            <v>23388</v>
          </cell>
          <cell r="CI29">
            <v>9</v>
          </cell>
          <cell r="CJ29">
            <v>25567</v>
          </cell>
          <cell r="CK29">
            <v>8</v>
          </cell>
          <cell r="CL29">
            <v>56859</v>
          </cell>
          <cell r="CM29">
            <v>29</v>
          </cell>
          <cell r="CN29">
            <v>247925</v>
          </cell>
          <cell r="CO29">
            <v>94</v>
          </cell>
          <cell r="CP29">
            <v>93</v>
          </cell>
          <cell r="CQ29">
            <v>195467</v>
          </cell>
          <cell r="CR29">
            <v>107</v>
          </cell>
          <cell r="CS29">
            <v>94</v>
          </cell>
          <cell r="CT29">
            <v>348835</v>
          </cell>
          <cell r="CU29">
            <v>0</v>
          </cell>
          <cell r="CV29">
            <v>122</v>
          </cell>
          <cell r="CW29">
            <v>650555</v>
          </cell>
          <cell r="CX29">
            <v>0</v>
          </cell>
          <cell r="CZ29">
            <v>7490</v>
          </cell>
          <cell r="DA29">
            <v>4</v>
          </cell>
          <cell r="DB29">
            <v>4833</v>
          </cell>
          <cell r="DC29">
            <v>3</v>
          </cell>
          <cell r="DD29">
            <v>29194</v>
          </cell>
          <cell r="DE29">
            <v>10</v>
          </cell>
          <cell r="DF29">
            <v>29708</v>
          </cell>
          <cell r="DG29">
            <v>14</v>
          </cell>
          <cell r="DH29">
            <v>19894</v>
          </cell>
          <cell r="DI29">
            <v>9</v>
          </cell>
          <cell r="DJ29">
            <v>22805</v>
          </cell>
          <cell r="DK29">
            <v>10</v>
          </cell>
          <cell r="DL29">
            <v>4797</v>
          </cell>
          <cell r="DM29">
            <v>12</v>
          </cell>
          <cell r="DN29">
            <v>8011</v>
          </cell>
          <cell r="DO29">
            <v>5</v>
          </cell>
          <cell r="DP29">
            <v>2400</v>
          </cell>
          <cell r="DQ29">
            <v>4</v>
          </cell>
          <cell r="DR29">
            <v>4527</v>
          </cell>
          <cell r="DS29">
            <v>7</v>
          </cell>
          <cell r="DT29">
            <v>27564</v>
          </cell>
          <cell r="DU29">
            <v>19</v>
          </cell>
          <cell r="DW29">
            <v>4296.6000000000004</v>
          </cell>
          <cell r="DX29">
            <v>10</v>
          </cell>
          <cell r="DY29">
            <v>9217</v>
          </cell>
          <cell r="DZ29">
            <v>7.7999999999992724</v>
          </cell>
          <cell r="EA29">
            <v>3245.5</v>
          </cell>
          <cell r="EB29">
            <v>6.9000000000000909</v>
          </cell>
          <cell r="EC29">
            <v>3464.4</v>
          </cell>
          <cell r="ED29">
            <v>7.5999999999999091</v>
          </cell>
          <cell r="EE29">
            <v>951328</v>
          </cell>
          <cell r="EF29">
            <v>711</v>
          </cell>
          <cell r="EI29">
            <v>196786.4</v>
          </cell>
          <cell r="EJ29">
            <v>161.29999999998836</v>
          </cell>
          <cell r="EL29">
            <v>10829300</v>
          </cell>
          <cell r="EM29">
            <v>4300</v>
          </cell>
          <cell r="EN29">
            <v>860500</v>
          </cell>
          <cell r="EO29">
            <v>240</v>
          </cell>
          <cell r="EP29">
            <v>6533400</v>
          </cell>
          <cell r="EQ29">
            <v>2300</v>
          </cell>
          <cell r="ER29">
            <v>2299400</v>
          </cell>
          <cell r="ES29">
            <v>300</v>
          </cell>
          <cell r="ET29">
            <v>1080690</v>
          </cell>
          <cell r="EU29">
            <v>640</v>
          </cell>
          <cell r="EV29">
            <v>14694500</v>
          </cell>
          <cell r="EW29">
            <v>5200</v>
          </cell>
          <cell r="EY29">
            <v>39448</v>
          </cell>
          <cell r="EZ29">
            <v>15</v>
          </cell>
          <cell r="FA29">
            <v>34134</v>
          </cell>
          <cell r="FB29">
            <v>13</v>
          </cell>
          <cell r="FC29">
            <v>5180</v>
          </cell>
          <cell r="FD29">
            <v>10</v>
          </cell>
          <cell r="FE29">
            <v>56320</v>
          </cell>
          <cell r="FF29">
            <v>12</v>
          </cell>
          <cell r="FG29">
            <v>41831</v>
          </cell>
          <cell r="FH29">
            <v>30</v>
          </cell>
        </row>
        <row r="30">
          <cell r="B30">
            <v>0.94</v>
          </cell>
          <cell r="E30">
            <v>105705</v>
          </cell>
          <cell r="F30">
            <v>828</v>
          </cell>
          <cell r="G30">
            <v>541</v>
          </cell>
          <cell r="H30">
            <v>149280</v>
          </cell>
          <cell r="I30">
            <v>426</v>
          </cell>
          <cell r="J30">
            <v>345</v>
          </cell>
          <cell r="K30">
            <v>164625</v>
          </cell>
          <cell r="L30">
            <v>0</v>
          </cell>
          <cell r="N30">
            <v>846660</v>
          </cell>
          <cell r="O30">
            <v>331</v>
          </cell>
          <cell r="Q30">
            <v>199534</v>
          </cell>
          <cell r="R30">
            <v>203</v>
          </cell>
          <cell r="U30">
            <v>65268.14</v>
          </cell>
          <cell r="V30">
            <v>137.15999999999622</v>
          </cell>
          <cell r="W30">
            <v>145.66999999999962</v>
          </cell>
          <cell r="X30">
            <v>300</v>
          </cell>
          <cell r="Y30">
            <v>26</v>
          </cell>
          <cell r="AE30">
            <v>7528019.5199999996</v>
          </cell>
          <cell r="AF30">
            <v>2923.1999999992549</v>
          </cell>
          <cell r="AG30">
            <v>2630.8799999998882</v>
          </cell>
          <cell r="AH30">
            <v>14384238.959999999</v>
          </cell>
          <cell r="AI30">
            <v>4774.5599999986589</v>
          </cell>
          <cell r="AJ30">
            <v>4628.4000000003725</v>
          </cell>
          <cell r="AK30">
            <v>14055573.84</v>
          </cell>
          <cell r="AL30">
            <v>13592.88000000082</v>
          </cell>
          <cell r="AM30">
            <v>4482.2400000002235</v>
          </cell>
          <cell r="AN30">
            <v>17228658.719999999</v>
          </cell>
          <cell r="AO30">
            <v>97.439999997615814</v>
          </cell>
          <cell r="AP30">
            <v>9597.839999999851</v>
          </cell>
          <cell r="AQ30">
            <v>17579101.68</v>
          </cell>
          <cell r="AR30">
            <v>0</v>
          </cell>
          <cell r="AS30">
            <v>730.80000000074506</v>
          </cell>
          <cell r="AT30">
            <v>16248363.6</v>
          </cell>
          <cell r="AU30">
            <v>5943.8399999979883</v>
          </cell>
          <cell r="AV30">
            <v>5602.8000000007451</v>
          </cell>
          <cell r="AW30">
            <v>13744642.799999999</v>
          </cell>
          <cell r="AX30">
            <v>4530.9599999990314</v>
          </cell>
          <cell r="AY30">
            <v>4384.8000000007451</v>
          </cell>
          <cell r="AZ30">
            <v>13249209.119999999</v>
          </cell>
          <cell r="BB30">
            <v>4189.9199999999255</v>
          </cell>
          <cell r="BC30">
            <v>10502278.08</v>
          </cell>
          <cell r="BD30">
            <v>2777.0399999991059</v>
          </cell>
          <cell r="BE30">
            <v>2874.480000000447</v>
          </cell>
          <cell r="BF30">
            <v>16398226.319999998</v>
          </cell>
          <cell r="BG30">
            <v>5554.0800000000745</v>
          </cell>
          <cell r="BH30">
            <v>5505.3600000012666</v>
          </cell>
          <cell r="BM30">
            <v>69660300</v>
          </cell>
          <cell r="BN30">
            <v>70400</v>
          </cell>
          <cell r="BO30">
            <v>21000</v>
          </cell>
          <cell r="BP30">
            <v>72956500</v>
          </cell>
          <cell r="BQ30">
            <v>0</v>
          </cell>
          <cell r="BR30">
            <v>50800</v>
          </cell>
          <cell r="BS30">
            <v>67331700</v>
          </cell>
          <cell r="BT30">
            <v>0</v>
          </cell>
          <cell r="BU30">
            <v>0</v>
          </cell>
          <cell r="BV30">
            <v>8498770</v>
          </cell>
          <cell r="BW30">
            <v>6550</v>
          </cell>
          <cell r="BY30">
            <v>0.67</v>
          </cell>
          <cell r="BZ30">
            <v>2.9999999999999916E-2</v>
          </cell>
          <cell r="CA30">
            <v>5.9999999999999942E-2</v>
          </cell>
          <cell r="CB30">
            <v>59553</v>
          </cell>
          <cell r="CC30">
            <v>22</v>
          </cell>
          <cell r="CD30">
            <v>51092</v>
          </cell>
          <cell r="CE30">
            <v>18</v>
          </cell>
          <cell r="CF30">
            <v>17426</v>
          </cell>
          <cell r="CG30">
            <v>3</v>
          </cell>
          <cell r="CH30">
            <v>23399</v>
          </cell>
          <cell r="CI30">
            <v>11</v>
          </cell>
          <cell r="CJ30">
            <v>25573</v>
          </cell>
          <cell r="CK30">
            <v>6</v>
          </cell>
          <cell r="CL30">
            <v>56888</v>
          </cell>
          <cell r="CM30">
            <v>29</v>
          </cell>
          <cell r="CN30">
            <v>248024</v>
          </cell>
          <cell r="CO30">
            <v>99</v>
          </cell>
          <cell r="CP30">
            <v>100</v>
          </cell>
          <cell r="CQ30">
            <v>195586</v>
          </cell>
          <cell r="CR30">
            <v>119</v>
          </cell>
          <cell r="CS30">
            <v>98</v>
          </cell>
          <cell r="CT30">
            <v>348915</v>
          </cell>
          <cell r="CU30">
            <v>80</v>
          </cell>
          <cell r="CV30">
            <v>83</v>
          </cell>
          <cell r="CW30">
            <v>650555</v>
          </cell>
          <cell r="CX30">
            <v>0</v>
          </cell>
          <cell r="CZ30">
            <v>7495</v>
          </cell>
          <cell r="DA30">
            <v>5</v>
          </cell>
          <cell r="DB30">
            <v>4840</v>
          </cell>
          <cell r="DC30">
            <v>7</v>
          </cell>
          <cell r="DD30">
            <v>29221</v>
          </cell>
          <cell r="DE30">
            <v>27</v>
          </cell>
          <cell r="DF30">
            <v>29722</v>
          </cell>
          <cell r="DG30">
            <v>14</v>
          </cell>
          <cell r="DH30">
            <v>19902</v>
          </cell>
          <cell r="DI30">
            <v>8</v>
          </cell>
          <cell r="DJ30">
            <v>22806</v>
          </cell>
          <cell r="DK30">
            <v>1</v>
          </cell>
          <cell r="DL30">
            <v>4806</v>
          </cell>
          <cell r="DM30">
            <v>9</v>
          </cell>
          <cell r="DN30">
            <v>8018</v>
          </cell>
          <cell r="DO30">
            <v>7</v>
          </cell>
          <cell r="DP30">
            <v>2404</v>
          </cell>
          <cell r="DQ30">
            <v>4</v>
          </cell>
          <cell r="DR30">
            <v>4530</v>
          </cell>
          <cell r="DS30">
            <v>3</v>
          </cell>
          <cell r="DT30">
            <v>27584</v>
          </cell>
          <cell r="DU30">
            <v>20</v>
          </cell>
          <cell r="DW30">
            <v>4306</v>
          </cell>
          <cell r="DX30">
            <v>9.3999999999996362</v>
          </cell>
          <cell r="DY30">
            <v>9225.1</v>
          </cell>
          <cell r="DZ30">
            <v>8.1000000000003638</v>
          </cell>
          <cell r="EA30">
            <v>3251.8</v>
          </cell>
          <cell r="EB30">
            <v>6.3000000000001819</v>
          </cell>
          <cell r="EC30">
            <v>3472.8</v>
          </cell>
          <cell r="ED30">
            <v>8.4000000000000909</v>
          </cell>
          <cell r="EE30">
            <v>952080</v>
          </cell>
          <cell r="EF30">
            <v>752</v>
          </cell>
          <cell r="EI30">
            <v>196935.5</v>
          </cell>
          <cell r="EJ30">
            <v>149.10000000000582</v>
          </cell>
          <cell r="EL30">
            <v>10833400</v>
          </cell>
          <cell r="EM30">
            <v>4100</v>
          </cell>
          <cell r="EN30">
            <v>860750</v>
          </cell>
          <cell r="EO30">
            <v>250</v>
          </cell>
          <cell r="EP30">
            <v>6535600</v>
          </cell>
          <cell r="EQ30">
            <v>2200</v>
          </cell>
          <cell r="ER30">
            <v>2299800</v>
          </cell>
          <cell r="ES30">
            <v>400</v>
          </cell>
          <cell r="ET30">
            <v>1081310</v>
          </cell>
          <cell r="EU30">
            <v>620</v>
          </cell>
          <cell r="EV30">
            <v>14699500</v>
          </cell>
          <cell r="EW30">
            <v>5000</v>
          </cell>
          <cell r="EY30">
            <v>39465</v>
          </cell>
          <cell r="EZ30">
            <v>17</v>
          </cell>
          <cell r="FA30">
            <v>34146</v>
          </cell>
          <cell r="FB30">
            <v>12</v>
          </cell>
          <cell r="FC30">
            <v>5188</v>
          </cell>
          <cell r="FD30">
            <v>8</v>
          </cell>
          <cell r="FE30">
            <v>56328</v>
          </cell>
          <cell r="FF30">
            <v>8</v>
          </cell>
          <cell r="FG30">
            <v>41860</v>
          </cell>
          <cell r="FH30">
            <v>29</v>
          </cell>
        </row>
        <row r="31">
          <cell r="B31">
            <v>0.85</v>
          </cell>
          <cell r="E31">
            <v>106560</v>
          </cell>
          <cell r="F31">
            <v>855</v>
          </cell>
          <cell r="G31">
            <v>559</v>
          </cell>
          <cell r="H31">
            <v>149707</v>
          </cell>
          <cell r="I31">
            <v>427</v>
          </cell>
          <cell r="J31">
            <v>331</v>
          </cell>
          <cell r="K31">
            <v>164625</v>
          </cell>
          <cell r="L31">
            <v>0</v>
          </cell>
          <cell r="N31">
            <v>846977</v>
          </cell>
          <cell r="O31">
            <v>317</v>
          </cell>
          <cell r="Q31">
            <v>199758</v>
          </cell>
          <cell r="R31">
            <v>224</v>
          </cell>
          <cell r="U31">
            <v>65411.17</v>
          </cell>
          <cell r="V31">
            <v>143.02999999999884</v>
          </cell>
          <cell r="W31">
            <v>158.41000000000031</v>
          </cell>
          <cell r="X31">
            <v>320</v>
          </cell>
          <cell r="Y31">
            <v>20</v>
          </cell>
          <cell r="AE31">
            <v>7530845.2799999993</v>
          </cell>
          <cell r="AF31">
            <v>2825.7599999997765</v>
          </cell>
          <cell r="AG31">
            <v>2582.1599999992177</v>
          </cell>
          <cell r="AH31">
            <v>14389159.68</v>
          </cell>
          <cell r="AI31">
            <v>4920.7200000006706</v>
          </cell>
          <cell r="AJ31">
            <v>4628.4000000003725</v>
          </cell>
          <cell r="AK31">
            <v>14066438.4</v>
          </cell>
          <cell r="AL31">
            <v>10864.560000000522</v>
          </cell>
          <cell r="AM31">
            <v>5359.1999999992549</v>
          </cell>
          <cell r="AN31">
            <v>17232069.119999997</v>
          </cell>
          <cell r="AO31">
            <v>3410.3999999985099</v>
          </cell>
          <cell r="AP31">
            <v>9354.2399999983609</v>
          </cell>
          <cell r="AQ31">
            <v>17579101.68</v>
          </cell>
          <cell r="AR31">
            <v>0</v>
          </cell>
          <cell r="AS31">
            <v>730.79999999888241</v>
          </cell>
          <cell r="AT31">
            <v>16254161.280000001</v>
          </cell>
          <cell r="AU31">
            <v>5797.6800000015646</v>
          </cell>
          <cell r="AV31">
            <v>5602.7999999988824</v>
          </cell>
          <cell r="AW31">
            <v>13749271.199999999</v>
          </cell>
          <cell r="AX31">
            <v>4628.4000000003725</v>
          </cell>
          <cell r="AY31">
            <v>4677.1200000010431</v>
          </cell>
          <cell r="AZ31">
            <v>13254032.4</v>
          </cell>
          <cell r="BB31">
            <v>4336.0800000000745</v>
          </cell>
          <cell r="BC31">
            <v>10505103.84</v>
          </cell>
          <cell r="BD31">
            <v>2825.7599999997765</v>
          </cell>
          <cell r="BE31">
            <v>2874.4800000023097</v>
          </cell>
          <cell r="BF31">
            <v>16403975.280000001</v>
          </cell>
          <cell r="BG31">
            <v>5748.9600000027567</v>
          </cell>
          <cell r="BH31">
            <v>5797.6799999978393</v>
          </cell>
          <cell r="BM31">
            <v>69714500</v>
          </cell>
          <cell r="BN31">
            <v>54200</v>
          </cell>
          <cell r="BO31">
            <v>25000</v>
          </cell>
          <cell r="BP31">
            <v>72974500</v>
          </cell>
          <cell r="BQ31">
            <v>18000</v>
          </cell>
          <cell r="BR31">
            <v>46700</v>
          </cell>
          <cell r="BS31">
            <v>67331700</v>
          </cell>
          <cell r="BT31">
            <v>0</v>
          </cell>
          <cell r="BU31">
            <v>0</v>
          </cell>
          <cell r="BV31">
            <v>8505300</v>
          </cell>
          <cell r="BW31">
            <v>6530</v>
          </cell>
          <cell r="BY31">
            <v>0.62</v>
          </cell>
          <cell r="BZ31">
            <v>5.0000000000000044E-2</v>
          </cell>
          <cell r="CA31">
            <v>-0.14999999999999991</v>
          </cell>
          <cell r="CB31">
            <v>59575</v>
          </cell>
          <cell r="CC31">
            <v>22</v>
          </cell>
          <cell r="CD31">
            <v>51111</v>
          </cell>
          <cell r="CE31">
            <v>19</v>
          </cell>
          <cell r="CF31">
            <v>17432</v>
          </cell>
          <cell r="CG31">
            <v>6</v>
          </cell>
          <cell r="CH31">
            <v>23410</v>
          </cell>
          <cell r="CI31">
            <v>11</v>
          </cell>
          <cell r="CJ31">
            <v>25580</v>
          </cell>
          <cell r="CK31">
            <v>7</v>
          </cell>
          <cell r="CL31">
            <v>56916</v>
          </cell>
          <cell r="CM31">
            <v>28</v>
          </cell>
          <cell r="CN31">
            <v>248024</v>
          </cell>
          <cell r="CO31">
            <v>0</v>
          </cell>
          <cell r="CP31">
            <v>92</v>
          </cell>
          <cell r="CQ31">
            <v>195709</v>
          </cell>
          <cell r="CR31">
            <v>123</v>
          </cell>
          <cell r="CS31">
            <v>99</v>
          </cell>
          <cell r="CT31">
            <v>348963</v>
          </cell>
          <cell r="CU31">
            <v>48</v>
          </cell>
          <cell r="CV31">
            <v>73</v>
          </cell>
          <cell r="CW31">
            <v>650560</v>
          </cell>
          <cell r="CX31">
            <v>5</v>
          </cell>
          <cell r="CZ31">
            <v>7501</v>
          </cell>
          <cell r="DA31">
            <v>6</v>
          </cell>
          <cell r="DB31">
            <v>4844</v>
          </cell>
          <cell r="DC31">
            <v>4</v>
          </cell>
          <cell r="DD31">
            <v>29237</v>
          </cell>
          <cell r="DE31">
            <v>16</v>
          </cell>
          <cell r="DF31">
            <v>29738</v>
          </cell>
          <cell r="DG31">
            <v>16</v>
          </cell>
          <cell r="DH31">
            <v>19912</v>
          </cell>
          <cell r="DI31">
            <v>10</v>
          </cell>
          <cell r="DJ31">
            <v>22811</v>
          </cell>
          <cell r="DK31">
            <v>5</v>
          </cell>
          <cell r="DL31">
            <v>4817</v>
          </cell>
          <cell r="DM31">
            <v>11</v>
          </cell>
          <cell r="DN31">
            <v>8024</v>
          </cell>
          <cell r="DO31">
            <v>6</v>
          </cell>
          <cell r="DP31">
            <v>2408</v>
          </cell>
          <cell r="DQ31">
            <v>4</v>
          </cell>
          <cell r="DR31">
            <v>4541</v>
          </cell>
          <cell r="DS31">
            <v>11</v>
          </cell>
          <cell r="DT31">
            <v>27602</v>
          </cell>
          <cell r="DU31">
            <v>18</v>
          </cell>
          <cell r="DW31">
            <v>4316</v>
          </cell>
          <cell r="DX31">
            <v>10</v>
          </cell>
          <cell r="DY31">
            <v>9233.1</v>
          </cell>
          <cell r="DZ31">
            <v>8</v>
          </cell>
          <cell r="EA31">
            <v>3257.9</v>
          </cell>
          <cell r="EB31">
            <v>6.0999999999999091</v>
          </cell>
          <cell r="EC31">
            <v>3482</v>
          </cell>
          <cell r="ED31">
            <v>9.1999999999998181</v>
          </cell>
          <cell r="EE31">
            <v>952857</v>
          </cell>
          <cell r="EF31">
            <v>777</v>
          </cell>
          <cell r="EI31">
            <v>197090.9</v>
          </cell>
          <cell r="EJ31">
            <v>155.39999999999418</v>
          </cell>
          <cell r="EL31">
            <v>10838100</v>
          </cell>
          <cell r="EM31">
            <v>4700</v>
          </cell>
          <cell r="EN31">
            <v>860980</v>
          </cell>
          <cell r="EO31">
            <v>230</v>
          </cell>
          <cell r="EP31">
            <v>6537800</v>
          </cell>
          <cell r="EQ31">
            <v>2200</v>
          </cell>
          <cell r="ER31">
            <v>2300200</v>
          </cell>
          <cell r="ES31">
            <v>400</v>
          </cell>
          <cell r="ET31">
            <v>1081910</v>
          </cell>
          <cell r="EU31">
            <v>600</v>
          </cell>
          <cell r="EV31">
            <v>14704400</v>
          </cell>
          <cell r="EW31">
            <v>4900</v>
          </cell>
          <cell r="EY31">
            <v>39482</v>
          </cell>
          <cell r="EZ31">
            <v>17</v>
          </cell>
          <cell r="FA31">
            <v>34159</v>
          </cell>
          <cell r="FB31">
            <v>13</v>
          </cell>
          <cell r="FC31">
            <v>5198</v>
          </cell>
          <cell r="FD31">
            <v>10</v>
          </cell>
          <cell r="FE31">
            <v>56339</v>
          </cell>
          <cell r="FF31">
            <v>11</v>
          </cell>
          <cell r="FG31">
            <v>41890</v>
          </cell>
          <cell r="FH31">
            <v>30</v>
          </cell>
        </row>
        <row r="32">
          <cell r="B32">
            <v>0.79</v>
          </cell>
          <cell r="E32">
            <v>107396</v>
          </cell>
          <cell r="F32">
            <v>836</v>
          </cell>
          <cell r="G32">
            <v>544</v>
          </cell>
          <cell r="H32">
            <v>150129</v>
          </cell>
          <cell r="I32">
            <v>422</v>
          </cell>
          <cell r="J32">
            <v>352</v>
          </cell>
          <cell r="K32">
            <v>164625</v>
          </cell>
          <cell r="L32">
            <v>0</v>
          </cell>
          <cell r="N32">
            <v>847275</v>
          </cell>
          <cell r="O32">
            <v>298</v>
          </cell>
          <cell r="Q32">
            <v>199959</v>
          </cell>
          <cell r="R32">
            <v>201</v>
          </cell>
          <cell r="U32">
            <v>65560.62</v>
          </cell>
          <cell r="V32">
            <v>149.44999999999709</v>
          </cell>
          <cell r="W32">
            <v>146.86999999999989</v>
          </cell>
          <cell r="X32">
            <v>351</v>
          </cell>
          <cell r="Y32">
            <v>31</v>
          </cell>
          <cell r="AE32">
            <v>7532891.5199999996</v>
          </cell>
          <cell r="AF32">
            <v>2046.2400000002235</v>
          </cell>
          <cell r="AG32">
            <v>2582.1600000010803</v>
          </cell>
          <cell r="AH32">
            <v>14393934.24</v>
          </cell>
          <cell r="AI32">
            <v>4774.5600000005215</v>
          </cell>
          <cell r="AJ32">
            <v>4433.519999999553</v>
          </cell>
          <cell r="AK32">
            <v>14071895.039999999</v>
          </cell>
          <cell r="AL32">
            <v>5456.6399999987334</v>
          </cell>
          <cell r="AM32">
            <v>4092.480000000447</v>
          </cell>
          <cell r="AN32">
            <v>17240984.879999999</v>
          </cell>
          <cell r="AO32">
            <v>8915.7600000016391</v>
          </cell>
          <cell r="AP32">
            <v>10036.320000000298</v>
          </cell>
          <cell r="AQ32">
            <v>17579978.639999997</v>
          </cell>
          <cell r="AR32">
            <v>876.95999999716878</v>
          </cell>
          <cell r="AS32">
            <v>682.08000000007451</v>
          </cell>
          <cell r="AT32">
            <v>16261225.68</v>
          </cell>
          <cell r="AU32">
            <v>7064.3999999985099</v>
          </cell>
          <cell r="AV32">
            <v>5554.0800000000745</v>
          </cell>
          <cell r="AW32">
            <v>13753704.719999999</v>
          </cell>
          <cell r="AX32">
            <v>4433.519999999553</v>
          </cell>
          <cell r="AY32">
            <v>4384.8000000007451</v>
          </cell>
          <cell r="AZ32">
            <v>13258514.640000001</v>
          </cell>
          <cell r="BB32">
            <v>3995.0400000009686</v>
          </cell>
          <cell r="BC32">
            <v>10507539.84</v>
          </cell>
          <cell r="BD32">
            <v>2436</v>
          </cell>
          <cell r="BE32">
            <v>2923.1999999992549</v>
          </cell>
          <cell r="BF32">
            <v>16409870.4</v>
          </cell>
          <cell r="BG32">
            <v>5895.1199999991804</v>
          </cell>
          <cell r="BH32">
            <v>5456.640000000596</v>
          </cell>
          <cell r="BM32">
            <v>69747100</v>
          </cell>
          <cell r="BN32">
            <v>32600</v>
          </cell>
          <cell r="BO32">
            <v>18500</v>
          </cell>
          <cell r="BP32">
            <v>73016800</v>
          </cell>
          <cell r="BQ32">
            <v>42300</v>
          </cell>
          <cell r="BR32">
            <v>52900</v>
          </cell>
          <cell r="BS32">
            <v>67331700</v>
          </cell>
          <cell r="BT32">
            <v>0</v>
          </cell>
          <cell r="BU32">
            <v>0</v>
          </cell>
          <cell r="BV32">
            <v>8511820</v>
          </cell>
          <cell r="BW32">
            <v>6520</v>
          </cell>
          <cell r="BY32">
            <v>0.71</v>
          </cell>
          <cell r="BZ32">
            <v>-8.9999999999999969E-2</v>
          </cell>
          <cell r="CA32">
            <v>-0.1100000000000001</v>
          </cell>
          <cell r="CB32">
            <v>59596</v>
          </cell>
          <cell r="CC32">
            <v>21</v>
          </cell>
          <cell r="CD32">
            <v>51130</v>
          </cell>
          <cell r="CE32">
            <v>19</v>
          </cell>
          <cell r="CF32">
            <v>17438</v>
          </cell>
          <cell r="CG32">
            <v>6</v>
          </cell>
          <cell r="CH32">
            <v>23418</v>
          </cell>
          <cell r="CI32">
            <v>8</v>
          </cell>
          <cell r="CJ32">
            <v>25589</v>
          </cell>
          <cell r="CK32">
            <v>9</v>
          </cell>
          <cell r="CL32">
            <v>56943</v>
          </cell>
          <cell r="CM32">
            <v>27</v>
          </cell>
          <cell r="CN32">
            <v>248216</v>
          </cell>
          <cell r="CO32">
            <v>192</v>
          </cell>
          <cell r="CP32">
            <v>100</v>
          </cell>
          <cell r="CQ32">
            <v>195837</v>
          </cell>
          <cell r="CR32">
            <v>128</v>
          </cell>
          <cell r="CS32">
            <v>103</v>
          </cell>
          <cell r="CT32">
            <v>349009</v>
          </cell>
          <cell r="CU32">
            <v>46</v>
          </cell>
          <cell r="CV32">
            <v>73</v>
          </cell>
          <cell r="CW32">
            <v>650560</v>
          </cell>
          <cell r="CX32">
            <v>0</v>
          </cell>
          <cell r="CZ32">
            <v>7507</v>
          </cell>
          <cell r="DA32">
            <v>6</v>
          </cell>
          <cell r="DB32">
            <v>4850</v>
          </cell>
          <cell r="DC32">
            <v>6</v>
          </cell>
          <cell r="DD32">
            <v>29252</v>
          </cell>
          <cell r="DE32">
            <v>15</v>
          </cell>
          <cell r="DF32">
            <v>29753</v>
          </cell>
          <cell r="DG32">
            <v>15</v>
          </cell>
          <cell r="DH32">
            <v>19920</v>
          </cell>
          <cell r="DI32">
            <v>8</v>
          </cell>
          <cell r="DJ32">
            <v>22815</v>
          </cell>
          <cell r="DK32">
            <v>4</v>
          </cell>
          <cell r="DL32">
            <v>4827</v>
          </cell>
          <cell r="DM32">
            <v>10</v>
          </cell>
          <cell r="DN32">
            <v>8030</v>
          </cell>
          <cell r="DO32">
            <v>6</v>
          </cell>
          <cell r="DP32">
            <v>2412</v>
          </cell>
          <cell r="DQ32">
            <v>4</v>
          </cell>
          <cell r="DR32">
            <v>4551</v>
          </cell>
          <cell r="DS32">
            <v>10</v>
          </cell>
          <cell r="DT32">
            <v>27611</v>
          </cell>
          <cell r="DU32">
            <v>9</v>
          </cell>
          <cell r="DW32">
            <v>4326.1000000000004</v>
          </cell>
          <cell r="DX32">
            <v>10.100000000000364</v>
          </cell>
          <cell r="DY32">
            <v>9241</v>
          </cell>
          <cell r="DZ32">
            <v>7.8999999999996362</v>
          </cell>
          <cell r="EA32">
            <v>3264.3</v>
          </cell>
          <cell r="EB32">
            <v>6.4000000000000909</v>
          </cell>
          <cell r="EC32">
            <v>3492.8</v>
          </cell>
          <cell r="ED32">
            <v>10.800000000000182</v>
          </cell>
          <cell r="EE32">
            <v>953612</v>
          </cell>
          <cell r="EF32">
            <v>755</v>
          </cell>
          <cell r="EI32">
            <v>197247.3</v>
          </cell>
          <cell r="EJ32">
            <v>156.39999999999418</v>
          </cell>
          <cell r="EL32">
            <v>10843400</v>
          </cell>
          <cell r="EM32">
            <v>5300</v>
          </cell>
          <cell r="EN32">
            <v>861220</v>
          </cell>
          <cell r="EO32">
            <v>240</v>
          </cell>
          <cell r="EP32">
            <v>6540200</v>
          </cell>
          <cell r="EQ32">
            <v>2400</v>
          </cell>
          <cell r="ER32">
            <v>2300800</v>
          </cell>
          <cell r="ES32">
            <v>600</v>
          </cell>
          <cell r="ET32">
            <v>1082550</v>
          </cell>
          <cell r="EU32">
            <v>640</v>
          </cell>
          <cell r="EV32">
            <v>14709700</v>
          </cell>
          <cell r="EW32">
            <v>5300</v>
          </cell>
          <cell r="EY32">
            <v>39498</v>
          </cell>
          <cell r="EZ32">
            <v>16</v>
          </cell>
          <cell r="FA32">
            <v>34172</v>
          </cell>
          <cell r="FB32">
            <v>13</v>
          </cell>
          <cell r="FC32">
            <v>5212</v>
          </cell>
          <cell r="FD32">
            <v>14</v>
          </cell>
          <cell r="FE32">
            <v>56349</v>
          </cell>
          <cell r="FF32">
            <v>10</v>
          </cell>
          <cell r="FG32">
            <v>41922</v>
          </cell>
          <cell r="FH32">
            <v>32</v>
          </cell>
        </row>
        <row r="33">
          <cell r="B33">
            <v>0.75</v>
          </cell>
          <cell r="E33">
            <v>108180</v>
          </cell>
          <cell r="F33">
            <v>784</v>
          </cell>
          <cell r="G33">
            <v>579</v>
          </cell>
          <cell r="H33">
            <v>150508</v>
          </cell>
          <cell r="I33">
            <v>379</v>
          </cell>
          <cell r="J33">
            <v>342</v>
          </cell>
          <cell r="K33">
            <v>164625</v>
          </cell>
          <cell r="L33">
            <v>0</v>
          </cell>
          <cell r="N33">
            <v>847566</v>
          </cell>
          <cell r="O33">
            <v>291</v>
          </cell>
          <cell r="Q33">
            <v>200138</v>
          </cell>
          <cell r="R33">
            <v>179</v>
          </cell>
          <cell r="U33">
            <v>65723.17</v>
          </cell>
          <cell r="V33">
            <v>162.55000000000291</v>
          </cell>
          <cell r="W33">
            <v>145.21000000000004</v>
          </cell>
          <cell r="X33">
            <v>381</v>
          </cell>
          <cell r="Y33">
            <v>30</v>
          </cell>
          <cell r="AE33">
            <v>7534937.7599999998</v>
          </cell>
          <cell r="AF33">
            <v>2046.2400000002235</v>
          </cell>
          <cell r="AG33">
            <v>3702.7199999988079</v>
          </cell>
          <cell r="AH33">
            <v>14398660.08</v>
          </cell>
          <cell r="AI33">
            <v>4725.839999999851</v>
          </cell>
          <cell r="AJ33">
            <v>4579.679999999702</v>
          </cell>
          <cell r="AK33">
            <v>14075549.039999999</v>
          </cell>
          <cell r="AL33">
            <v>3654</v>
          </cell>
          <cell r="AM33">
            <v>1023.1200000010431</v>
          </cell>
          <cell r="AN33">
            <v>17252970</v>
          </cell>
          <cell r="AO33">
            <v>11985.120000001043</v>
          </cell>
          <cell r="AP33">
            <v>3848.8799999989569</v>
          </cell>
          <cell r="AQ33">
            <v>17581001.760000002</v>
          </cell>
          <cell r="AR33">
            <v>1023.1200000047684</v>
          </cell>
          <cell r="AS33">
            <v>9256.7999999988824</v>
          </cell>
          <cell r="AT33">
            <v>16265269.439999998</v>
          </cell>
          <cell r="AU33">
            <v>4043.7599999979138</v>
          </cell>
          <cell r="AV33">
            <v>5602.7999999988824</v>
          </cell>
          <cell r="AW33">
            <v>13758333.119999999</v>
          </cell>
          <cell r="AX33">
            <v>4628.4000000003725</v>
          </cell>
          <cell r="AY33">
            <v>4336.0799999982119</v>
          </cell>
          <cell r="AZ33">
            <v>13263337.919999998</v>
          </cell>
          <cell r="BB33">
            <v>4141.2000000011176</v>
          </cell>
          <cell r="BC33">
            <v>10510511.76</v>
          </cell>
          <cell r="BD33">
            <v>2971.9199999999255</v>
          </cell>
          <cell r="BE33">
            <v>2971.9199999999255</v>
          </cell>
          <cell r="BF33">
            <v>16415814.239999998</v>
          </cell>
          <cell r="BG33">
            <v>5943.8399999979883</v>
          </cell>
          <cell r="BH33">
            <v>5651.519999999553</v>
          </cell>
          <cell r="BM33">
            <v>69767600</v>
          </cell>
          <cell r="BN33">
            <v>20500</v>
          </cell>
          <cell r="BO33">
            <v>0</v>
          </cell>
          <cell r="BP33">
            <v>73076200</v>
          </cell>
          <cell r="BQ33">
            <v>59400</v>
          </cell>
          <cell r="BR33">
            <v>20900</v>
          </cell>
          <cell r="BS33">
            <v>67331700</v>
          </cell>
          <cell r="BT33">
            <v>0</v>
          </cell>
          <cell r="BU33">
            <v>48400</v>
          </cell>
          <cell r="BV33">
            <v>8518000</v>
          </cell>
          <cell r="BW33">
            <v>6180</v>
          </cell>
          <cell r="BY33">
            <v>0.66</v>
          </cell>
          <cell r="BZ33">
            <v>4.9999999999999933E-2</v>
          </cell>
          <cell r="CA33">
            <v>6.0000000000000053E-2</v>
          </cell>
          <cell r="CB33">
            <v>59617</v>
          </cell>
          <cell r="CC33">
            <v>21</v>
          </cell>
          <cell r="CD33">
            <v>51149</v>
          </cell>
          <cell r="CE33">
            <v>19</v>
          </cell>
          <cell r="CF33">
            <v>17444</v>
          </cell>
          <cell r="CG33">
            <v>6</v>
          </cell>
          <cell r="CH33">
            <v>23425</v>
          </cell>
          <cell r="CI33">
            <v>7</v>
          </cell>
          <cell r="CJ33">
            <v>25600</v>
          </cell>
          <cell r="CK33">
            <v>11</v>
          </cell>
          <cell r="CL33">
            <v>56969</v>
          </cell>
          <cell r="CM33">
            <v>26</v>
          </cell>
          <cell r="CN33">
            <v>248312</v>
          </cell>
          <cell r="CO33">
            <v>96</v>
          </cell>
          <cell r="CP33">
            <v>100</v>
          </cell>
          <cell r="CQ33">
            <v>195964</v>
          </cell>
          <cell r="CR33">
            <v>127</v>
          </cell>
          <cell r="CS33">
            <v>96</v>
          </cell>
          <cell r="CT33">
            <v>349054</v>
          </cell>
          <cell r="CU33">
            <v>45</v>
          </cell>
          <cell r="CV33">
            <v>72</v>
          </cell>
          <cell r="CW33">
            <v>650560</v>
          </cell>
          <cell r="CX33">
            <v>0</v>
          </cell>
          <cell r="CZ33">
            <v>7508</v>
          </cell>
          <cell r="DA33">
            <v>1</v>
          </cell>
          <cell r="DB33">
            <v>4850</v>
          </cell>
          <cell r="DC33">
            <v>0</v>
          </cell>
          <cell r="DD33">
            <v>29272</v>
          </cell>
          <cell r="DE33">
            <v>20</v>
          </cell>
          <cell r="DF33">
            <v>29765</v>
          </cell>
          <cell r="DG33">
            <v>12</v>
          </cell>
          <cell r="DH33">
            <v>19929</v>
          </cell>
          <cell r="DI33">
            <v>9</v>
          </cell>
          <cell r="DJ33">
            <v>22822</v>
          </cell>
          <cell r="DK33">
            <v>7</v>
          </cell>
          <cell r="DL33">
            <v>4837</v>
          </cell>
          <cell r="DM33">
            <v>10</v>
          </cell>
          <cell r="DN33">
            <v>8050</v>
          </cell>
          <cell r="DO33">
            <v>20</v>
          </cell>
          <cell r="DP33">
            <v>2415</v>
          </cell>
          <cell r="DQ33">
            <v>3</v>
          </cell>
          <cell r="DR33">
            <v>4556</v>
          </cell>
          <cell r="DS33">
            <v>5</v>
          </cell>
          <cell r="DT33">
            <v>27611</v>
          </cell>
          <cell r="DU33">
            <v>0</v>
          </cell>
          <cell r="DW33">
            <v>4335.2</v>
          </cell>
          <cell r="DX33">
            <v>9.0999999999994543</v>
          </cell>
          <cell r="DY33">
            <v>9248.9</v>
          </cell>
          <cell r="DZ33">
            <v>7.8999999999996362</v>
          </cell>
          <cell r="EA33">
            <v>3270.3</v>
          </cell>
          <cell r="EB33">
            <v>6</v>
          </cell>
          <cell r="EC33">
            <v>3502.9</v>
          </cell>
          <cell r="ED33">
            <v>10.099999999999909</v>
          </cell>
          <cell r="EE33">
            <v>954387</v>
          </cell>
          <cell r="EF33">
            <v>775</v>
          </cell>
          <cell r="EI33">
            <v>197390.6</v>
          </cell>
          <cell r="EJ33">
            <v>143.30000000001746</v>
          </cell>
          <cell r="EL33">
            <v>10849000</v>
          </cell>
          <cell r="EM33">
            <v>5600</v>
          </cell>
          <cell r="EN33">
            <v>861470</v>
          </cell>
          <cell r="EO33">
            <v>250</v>
          </cell>
          <cell r="EP33">
            <v>6542700</v>
          </cell>
          <cell r="EQ33">
            <v>2500</v>
          </cell>
          <cell r="ER33">
            <v>2301500</v>
          </cell>
          <cell r="ES33">
            <v>700</v>
          </cell>
          <cell r="ET33">
            <v>1082960</v>
          </cell>
          <cell r="EU33">
            <v>410</v>
          </cell>
          <cell r="EV33">
            <v>14715600</v>
          </cell>
          <cell r="EW33">
            <v>5900</v>
          </cell>
          <cell r="EY33">
            <v>39513</v>
          </cell>
          <cell r="EZ33">
            <v>15</v>
          </cell>
          <cell r="FA33">
            <v>34184</v>
          </cell>
          <cell r="FB33">
            <v>12</v>
          </cell>
          <cell r="FC33">
            <v>5224</v>
          </cell>
          <cell r="FD33">
            <v>12</v>
          </cell>
          <cell r="FE33">
            <v>56361</v>
          </cell>
          <cell r="FF33">
            <v>12</v>
          </cell>
          <cell r="FG33">
            <v>41947</v>
          </cell>
          <cell r="FH33">
            <v>25</v>
          </cell>
        </row>
        <row r="34">
          <cell r="B34">
            <v>0.67</v>
          </cell>
          <cell r="E34">
            <v>108969</v>
          </cell>
          <cell r="F34">
            <v>789</v>
          </cell>
          <cell r="G34">
            <v>636</v>
          </cell>
          <cell r="H34">
            <v>150898</v>
          </cell>
          <cell r="I34">
            <v>390</v>
          </cell>
          <cell r="J34">
            <v>338</v>
          </cell>
          <cell r="K34">
            <v>164625</v>
          </cell>
          <cell r="L34">
            <v>0</v>
          </cell>
          <cell r="N34">
            <v>847899</v>
          </cell>
          <cell r="O34">
            <v>333</v>
          </cell>
          <cell r="Q34">
            <v>200326</v>
          </cell>
          <cell r="R34">
            <v>188</v>
          </cell>
          <cell r="U34">
            <v>65878.12</v>
          </cell>
          <cell r="V34">
            <v>154.94999999999709</v>
          </cell>
          <cell r="W34">
            <v>148.23000000000002</v>
          </cell>
          <cell r="X34">
            <v>411</v>
          </cell>
          <cell r="Y34">
            <v>30</v>
          </cell>
          <cell r="AE34">
            <v>7536789.1200000001</v>
          </cell>
          <cell r="AF34">
            <v>1851.3600000003353</v>
          </cell>
          <cell r="AG34">
            <v>3654</v>
          </cell>
          <cell r="AH34">
            <v>14403483.359999999</v>
          </cell>
          <cell r="AI34">
            <v>4823.2799999993294</v>
          </cell>
          <cell r="AJ34">
            <v>4579.679999999702</v>
          </cell>
          <cell r="AK34">
            <v>14078179.919999998</v>
          </cell>
          <cell r="AL34">
            <v>2630.8799999989569</v>
          </cell>
          <cell r="AM34">
            <v>1071.839999999851</v>
          </cell>
          <cell r="AN34">
            <v>17265003.84</v>
          </cell>
          <cell r="AO34">
            <v>12033.839999999851</v>
          </cell>
          <cell r="AP34">
            <v>2679.6000000014901</v>
          </cell>
          <cell r="AQ34">
            <v>17581976.16</v>
          </cell>
          <cell r="AR34">
            <v>974.39999999850988</v>
          </cell>
          <cell r="AS34">
            <v>9354.2400000002235</v>
          </cell>
          <cell r="AT34">
            <v>16270920.960000001</v>
          </cell>
          <cell r="AU34">
            <v>5651.5200000032783</v>
          </cell>
          <cell r="AV34">
            <v>5505.359999999404</v>
          </cell>
          <cell r="AW34">
            <v>13762669.199999999</v>
          </cell>
          <cell r="AX34">
            <v>4336.0800000000745</v>
          </cell>
          <cell r="AY34">
            <v>4433.5200000014156</v>
          </cell>
          <cell r="AZ34">
            <v>13267868.880000001</v>
          </cell>
          <cell r="BB34">
            <v>4189.9199999980628</v>
          </cell>
          <cell r="BC34">
            <v>10513288.799999999</v>
          </cell>
          <cell r="BD34">
            <v>2777.0399999991059</v>
          </cell>
          <cell r="BE34">
            <v>2971.9199999980628</v>
          </cell>
          <cell r="BF34">
            <v>16421270.880000001</v>
          </cell>
          <cell r="BG34">
            <v>5456.6400000024587</v>
          </cell>
          <cell r="BH34">
            <v>5456.640000000596</v>
          </cell>
          <cell r="BM34">
            <v>69781700</v>
          </cell>
          <cell r="BN34">
            <v>14100</v>
          </cell>
          <cell r="BO34">
            <v>0</v>
          </cell>
          <cell r="BP34">
            <v>73134300</v>
          </cell>
          <cell r="BQ34">
            <v>58100</v>
          </cell>
          <cell r="BR34">
            <v>13400</v>
          </cell>
          <cell r="BS34">
            <v>67331700</v>
          </cell>
          <cell r="BT34">
            <v>0</v>
          </cell>
          <cell r="BU34">
            <v>52200</v>
          </cell>
          <cell r="BV34">
            <v>8524180</v>
          </cell>
          <cell r="BW34">
            <v>6180</v>
          </cell>
          <cell r="BY34">
            <v>0.62</v>
          </cell>
          <cell r="BZ34">
            <v>4.0000000000000036E-2</v>
          </cell>
          <cell r="CA34">
            <v>-6.9999999999999951E-2</v>
          </cell>
          <cell r="CB34">
            <v>59636</v>
          </cell>
          <cell r="CC34">
            <v>19</v>
          </cell>
          <cell r="CD34">
            <v>51168</v>
          </cell>
          <cell r="CE34">
            <v>19</v>
          </cell>
          <cell r="CF34">
            <v>17448</v>
          </cell>
          <cell r="CG34">
            <v>4</v>
          </cell>
          <cell r="CH34">
            <v>23432</v>
          </cell>
          <cell r="CI34">
            <v>7</v>
          </cell>
          <cell r="CJ34">
            <v>25610</v>
          </cell>
          <cell r="CK34">
            <v>10</v>
          </cell>
          <cell r="CL34">
            <v>56994</v>
          </cell>
          <cell r="CM34">
            <v>25</v>
          </cell>
          <cell r="CN34">
            <v>248400</v>
          </cell>
          <cell r="CO34">
            <v>88</v>
          </cell>
          <cell r="CP34">
            <v>96</v>
          </cell>
          <cell r="CQ34">
            <v>196084</v>
          </cell>
          <cell r="CR34">
            <v>120</v>
          </cell>
          <cell r="CS34">
            <v>101</v>
          </cell>
          <cell r="CT34">
            <v>349090</v>
          </cell>
          <cell r="CU34">
            <v>36</v>
          </cell>
          <cell r="CV34">
            <v>10</v>
          </cell>
          <cell r="CW34">
            <v>650562</v>
          </cell>
          <cell r="CX34">
            <v>2</v>
          </cell>
          <cell r="CZ34">
            <v>7512</v>
          </cell>
          <cell r="DA34">
            <v>4</v>
          </cell>
          <cell r="DB34">
            <v>4852</v>
          </cell>
          <cell r="DC34">
            <v>2</v>
          </cell>
          <cell r="DD34">
            <v>29284</v>
          </cell>
          <cell r="DE34">
            <v>12</v>
          </cell>
          <cell r="DF34">
            <v>29781</v>
          </cell>
          <cell r="DG34">
            <v>16</v>
          </cell>
          <cell r="DH34">
            <v>19938</v>
          </cell>
          <cell r="DI34">
            <v>9</v>
          </cell>
          <cell r="DJ34">
            <v>22828</v>
          </cell>
          <cell r="DK34">
            <v>6</v>
          </cell>
          <cell r="DL34">
            <v>4845</v>
          </cell>
          <cell r="DM34">
            <v>8</v>
          </cell>
          <cell r="DN34">
            <v>8055</v>
          </cell>
          <cell r="DO34">
            <v>5</v>
          </cell>
          <cell r="DP34">
            <v>2419</v>
          </cell>
          <cell r="DQ34">
            <v>4</v>
          </cell>
          <cell r="DR34">
            <v>4561</v>
          </cell>
          <cell r="DS34">
            <v>5</v>
          </cell>
          <cell r="DT34">
            <v>27621</v>
          </cell>
          <cell r="DU34">
            <v>10</v>
          </cell>
          <cell r="DW34">
            <v>4344.3999999999996</v>
          </cell>
          <cell r="DX34">
            <v>9.1999999999998181</v>
          </cell>
          <cell r="DY34">
            <v>9256.7000000000007</v>
          </cell>
          <cell r="DZ34">
            <v>7.8000000000010914</v>
          </cell>
          <cell r="EA34">
            <v>3276.4</v>
          </cell>
          <cell r="EB34">
            <v>6.0999999999999091</v>
          </cell>
          <cell r="EC34">
            <v>3510.8</v>
          </cell>
          <cell r="ED34">
            <v>7.9000000000000909</v>
          </cell>
          <cell r="EE34">
            <v>955121</v>
          </cell>
          <cell r="EF34">
            <v>734</v>
          </cell>
          <cell r="EI34">
            <v>197540.3</v>
          </cell>
          <cell r="EJ34">
            <v>149.69999999998254</v>
          </cell>
          <cell r="EL34">
            <v>10853800</v>
          </cell>
          <cell r="EM34">
            <v>4800</v>
          </cell>
          <cell r="EN34">
            <v>861710</v>
          </cell>
          <cell r="EO34">
            <v>240</v>
          </cell>
          <cell r="EP34">
            <v>6544600</v>
          </cell>
          <cell r="EQ34">
            <v>1900</v>
          </cell>
          <cell r="ER34">
            <v>2302100</v>
          </cell>
          <cell r="ES34">
            <v>600</v>
          </cell>
          <cell r="ET34">
            <v>1083320</v>
          </cell>
          <cell r="EU34">
            <v>360</v>
          </cell>
          <cell r="EV34">
            <v>14720900</v>
          </cell>
          <cell r="EW34">
            <v>5300</v>
          </cell>
          <cell r="EY34">
            <v>39527</v>
          </cell>
          <cell r="EZ34">
            <v>14</v>
          </cell>
          <cell r="FA34">
            <v>34194</v>
          </cell>
          <cell r="FB34">
            <v>10</v>
          </cell>
          <cell r="FC34">
            <v>5232</v>
          </cell>
          <cell r="FD34">
            <v>8</v>
          </cell>
          <cell r="FE34">
            <v>56370</v>
          </cell>
          <cell r="FF34">
            <v>9</v>
          </cell>
          <cell r="FG34">
            <v>41977</v>
          </cell>
          <cell r="FH34">
            <v>30</v>
          </cell>
        </row>
        <row r="35">
          <cell r="B35">
            <v>0.71</v>
          </cell>
          <cell r="E35">
            <v>109739</v>
          </cell>
          <cell r="F35">
            <v>770</v>
          </cell>
          <cell r="G35">
            <v>635</v>
          </cell>
          <cell r="H35">
            <v>151264</v>
          </cell>
          <cell r="I35">
            <v>366</v>
          </cell>
          <cell r="J35">
            <v>344</v>
          </cell>
          <cell r="K35">
            <v>164625</v>
          </cell>
          <cell r="L35">
            <v>0</v>
          </cell>
          <cell r="N35">
            <v>848183</v>
          </cell>
          <cell r="O35">
            <v>284</v>
          </cell>
          <cell r="Q35">
            <v>200501</v>
          </cell>
          <cell r="R35">
            <v>175</v>
          </cell>
          <cell r="U35">
            <v>66046.13</v>
          </cell>
          <cell r="V35">
            <v>168.01000000000931</v>
          </cell>
          <cell r="W35">
            <v>120.55999999999995</v>
          </cell>
          <cell r="X35">
            <v>441</v>
          </cell>
          <cell r="Y35">
            <v>30</v>
          </cell>
          <cell r="AE35">
            <v>7538640.4799999995</v>
          </cell>
          <cell r="AF35">
            <v>1851.359999999404</v>
          </cell>
          <cell r="AG35">
            <v>3848.8800000008196</v>
          </cell>
          <cell r="AH35">
            <v>14408355.359999999</v>
          </cell>
          <cell r="AI35">
            <v>4872</v>
          </cell>
          <cell r="AJ35">
            <v>4969.4399999994785</v>
          </cell>
          <cell r="AK35">
            <v>14083003.199999999</v>
          </cell>
          <cell r="AL35">
            <v>4823.2800000011921</v>
          </cell>
          <cell r="AM35">
            <v>1120.5599999986589</v>
          </cell>
          <cell r="AN35">
            <v>17276842.800000001</v>
          </cell>
          <cell r="AO35">
            <v>11838.960000000894</v>
          </cell>
          <cell r="AP35">
            <v>3118.0800000000745</v>
          </cell>
          <cell r="AQ35">
            <v>17582901.84</v>
          </cell>
          <cell r="AR35">
            <v>925.67999999970198</v>
          </cell>
          <cell r="AS35">
            <v>9402.9600000008941</v>
          </cell>
          <cell r="AT35">
            <v>16276475.039999999</v>
          </cell>
          <cell r="AU35">
            <v>5554.0799999982119</v>
          </cell>
          <cell r="AV35">
            <v>5748.9600000027567</v>
          </cell>
          <cell r="AW35">
            <v>13767054</v>
          </cell>
          <cell r="AX35">
            <v>4384.8000000007451</v>
          </cell>
          <cell r="AY35">
            <v>4628.4000000003725</v>
          </cell>
          <cell r="AZ35">
            <v>13272399.84</v>
          </cell>
          <cell r="BB35">
            <v>4287.359999999404</v>
          </cell>
          <cell r="BC35">
            <v>10516114.559999999</v>
          </cell>
          <cell r="BD35">
            <v>2825.7599999997765</v>
          </cell>
          <cell r="BE35">
            <v>3166.8000000007451</v>
          </cell>
          <cell r="BF35">
            <v>16426776.239999998</v>
          </cell>
          <cell r="BG35">
            <v>5505.3599999975413</v>
          </cell>
          <cell r="BH35">
            <v>5407.9200000017881</v>
          </cell>
          <cell r="BM35">
            <v>69802700</v>
          </cell>
          <cell r="BN35">
            <v>21000</v>
          </cell>
          <cell r="BO35">
            <v>0</v>
          </cell>
          <cell r="BP35">
            <v>73194500</v>
          </cell>
          <cell r="BQ35">
            <v>60200</v>
          </cell>
          <cell r="BR35">
            <v>15500</v>
          </cell>
          <cell r="BS35">
            <v>67331700</v>
          </cell>
          <cell r="BT35">
            <v>0</v>
          </cell>
          <cell r="BU35">
            <v>50400</v>
          </cell>
          <cell r="BV35">
            <v>8530330</v>
          </cell>
          <cell r="BW35">
            <v>6150</v>
          </cell>
          <cell r="BY35">
            <v>0.6</v>
          </cell>
          <cell r="BZ35">
            <v>2.0000000000000018E-2</v>
          </cell>
          <cell r="CA35">
            <v>3.9999999999999925E-2</v>
          </cell>
          <cell r="CB35">
            <v>59655</v>
          </cell>
          <cell r="CC35">
            <v>19</v>
          </cell>
          <cell r="CD35">
            <v>51186</v>
          </cell>
          <cell r="CE35">
            <v>18</v>
          </cell>
          <cell r="CF35">
            <v>17450</v>
          </cell>
          <cell r="CG35">
            <v>2</v>
          </cell>
          <cell r="CH35">
            <v>23439</v>
          </cell>
          <cell r="CI35">
            <v>7</v>
          </cell>
          <cell r="CJ35">
            <v>25621</v>
          </cell>
          <cell r="CK35">
            <v>11</v>
          </cell>
          <cell r="CL35">
            <v>57019</v>
          </cell>
          <cell r="CM35">
            <v>25</v>
          </cell>
          <cell r="CN35">
            <v>248492</v>
          </cell>
          <cell r="CO35">
            <v>92</v>
          </cell>
          <cell r="CP35">
            <v>113</v>
          </cell>
          <cell r="CQ35">
            <v>196202</v>
          </cell>
          <cell r="CR35">
            <v>118</v>
          </cell>
          <cell r="CS35">
            <v>97</v>
          </cell>
          <cell r="CT35">
            <v>349144</v>
          </cell>
          <cell r="CU35">
            <v>54</v>
          </cell>
          <cell r="CV35">
            <v>0</v>
          </cell>
          <cell r="CW35">
            <v>650563</v>
          </cell>
          <cell r="CX35">
            <v>1</v>
          </cell>
          <cell r="CZ35">
            <v>7515</v>
          </cell>
          <cell r="DA35">
            <v>3</v>
          </cell>
          <cell r="DB35">
            <v>4855</v>
          </cell>
          <cell r="DC35">
            <v>3</v>
          </cell>
          <cell r="DD35">
            <v>29297</v>
          </cell>
          <cell r="DE35">
            <v>13</v>
          </cell>
          <cell r="DF35">
            <v>29795</v>
          </cell>
          <cell r="DG35">
            <v>14</v>
          </cell>
          <cell r="DH35">
            <v>19945</v>
          </cell>
          <cell r="DI35">
            <v>7</v>
          </cell>
          <cell r="DJ35">
            <v>22833</v>
          </cell>
          <cell r="DK35">
            <v>5</v>
          </cell>
          <cell r="DL35">
            <v>4854</v>
          </cell>
          <cell r="DM35">
            <v>9</v>
          </cell>
          <cell r="DN35">
            <v>8060</v>
          </cell>
          <cell r="DO35">
            <v>5</v>
          </cell>
          <cell r="DP35">
            <v>2423</v>
          </cell>
          <cell r="DQ35">
            <v>4</v>
          </cell>
          <cell r="DR35">
            <v>4566</v>
          </cell>
          <cell r="DS35">
            <v>5</v>
          </cell>
          <cell r="DT35">
            <v>27621</v>
          </cell>
          <cell r="DU35">
            <v>0</v>
          </cell>
          <cell r="DW35">
            <v>4353.3999999999996</v>
          </cell>
          <cell r="DX35">
            <v>9</v>
          </cell>
          <cell r="DY35">
            <v>9264.6</v>
          </cell>
          <cell r="DZ35">
            <v>7.8999999999996362</v>
          </cell>
          <cell r="EA35">
            <v>3283</v>
          </cell>
          <cell r="EB35">
            <v>6.5999999999999091</v>
          </cell>
          <cell r="EC35">
            <v>3519.3</v>
          </cell>
          <cell r="ED35">
            <v>8.5</v>
          </cell>
          <cell r="EE35">
            <v>955898</v>
          </cell>
          <cell r="EF35">
            <v>777</v>
          </cell>
          <cell r="EI35">
            <v>197691.7</v>
          </cell>
          <cell r="EJ35">
            <v>151.40000000002328</v>
          </cell>
          <cell r="EL35">
            <v>10859100</v>
          </cell>
          <cell r="EM35">
            <v>5300</v>
          </cell>
          <cell r="EN35">
            <v>861900</v>
          </cell>
          <cell r="EO35">
            <v>190</v>
          </cell>
          <cell r="EP35">
            <v>6547500</v>
          </cell>
          <cell r="EQ35">
            <v>2900</v>
          </cell>
          <cell r="ER35">
            <v>2302600</v>
          </cell>
          <cell r="ES35">
            <v>500</v>
          </cell>
          <cell r="ET35">
            <v>1083700</v>
          </cell>
          <cell r="EU35">
            <v>380</v>
          </cell>
          <cell r="EV35">
            <v>14727000</v>
          </cell>
          <cell r="EW35">
            <v>6100</v>
          </cell>
          <cell r="EY35">
            <v>39541</v>
          </cell>
          <cell r="EZ35">
            <v>14</v>
          </cell>
          <cell r="FA35">
            <v>34204</v>
          </cell>
          <cell r="FB35">
            <v>10</v>
          </cell>
          <cell r="FC35">
            <v>5240</v>
          </cell>
          <cell r="FD35">
            <v>8</v>
          </cell>
          <cell r="FE35">
            <v>56378</v>
          </cell>
          <cell r="FF35">
            <v>8</v>
          </cell>
          <cell r="FG35">
            <v>42004</v>
          </cell>
          <cell r="FH35">
            <v>27</v>
          </cell>
        </row>
        <row r="36">
          <cell r="B36">
            <v>0.74</v>
          </cell>
          <cell r="E36">
            <v>110520</v>
          </cell>
          <cell r="F36">
            <v>781</v>
          </cell>
          <cell r="G36">
            <v>484</v>
          </cell>
          <cell r="H36">
            <v>151620</v>
          </cell>
          <cell r="I36">
            <v>356</v>
          </cell>
          <cell r="J36">
            <v>327</v>
          </cell>
          <cell r="K36">
            <v>164625</v>
          </cell>
          <cell r="L36">
            <v>0</v>
          </cell>
          <cell r="N36">
            <v>848544</v>
          </cell>
          <cell r="O36">
            <v>361</v>
          </cell>
          <cell r="Q36">
            <v>200711</v>
          </cell>
          <cell r="R36">
            <v>210</v>
          </cell>
          <cell r="U36">
            <v>66206.42</v>
          </cell>
          <cell r="V36">
            <v>160.2899999999936</v>
          </cell>
          <cell r="W36">
            <v>120.11000000000013</v>
          </cell>
          <cell r="X36">
            <v>472</v>
          </cell>
          <cell r="Y36">
            <v>31</v>
          </cell>
          <cell r="AE36">
            <v>7540491.8399999999</v>
          </cell>
          <cell r="AF36">
            <v>1851.3600000003353</v>
          </cell>
          <cell r="AG36">
            <v>3459.1199999991804</v>
          </cell>
          <cell r="AH36">
            <v>14413178.640000001</v>
          </cell>
          <cell r="AI36">
            <v>4823.2800000011921</v>
          </cell>
          <cell r="AJ36">
            <v>4530.9600000008941</v>
          </cell>
          <cell r="AK36">
            <v>14085828.959999999</v>
          </cell>
          <cell r="AL36">
            <v>2825.7599999997765</v>
          </cell>
          <cell r="AM36">
            <v>1120.5600000005215</v>
          </cell>
          <cell r="AN36">
            <v>17288535.599999998</v>
          </cell>
          <cell r="AO36">
            <v>11692.79999999702</v>
          </cell>
          <cell r="AP36">
            <v>3507.839999999851</v>
          </cell>
          <cell r="AQ36">
            <v>17583876.239999998</v>
          </cell>
          <cell r="AR36">
            <v>974.39999999850988</v>
          </cell>
          <cell r="AS36">
            <v>8526</v>
          </cell>
          <cell r="AT36">
            <v>16282272.719999999</v>
          </cell>
          <cell r="AU36">
            <v>5797.679999999702</v>
          </cell>
          <cell r="AV36">
            <v>5261.7599999979138</v>
          </cell>
          <cell r="AW36">
            <v>13771536.24</v>
          </cell>
          <cell r="AX36">
            <v>4482.2400000002235</v>
          </cell>
          <cell r="AY36">
            <v>4092.4799999985844</v>
          </cell>
          <cell r="AZ36">
            <v>13277028.24</v>
          </cell>
          <cell r="BB36">
            <v>3946.3200000021607</v>
          </cell>
          <cell r="BC36">
            <v>10518891.6</v>
          </cell>
          <cell r="BD36">
            <v>2777.0400000009686</v>
          </cell>
          <cell r="BE36">
            <v>3118.0800000000745</v>
          </cell>
          <cell r="BF36">
            <v>16432330.319999998</v>
          </cell>
          <cell r="BG36">
            <v>5554.0800000000745</v>
          </cell>
          <cell r="BH36">
            <v>5310.4799999985844</v>
          </cell>
          <cell r="BM36">
            <v>69823700</v>
          </cell>
          <cell r="BN36">
            <v>21000</v>
          </cell>
          <cell r="BO36">
            <v>0</v>
          </cell>
          <cell r="BP36">
            <v>73252600</v>
          </cell>
          <cell r="BQ36">
            <v>58100</v>
          </cell>
          <cell r="BR36">
            <v>18000</v>
          </cell>
          <cell r="BS36">
            <v>67331700</v>
          </cell>
          <cell r="BT36">
            <v>0</v>
          </cell>
          <cell r="BU36">
            <v>51100</v>
          </cell>
          <cell r="BV36">
            <v>8536000</v>
          </cell>
          <cell r="BW36">
            <v>5670</v>
          </cell>
          <cell r="BY36">
            <v>0.66</v>
          </cell>
          <cell r="BZ36">
            <v>-6.0000000000000053E-2</v>
          </cell>
          <cell r="CA36">
            <v>4.0000000000000036E-2</v>
          </cell>
          <cell r="CB36">
            <v>59674</v>
          </cell>
          <cell r="CC36">
            <v>19</v>
          </cell>
          <cell r="CD36">
            <v>51205</v>
          </cell>
          <cell r="CE36">
            <v>19</v>
          </cell>
          <cell r="CF36">
            <v>17453</v>
          </cell>
          <cell r="CG36">
            <v>3</v>
          </cell>
          <cell r="CH36">
            <v>23446</v>
          </cell>
          <cell r="CI36">
            <v>7</v>
          </cell>
          <cell r="CJ36">
            <v>25634</v>
          </cell>
          <cell r="CK36">
            <v>13</v>
          </cell>
          <cell r="CL36">
            <v>57046</v>
          </cell>
          <cell r="CM36">
            <v>27</v>
          </cell>
          <cell r="CN36">
            <v>248587</v>
          </cell>
          <cell r="CO36">
            <v>95</v>
          </cell>
          <cell r="CP36">
            <v>98</v>
          </cell>
          <cell r="CQ36">
            <v>196321</v>
          </cell>
          <cell r="CR36">
            <v>119</v>
          </cell>
          <cell r="CS36">
            <v>97</v>
          </cell>
          <cell r="CT36">
            <v>349166</v>
          </cell>
          <cell r="CU36">
            <v>22</v>
          </cell>
          <cell r="CV36">
            <v>0</v>
          </cell>
          <cell r="CW36">
            <v>650563</v>
          </cell>
          <cell r="CX36">
            <v>0</v>
          </cell>
          <cell r="CZ36">
            <v>7519</v>
          </cell>
          <cell r="DA36">
            <v>4</v>
          </cell>
          <cell r="DB36">
            <v>4858</v>
          </cell>
          <cell r="DC36">
            <v>3</v>
          </cell>
          <cell r="DD36">
            <v>29313</v>
          </cell>
          <cell r="DE36">
            <v>16</v>
          </cell>
          <cell r="DF36">
            <v>29808</v>
          </cell>
          <cell r="DG36">
            <v>13</v>
          </cell>
          <cell r="DH36">
            <v>19954</v>
          </cell>
          <cell r="DI36">
            <v>9</v>
          </cell>
          <cell r="DJ36">
            <v>22837</v>
          </cell>
          <cell r="DK36">
            <v>4</v>
          </cell>
          <cell r="DL36">
            <v>4862</v>
          </cell>
          <cell r="DM36">
            <v>8</v>
          </cell>
          <cell r="DN36">
            <v>8068</v>
          </cell>
          <cell r="DO36">
            <v>8</v>
          </cell>
          <cell r="DP36">
            <v>2428</v>
          </cell>
          <cell r="DQ36">
            <v>5</v>
          </cell>
          <cell r="DR36">
            <v>4571</v>
          </cell>
          <cell r="DS36">
            <v>5</v>
          </cell>
          <cell r="DT36">
            <v>27621</v>
          </cell>
          <cell r="DU36">
            <v>0</v>
          </cell>
          <cell r="DW36">
            <v>4362.2</v>
          </cell>
          <cell r="DX36">
            <v>8.8000000000001819</v>
          </cell>
          <cell r="DY36">
            <v>9273</v>
          </cell>
          <cell r="DZ36">
            <v>8.3999999999996362</v>
          </cell>
          <cell r="EA36">
            <v>3289.6</v>
          </cell>
          <cell r="EB36">
            <v>6.5999999999999091</v>
          </cell>
          <cell r="EC36">
            <v>3527.2</v>
          </cell>
          <cell r="ED36">
            <v>7.8999999999996362</v>
          </cell>
          <cell r="EE36">
            <v>956710</v>
          </cell>
          <cell r="EF36">
            <v>812</v>
          </cell>
          <cell r="EI36">
            <v>197843.8</v>
          </cell>
          <cell r="EJ36">
            <v>152.09999999997672</v>
          </cell>
          <cell r="EL36">
            <v>10864200</v>
          </cell>
          <cell r="EM36">
            <v>5100</v>
          </cell>
          <cell r="EN36">
            <v>862090</v>
          </cell>
          <cell r="EO36">
            <v>190</v>
          </cell>
          <cell r="EP36">
            <v>6550300</v>
          </cell>
          <cell r="EQ36">
            <v>2800</v>
          </cell>
          <cell r="ER36">
            <v>2303200</v>
          </cell>
          <cell r="ES36">
            <v>600</v>
          </cell>
          <cell r="ET36">
            <v>1084090</v>
          </cell>
          <cell r="EU36">
            <v>390</v>
          </cell>
          <cell r="EV36">
            <v>14733100</v>
          </cell>
          <cell r="EW36">
            <v>6100</v>
          </cell>
          <cell r="EY36">
            <v>39556</v>
          </cell>
          <cell r="EZ36">
            <v>15</v>
          </cell>
          <cell r="FA36">
            <v>34215</v>
          </cell>
          <cell r="FB36">
            <v>11</v>
          </cell>
          <cell r="FC36">
            <v>5250</v>
          </cell>
          <cell r="FD36">
            <v>10</v>
          </cell>
          <cell r="FE36">
            <v>56387</v>
          </cell>
          <cell r="FF36">
            <v>9</v>
          </cell>
          <cell r="FG36">
            <v>42034</v>
          </cell>
          <cell r="FH36">
            <v>30</v>
          </cell>
        </row>
        <row r="37">
          <cell r="B37">
            <v>0.82</v>
          </cell>
          <cell r="E37">
            <v>111298</v>
          </cell>
          <cell r="F37">
            <v>778</v>
          </cell>
          <cell r="G37">
            <v>630</v>
          </cell>
          <cell r="H37">
            <v>151991</v>
          </cell>
          <cell r="I37">
            <v>371</v>
          </cell>
          <cell r="J37">
            <v>415</v>
          </cell>
          <cell r="K37">
            <v>164625</v>
          </cell>
          <cell r="L37">
            <v>0</v>
          </cell>
          <cell r="N37">
            <v>848870</v>
          </cell>
          <cell r="O37">
            <v>326</v>
          </cell>
          <cell r="Q37">
            <v>200894</v>
          </cell>
          <cell r="R37">
            <v>183</v>
          </cell>
          <cell r="U37">
            <v>66370.509999999995</v>
          </cell>
          <cell r="V37">
            <v>164.08999999999651</v>
          </cell>
          <cell r="W37">
            <v>128.55999999999995</v>
          </cell>
          <cell r="X37">
            <v>500</v>
          </cell>
          <cell r="Y37">
            <v>28</v>
          </cell>
          <cell r="AE37">
            <v>7542489.3599999994</v>
          </cell>
          <cell r="AF37">
            <v>1997.519999999553</v>
          </cell>
          <cell r="AG37">
            <v>3800.1600000010803</v>
          </cell>
          <cell r="AH37">
            <v>14418099.359999999</v>
          </cell>
          <cell r="AI37">
            <v>4920.7199999988079</v>
          </cell>
          <cell r="AJ37">
            <v>4920.7200000006706</v>
          </cell>
          <cell r="AK37">
            <v>14088411.119999999</v>
          </cell>
          <cell r="AL37">
            <v>2582.160000000149</v>
          </cell>
          <cell r="AM37">
            <v>1218</v>
          </cell>
          <cell r="AN37">
            <v>17301154.080000002</v>
          </cell>
          <cell r="AO37">
            <v>12618.480000004172</v>
          </cell>
          <cell r="AP37">
            <v>2923.2000000011176</v>
          </cell>
          <cell r="AQ37">
            <v>17584850.639999997</v>
          </cell>
          <cell r="AR37">
            <v>974.39999999850988</v>
          </cell>
          <cell r="AS37">
            <v>10133.759999999776</v>
          </cell>
          <cell r="AT37">
            <v>16288167.839999998</v>
          </cell>
          <cell r="AU37">
            <v>5895.1199999991804</v>
          </cell>
          <cell r="AV37">
            <v>5651.519999999553</v>
          </cell>
          <cell r="AW37">
            <v>13776310.799999999</v>
          </cell>
          <cell r="AX37">
            <v>4774.5599999986589</v>
          </cell>
          <cell r="AY37">
            <v>4628.4000000003725</v>
          </cell>
          <cell r="AZ37">
            <v>13281754.08</v>
          </cell>
          <cell r="BB37">
            <v>4336.0799999982119</v>
          </cell>
          <cell r="BC37">
            <v>10521814.799999999</v>
          </cell>
          <cell r="BD37">
            <v>2923.1999999992549</v>
          </cell>
          <cell r="BE37">
            <v>3118.0800000019372</v>
          </cell>
          <cell r="BF37">
            <v>16437933.119999999</v>
          </cell>
          <cell r="BG37">
            <v>5602.8000000007451</v>
          </cell>
          <cell r="BH37">
            <v>5505.359999999404</v>
          </cell>
          <cell r="BM37">
            <v>69837500</v>
          </cell>
          <cell r="BN37">
            <v>13800</v>
          </cell>
          <cell r="BO37">
            <v>0</v>
          </cell>
          <cell r="BP37">
            <v>73315300</v>
          </cell>
          <cell r="BQ37">
            <v>62700</v>
          </cell>
          <cell r="BR37">
            <v>14200</v>
          </cell>
          <cell r="BS37">
            <v>67331700</v>
          </cell>
          <cell r="BT37">
            <v>0</v>
          </cell>
          <cell r="BU37">
            <v>53900</v>
          </cell>
          <cell r="BV37">
            <v>8541930</v>
          </cell>
          <cell r="BW37">
            <v>5930</v>
          </cell>
          <cell r="BY37">
            <v>0.63</v>
          </cell>
          <cell r="BZ37">
            <v>3.0000000000000027E-2</v>
          </cell>
          <cell r="CA37">
            <v>-6.0000000000000053E-2</v>
          </cell>
          <cell r="CB37">
            <v>59692</v>
          </cell>
          <cell r="CC37">
            <v>18</v>
          </cell>
          <cell r="CD37">
            <v>51228</v>
          </cell>
          <cell r="CE37">
            <v>23</v>
          </cell>
          <cell r="CF37">
            <v>17458</v>
          </cell>
          <cell r="CG37">
            <v>5</v>
          </cell>
          <cell r="CH37">
            <v>23453</v>
          </cell>
          <cell r="CI37">
            <v>7</v>
          </cell>
          <cell r="CJ37">
            <v>25643</v>
          </cell>
          <cell r="CK37">
            <v>9</v>
          </cell>
          <cell r="CL37">
            <v>57072</v>
          </cell>
          <cell r="CM37">
            <v>26</v>
          </cell>
          <cell r="CN37">
            <v>248683</v>
          </cell>
          <cell r="CO37">
            <v>96</v>
          </cell>
          <cell r="CP37">
            <v>100</v>
          </cell>
          <cell r="CQ37">
            <v>196433</v>
          </cell>
          <cell r="CR37">
            <v>112</v>
          </cell>
          <cell r="CS37">
            <v>99</v>
          </cell>
          <cell r="CT37">
            <v>349166</v>
          </cell>
          <cell r="CU37">
            <v>0</v>
          </cell>
          <cell r="CV37">
            <v>0</v>
          </cell>
          <cell r="CW37">
            <v>650563</v>
          </cell>
          <cell r="CX37">
            <v>0</v>
          </cell>
          <cell r="CZ37">
            <v>7523</v>
          </cell>
          <cell r="DA37">
            <v>4</v>
          </cell>
          <cell r="DB37">
            <v>4860</v>
          </cell>
          <cell r="DC37">
            <v>2</v>
          </cell>
          <cell r="DD37">
            <v>29328</v>
          </cell>
          <cell r="DE37">
            <v>15</v>
          </cell>
          <cell r="DF37">
            <v>29821</v>
          </cell>
          <cell r="DG37">
            <v>13</v>
          </cell>
          <cell r="DH37">
            <v>19962</v>
          </cell>
          <cell r="DI37">
            <v>8</v>
          </cell>
          <cell r="DJ37">
            <v>22841</v>
          </cell>
          <cell r="DK37">
            <v>4</v>
          </cell>
          <cell r="DL37">
            <v>4871</v>
          </cell>
          <cell r="DM37">
            <v>9</v>
          </cell>
          <cell r="DN37">
            <v>8074</v>
          </cell>
          <cell r="DO37">
            <v>6</v>
          </cell>
          <cell r="DP37">
            <v>2432</v>
          </cell>
          <cell r="DQ37">
            <v>4</v>
          </cell>
          <cell r="DR37">
            <v>4579</v>
          </cell>
          <cell r="DS37">
            <v>8</v>
          </cell>
          <cell r="DT37">
            <v>27721</v>
          </cell>
          <cell r="DU37">
            <v>100</v>
          </cell>
          <cell r="DW37">
            <v>4371.1000000000004</v>
          </cell>
          <cell r="DX37">
            <v>8.9000000000005457</v>
          </cell>
          <cell r="DY37">
            <v>9281.5</v>
          </cell>
          <cell r="DZ37">
            <v>8.5</v>
          </cell>
          <cell r="EA37">
            <v>3296.4</v>
          </cell>
          <cell r="EB37">
            <v>6.8000000000001819</v>
          </cell>
          <cell r="EC37">
            <v>3535.9</v>
          </cell>
          <cell r="ED37">
            <v>8.7000000000002728</v>
          </cell>
          <cell r="EE37">
            <v>957542</v>
          </cell>
          <cell r="EF37">
            <v>832</v>
          </cell>
          <cell r="EI37">
            <v>198002.6</v>
          </cell>
          <cell r="EJ37">
            <v>158.80000000001746</v>
          </cell>
          <cell r="EL37">
            <v>10869000</v>
          </cell>
          <cell r="EM37">
            <v>4800</v>
          </cell>
          <cell r="EN37">
            <v>862310</v>
          </cell>
          <cell r="EO37">
            <v>220</v>
          </cell>
          <cell r="EP37">
            <v>6552900</v>
          </cell>
          <cell r="EQ37">
            <v>2600</v>
          </cell>
          <cell r="ER37">
            <v>2303900</v>
          </cell>
          <cell r="ES37">
            <v>700</v>
          </cell>
          <cell r="ET37">
            <v>1084460</v>
          </cell>
          <cell r="EU37">
            <v>370</v>
          </cell>
          <cell r="EV37">
            <v>14739300</v>
          </cell>
          <cell r="EW37">
            <v>6200</v>
          </cell>
          <cell r="EY37">
            <v>39572</v>
          </cell>
          <cell r="EZ37">
            <v>16</v>
          </cell>
          <cell r="FA37">
            <v>34226</v>
          </cell>
          <cell r="FB37">
            <v>11</v>
          </cell>
          <cell r="FC37">
            <v>5259</v>
          </cell>
          <cell r="FD37">
            <v>9</v>
          </cell>
          <cell r="FE37">
            <v>56396</v>
          </cell>
          <cell r="FF37">
            <v>9</v>
          </cell>
          <cell r="FG37">
            <v>42068</v>
          </cell>
          <cell r="FH37">
            <v>34</v>
          </cell>
        </row>
        <row r="38">
          <cell r="B38">
            <v>0.76</v>
          </cell>
          <cell r="E38">
            <v>112077</v>
          </cell>
          <cell r="F38">
            <v>779</v>
          </cell>
          <cell r="G38">
            <v>565</v>
          </cell>
          <cell r="H38">
            <v>152363</v>
          </cell>
          <cell r="I38">
            <v>372</v>
          </cell>
          <cell r="J38">
            <v>443</v>
          </cell>
          <cell r="K38">
            <v>164625</v>
          </cell>
          <cell r="L38">
            <v>0</v>
          </cell>
          <cell r="N38">
            <v>849169</v>
          </cell>
          <cell r="O38">
            <v>299</v>
          </cell>
          <cell r="Q38">
            <v>201057</v>
          </cell>
          <cell r="R38">
            <v>163</v>
          </cell>
          <cell r="U38">
            <v>66548.990000000005</v>
          </cell>
          <cell r="V38">
            <v>178.48000000001048</v>
          </cell>
          <cell r="W38">
            <v>130.04999999999973</v>
          </cell>
          <cell r="X38">
            <v>533</v>
          </cell>
          <cell r="Y38">
            <v>33</v>
          </cell>
          <cell r="AE38">
            <v>7544486.8799999999</v>
          </cell>
          <cell r="AF38">
            <v>1997.5200000004843</v>
          </cell>
          <cell r="AG38">
            <v>3556.5599999995902</v>
          </cell>
          <cell r="AH38">
            <v>14422825.199999999</v>
          </cell>
          <cell r="AI38">
            <v>4725.839999999851</v>
          </cell>
          <cell r="AJ38">
            <v>4677.1199999991804</v>
          </cell>
          <cell r="AK38">
            <v>14092503.6</v>
          </cell>
          <cell r="AL38">
            <v>4092.480000000447</v>
          </cell>
          <cell r="AM38">
            <v>1218</v>
          </cell>
          <cell r="AN38">
            <v>17313285.359999999</v>
          </cell>
          <cell r="AO38">
            <v>12131.279999997467</v>
          </cell>
          <cell r="AP38">
            <v>3897.5999999996275</v>
          </cell>
          <cell r="AQ38">
            <v>17585873.760000002</v>
          </cell>
          <cell r="AR38">
            <v>1023.1200000047684</v>
          </cell>
          <cell r="AS38">
            <v>9110.640000000596</v>
          </cell>
          <cell r="AT38">
            <v>16293819.360000001</v>
          </cell>
          <cell r="AU38">
            <v>5651.5200000032783</v>
          </cell>
          <cell r="AV38">
            <v>5310.480000000447</v>
          </cell>
          <cell r="AW38">
            <v>13780646.880000001</v>
          </cell>
          <cell r="AX38">
            <v>4336.0800000019372</v>
          </cell>
          <cell r="AY38">
            <v>4433.519999999553</v>
          </cell>
          <cell r="AZ38">
            <v>13286479.919999998</v>
          </cell>
          <cell r="BB38">
            <v>3995.0400000009686</v>
          </cell>
          <cell r="BC38">
            <v>10524591.84</v>
          </cell>
          <cell r="BD38">
            <v>2777.0400000009686</v>
          </cell>
          <cell r="BE38">
            <v>2971.9199999980628</v>
          </cell>
          <cell r="BF38">
            <v>16443438.48</v>
          </cell>
          <cell r="BG38">
            <v>5505.3600000012666</v>
          </cell>
          <cell r="BH38">
            <v>5310.480000000447</v>
          </cell>
          <cell r="BM38">
            <v>69858800</v>
          </cell>
          <cell r="BN38">
            <v>21300</v>
          </cell>
          <cell r="BO38">
            <v>0</v>
          </cell>
          <cell r="BP38">
            <v>73376700</v>
          </cell>
          <cell r="BQ38">
            <v>61400</v>
          </cell>
          <cell r="BR38">
            <v>20000</v>
          </cell>
          <cell r="BS38">
            <v>67331700</v>
          </cell>
          <cell r="BT38">
            <v>0</v>
          </cell>
          <cell r="BU38">
            <v>54300</v>
          </cell>
          <cell r="BV38">
            <v>8548140</v>
          </cell>
          <cell r="BW38">
            <v>6210</v>
          </cell>
          <cell r="BY38">
            <v>0.75</v>
          </cell>
          <cell r="BZ38">
            <v>-0.12</v>
          </cell>
          <cell r="CA38">
            <v>4.0000000000000036E-2</v>
          </cell>
          <cell r="CB38">
            <v>59707</v>
          </cell>
          <cell r="CC38">
            <v>15</v>
          </cell>
          <cell r="CD38">
            <v>51247</v>
          </cell>
          <cell r="CE38">
            <v>19</v>
          </cell>
          <cell r="CF38">
            <v>17463</v>
          </cell>
          <cell r="CG38">
            <v>5</v>
          </cell>
          <cell r="CH38">
            <v>23460</v>
          </cell>
          <cell r="CI38">
            <v>7</v>
          </cell>
          <cell r="CJ38">
            <v>25651</v>
          </cell>
          <cell r="CK38">
            <v>8</v>
          </cell>
          <cell r="CL38">
            <v>57099</v>
          </cell>
          <cell r="CM38">
            <v>27</v>
          </cell>
          <cell r="CN38">
            <v>248769</v>
          </cell>
          <cell r="CO38">
            <v>86</v>
          </cell>
          <cell r="CP38">
            <v>108</v>
          </cell>
          <cell r="CQ38">
            <v>196544</v>
          </cell>
          <cell r="CR38">
            <v>111</v>
          </cell>
          <cell r="CS38">
            <v>116</v>
          </cell>
          <cell r="CT38">
            <v>349166</v>
          </cell>
          <cell r="CU38">
            <v>0</v>
          </cell>
          <cell r="CV38">
            <v>0</v>
          </cell>
          <cell r="CW38">
            <v>650766</v>
          </cell>
          <cell r="CX38">
            <v>203</v>
          </cell>
          <cell r="CZ38">
            <v>7527</v>
          </cell>
          <cell r="DA38">
            <v>4</v>
          </cell>
          <cell r="DB38">
            <v>4863</v>
          </cell>
          <cell r="DC38">
            <v>3</v>
          </cell>
          <cell r="DD38">
            <v>29342</v>
          </cell>
          <cell r="DE38">
            <v>14</v>
          </cell>
          <cell r="DF38">
            <v>29835</v>
          </cell>
          <cell r="DG38">
            <v>14</v>
          </cell>
          <cell r="DH38">
            <v>19972</v>
          </cell>
          <cell r="DI38">
            <v>10</v>
          </cell>
          <cell r="DJ38">
            <v>22845</v>
          </cell>
          <cell r="DK38">
            <v>4</v>
          </cell>
          <cell r="DL38">
            <v>4880</v>
          </cell>
          <cell r="DM38">
            <v>9</v>
          </cell>
          <cell r="DN38">
            <v>8081</v>
          </cell>
          <cell r="DO38">
            <v>7</v>
          </cell>
          <cell r="DP38">
            <v>2436</v>
          </cell>
          <cell r="DQ38">
            <v>4</v>
          </cell>
          <cell r="DR38">
            <v>4586</v>
          </cell>
          <cell r="DS38">
            <v>7</v>
          </cell>
          <cell r="DT38">
            <v>27721</v>
          </cell>
          <cell r="DU38">
            <v>0</v>
          </cell>
          <cell r="DW38">
            <v>4380.2</v>
          </cell>
          <cell r="DX38">
            <v>9.0999999999994543</v>
          </cell>
          <cell r="DY38">
            <v>9290.1</v>
          </cell>
          <cell r="DZ38">
            <v>8.6000000000003638</v>
          </cell>
          <cell r="EA38">
            <v>3303</v>
          </cell>
          <cell r="EB38">
            <v>6.5999999999999091</v>
          </cell>
          <cell r="EC38">
            <v>3544.4</v>
          </cell>
          <cell r="ED38">
            <v>8.5</v>
          </cell>
          <cell r="EE38">
            <v>958339</v>
          </cell>
          <cell r="EF38">
            <v>797</v>
          </cell>
          <cell r="EI38">
            <v>198153.1</v>
          </cell>
          <cell r="EJ38">
            <v>150.5</v>
          </cell>
          <cell r="EL38">
            <v>10873900</v>
          </cell>
          <cell r="EM38">
            <v>4900</v>
          </cell>
          <cell r="EN38">
            <v>862540</v>
          </cell>
          <cell r="EO38">
            <v>230</v>
          </cell>
          <cell r="EP38">
            <v>6555600</v>
          </cell>
          <cell r="EQ38">
            <v>2700</v>
          </cell>
          <cell r="ER38">
            <v>2304200</v>
          </cell>
          <cell r="ES38">
            <v>300</v>
          </cell>
          <cell r="ET38">
            <v>1085040</v>
          </cell>
          <cell r="EU38">
            <v>580</v>
          </cell>
          <cell r="EV38">
            <v>14745200</v>
          </cell>
          <cell r="EW38">
            <v>5900</v>
          </cell>
          <cell r="EY38">
            <v>39589</v>
          </cell>
          <cell r="EZ38">
            <v>17</v>
          </cell>
          <cell r="FA38">
            <v>34237</v>
          </cell>
          <cell r="FB38">
            <v>11</v>
          </cell>
          <cell r="FC38">
            <v>5269</v>
          </cell>
          <cell r="FD38">
            <v>10</v>
          </cell>
          <cell r="FE38">
            <v>56406</v>
          </cell>
          <cell r="FF38">
            <v>10</v>
          </cell>
          <cell r="FG38">
            <v>42098</v>
          </cell>
          <cell r="FH38">
            <v>30</v>
          </cell>
        </row>
        <row r="39">
          <cell r="B39">
            <v>0.73</v>
          </cell>
          <cell r="E39">
            <v>112844</v>
          </cell>
          <cell r="F39">
            <v>767</v>
          </cell>
          <cell r="G39">
            <v>624</v>
          </cell>
          <cell r="H39">
            <v>152757</v>
          </cell>
          <cell r="I39">
            <v>394</v>
          </cell>
          <cell r="J39">
            <v>372</v>
          </cell>
          <cell r="K39">
            <v>164625</v>
          </cell>
          <cell r="L39">
            <v>0</v>
          </cell>
          <cell r="N39">
            <v>849471</v>
          </cell>
          <cell r="O39">
            <v>302</v>
          </cell>
          <cell r="Q39">
            <v>201192</v>
          </cell>
          <cell r="R39">
            <v>135</v>
          </cell>
          <cell r="U39">
            <v>66718.5</v>
          </cell>
          <cell r="V39">
            <v>169.50999999999476</v>
          </cell>
          <cell r="W39">
            <v>126.63000000000011</v>
          </cell>
          <cell r="X39">
            <v>567</v>
          </cell>
          <cell r="Y39">
            <v>34</v>
          </cell>
          <cell r="AE39">
            <v>7548335.7599999998</v>
          </cell>
          <cell r="AF39">
            <v>3848.8799999998882</v>
          </cell>
          <cell r="AG39">
            <v>3897.5999999996275</v>
          </cell>
          <cell r="AH39">
            <v>14427551.039999999</v>
          </cell>
          <cell r="AI39">
            <v>4725.839999999851</v>
          </cell>
          <cell r="AJ39">
            <v>4677.1199999991804</v>
          </cell>
          <cell r="AK39">
            <v>14093429.280000001</v>
          </cell>
          <cell r="AL39">
            <v>925.68000000156462</v>
          </cell>
          <cell r="AM39">
            <v>1169.2800000011921</v>
          </cell>
          <cell r="AN39">
            <v>17318790.719999999</v>
          </cell>
          <cell r="AO39">
            <v>5505.359999999404</v>
          </cell>
          <cell r="AP39">
            <v>4774.5599999986589</v>
          </cell>
          <cell r="AQ39">
            <v>17594156.16</v>
          </cell>
          <cell r="AR39">
            <v>8282.3999999985099</v>
          </cell>
          <cell r="AS39">
            <v>9451.679999999702</v>
          </cell>
          <cell r="AT39">
            <v>16299568.319999998</v>
          </cell>
          <cell r="AU39">
            <v>5748.9599999971688</v>
          </cell>
          <cell r="AV39">
            <v>5505.3600000012666</v>
          </cell>
          <cell r="AW39">
            <v>13784885.52</v>
          </cell>
          <cell r="AX39">
            <v>4238.6399999987334</v>
          </cell>
          <cell r="AY39">
            <v>4579.679999999702</v>
          </cell>
          <cell r="AZ39">
            <v>13291205.76</v>
          </cell>
          <cell r="BB39">
            <v>4336.0800000000745</v>
          </cell>
          <cell r="BC39">
            <v>10527222.719999999</v>
          </cell>
          <cell r="BD39">
            <v>2630.8799999989569</v>
          </cell>
          <cell r="BE39">
            <v>3166.8000000007451</v>
          </cell>
          <cell r="BF39">
            <v>16449382.319999998</v>
          </cell>
          <cell r="BG39">
            <v>5943.8399999979883</v>
          </cell>
          <cell r="BH39">
            <v>5700.2400000002235</v>
          </cell>
          <cell r="BM39">
            <v>69858800</v>
          </cell>
          <cell r="BN39">
            <v>0</v>
          </cell>
          <cell r="BO39">
            <v>0</v>
          </cell>
          <cell r="BP39">
            <v>73408300</v>
          </cell>
          <cell r="BQ39">
            <v>31600</v>
          </cell>
          <cell r="BR39">
            <v>24100</v>
          </cell>
          <cell r="BS39">
            <v>67379500</v>
          </cell>
          <cell r="BT39">
            <v>47800</v>
          </cell>
          <cell r="BU39">
            <v>51400</v>
          </cell>
          <cell r="BV39">
            <v>8554430</v>
          </cell>
          <cell r="BW39">
            <v>6290</v>
          </cell>
          <cell r="BY39">
            <v>0.7</v>
          </cell>
          <cell r="BZ39">
            <v>5.0000000000000044E-2</v>
          </cell>
          <cell r="CA39">
            <v>-4.0000000000000036E-2</v>
          </cell>
          <cell r="CB39">
            <v>59727</v>
          </cell>
          <cell r="CC39">
            <v>20</v>
          </cell>
          <cell r="CD39">
            <v>51267</v>
          </cell>
          <cell r="CE39">
            <v>20</v>
          </cell>
          <cell r="CF39">
            <v>17466</v>
          </cell>
          <cell r="CG39">
            <v>3</v>
          </cell>
          <cell r="CH39">
            <v>23467</v>
          </cell>
          <cell r="CI39">
            <v>7</v>
          </cell>
          <cell r="CJ39">
            <v>25660</v>
          </cell>
          <cell r="CK39">
            <v>9</v>
          </cell>
          <cell r="CL39">
            <v>57125</v>
          </cell>
          <cell r="CM39">
            <v>26</v>
          </cell>
          <cell r="CN39">
            <v>248857</v>
          </cell>
          <cell r="CO39">
            <v>88</v>
          </cell>
          <cell r="CP39">
            <v>104</v>
          </cell>
          <cell r="CQ39">
            <v>196649</v>
          </cell>
          <cell r="CR39">
            <v>105</v>
          </cell>
          <cell r="CS39">
            <v>93</v>
          </cell>
          <cell r="CT39">
            <v>349214</v>
          </cell>
          <cell r="CU39">
            <v>48</v>
          </cell>
          <cell r="CV39">
            <v>0</v>
          </cell>
          <cell r="CW39">
            <v>650983</v>
          </cell>
          <cell r="CX39">
            <v>217</v>
          </cell>
          <cell r="CZ39">
            <v>7530</v>
          </cell>
          <cell r="DA39">
            <v>3</v>
          </cell>
          <cell r="DB39">
            <v>4867</v>
          </cell>
          <cell r="DC39">
            <v>4</v>
          </cell>
          <cell r="DD39">
            <v>29360</v>
          </cell>
          <cell r="DE39">
            <v>18</v>
          </cell>
          <cell r="DF39">
            <v>29850</v>
          </cell>
          <cell r="DG39">
            <v>15</v>
          </cell>
          <cell r="DH39">
            <v>19981</v>
          </cell>
          <cell r="DI39">
            <v>9</v>
          </cell>
          <cell r="DJ39">
            <v>22850</v>
          </cell>
          <cell r="DK39">
            <v>5</v>
          </cell>
          <cell r="DL39">
            <v>4892</v>
          </cell>
          <cell r="DM39">
            <v>12</v>
          </cell>
          <cell r="DN39">
            <v>8093</v>
          </cell>
          <cell r="DO39">
            <v>12</v>
          </cell>
          <cell r="DP39">
            <v>2440</v>
          </cell>
          <cell r="DQ39">
            <v>4</v>
          </cell>
          <cell r="DR39">
            <v>4593</v>
          </cell>
          <cell r="DS39">
            <v>7</v>
          </cell>
          <cell r="DT39">
            <v>27721</v>
          </cell>
          <cell r="DU39">
            <v>0</v>
          </cell>
          <cell r="DW39">
            <v>4391.3999999999996</v>
          </cell>
          <cell r="DX39">
            <v>11.199999999999818</v>
          </cell>
          <cell r="DY39">
            <v>9298.1</v>
          </cell>
          <cell r="DZ39">
            <v>8</v>
          </cell>
          <cell r="EA39">
            <v>3311.1</v>
          </cell>
          <cell r="EB39">
            <v>8.0999999999999091</v>
          </cell>
          <cell r="EC39">
            <v>3555.7</v>
          </cell>
          <cell r="ED39">
            <v>11.299999999999727</v>
          </cell>
          <cell r="EE39">
            <v>958984</v>
          </cell>
          <cell r="EF39">
            <v>645</v>
          </cell>
          <cell r="EI39">
            <v>198334.2</v>
          </cell>
          <cell r="EJ39">
            <v>181.10000000000582</v>
          </cell>
          <cell r="EL39">
            <v>10880000</v>
          </cell>
          <cell r="EM39">
            <v>6100</v>
          </cell>
          <cell r="EN39">
            <v>862820</v>
          </cell>
          <cell r="EO39">
            <v>280</v>
          </cell>
          <cell r="EP39">
            <v>6559000</v>
          </cell>
          <cell r="EQ39">
            <v>3400</v>
          </cell>
          <cell r="ER39">
            <v>2306000</v>
          </cell>
          <cell r="ES39">
            <v>1800</v>
          </cell>
          <cell r="ET39">
            <v>1085920</v>
          </cell>
          <cell r="EU39">
            <v>880</v>
          </cell>
          <cell r="EV39">
            <v>14753500</v>
          </cell>
          <cell r="EW39">
            <v>8300</v>
          </cell>
          <cell r="EY39">
            <v>39607</v>
          </cell>
          <cell r="EZ39">
            <v>18</v>
          </cell>
          <cell r="FA39">
            <v>34249</v>
          </cell>
          <cell r="FB39">
            <v>12</v>
          </cell>
          <cell r="FC39">
            <v>5281</v>
          </cell>
          <cell r="FD39">
            <v>12</v>
          </cell>
          <cell r="FE39">
            <v>56418</v>
          </cell>
          <cell r="FF39">
            <v>12</v>
          </cell>
          <cell r="FG39">
            <v>42126</v>
          </cell>
          <cell r="FH39">
            <v>28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F8" sqref="F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SUM(Submetering!Z2:AB2,Submetering!AD2:AI2)</f>
        <v>852.39</v>
      </c>
      <c r="H2" s="237">
        <f>2.32/0.52</f>
        <v>4.4615384615384608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SUM(Submetering!Z3:AB3,Submetering!AD3:AI3)</f>
        <v>644.48999999999978</v>
      </c>
      <c r="H3" s="237">
        <f t="shared" ref="H3:H31" si="0">2.32/0.52</f>
        <v>4.4615384615384608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SUM(Submetering!Z4:AB4,Submetering!AD4:AI4)</f>
        <v>678.5100000000001</v>
      </c>
      <c r="H4" s="237">
        <f t="shared" si="0"/>
        <v>4.4615384615384608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SUM(Submetering!Z5:AB5,Submetering!AD5:AI5)</f>
        <v>680.39999999999986</v>
      </c>
      <c r="H5" s="237">
        <f t="shared" si="0"/>
        <v>4.4615384615384608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SUM(Submetering!Z6:AB6,Submetering!AD6:AI6)</f>
        <v>570.77999999999986</v>
      </c>
      <c r="H6" s="237">
        <f t="shared" si="0"/>
        <v>4.4615384615384608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SUM(Submetering!Z7:AB7,Submetering!AD7:AI7)</f>
        <v>561.33000000000004</v>
      </c>
      <c r="H7" s="237">
        <f t="shared" si="0"/>
        <v>4.4615384615384608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SUM(Submetering!Z8:AB8,Submetering!AD8:AI8)</f>
        <v>557.55000000000007</v>
      </c>
      <c r="H8" s="237">
        <f t="shared" si="0"/>
        <v>4.4615384615384608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SUM(Submetering!Z9:AB9,Submetering!AD9:AI9)</f>
        <v>585.9</v>
      </c>
      <c r="H9" s="237">
        <f t="shared" si="0"/>
        <v>4.4615384615384608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SUM(Submetering!Z10:AB10,Submetering!AD10:AI10)</f>
        <v>693.62999999999988</v>
      </c>
      <c r="H10" s="237">
        <f t="shared" si="0"/>
        <v>4.4615384615384608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SUM(Submetering!Z11:AB11,Submetering!AD11:AI11)</f>
        <v>824.04000000000008</v>
      </c>
      <c r="H11" s="237">
        <f t="shared" si="0"/>
        <v>4.4615384615384608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SUM(Submetering!Z12:AB12,Submetering!AD12:AI12)</f>
        <v>725.76</v>
      </c>
      <c r="H12" s="237">
        <f t="shared" si="0"/>
        <v>4.4615384615384608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44335.200000001118</v>
      </c>
      <c r="F13">
        <v>0.44447999999999999</v>
      </c>
      <c r="G13" s="3">
        <f>SUM(Submetering!Z13:AB13,Submetering!AD13:AI13)</f>
        <v>680.39999999999986</v>
      </c>
      <c r="H13" s="237">
        <f t="shared" si="0"/>
        <v>4.4615384615384608</v>
      </c>
      <c r="I13" s="3">
        <f>Submetering!G13</f>
        <v>822</v>
      </c>
      <c r="J13">
        <v>13.83</v>
      </c>
      <c r="K13" s="3">
        <f>Submetering!I13</f>
        <v>326</v>
      </c>
      <c r="L13">
        <v>1.2</v>
      </c>
      <c r="M13" s="237">
        <f>Submetering!E13</f>
        <v>201.45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44189.039999997243</v>
      </c>
      <c r="F14">
        <v>0.44447999999999999</v>
      </c>
      <c r="G14" s="3">
        <f>SUM(Submetering!Z14:AB14,Submetering!AD14:AI14)</f>
        <v>674.73000000000013</v>
      </c>
      <c r="H14" s="237">
        <f t="shared" si="0"/>
        <v>4.4615384615384608</v>
      </c>
      <c r="I14" s="3">
        <f>Submetering!G14</f>
        <v>706</v>
      </c>
      <c r="J14">
        <v>13.83</v>
      </c>
      <c r="K14" s="3">
        <f>Submetering!I14</f>
        <v>330</v>
      </c>
      <c r="L14">
        <v>1.2</v>
      </c>
      <c r="M14" s="237">
        <f>Submetering!E14</f>
        <v>203.82</v>
      </c>
      <c r="N14">
        <f>Submetering!F14</f>
        <v>424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46576.319999997504</v>
      </c>
      <c r="F15">
        <v>0.44447999999999999</v>
      </c>
      <c r="G15" s="3">
        <f>SUM(Submetering!Z15:AB15,Submetering!AD15:AI15)</f>
        <v>731.43000000000006</v>
      </c>
      <c r="H15" s="237">
        <f t="shared" si="0"/>
        <v>4.4615384615384608</v>
      </c>
      <c r="I15" s="3">
        <f>Submetering!G15</f>
        <v>854</v>
      </c>
      <c r="J15">
        <v>13.83</v>
      </c>
      <c r="K15" s="3">
        <f>Submetering!I15</f>
        <v>362.80000000004657</v>
      </c>
      <c r="L15">
        <v>1.2</v>
      </c>
      <c r="M15" s="237">
        <f>Submetering!E15</f>
        <v>215.67000000000002</v>
      </c>
      <c r="N15">
        <f>Submetering!F15</f>
        <v>476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47404.560000006109</v>
      </c>
      <c r="F16">
        <v>0.44447999999999999</v>
      </c>
      <c r="G16" s="3">
        <f>SUM(Submetering!Z16:AB16,Submetering!AD16:AI16)</f>
        <v>678.50999999999988</v>
      </c>
      <c r="H16" s="237">
        <f t="shared" si="0"/>
        <v>4.4615384615384608</v>
      </c>
      <c r="I16" s="3">
        <f>Submetering!G16</f>
        <v>717</v>
      </c>
      <c r="J16">
        <v>13.83</v>
      </c>
      <c r="K16" s="3">
        <f>Submetering!I16</f>
        <v>114.19999999995343</v>
      </c>
      <c r="L16">
        <v>1.2</v>
      </c>
      <c r="M16" s="237">
        <f>Submetering!E16</f>
        <v>222.78</v>
      </c>
      <c r="N16">
        <f>Submetering!F16</f>
        <v>489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50181.599999998696</v>
      </c>
      <c r="F17">
        <v>0.44447999999999999</v>
      </c>
      <c r="G17" s="3">
        <f>SUM(Submetering!Z17:AB17,Submetering!AD17:AI17)</f>
        <v>691.74</v>
      </c>
      <c r="H17" s="237">
        <f t="shared" si="0"/>
        <v>4.4615384615384608</v>
      </c>
      <c r="I17" s="3">
        <f>Submetering!G17</f>
        <v>718</v>
      </c>
      <c r="J17">
        <v>13.83</v>
      </c>
      <c r="K17" s="3">
        <f>Submetering!I17</f>
        <v>76</v>
      </c>
      <c r="L17">
        <v>1.2</v>
      </c>
      <c r="M17" s="237">
        <f>Submetering!E17</f>
        <v>210.93</v>
      </c>
      <c r="N17">
        <f>Submetering!F17</f>
        <v>474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46478.88000000082</v>
      </c>
      <c r="F18">
        <v>0.44447999999999999</v>
      </c>
      <c r="G18" s="3">
        <f>SUM(Submetering!Z18:AB18,Submetering!AD18:AI18)</f>
        <v>635.03999999999985</v>
      </c>
      <c r="H18" s="237">
        <f t="shared" si="0"/>
        <v>4.4615384615384608</v>
      </c>
      <c r="I18" s="3">
        <f>Submetering!G18</f>
        <v>630</v>
      </c>
      <c r="J18">
        <v>13.83</v>
      </c>
      <c r="K18" s="3">
        <f>Submetering!I18</f>
        <v>265</v>
      </c>
      <c r="L18">
        <v>1.2</v>
      </c>
      <c r="M18" s="237">
        <f>Submetering!E18</f>
        <v>208.56</v>
      </c>
      <c r="N18">
        <f>Submetering!F18</f>
        <v>474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42971.039999994449</v>
      </c>
      <c r="F19">
        <v>0.44447999999999999</v>
      </c>
      <c r="G19" s="3">
        <f>SUM(Submetering!Z19:AB19,Submetering!AD19:AI19)</f>
        <v>897.74999999999989</v>
      </c>
      <c r="H19" s="237">
        <f t="shared" si="0"/>
        <v>4.4615384615384608</v>
      </c>
      <c r="I19" s="3">
        <f>Submetering!G19</f>
        <v>718</v>
      </c>
      <c r="J19">
        <v>13.83</v>
      </c>
      <c r="K19" s="3">
        <f>Submetering!I19</f>
        <v>332</v>
      </c>
      <c r="L19">
        <v>1.2</v>
      </c>
      <c r="M19" s="237">
        <f>Submetering!E19</f>
        <v>208.56</v>
      </c>
      <c r="N19">
        <f>Submetering!F19</f>
        <v>456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44042.88000000082</v>
      </c>
      <c r="F20">
        <v>0.44447999999999999</v>
      </c>
      <c r="G20" s="3">
        <f>SUM(Submetering!Z20:AB20,Submetering!AD20:AI20)</f>
        <v>731.42999999999984</v>
      </c>
      <c r="H20" s="237">
        <f t="shared" si="0"/>
        <v>4.4615384615384608</v>
      </c>
      <c r="I20" s="3">
        <f>Submetering!G20</f>
        <v>757</v>
      </c>
      <c r="J20">
        <v>13.83</v>
      </c>
      <c r="K20" s="3">
        <f>Submetering!I20</f>
        <v>325</v>
      </c>
      <c r="L20">
        <v>1.2</v>
      </c>
      <c r="M20" s="237">
        <f>Submetering!E20</f>
        <v>201.45</v>
      </c>
      <c r="N20">
        <f>Submetering!F20</f>
        <v>452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44724.960000006482</v>
      </c>
      <c r="F21">
        <v>0.44447999999999999</v>
      </c>
      <c r="G21" s="3">
        <f>SUM(Submetering!Z21:AB21,Submetering!AD21:AI21)</f>
        <v>548.09999999999991</v>
      </c>
      <c r="H21" s="237">
        <f t="shared" si="0"/>
        <v>4.4615384615384608</v>
      </c>
      <c r="I21" s="3">
        <f>Submetering!G21</f>
        <v>848</v>
      </c>
      <c r="J21">
        <v>13.83</v>
      </c>
      <c r="K21" s="3">
        <f>Submetering!I21</f>
        <v>345</v>
      </c>
      <c r="L21">
        <v>1.2</v>
      </c>
      <c r="M21" s="237">
        <f>Submetering!E21</f>
        <v>220.41000000000003</v>
      </c>
      <c r="N21">
        <f>Submetering!F21</f>
        <v>469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45065.999999992549</v>
      </c>
      <c r="F22">
        <v>0.44447999999999999</v>
      </c>
      <c r="G22" s="3">
        <f>SUM(Submetering!Z22:AB22,Submetering!AD22:AI22)</f>
        <v>731.43</v>
      </c>
      <c r="H22" s="237">
        <f t="shared" si="0"/>
        <v>4.4615384615384608</v>
      </c>
      <c r="I22" s="3">
        <f>Submetering!G22</f>
        <v>828</v>
      </c>
      <c r="J22">
        <v>13.83</v>
      </c>
      <c r="K22" s="3">
        <f>Submetering!I22</f>
        <v>331</v>
      </c>
      <c r="L22">
        <v>1.2</v>
      </c>
      <c r="M22" s="237">
        <f>Submetering!E22</f>
        <v>223.72799999999998</v>
      </c>
      <c r="N22">
        <f>Submetering!F22</f>
        <v>458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45845.520000005141</v>
      </c>
      <c r="F23">
        <v>0.44447999999999999</v>
      </c>
      <c r="G23" s="3">
        <f>SUM(Submetering!Z23:AB23,Submetering!AD23:AI23)</f>
        <v>498.96</v>
      </c>
      <c r="H23" s="237">
        <f t="shared" si="0"/>
        <v>4.4615384615384608</v>
      </c>
      <c r="I23" s="3">
        <f>Submetering!G23</f>
        <v>855</v>
      </c>
      <c r="J23">
        <v>13.83</v>
      </c>
      <c r="K23" s="3">
        <f>Submetering!I23</f>
        <v>317</v>
      </c>
      <c r="L23">
        <v>1.2</v>
      </c>
      <c r="M23" s="237">
        <f>Submetering!E23</f>
        <v>201.45</v>
      </c>
      <c r="N23">
        <f>Submetering!F23</f>
        <v>421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46381.439999995753</v>
      </c>
      <c r="F24">
        <v>0.44447999999999999</v>
      </c>
      <c r="G24" s="3">
        <f>SUM(Submetering!Z24:AB24,Submetering!AD24:AI24)</f>
        <v>861.84</v>
      </c>
      <c r="H24" s="237">
        <f t="shared" si="0"/>
        <v>4.4615384615384608</v>
      </c>
      <c r="I24" s="3">
        <f>Submetering!G24</f>
        <v>836</v>
      </c>
      <c r="J24">
        <v>13.83</v>
      </c>
      <c r="K24" s="3">
        <f>Submetering!I24</f>
        <v>298</v>
      </c>
      <c r="L24">
        <v>1.2</v>
      </c>
      <c r="M24" s="237">
        <f>Submetering!E24</f>
        <v>187.23000000000002</v>
      </c>
      <c r="N24">
        <f>Submetering!F24</f>
        <v>409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45845.519999999553</v>
      </c>
      <c r="F25">
        <v>0.44447999999999999</v>
      </c>
      <c r="G25" s="3">
        <f>SUM(Submetering!Z25:AB25,Submetering!AD25:AI25)</f>
        <v>676.62</v>
      </c>
      <c r="H25" s="237">
        <f t="shared" si="0"/>
        <v>4.4615384615384608</v>
      </c>
      <c r="I25" s="3">
        <f>Submetering!G25</f>
        <v>784</v>
      </c>
      <c r="J25">
        <v>13.83</v>
      </c>
      <c r="K25" s="3">
        <f>Submetering!I25</f>
        <v>291</v>
      </c>
      <c r="L25">
        <v>1.2</v>
      </c>
      <c r="M25" s="237">
        <f>Submetering!E25</f>
        <v>177.75</v>
      </c>
      <c r="N25">
        <f>Submetering!F25</f>
        <v>435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45066.000000004657</v>
      </c>
      <c r="F26">
        <v>0.44447999999999999</v>
      </c>
      <c r="G26" s="3">
        <f>SUM(Submetering!Z26:AB26,Submetering!AD26:AI26)</f>
        <v>619.91999999999985</v>
      </c>
      <c r="H26" s="237">
        <f t="shared" si="0"/>
        <v>4.4615384615384608</v>
      </c>
      <c r="I26" s="3">
        <f>Submetering!G26</f>
        <v>789</v>
      </c>
      <c r="J26">
        <v>13.83</v>
      </c>
      <c r="K26" s="3">
        <f>Submetering!I26</f>
        <v>333</v>
      </c>
      <c r="L26">
        <v>1.2</v>
      </c>
      <c r="M26" s="237">
        <f>Submetering!E26</f>
        <v>158.79000000000002</v>
      </c>
      <c r="N26">
        <f>Submetering!F26</f>
        <v>315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47112.239999996498</v>
      </c>
      <c r="F27">
        <v>0.44447999999999999</v>
      </c>
      <c r="G27" s="3">
        <f>SUM(Submetering!Z27:AB27,Submetering!AD27:AI27)</f>
        <v>653.93999999999994</v>
      </c>
      <c r="H27" s="237">
        <f t="shared" si="0"/>
        <v>4.4615384615384608</v>
      </c>
      <c r="I27" s="3">
        <f>Submetering!G27</f>
        <v>770</v>
      </c>
      <c r="J27">
        <v>13.83</v>
      </c>
      <c r="K27" s="3">
        <f>Submetering!I27</f>
        <v>284</v>
      </c>
      <c r="L27">
        <v>1.2</v>
      </c>
      <c r="M27" s="237">
        <f>Submetering!E27</f>
        <v>168.26999999999998</v>
      </c>
      <c r="N27">
        <f>Submetering!F27</f>
        <v>342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45407.039999998175</v>
      </c>
      <c r="F28">
        <v>0.44447999999999999</v>
      </c>
      <c r="G28" s="3">
        <f>SUM(Submetering!Z28:AB28,Submetering!AD28:AI28)</f>
        <v>612.3599999999999</v>
      </c>
      <c r="H28" s="237">
        <f t="shared" si="0"/>
        <v>4.4615384615384608</v>
      </c>
      <c r="I28" s="3">
        <f>Submetering!G28</f>
        <v>781</v>
      </c>
      <c r="J28">
        <v>13.83</v>
      </c>
      <c r="K28" s="3">
        <f>Submetering!I28</f>
        <v>361</v>
      </c>
      <c r="L28">
        <v>1.2</v>
      </c>
      <c r="M28" s="237">
        <f>Submetering!E28</f>
        <v>175.38</v>
      </c>
      <c r="N28">
        <f>Submetering!F28</f>
        <v>342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47014.799999998882</v>
      </c>
      <c r="F29">
        <v>0.44447999999999999</v>
      </c>
      <c r="G29" s="3">
        <f>SUM(Submetering!Z29:AB29,Submetering!AD29:AI29)</f>
        <v>559.44000000000005</v>
      </c>
      <c r="H29" s="237">
        <f t="shared" si="0"/>
        <v>4.4615384615384608</v>
      </c>
      <c r="I29" s="3">
        <f>Submetering!G29</f>
        <v>778</v>
      </c>
      <c r="J29">
        <v>13.83</v>
      </c>
      <c r="K29" s="3">
        <f>Submetering!I29</f>
        <v>326</v>
      </c>
      <c r="L29">
        <v>1.2</v>
      </c>
      <c r="M29" s="237">
        <f>Submetering!E29</f>
        <v>194.33999999999997</v>
      </c>
      <c r="N29">
        <f>Submetering!F29</f>
        <v>370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46966.080000008456</v>
      </c>
      <c r="F30">
        <v>0.44447999999999999</v>
      </c>
      <c r="G30" s="3">
        <f>SUM(Submetering!Z30:AB30,Submetering!AD30:AI30)</f>
        <v>525.42000000000007</v>
      </c>
      <c r="H30" s="237">
        <f t="shared" si="0"/>
        <v>4.4615384615384608</v>
      </c>
      <c r="I30" s="3">
        <f>Submetering!G30</f>
        <v>779</v>
      </c>
      <c r="J30">
        <v>13.83</v>
      </c>
      <c r="K30" s="3">
        <f>Submetering!I30</f>
        <v>299</v>
      </c>
      <c r="L30">
        <v>1.2</v>
      </c>
      <c r="M30" s="237">
        <f>Submetering!E30</f>
        <v>180.12</v>
      </c>
      <c r="N30">
        <f>Submetering!F30</f>
        <v>340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46576.319999993779</v>
      </c>
      <c r="F31">
        <v>0.44447999999999999</v>
      </c>
      <c r="G31" s="3">
        <f>SUM(Submetering!Z31:AB31,Submetering!AD31:AI31)</f>
        <v>616.14</v>
      </c>
      <c r="H31" s="237">
        <f t="shared" si="0"/>
        <v>4.4615384615384608</v>
      </c>
      <c r="I31" s="3">
        <f>Submetering!G31</f>
        <v>767</v>
      </c>
      <c r="J31">
        <v>13.83</v>
      </c>
      <c r="K31" s="3">
        <f>Submetering!I31</f>
        <v>302</v>
      </c>
      <c r="L31">
        <v>1.2</v>
      </c>
      <c r="M31" s="237">
        <f>Submetering!E31</f>
        <v>173.01</v>
      </c>
      <c r="N31">
        <f>Submetering!F31</f>
        <v>341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V2" activePane="bottomRight" state="frozen"/>
      <selection pane="topRight" activeCell="C1" sqref="C1"/>
      <selection pane="bottomLeft" activeCell="A2" sqref="A2"/>
      <selection pane="bottomRight" activeCell="Z2" sqref="Z2:Z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>
        <f>237*0.85</f>
        <v>201.45</v>
      </c>
      <c r="F13" s="79">
        <f>336+88</f>
        <v>424</v>
      </c>
      <c r="G13" s="3">
        <f>'DJB Daily Readings'!C21-'DJB Daily Readings'!C20</f>
        <v>822</v>
      </c>
      <c r="H13" s="3">
        <f>'DJB Daily Readings'!F21-'DJB Daily Readings'!F20</f>
        <v>414</v>
      </c>
      <c r="I13" s="3">
        <f>'DJB Daily Readings'!K21-'DJB Daily Readings'!K20</f>
        <v>326</v>
      </c>
      <c r="J13" s="3">
        <f>'DJB Daily Readings'!K21-'DJB Daily Readings'!K20</f>
        <v>326</v>
      </c>
      <c r="K13" s="3">
        <f>'DJB Daily Readings'!O21-'DJB Daily Readings'!O20</f>
        <v>143.72000000000116</v>
      </c>
      <c r="L13" s="3">
        <f>'DJB Daily Readings'!R21-'DJB Daily Readings'!R20</f>
        <v>19</v>
      </c>
      <c r="M13" s="3">
        <f>'DJB Daily Readings'!U21-'DJB Daily Readings'!U20</f>
        <v>2436</v>
      </c>
      <c r="N13" s="3">
        <f>'DJB Daily Readings'!X21-'DJB Daily Readings'!X20</f>
        <v>4774.5599999986589</v>
      </c>
      <c r="O13" s="3">
        <f>'DJB Daily Readings'!AA21-'DJB Daily Readings'!AA20</f>
        <v>194.88000000081956</v>
      </c>
      <c r="P13" s="3">
        <f>'DJB Daily Readings'!AD21-'DJB Daily Readings'!AD20</f>
        <v>10669.679999999702</v>
      </c>
      <c r="Q13" s="3">
        <f>'DJB Daily Readings'!AG21-'DJB Daily Readings'!AG20</f>
        <v>3215.5200000032783</v>
      </c>
      <c r="R13" s="3">
        <f>'DJB Daily Readings'!AJ21-'DJB Daily Readings'!AJ20</f>
        <v>5846.4000000003725</v>
      </c>
      <c r="S13" s="3">
        <f>'DJB Daily Readings'!AM21-'DJB Daily Readings'!AM20</f>
        <v>4482.2400000002235</v>
      </c>
      <c r="T13" s="3">
        <f>'DJB Daily Readings'!AP21-'DJB Daily Readings'!AP20</f>
        <v>4530.9599999990314</v>
      </c>
      <c r="U13" s="3">
        <f>'DJB Daily Readings'!AS21-'DJB Daily Readings'!AS20</f>
        <v>2825.7599999997765</v>
      </c>
      <c r="V13" s="3">
        <f>'DJB Daily Readings'!AV21-'DJB Daily Readings'!AV20</f>
        <v>5359.1999999992549</v>
      </c>
      <c r="W13" s="3">
        <f>'DJB Daily Readings'!AZ21-'DJB Daily Readings'!AZ20</f>
        <v>0</v>
      </c>
      <c r="X13" s="3">
        <f>'DJB Daily Readings'!BC21-'DJB Daily Readings'!BC20</f>
        <v>52800</v>
      </c>
      <c r="Y13" s="3">
        <f>'DJB Daily Readings'!BF21-'DJB Daily Readings'!BF20</f>
        <v>14000</v>
      </c>
      <c r="Z13" s="3">
        <f>('DJB Daily Readings'!CK21-'DJB Daily Readings'!CK20)*1.89</f>
        <v>206.01</v>
      </c>
      <c r="AA13" s="3">
        <f>('DJB Daily Readings'!CN21-'DJB Daily Readings'!CN20)*1.89</f>
        <v>147.41999999999999</v>
      </c>
      <c r="AB13" s="3">
        <f>('DJB Daily Readings'!CQ21-'DJB Daily Readings'!CQ20)*1.89</f>
        <v>149.31</v>
      </c>
      <c r="AC13" s="3">
        <f>'DJB Daily Readings'!CT21-'DJB Daily Readings'!CT20</f>
        <v>250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22.68</v>
      </c>
      <c r="AI13" s="84">
        <f>('DJB Daily Readings'!CI21-'DJB Daily Readings'!CI20)*1.89</f>
        <v>52.919999999999995</v>
      </c>
      <c r="AJ13" s="81">
        <f>'DJB Daily Readings'!CY21-'DJB Daily Readings'!CY20</f>
        <v>2</v>
      </c>
      <c r="AK13" s="81">
        <f>'DJB Daily Readings'!CW21-'DJB Daily Readings'!CW20</f>
        <v>5</v>
      </c>
      <c r="AL13" s="82">
        <f>'DJB Daily Readings'!DC21-'DJB Daily Readings'!DC20</f>
        <v>14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4</v>
      </c>
      <c r="AQ13" s="82">
        <f>'DJB Daily Readings'!DI21-'DJB Daily Readings'!DI20</f>
        <v>10</v>
      </c>
      <c r="AR13" s="82">
        <f>'DJB Daily Readings'!DO21-'DJB Daily Readings'!DO20</f>
        <v>5</v>
      </c>
      <c r="AS13" s="82">
        <f>'DJB Daily Readings'!DM21-'DJB Daily Readings'!DM20</f>
        <v>4</v>
      </c>
      <c r="AT13" s="82">
        <f>'DJB Daily Readings'!DQ21-'DJB Daily Readings'!DQ20</f>
        <v>20</v>
      </c>
      <c r="AU13" s="82">
        <f>'DJB Daily Readings'!DT21-'DJB Daily Readings'!DT20</f>
        <v>8.7999999999992724</v>
      </c>
      <c r="AW13" s="82">
        <f>'DJB Daily Readings'!DX21-'DJB Daily Readings'!DX20</f>
        <v>6.6999999999998181</v>
      </c>
      <c r="AX13" s="82">
        <f>'DJB Daily Readings'!DZ21-'DJB Daily Readings'!DZ20</f>
        <v>7.2000000000002728</v>
      </c>
      <c r="AY13" s="82">
        <f>'DJB Daily Readings'!EB21-'DJB Daily Readings'!EB20</f>
        <v>642</v>
      </c>
      <c r="AZ13" s="82">
        <f>'DJB Daily Readings'!ED21-'DJB Daily Readings'!ED20</f>
        <v>151.79999999998836</v>
      </c>
      <c r="BA13" s="82">
        <f>'DJB Daily Readings'!EG21-'DJB Daily Readings'!EG20</f>
        <v>4100</v>
      </c>
      <c r="BB13" s="82">
        <f>'DJB Daily Readings'!EI21-'DJB Daily Readings'!EI20</f>
        <v>240</v>
      </c>
      <c r="BC13" s="82">
        <f>'DJB Daily Readings'!EQ21-'DJB Daily Readings'!EQ20</f>
        <v>5300</v>
      </c>
      <c r="BD13" s="82">
        <f>'DJB Daily Readings'!EK21-'DJB Daily Readings'!EK20</f>
        <v>2200</v>
      </c>
      <c r="BE13" s="82">
        <f>'DJB Daily Readings'!EM21-'DJB Daily Readings'!EM20</f>
        <v>600</v>
      </c>
      <c r="BF13" s="82">
        <f>'DJB Daily Readings'!EO21-'DJB Daily Readings'!EO20</f>
        <v>650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22.68</v>
      </c>
      <c r="BJ13" s="82">
        <f>('DJB Daily Readings'!EX21-'DJB Daily Readings'!EX20)*1.89</f>
        <v>18.899999999999999</v>
      </c>
      <c r="BK13" s="82">
        <f>('DJB Daily Readings'!FB21-'DJB Daily Readings'!FB20)*1.89</f>
        <v>49.14</v>
      </c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>
        <f>237*0.86</f>
        <v>203.82</v>
      </c>
      <c r="F14" s="79">
        <f>337+87</f>
        <v>424</v>
      </c>
      <c r="G14" s="3">
        <f>'DJB Daily Readings'!C22-'DJB Daily Readings'!C21</f>
        <v>706</v>
      </c>
      <c r="H14" s="3">
        <f>'DJB Daily Readings'!F22-'DJB Daily Readings'!F21</f>
        <v>397</v>
      </c>
      <c r="I14" s="3">
        <f>'DJB Daily Readings'!K22-'DJB Daily Readings'!K21</f>
        <v>330</v>
      </c>
      <c r="J14" s="3">
        <f>'DJB Daily Readings'!K22-'DJB Daily Readings'!K21</f>
        <v>330</v>
      </c>
      <c r="K14" s="3">
        <f>'DJB Daily Readings'!O22-'DJB Daily Readings'!O21</f>
        <v>136.73999999999796</v>
      </c>
      <c r="L14" s="3">
        <f>'DJB Daily Readings'!R22-'DJB Daily Readings'!R21</f>
        <v>27</v>
      </c>
      <c r="M14" s="3">
        <f>'DJB Daily Readings'!U22-'DJB Daily Readings'!U21</f>
        <v>2143.679999999702</v>
      </c>
      <c r="N14" s="3">
        <f>'DJB Daily Readings'!X22-'DJB Daily Readings'!X21</f>
        <v>4920.7200000006706</v>
      </c>
      <c r="O14" s="3">
        <f>'DJB Daily Readings'!AA22-'DJB Daily Readings'!AA21</f>
        <v>146.15999999828637</v>
      </c>
      <c r="P14" s="3">
        <f>'DJB Daily Readings'!AD22-'DJB Daily Readings'!AD21</f>
        <v>12228.719999998808</v>
      </c>
      <c r="Q14" s="3">
        <f>'DJB Daily Readings'!AG22-'DJB Daily Readings'!AG21</f>
        <v>1218</v>
      </c>
      <c r="R14" s="3">
        <f>'DJB Daily Readings'!AJ22-'DJB Daily Readings'!AJ21</f>
        <v>5943.8399999979883</v>
      </c>
      <c r="S14" s="3">
        <f>'DJB Daily Readings'!AM22-'DJB Daily Readings'!AM21</f>
        <v>4482.2399999983609</v>
      </c>
      <c r="T14" s="3">
        <f>'DJB Daily Readings'!AP22-'DJB Daily Readings'!AP21</f>
        <v>4774.5600000005215</v>
      </c>
      <c r="U14" s="3">
        <f>'DJB Daily Readings'!AS22-'DJB Daily Readings'!AS21</f>
        <v>2874.480000000447</v>
      </c>
      <c r="V14" s="3">
        <f>'DJB Daily Readings'!AV22-'DJB Daily Readings'!AV21</f>
        <v>5456.6400000024587</v>
      </c>
      <c r="W14" s="3">
        <f>'DJB Daily Readings'!AZ22-'DJB Daily Readings'!AZ21</f>
        <v>0</v>
      </c>
      <c r="X14" s="3">
        <f>'DJB Daily Readings'!BC22-'DJB Daily Readings'!BC21</f>
        <v>64500</v>
      </c>
      <c r="Y14" s="3">
        <f>'DJB Daily Readings'!BF22-'DJB Daily Readings'!BF21</f>
        <v>0</v>
      </c>
      <c r="Z14" s="3">
        <f>('DJB Daily Readings'!CK22-'DJB Daily Readings'!CK21)*1.89</f>
        <v>209.79</v>
      </c>
      <c r="AA14" s="3">
        <f>('DJB Daily Readings'!CN22-'DJB Daily Readings'!CN21)*1.89</f>
        <v>192.78</v>
      </c>
      <c r="AB14" s="3">
        <f>('DJB Daily Readings'!CQ22-'DJB Daily Readings'!CQ21)*1.89</f>
        <v>98.28</v>
      </c>
      <c r="AC14" s="3">
        <f>'DJB Daily Readings'!CT22-'DJB Daily Readings'!CT21</f>
        <v>252</v>
      </c>
      <c r="AD14" s="84">
        <f>('DJB Daily Readings'!BY22-'DJB Daily Readings'!BY21)*1.89</f>
        <v>41.58</v>
      </c>
      <c r="AE14" s="84">
        <f>('DJB Daily Readings'!CA22-'DJB Daily Readings'!CA21)*1.89</f>
        <v>39.69</v>
      </c>
      <c r="AF14" s="84">
        <f>('DJB Daily Readings'!CC22-'DJB Daily Readings'!CC21)*1.89</f>
        <v>9.4499999999999993</v>
      </c>
      <c r="AG14" s="84">
        <f>('DJB Daily Readings'!CE22-'DJB Daily Readings'!CE21)*1.89</f>
        <v>13.229999999999999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52.919999999999995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14</v>
      </c>
      <c r="AM14" s="82">
        <f>'DJB Daily Readings'!DA22-'DJB Daily Readings'!DA21</f>
        <v>17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5</v>
      </c>
      <c r="AQ14" s="82">
        <f>'DJB Daily Readings'!DI22-'DJB Daily Readings'!DI21</f>
        <v>10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20</v>
      </c>
      <c r="AU14" s="82">
        <f>'DJB Daily Readings'!DT22-'DJB Daily Readings'!DT21</f>
        <v>8.8000000000001819</v>
      </c>
      <c r="AW14" s="82">
        <f>'DJB Daily Readings'!DX22-'DJB Daily Readings'!DX21</f>
        <v>6.5999999999999091</v>
      </c>
      <c r="AX14" s="82">
        <f>'DJB Daily Readings'!DZ22-'DJB Daily Readings'!DZ21</f>
        <v>7.6999999999998181</v>
      </c>
      <c r="AY14" s="82">
        <f>'DJB Daily Readings'!EB22-'DJB Daily Readings'!EB21</f>
        <v>651</v>
      </c>
      <c r="AZ14" s="82">
        <f>'DJB Daily Readings'!ED22-'DJB Daily Readings'!ED21</f>
        <v>152.70000000001164</v>
      </c>
      <c r="BA14" s="82">
        <f>'DJB Daily Readings'!EG22-'DJB Daily Readings'!EG21</f>
        <v>4000</v>
      </c>
      <c r="BB14" s="82">
        <f>'DJB Daily Readings'!EI22-'DJB Daily Readings'!EI21</f>
        <v>230</v>
      </c>
      <c r="BC14" s="82">
        <f>'DJB Daily Readings'!EQ22-'DJB Daily Readings'!EQ21</f>
        <v>5100</v>
      </c>
      <c r="BD14" s="82">
        <f>'DJB Daily Readings'!EK22-'DJB Daily Readings'!EK21</f>
        <v>2200</v>
      </c>
      <c r="BE14" s="82">
        <f>'DJB Daily Readings'!EM22-'DJB Daily Readings'!EM21</f>
        <v>400</v>
      </c>
      <c r="BF14" s="82">
        <f>'DJB Daily Readings'!EO22-'DJB Daily Readings'!EO21</f>
        <v>630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15.12</v>
      </c>
      <c r="BJ14" s="82">
        <f>('DJB Daily Readings'!EX22-'DJB Daily Readings'!EX21)*1.89</f>
        <v>18.899999999999999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>
        <f>237*0.91</f>
        <v>215.67000000000002</v>
      </c>
      <c r="F15" s="79">
        <f>364+112</f>
        <v>476</v>
      </c>
      <c r="G15" s="3">
        <f>'DJB Daily Readings'!C23-'DJB Daily Readings'!C22</f>
        <v>854</v>
      </c>
      <c r="H15" s="3">
        <f>'DJB Daily Readings'!F23-'DJB Daily Readings'!F22</f>
        <v>424</v>
      </c>
      <c r="I15" s="3">
        <f>'DJB Daily Readings'!K23-'DJB Daily Readings'!K22</f>
        <v>362.80000000004657</v>
      </c>
      <c r="J15" s="3">
        <f>'DJB Daily Readings'!K23-'DJB Daily Readings'!K22</f>
        <v>362.80000000004657</v>
      </c>
      <c r="K15" s="3">
        <f>'DJB Daily Readings'!O23-'DJB Daily Readings'!O22</f>
        <v>148.76000000000204</v>
      </c>
      <c r="L15" s="3">
        <f>'DJB Daily Readings'!R23-'DJB Daily Readings'!R22</f>
        <v>26</v>
      </c>
      <c r="M15" s="3">
        <f>'DJB Daily Readings'!U23-'DJB Daily Readings'!U22</f>
        <v>2192.3999999994412</v>
      </c>
      <c r="N15" s="3">
        <f>'DJB Daily Readings'!X23-'DJB Daily Readings'!X22</f>
        <v>5066.8800000008196</v>
      </c>
      <c r="O15" s="3">
        <f>'DJB Daily Readings'!AA23-'DJB Daily Readings'!AA22</f>
        <v>97.440000001341105</v>
      </c>
      <c r="P15" s="3">
        <f>'DJB Daily Readings'!AD23-'DJB Daily Readings'!AD22</f>
        <v>13349.280000001192</v>
      </c>
      <c r="Q15" s="3">
        <f>'DJB Daily Readings'!AG23-'DJB Daily Readings'!AG22</f>
        <v>1364.1599999964237</v>
      </c>
      <c r="R15" s="3">
        <f>'DJB Daily Readings'!AJ23-'DJB Daily Readings'!AJ22</f>
        <v>6090</v>
      </c>
      <c r="S15" s="3">
        <f>'DJB Daily Readings'!AM23-'DJB Daily Readings'!AM22</f>
        <v>4774.5600000005215</v>
      </c>
      <c r="T15" s="3">
        <f>'DJB Daily Readings'!AP23-'DJB Daily Readings'!AP22</f>
        <v>4969.4399999994785</v>
      </c>
      <c r="U15" s="3">
        <f>'DJB Daily Readings'!AS23-'DJB Daily Readings'!AS22</f>
        <v>2923.2000000011176</v>
      </c>
      <c r="V15" s="3">
        <f>'DJB Daily Readings'!AV23-'DJB Daily Readings'!AV22</f>
        <v>5748.9599999971688</v>
      </c>
      <c r="W15" s="3">
        <f>'DJB Daily Readings'!AZ23-'DJB Daily Readings'!AZ22</f>
        <v>0</v>
      </c>
      <c r="X15" s="3">
        <f>'DJB Daily Readings'!BC23-'DJB Daily Readings'!BC22</f>
        <v>68500</v>
      </c>
      <c r="Y15" s="3">
        <f>'DJB Daily Readings'!BF23-'DJB Daily Readings'!BF22</f>
        <v>0</v>
      </c>
      <c r="Z15" s="3">
        <f>('DJB Daily Readings'!CK23-'DJB Daily Readings'!CK22)*1.89</f>
        <v>213.57</v>
      </c>
      <c r="AA15" s="3">
        <f>('DJB Daily Readings'!CN23-'DJB Daily Readings'!CN22)*1.89</f>
        <v>221.13</v>
      </c>
      <c r="AB15" s="3">
        <f>('DJB Daily Readings'!CQ23-'DJB Daily Readings'!CQ22)*1.89</f>
        <v>113.39999999999999</v>
      </c>
      <c r="AC15" s="3">
        <f>'DJB Daily Readings'!CT23-'DJB Daily Readings'!CT22</f>
        <v>257</v>
      </c>
      <c r="AD15" s="84">
        <f>('DJB Daily Readings'!BY23-'DJB Daily Readings'!BY22)*1.89</f>
        <v>39.69</v>
      </c>
      <c r="AE15" s="84">
        <f>('DJB Daily Readings'!CA23-'DJB Daily Readings'!CA22)*1.89</f>
        <v>41.58</v>
      </c>
      <c r="AF15" s="84">
        <f>('DJB Daily Readings'!CC23-'DJB Daily Readings'!CC22)*1.89</f>
        <v>9.4499999999999993</v>
      </c>
      <c r="AG15" s="84">
        <f>('DJB Daily Readings'!CE23-'DJB Daily Readings'!CE22)*1.89</f>
        <v>15.12</v>
      </c>
      <c r="AH15" s="84">
        <f>('DJB Daily Readings'!CG23-'DJB Daily Readings'!CG22)*1.89</f>
        <v>24.57</v>
      </c>
      <c r="AI15" s="84">
        <f>('DJB Daily Readings'!CI23-'DJB Daily Readings'!CI22)*1.89</f>
        <v>52.919999999999995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14</v>
      </c>
      <c r="AM15" s="82">
        <f>'DJB Daily Readings'!DA23-'DJB Daily Readings'!DA22</f>
        <v>18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10</v>
      </c>
      <c r="AR15" s="82">
        <f>'DJB Daily Readings'!DO23-'DJB Daily Readings'!DO22</f>
        <v>5</v>
      </c>
      <c r="AS15" s="82">
        <f>'DJB Daily Readings'!DM23-'DJB Daily Readings'!DM22</f>
        <v>4</v>
      </c>
      <c r="AT15" s="82">
        <f>'DJB Daily Readings'!DQ23-'DJB Daily Readings'!DQ22</f>
        <v>29</v>
      </c>
      <c r="AU15" s="82">
        <f>'DJB Daily Readings'!DT23-'DJB Daily Readings'!DT22</f>
        <v>9.9000000000005457</v>
      </c>
      <c r="AW15" s="82">
        <f>'DJB Daily Readings'!DX23-'DJB Daily Readings'!DX22</f>
        <v>7.4000000000000909</v>
      </c>
      <c r="AX15" s="82">
        <f>'DJB Daily Readings'!DZ23-'DJB Daily Readings'!DZ22</f>
        <v>8.3000000000001819</v>
      </c>
      <c r="AY15" s="82">
        <f>'DJB Daily Readings'!EB23-'DJB Daily Readings'!EB22</f>
        <v>801</v>
      </c>
      <c r="AZ15" s="82">
        <f>'DJB Daily Readings'!ED23-'DJB Daily Readings'!ED22</f>
        <v>167.20000000001164</v>
      </c>
      <c r="BA15" s="82">
        <f>'DJB Daily Readings'!EG23-'DJB Daily Readings'!EG22</f>
        <v>3800</v>
      </c>
      <c r="BB15" s="82">
        <f>'DJB Daily Readings'!EI23-'DJB Daily Readings'!EI22</f>
        <v>220</v>
      </c>
      <c r="BC15" s="82">
        <f>'DJB Daily Readings'!EQ23-'DJB Daily Readings'!EQ22</f>
        <v>4600</v>
      </c>
      <c r="BD15" s="82">
        <f>'DJB Daily Readings'!EK23-'DJB Daily Readings'!EK22</f>
        <v>2000</v>
      </c>
      <c r="BE15" s="82">
        <f>'DJB Daily Readings'!EM23-'DJB Daily Readings'!EM22</f>
        <v>600</v>
      </c>
      <c r="BF15" s="82">
        <f>'DJB Daily Readings'!EO23-'DJB Daily Readings'!EO22</f>
        <v>580</v>
      </c>
      <c r="BG15" s="82">
        <f>('DJB Daily Readings'!ET23-'DJB Daily Readings'!ET22)*1.89</f>
        <v>32.129999999999995</v>
      </c>
      <c r="BH15" s="82">
        <f>('DJB Daily Readings'!EV23-'DJB Daily Readings'!EV22)*1.89</f>
        <v>24.57</v>
      </c>
      <c r="BI15" s="82">
        <f>('DJB Daily Readings'!EZ23-'DJB Daily Readings'!EZ22)*1.89</f>
        <v>15.12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>
        <f>237*0.94</f>
        <v>222.78</v>
      </c>
      <c r="F16" s="79">
        <f>367+122</f>
        <v>489</v>
      </c>
      <c r="G16" s="3">
        <f>'DJB Daily Readings'!C24-'DJB Daily Readings'!C23</f>
        <v>717</v>
      </c>
      <c r="H16" s="3">
        <f>'DJB Daily Readings'!F24-'DJB Daily Readings'!F23</f>
        <v>437</v>
      </c>
      <c r="I16" s="3">
        <f>'DJB Daily Readings'!K24-'DJB Daily Readings'!K23</f>
        <v>114.19999999995343</v>
      </c>
      <c r="J16" s="3">
        <f>'DJB Daily Readings'!K24-'DJB Daily Readings'!K23</f>
        <v>114.19999999995343</v>
      </c>
      <c r="K16" s="3">
        <f>'DJB Daily Readings'!O24-'DJB Daily Readings'!O23</f>
        <v>168.54000000000087</v>
      </c>
      <c r="L16" s="3">
        <f>'DJB Daily Readings'!R24-'DJB Daily Readings'!R23</f>
        <v>28</v>
      </c>
      <c r="M16" s="3">
        <f>'DJB Daily Readings'!U24-'DJB Daily Readings'!U23</f>
        <v>2484.7200000006706</v>
      </c>
      <c r="N16" s="3">
        <f>'DJB Daily Readings'!X24-'DJB Daily Readings'!X23</f>
        <v>4872</v>
      </c>
      <c r="O16" s="3">
        <f>'DJB Daily Readings'!AA24-'DJB Daily Readings'!AA23</f>
        <v>243.59999999962747</v>
      </c>
      <c r="P16" s="3">
        <f>'DJB Daily Readings'!AD24-'DJB Daily Readings'!AD23</f>
        <v>12277.439999997616</v>
      </c>
      <c r="Q16" s="3">
        <f>'DJB Daily Readings'!AG24-'DJB Daily Readings'!AG23</f>
        <v>3995.0400000028312</v>
      </c>
      <c r="R16" s="3">
        <f>'DJB Daily Readings'!AJ24-'DJB Daily Readings'!AJ23</f>
        <v>5700.2400000020862</v>
      </c>
      <c r="S16" s="3">
        <f>'DJB Daily Readings'!AM24-'DJB Daily Readings'!AM23</f>
        <v>4872</v>
      </c>
      <c r="T16" s="3">
        <f>'DJB Daily Readings'!AP24-'DJB Daily Readings'!AP23</f>
        <v>4336.0800000000745</v>
      </c>
      <c r="U16" s="3">
        <f>'DJB Daily Readings'!AS24-'DJB Daily Readings'!AS23</f>
        <v>2874.480000000447</v>
      </c>
      <c r="V16" s="3">
        <f>'DJB Daily Readings'!AV24-'DJB Daily Readings'!AV23</f>
        <v>5748.9600000027567</v>
      </c>
      <c r="W16" s="3">
        <f>'DJB Daily Readings'!AZ24-'DJB Daily Readings'!AZ23</f>
        <v>0</v>
      </c>
      <c r="X16" s="3">
        <f>'DJB Daily Readings'!BC24-'DJB Daily Readings'!BC23</f>
        <v>62000</v>
      </c>
      <c r="Y16" s="3">
        <f>'DJB Daily Readings'!BF24-'DJB Daily Readings'!BF23</f>
        <v>17500</v>
      </c>
      <c r="Z16" s="3">
        <f>('DJB Daily Readings'!CK24-'DJB Daily Readings'!CK23)*1.89</f>
        <v>204.11999999999998</v>
      </c>
      <c r="AA16" s="3">
        <f>('DJB Daily Readings'!CN24-'DJB Daily Readings'!CN23)*1.89</f>
        <v>211.67999999999998</v>
      </c>
      <c r="AB16" s="3">
        <f>('DJB Daily Readings'!CQ24-'DJB Daily Readings'!CQ23)*1.89</f>
        <v>98.28</v>
      </c>
      <c r="AC16" s="3">
        <f>'DJB Daily Readings'!CT24-'DJB Daily Readings'!CT23</f>
        <v>246</v>
      </c>
      <c r="AD16" s="84">
        <f>('DJB Daily Readings'!BY24-'DJB Daily Readings'!BY23)*1.89</f>
        <v>37.799999999999997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3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12</v>
      </c>
      <c r="AO16" s="82">
        <f>'DJB Daily Readings'!DE24-'DJB Daily Readings'!DE23</f>
        <v>11</v>
      </c>
      <c r="AP16" s="82">
        <f>'DJB Daily Readings'!DK24-'DJB Daily Readings'!DK23</f>
        <v>8</v>
      </c>
      <c r="AQ16" s="82">
        <f>'DJB Daily Readings'!DI24-'DJB Daily Readings'!DI23</f>
        <v>12</v>
      </c>
      <c r="AR16" s="82">
        <f>'DJB Daily Readings'!DO24-'DJB Daily Readings'!DO23</f>
        <v>8</v>
      </c>
      <c r="AS16" s="82">
        <f>'DJB Daily Readings'!DM24-'DJB Daily Readings'!DM23</f>
        <v>7</v>
      </c>
      <c r="AT16" s="82">
        <f>'DJB Daily Readings'!DQ24-'DJB Daily Readings'!DQ23</f>
        <v>2</v>
      </c>
      <c r="AU16" s="82">
        <f>'DJB Daily Readings'!DT24-'DJB Daily Readings'!DT23</f>
        <v>8.6999999999998181</v>
      </c>
      <c r="AW16" s="82">
        <f>'DJB Daily Readings'!DX24-'DJB Daily Readings'!DX23</f>
        <v>6.5</v>
      </c>
      <c r="AX16" s="82">
        <f>'DJB Daily Readings'!DZ24-'DJB Daily Readings'!DZ23</f>
        <v>8.4000000000000909</v>
      </c>
      <c r="AY16" s="82">
        <f>'DJB Daily Readings'!EB24-'DJB Daily Readings'!EB23</f>
        <v>705</v>
      </c>
      <c r="AZ16" s="82">
        <f>'DJB Daily Readings'!ED24-'DJB Daily Readings'!ED23</f>
        <v>141.69999999998254</v>
      </c>
      <c r="BA16" s="82">
        <f>'DJB Daily Readings'!EG24-'DJB Daily Readings'!EG23</f>
        <v>4700</v>
      </c>
      <c r="BB16" s="82">
        <f>'DJB Daily Readings'!EI24-'DJB Daily Readings'!EI23</f>
        <v>260</v>
      </c>
      <c r="BC16" s="82">
        <f>'DJB Daily Readings'!EQ24-'DJB Daily Readings'!EQ23</f>
        <v>5900</v>
      </c>
      <c r="BD16" s="82">
        <f>'DJB Daily Readings'!EK24-'DJB Daily Readings'!EK23</f>
        <v>2400</v>
      </c>
      <c r="BE16" s="82">
        <f>'DJB Daily Readings'!EM24-'DJB Daily Readings'!EM23</f>
        <v>700</v>
      </c>
      <c r="BF16" s="82">
        <f>'DJB Daily Readings'!EO24-'DJB Daily Readings'!EO23</f>
        <v>620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17.009999999999998</v>
      </c>
      <c r="BJ16" s="82">
        <f>('DJB Daily Readings'!EX24-'DJB Daily Readings'!EX23)*1.89</f>
        <v>18.899999999999999</v>
      </c>
      <c r="BK16" s="82">
        <f>('DJB Daily Readings'!FB24-'DJB Daily Readings'!FB23)*1.89</f>
        <v>49.14</v>
      </c>
    </row>
    <row r="17" spans="1:63" x14ac:dyDescent="0.25">
      <c r="A17" t="s">
        <v>59</v>
      </c>
      <c r="B17">
        <f t="shared" si="0"/>
        <v>16</v>
      </c>
      <c r="C17">
        <v>4</v>
      </c>
      <c r="D17">
        <v>2022</v>
      </c>
      <c r="E17" s="78">
        <f>237*0.89</f>
        <v>210.93</v>
      </c>
      <c r="F17" s="79">
        <f>354+120</f>
        <v>474</v>
      </c>
      <c r="G17" s="3">
        <f>'DJB Daily Readings'!C25-'DJB Daily Readings'!C24</f>
        <v>718</v>
      </c>
      <c r="H17" s="3">
        <f>'DJB Daily Readings'!F25-'DJB Daily Readings'!F24</f>
        <v>448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180.68000000000029</v>
      </c>
      <c r="L17" s="3">
        <f>'DJB Daily Readings'!R25-'DJB Daily Readings'!R24</f>
        <v>29</v>
      </c>
      <c r="M17" s="3">
        <f>'DJB Daily Readings'!U25-'DJB Daily Readings'!U24</f>
        <v>2923.2000000001863</v>
      </c>
      <c r="N17" s="3">
        <f>'DJB Daily Readings'!X25-'DJB Daily Readings'!X24</f>
        <v>4725.839999999851</v>
      </c>
      <c r="O17" s="3">
        <f>'DJB Daily Readings'!AA25-'DJB Daily Readings'!AA24</f>
        <v>11546.639999998733</v>
      </c>
      <c r="P17" s="3">
        <f>'DJB Daily Readings'!AD25-'DJB Daily Readings'!AD24</f>
        <v>5943.8400000035763</v>
      </c>
      <c r="Q17" s="3">
        <f>'DJB Daily Readings'!AG25-'DJB Daily Readings'!AG24</f>
        <v>48.719999998807907</v>
      </c>
      <c r="R17" s="3">
        <f>'DJB Daily Readings'!AJ25-'DJB Daily Readings'!AJ24</f>
        <v>5797.6800000015646</v>
      </c>
      <c r="S17" s="3">
        <f>'DJB Daily Readings'!AM25-'DJB Daily Readings'!AM24</f>
        <v>5066.8799999989569</v>
      </c>
      <c r="T17" s="3">
        <f>'DJB Daily Readings'!AP25-'DJB Daily Readings'!AP24</f>
        <v>4677.1200000010431</v>
      </c>
      <c r="U17" s="3">
        <f>'DJB Daily Readings'!AS25-'DJB Daily Readings'!AS24</f>
        <v>3264.2399999983609</v>
      </c>
      <c r="V17" s="3">
        <f>'DJB Daily Readings'!AV25-'DJB Daily Readings'!AV24</f>
        <v>6187.4399999976158</v>
      </c>
      <c r="W17" s="3">
        <f>'DJB Daily Readings'!AZ25-'DJB Daily Readings'!AZ24</f>
        <v>56800</v>
      </c>
      <c r="X17" s="3">
        <f>'DJB Daily Readings'!BC25-'DJB Daily Readings'!BC24</f>
        <v>34100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217.35</v>
      </c>
      <c r="AB17" s="3">
        <f>('DJB Daily Readings'!CQ25-'DJB Daily Readings'!CQ24)*1.89</f>
        <v>86.94</v>
      </c>
      <c r="AC17" s="3">
        <f>'DJB Daily Readings'!CT25-'DJB Daily Readings'!CT24</f>
        <v>243</v>
      </c>
      <c r="AD17" s="84">
        <f>('DJB Daily Readings'!BY25-'DJB Daily Readings'!BY24)*1.89</f>
        <v>41.58</v>
      </c>
      <c r="AE17" s="84">
        <f>('DJB Daily Readings'!CA25-'DJB Daily Readings'!CA24)*1.89</f>
        <v>37.799999999999997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13.229999999999999</v>
      </c>
      <c r="AH17" s="84">
        <f>('DJB Daily Readings'!CG25-'DJB Daily Readings'!CG24)*1.89</f>
        <v>28.349999999999998</v>
      </c>
      <c r="AI17" s="84">
        <f>('DJB Daily Readings'!CI25-'DJB Daily Readings'!CI24)*1.89</f>
        <v>49.14</v>
      </c>
      <c r="AJ17" s="81">
        <f>'DJB Daily Readings'!CY25-'DJB Daily Readings'!CY24</f>
        <v>3</v>
      </c>
      <c r="AK17" s="81">
        <f>'DJB Daily Readings'!CW25-'DJB Daily Readings'!CW24</f>
        <v>6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10</v>
      </c>
      <c r="AO17" s="82">
        <f>'DJB Daily Readings'!DE25-'DJB Daily Readings'!DE24</f>
        <v>11</v>
      </c>
      <c r="AP17" s="82">
        <f>'DJB Daily Readings'!DK25-'DJB Daily Readings'!DK24</f>
        <v>8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7</v>
      </c>
      <c r="AT17" s="82">
        <f>'DJB Daily Readings'!DQ25-'DJB Daily Readings'!DQ24</f>
        <v>2</v>
      </c>
      <c r="AU17" s="82">
        <f>'DJB Daily Readings'!DT25-'DJB Daily Readings'!DT24</f>
        <v>10.399999999999636</v>
      </c>
      <c r="AW17" s="82">
        <f>'DJB Daily Readings'!DX25-'DJB Daily Readings'!DX24</f>
        <v>6.9000000000000909</v>
      </c>
      <c r="AX17" s="82">
        <f>'DJB Daily Readings'!DZ25-'DJB Daily Readings'!DZ24</f>
        <v>9.7999999999997272</v>
      </c>
      <c r="AY17" s="82">
        <f>'DJB Daily Readings'!EB25-'DJB Daily Readings'!EB24</f>
        <v>801</v>
      </c>
      <c r="AZ17" s="82">
        <f>'DJB Daily Readings'!ED25-'DJB Daily Readings'!ED24</f>
        <v>157.39999999999418</v>
      </c>
      <c r="BA17" s="82">
        <f>'DJB Daily Readings'!EG25-'DJB Daily Readings'!EG24</f>
        <v>5600</v>
      </c>
      <c r="BB17" s="82">
        <f>'DJB Daily Readings'!EI25-'DJB Daily Readings'!EI24</f>
        <v>290</v>
      </c>
      <c r="BC17" s="82">
        <f>'DJB Daily Readings'!EQ25-'DJB Daily Readings'!EQ24</f>
        <v>6800</v>
      </c>
      <c r="BD17" s="82">
        <f>'DJB Daily Readings'!EK25-'DJB Daily Readings'!EK24</f>
        <v>2800</v>
      </c>
      <c r="BE17" s="82">
        <f>'DJB Daily Readings'!EM25-'DJB Daily Readings'!EM24</f>
        <v>800</v>
      </c>
      <c r="BF17" s="82">
        <f>'DJB Daily Readings'!EO25-'DJB Daily Readings'!EO24</f>
        <v>690</v>
      </c>
      <c r="BG17" s="82">
        <f>('DJB Daily Readings'!ET25-'DJB Daily Readings'!ET24)*1.89</f>
        <v>30.24</v>
      </c>
      <c r="BH17" s="82">
        <f>('DJB Daily Readings'!EV25-'DJB Daily Readings'!EV24)*1.89</f>
        <v>28.349999999999998</v>
      </c>
      <c r="BI17" s="82">
        <f>('DJB Daily Readings'!EZ25-'DJB Daily Readings'!EZ24)*1.89</f>
        <v>15.12</v>
      </c>
      <c r="BJ17" s="82">
        <f>('DJB Daily Readings'!EX25-'DJB Daily Readings'!EX24)*1.89</f>
        <v>28.349999999999998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4</v>
      </c>
      <c r="D18">
        <v>2022</v>
      </c>
      <c r="E18" s="78">
        <f>237*0.88</f>
        <v>208.56</v>
      </c>
      <c r="F18" s="79">
        <f>354+120</f>
        <v>474</v>
      </c>
      <c r="G18" s="3">
        <f>'DJB Daily Readings'!C26-'DJB Daily Readings'!C25</f>
        <v>630</v>
      </c>
      <c r="H18" s="3">
        <f>'DJB Daily Readings'!F26-'DJB Daily Readings'!F25</f>
        <v>417</v>
      </c>
      <c r="I18" s="3">
        <f>'DJB Daily Readings'!K26-'DJB Daily Readings'!K25</f>
        <v>265</v>
      </c>
      <c r="J18" s="3">
        <f>'DJB Daily Readings'!K26-'DJB Daily Readings'!K25</f>
        <v>265</v>
      </c>
      <c r="K18" s="3">
        <f>'DJB Daily Readings'!O26-'DJB Daily Readings'!O25</f>
        <v>155.88999999999942</v>
      </c>
      <c r="L18" s="3">
        <f>'DJB Daily Readings'!R26-'DJB Daily Readings'!R25</f>
        <v>25</v>
      </c>
      <c r="M18" s="3">
        <f>'DJB Daily Readings'!U26-'DJB Daily Readings'!U25</f>
        <v>2728.320000000298</v>
      </c>
      <c r="N18" s="3">
        <f>'DJB Daily Readings'!X26-'DJB Daily Readings'!X25</f>
        <v>4823.2799999993294</v>
      </c>
      <c r="O18" s="3">
        <f>'DJB Daily Readings'!AA26-'DJB Daily Readings'!AA25</f>
        <v>11644.080000000075</v>
      </c>
      <c r="P18" s="3">
        <f>'DJB Daily Readings'!AD26-'DJB Daily Readings'!AD25</f>
        <v>3654</v>
      </c>
      <c r="Q18" s="3">
        <f>'DJB Daily Readings'!AG26-'DJB Daily Readings'!AG25</f>
        <v>0</v>
      </c>
      <c r="R18" s="3">
        <f>'DJB Daily Readings'!AJ26-'DJB Daily Readings'!AJ25</f>
        <v>5700.2399999983609</v>
      </c>
      <c r="S18" s="3">
        <f>'DJB Daily Readings'!AM26-'DJB Daily Readings'!AM25</f>
        <v>4384.8000000007451</v>
      </c>
      <c r="T18" s="3">
        <f>'DJB Daily Readings'!AP26-'DJB Daily Readings'!AP25</f>
        <v>4677.1199999991804</v>
      </c>
      <c r="U18" s="3">
        <f>'DJB Daily Readings'!AS26-'DJB Daily Readings'!AS25</f>
        <v>2874.480000000447</v>
      </c>
      <c r="V18" s="3">
        <f>'DJB Daily Readings'!AV26-'DJB Daily Readings'!AV25</f>
        <v>5992.5600000023842</v>
      </c>
      <c r="W18" s="3">
        <f>'DJB Daily Readings'!AZ26-'DJB Daily Readings'!AZ25</f>
        <v>58200</v>
      </c>
      <c r="X18" s="3">
        <f>'DJB Daily Readings'!BC26-'DJB Daily Readings'!BC25</f>
        <v>19300</v>
      </c>
      <c r="Y18" s="3">
        <f>'DJB Daily Readings'!BF26-'DJB Daily Readings'!BF25</f>
        <v>0</v>
      </c>
      <c r="Z18" s="3">
        <f>('DJB Daily Readings'!CK26-'DJB Daily Readings'!CK25)*1.89</f>
        <v>207.89999999999998</v>
      </c>
      <c r="AA18" s="3">
        <f>('DJB Daily Readings'!CN26-'DJB Daily Readings'!CN25)*1.89</f>
        <v>226.79999999999998</v>
      </c>
      <c r="AB18" s="3">
        <f>('DJB Daily Readings'!CQ26-'DJB Daily Readings'!CQ25)*1.89</f>
        <v>20.79</v>
      </c>
      <c r="AC18" s="3">
        <f>'DJB Daily Readings'!CT26-'DJB Daily Readings'!CT25</f>
        <v>250</v>
      </c>
      <c r="AD18" s="84">
        <f>('DJB Daily Readings'!BY26-'DJB Daily Readings'!BY25)*1.89</f>
        <v>41.58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51.029999999999994</v>
      </c>
      <c r="AJ18" s="81">
        <f>'DJB Daily Readings'!CY26-'DJB Daily Readings'!CY25</f>
        <v>3</v>
      </c>
      <c r="AK18" s="81">
        <f>'DJB Daily Readings'!CW26-'DJB Daily Readings'!CW25</f>
        <v>3</v>
      </c>
      <c r="AL18" s="82">
        <f>'DJB Daily Readings'!DC26-'DJB Daily Readings'!DC25</f>
        <v>17</v>
      </c>
      <c r="AM18" s="82">
        <f>'DJB Daily Readings'!DA26-'DJB Daily Readings'!DA25</f>
        <v>18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12</v>
      </c>
      <c r="AQ18" s="82">
        <f>'DJB Daily Readings'!DI26-'DJB Daily Readings'!DI25</f>
        <v>13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9.1999999999998181</v>
      </c>
      <c r="AW18" s="82">
        <f>'DJB Daily Readings'!DX26-'DJB Daily Readings'!DX25</f>
        <v>6.7999999999997272</v>
      </c>
      <c r="AX18" s="82">
        <f>'DJB Daily Readings'!DZ26-'DJB Daily Readings'!DZ25</f>
        <v>9.5</v>
      </c>
      <c r="AY18" s="82">
        <f>'DJB Daily Readings'!EB26-'DJB Daily Readings'!EB25</f>
        <v>770</v>
      </c>
      <c r="AZ18" s="82">
        <f>'DJB Daily Readings'!ED26-'DJB Daily Readings'!ED25</f>
        <v>144.10000000000582</v>
      </c>
      <c r="BA18" s="82">
        <f>'DJB Daily Readings'!EG26-'DJB Daily Readings'!EG25</f>
        <v>4500</v>
      </c>
      <c r="BB18" s="82">
        <f>'DJB Daily Readings'!EI26-'DJB Daily Readings'!EI25</f>
        <v>250</v>
      </c>
      <c r="BC18" s="82">
        <f>'DJB Daily Readings'!EQ26-'DJB Daily Readings'!EQ25</f>
        <v>5700</v>
      </c>
      <c r="BD18" s="82">
        <f>'DJB Daily Readings'!EK26-'DJB Daily Readings'!EK25</f>
        <v>2200</v>
      </c>
      <c r="BE18" s="82">
        <f>'DJB Daily Readings'!EM26-'DJB Daily Readings'!EM25</f>
        <v>700</v>
      </c>
      <c r="BF18" s="82">
        <f>'DJB Daily Readings'!EO26-'DJB Daily Readings'!EO25</f>
        <v>630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15.12</v>
      </c>
      <c r="BJ18" s="82">
        <f>('DJB Daily Readings'!EX26-'DJB Daily Readings'!EX25)*1.89</f>
        <v>22.68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4</v>
      </c>
      <c r="D19">
        <v>2022</v>
      </c>
      <c r="E19" s="78">
        <f>237*0.88</f>
        <v>208.56</v>
      </c>
      <c r="F19" s="79">
        <f>352+104</f>
        <v>456</v>
      </c>
      <c r="G19" s="3">
        <f>'DJB Daily Readings'!C27-'DJB Daily Readings'!C26</f>
        <v>718</v>
      </c>
      <c r="H19" s="3">
        <f>'DJB Daily Readings'!F27-'DJB Daily Readings'!F26</f>
        <v>412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113.40999999999622</v>
      </c>
      <c r="L19" s="3">
        <f>'DJB Daily Readings'!R27-'DJB Daily Readings'!R26</f>
        <v>18</v>
      </c>
      <c r="M19" s="3">
        <f>'DJB Daily Readings'!U27-'DJB Daily Readings'!U26</f>
        <v>2533.4400000004098</v>
      </c>
      <c r="N19" s="3">
        <f>'DJB Daily Readings'!X27-'DJB Daily Readings'!X26</f>
        <v>4969.4399999994785</v>
      </c>
      <c r="O19" s="3">
        <f>'DJB Daily Readings'!AA27-'DJB Daily Readings'!AA26</f>
        <v>11400.48000000231</v>
      </c>
      <c r="P19" s="3">
        <f>'DJB Daily Readings'!AD27-'DJB Daily Readings'!AD26</f>
        <v>97.439999997615814</v>
      </c>
      <c r="Q19" s="3">
        <f>'DJB Daily Readings'!AG27-'DJB Daily Readings'!AG26</f>
        <v>0</v>
      </c>
      <c r="R19" s="3">
        <f>'DJB Daily Readings'!AJ27-'DJB Daily Readings'!AJ26</f>
        <v>5943.8399999979883</v>
      </c>
      <c r="S19" s="3">
        <f>'DJB Daily Readings'!AM27-'DJB Daily Readings'!AM26</f>
        <v>4725.839999999851</v>
      </c>
      <c r="T19" s="3">
        <f>'DJB Daily Readings'!AP27-'DJB Daily Readings'!AP26</f>
        <v>4774.5599999986589</v>
      </c>
      <c r="U19" s="3">
        <f>'DJB Daily Readings'!AS27-'DJB Daily Readings'!AS26</f>
        <v>3020.640000000596</v>
      </c>
      <c r="V19" s="3">
        <f>'DJB Daily Readings'!AV27-'DJB Daily Readings'!AV26</f>
        <v>5505.3599999975413</v>
      </c>
      <c r="W19" s="3">
        <f>'DJB Daily Readings'!AZ27-'DJB Daily Readings'!AZ26</f>
        <v>61000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206.01</v>
      </c>
      <c r="AA19" s="3">
        <f>('DJB Daily Readings'!CN27-'DJB Daily Readings'!CN26)*1.89</f>
        <v>213.57</v>
      </c>
      <c r="AB19" s="3">
        <f>('DJB Daily Readings'!CQ27-'DJB Daily Readings'!CQ26)*1.89</f>
        <v>306.18</v>
      </c>
      <c r="AC19" s="3">
        <f>'DJB Daily Readings'!CT27-'DJB Daily Readings'!CT26</f>
        <v>247</v>
      </c>
      <c r="AD19" s="84">
        <f>('DJB Daily Readings'!BY27-'DJB Daily Readings'!BY26)*1.89</f>
        <v>37.799999999999997</v>
      </c>
      <c r="AE19" s="84">
        <f>('DJB Daily Readings'!CA27-'DJB Daily Readings'!CA26)*1.89</f>
        <v>37.799999999999997</v>
      </c>
      <c r="AF19" s="84">
        <f>('DJB Daily Readings'!CC27-'DJB Daily Readings'!CC26)*1.89</f>
        <v>11.34</v>
      </c>
      <c r="AG19" s="84">
        <f>('DJB Daily Readings'!CE27-'DJB Daily Readings'!CE26)*1.89</f>
        <v>13.229999999999999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52.919999999999995</v>
      </c>
      <c r="AJ19" s="81">
        <f>'DJB Daily Readings'!CY27-'DJB Daily Readings'!CY26</f>
        <v>3</v>
      </c>
      <c r="AK19" s="81">
        <f>'DJB Daily Readings'!CW27-'DJB Daily Readings'!CW26</f>
        <v>4</v>
      </c>
      <c r="AL19" s="82">
        <f>'DJB Daily Readings'!DC27-'DJB Daily Readings'!DC26</f>
        <v>18</v>
      </c>
      <c r="AM19" s="82">
        <f>'DJB Daily Readings'!DA27-'DJB Daily Readings'!DA26</f>
        <v>13</v>
      </c>
      <c r="AN19" s="82">
        <f>'DJB Daily Readings'!DG27-'DJB Daily Readings'!DG26</f>
        <v>7</v>
      </c>
      <c r="AO19" s="82">
        <f>'DJB Daily Readings'!DE27-'DJB Daily Readings'!DE26</f>
        <v>8</v>
      </c>
      <c r="AP19" s="82">
        <f>'DJB Daily Readings'!DK27-'DJB Daily Readings'!DK26</f>
        <v>6</v>
      </c>
      <c r="AQ19" s="82">
        <f>'DJB Daily Readings'!DI27-'DJB Daily Readings'!DI26</f>
        <v>11</v>
      </c>
      <c r="AR19" s="82">
        <f>'DJB Daily Readings'!DO27-'DJB Daily Readings'!DO26</f>
        <v>6</v>
      </c>
      <c r="AS19" s="82">
        <f>'DJB Daily Readings'!DM27-'DJB Daily Readings'!DM26</f>
        <v>2</v>
      </c>
      <c r="AT19" s="82">
        <f>'DJB Daily Readings'!DQ27-'DJB Daily Readings'!DQ26</f>
        <v>20</v>
      </c>
      <c r="AU19" s="82">
        <f>'DJB Daily Readings'!DT27-'DJB Daily Readings'!DT26</f>
        <v>9.4000000000005457</v>
      </c>
      <c r="AW19" s="82">
        <f>'DJB Daily Readings'!DX27-'DJB Daily Readings'!DX26</f>
        <v>6.4000000000000909</v>
      </c>
      <c r="AX19" s="82">
        <f>'DJB Daily Readings'!DZ27-'DJB Daily Readings'!DZ26</f>
        <v>7.5999999999999091</v>
      </c>
      <c r="AY19" s="82">
        <f>'DJB Daily Readings'!EB27-'DJB Daily Readings'!EB26</f>
        <v>627</v>
      </c>
      <c r="AZ19" s="82">
        <f>'DJB Daily Readings'!ED27-'DJB Daily Readings'!ED26</f>
        <v>149.5</v>
      </c>
      <c r="BA19" s="82">
        <f>'DJB Daily Readings'!EG27-'DJB Daily Readings'!EG26</f>
        <v>3700</v>
      </c>
      <c r="BB19" s="82">
        <f>'DJB Daily Readings'!EI27-'DJB Daily Readings'!EI26</f>
        <v>240</v>
      </c>
      <c r="BC19" s="82">
        <f>'DJB Daily Readings'!EQ27-'DJB Daily Readings'!EQ26</f>
        <v>3900</v>
      </c>
      <c r="BD19" s="82">
        <f>'DJB Daily Readings'!EK27-'DJB Daily Readings'!EK26</f>
        <v>1800</v>
      </c>
      <c r="BE19" s="82">
        <f>'DJB Daily Readings'!EM27-'DJB Daily Readings'!EM26</f>
        <v>600</v>
      </c>
      <c r="BF19" s="82">
        <f>'DJB Daily Readings'!EO27-'DJB Daily Readings'!EO26</f>
        <v>600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17.009999999999998</v>
      </c>
      <c r="BJ19" s="82">
        <f>('DJB Daily Readings'!EX27-'DJB Daily Readings'!EX26)*1.89</f>
        <v>20.79</v>
      </c>
      <c r="BK19" s="82">
        <f>('DJB Daily Readings'!FB27-'DJB Daily Readings'!FB26)*1.89</f>
        <v>51.029999999999994</v>
      </c>
    </row>
    <row r="20" spans="1:63" x14ac:dyDescent="0.25">
      <c r="A20" t="s">
        <v>59</v>
      </c>
      <c r="B20">
        <f t="shared" si="0"/>
        <v>19</v>
      </c>
      <c r="C20">
        <v>4</v>
      </c>
      <c r="D20">
        <v>2022</v>
      </c>
      <c r="E20" s="78">
        <f>237*0.85</f>
        <v>201.45</v>
      </c>
      <c r="F20" s="79">
        <f>339+113</f>
        <v>452</v>
      </c>
      <c r="G20" s="3">
        <f>'DJB Daily Readings'!C28-'DJB Daily Readings'!C27</f>
        <v>757</v>
      </c>
      <c r="H20" s="3">
        <f>'DJB Daily Readings'!F28-'DJB Daily Readings'!F27</f>
        <v>387</v>
      </c>
      <c r="I20" s="3">
        <f>'DJB Daily Readings'!K28-'DJB Daily Readings'!K27</f>
        <v>325</v>
      </c>
      <c r="J20" s="3">
        <f>'DJB Daily Readings'!K28-'DJB Daily Readings'!K27</f>
        <v>325</v>
      </c>
      <c r="K20" s="3">
        <f>'DJB Daily Readings'!O28-'DJB Daily Readings'!O27</f>
        <v>142.60000000000582</v>
      </c>
      <c r="L20" s="3">
        <f>'DJB Daily Readings'!R28-'DJB Daily Readings'!R27</f>
        <v>22</v>
      </c>
      <c r="M20" s="3">
        <f>'DJB Daily Readings'!U28-'DJB Daily Readings'!U27</f>
        <v>2923.1999999992549</v>
      </c>
      <c r="N20" s="3">
        <f>'DJB Daily Readings'!X28-'DJB Daily Readings'!X27</f>
        <v>4872</v>
      </c>
      <c r="O20" s="3">
        <f>'DJB Daily Readings'!AA28-'DJB Daily Readings'!AA27</f>
        <v>13008.239999998361</v>
      </c>
      <c r="P20" s="3">
        <f>'DJB Daily Readings'!AD28-'DJB Daily Readings'!AD27</f>
        <v>48.719999998807907</v>
      </c>
      <c r="Q20" s="3">
        <f>'DJB Daily Readings'!AG28-'DJB Daily Readings'!AG27</f>
        <v>0</v>
      </c>
      <c r="R20" s="3">
        <f>'DJB Daily Readings'!AJ28-'DJB Daily Readings'!AJ27</f>
        <v>5700.2400000020862</v>
      </c>
      <c r="S20" s="3">
        <f>'DJB Daily Readings'!AM28-'DJB Daily Readings'!AM27</f>
        <v>4579.6800000015646</v>
      </c>
      <c r="T20" s="3">
        <f>'DJB Daily Readings'!AP28-'DJB Daily Readings'!AP27</f>
        <v>4628.4000000003725</v>
      </c>
      <c r="U20" s="3">
        <f>'DJB Daily Readings'!AS28-'DJB Daily Readings'!AS27</f>
        <v>2874.4799999985844</v>
      </c>
      <c r="V20" s="3">
        <f>'DJB Daily Readings'!AV28-'DJB Daily Readings'!AV27</f>
        <v>5407.9200000017881</v>
      </c>
      <c r="W20" s="3">
        <f>'DJB Daily Readings'!AZ28-'DJB Daily Readings'!AZ27</f>
        <v>69200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211.67999999999998</v>
      </c>
      <c r="AB20" s="3">
        <f>('DJB Daily Readings'!CQ28-'DJB Daily Readings'!CQ27)*1.89</f>
        <v>145.53</v>
      </c>
      <c r="AC20" s="3">
        <f>'DJB Daily Readings'!CT28-'DJB Daily Readings'!CT27</f>
        <v>56</v>
      </c>
      <c r="AD20" s="84">
        <f>('DJB Daily Readings'!BY28-'DJB Daily Readings'!BY27)*1.89</f>
        <v>39.69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20.79</v>
      </c>
      <c r="AI20" s="84">
        <f>('DJB Daily Readings'!CI28-'DJB Daily Readings'!CI27)*1.89</f>
        <v>52.919999999999995</v>
      </c>
      <c r="AJ20" s="81">
        <f>'DJB Daily Readings'!CY28-'DJB Daily Readings'!CY27</f>
        <v>3</v>
      </c>
      <c r="AK20" s="81">
        <f>'DJB Daily Readings'!CW28-'DJB Daily Readings'!CW27</f>
        <v>4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6</v>
      </c>
      <c r="AO20" s="82">
        <f>'DJB Daily Readings'!DE28-'DJB Daily Readings'!DE27</f>
        <v>9</v>
      </c>
      <c r="AP20" s="82">
        <f>'DJB Daily Readings'!DK28-'DJB Daily Readings'!DK27</f>
        <v>5</v>
      </c>
      <c r="AQ20" s="82">
        <f>'DJB Daily Readings'!DI28-'DJB Daily Readings'!DI27</f>
        <v>7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20</v>
      </c>
      <c r="AU20" s="82">
        <f>'DJB Daily Readings'!DT28-'DJB Daily Readings'!DT27</f>
        <v>9.3000000000001819</v>
      </c>
      <c r="AW20" s="82">
        <f>'DJB Daily Readings'!DX28-'DJB Daily Readings'!DX27</f>
        <v>6.5</v>
      </c>
      <c r="AX20" s="82">
        <f>'DJB Daily Readings'!DZ28-'DJB Daily Readings'!DZ27</f>
        <v>7.6000000000003638</v>
      </c>
      <c r="AY20" s="82">
        <f>'DJB Daily Readings'!EB28-'DJB Daily Readings'!EB27</f>
        <v>690</v>
      </c>
      <c r="AZ20" s="82">
        <f>'DJB Daily Readings'!ED28-'DJB Daily Readings'!ED27</f>
        <v>153.20000000001164</v>
      </c>
      <c r="BA20" s="82">
        <f>'DJB Daily Readings'!EG28-'DJB Daily Readings'!EG27</f>
        <v>4500</v>
      </c>
      <c r="BB20" s="82">
        <f>'DJB Daily Readings'!EI28-'DJB Daily Readings'!EI27</f>
        <v>230</v>
      </c>
      <c r="BC20" s="82">
        <f>'DJB Daily Readings'!EQ28-'DJB Daily Readings'!EQ27</f>
        <v>4700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15.12</v>
      </c>
      <c r="BJ20" s="82">
        <f>('DJB Daily Readings'!EX28-'DJB Daily Readings'!EX27)*1.89</f>
        <v>15.12</v>
      </c>
      <c r="BK20" s="82">
        <f>('DJB Daily Readings'!FB28-'DJB Daily Readings'!FB27)*1.89</f>
        <v>51.029999999999994</v>
      </c>
    </row>
    <row r="21" spans="1:63" x14ac:dyDescent="0.25">
      <c r="A21" t="s">
        <v>59</v>
      </c>
      <c r="B21">
        <f t="shared" si="0"/>
        <v>20</v>
      </c>
      <c r="C21">
        <v>4</v>
      </c>
      <c r="D21">
        <v>2022</v>
      </c>
      <c r="E21" s="78">
        <f>237*0.93</f>
        <v>220.41000000000003</v>
      </c>
      <c r="F21" s="79">
        <f>349+120</f>
        <v>469</v>
      </c>
      <c r="G21" s="3">
        <f>'DJB Daily Readings'!C29-'DJB Daily Readings'!C28</f>
        <v>848</v>
      </c>
      <c r="H21" s="3">
        <f>'DJB Daily Readings'!F29-'DJB Daily Readings'!F28</f>
        <v>400</v>
      </c>
      <c r="I21" s="3">
        <f>'DJB Daily Readings'!K29-'DJB Daily Readings'!K28</f>
        <v>345</v>
      </c>
      <c r="J21" s="3">
        <f>'DJB Daily Readings'!K29-'DJB Daily Readings'!K28</f>
        <v>345</v>
      </c>
      <c r="K21" s="3">
        <f>'DJB Daily Readings'!O29-'DJB Daily Readings'!O28</f>
        <v>129.61000000000058</v>
      </c>
      <c r="L21" s="3">
        <f>'DJB Daily Readings'!R29-'DJB Daily Readings'!R28</f>
        <v>11</v>
      </c>
      <c r="M21" s="3">
        <f>'DJB Daily Readings'!U29-'DJB Daily Readings'!U28</f>
        <v>2874.480000000447</v>
      </c>
      <c r="N21" s="3">
        <f>'DJB Daily Readings'!X29-'DJB Daily Readings'!X28</f>
        <v>4969.4400000013411</v>
      </c>
      <c r="O21" s="3">
        <f>'DJB Daily Readings'!AA29-'DJB Daily Readings'!AA28</f>
        <v>13495.439999999478</v>
      </c>
      <c r="P21" s="3">
        <f>'DJB Daily Readings'!AD29-'DJB Daily Readings'!AD28</f>
        <v>146.1600000038743</v>
      </c>
      <c r="Q21" s="3">
        <f>'DJB Daily Readings'!AG29-'DJB Daily Readings'!AG28</f>
        <v>0</v>
      </c>
      <c r="R21" s="3">
        <f>'DJB Daily Readings'!AJ29-'DJB Daily Readings'!AJ28</f>
        <v>5797.6800000015646</v>
      </c>
      <c r="S21" s="3">
        <f>'DJB Daily Readings'!AM29-'DJB Daily Readings'!AM28</f>
        <v>4530.9599999990314</v>
      </c>
      <c r="T21" s="3">
        <f>'DJB Daily Readings'!AP29-'DJB Daily Readings'!AP28</f>
        <v>4628.4000000003725</v>
      </c>
      <c r="U21" s="3">
        <f>'DJB Daily Readings'!AS29-'DJB Daily Readings'!AS28</f>
        <v>2728.3200000021607</v>
      </c>
      <c r="V21" s="3">
        <f>'DJB Daily Readings'!AV29-'DJB Daily Readings'!AV28</f>
        <v>5554.0799999982119</v>
      </c>
      <c r="W21" s="3">
        <f>'DJB Daily Readings'!AZ29-'DJB Daily Readings'!AZ28</f>
        <v>71000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177.66</v>
      </c>
      <c r="AA21" s="3">
        <f>('DJB Daily Readings'!CN29-'DJB Daily Readings'!CN28)*1.89</f>
        <v>202.23</v>
      </c>
      <c r="AB21" s="3">
        <f>('DJB Daily Readings'!CQ29-'DJB Daily Readings'!CQ28)*1.89</f>
        <v>0</v>
      </c>
      <c r="AC21" s="3">
        <f>'DJB Daily Readings'!CT29-'DJB Daily Readings'!CT28</f>
        <v>0</v>
      </c>
      <c r="AD21" s="84">
        <f>('DJB Daily Readings'!BY29-'DJB Daily Readings'!BY28)*1.89</f>
        <v>35.909999999999997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17.009999999999998</v>
      </c>
      <c r="AH21" s="84">
        <f>('DJB Daily Readings'!CG29-'DJB Daily Readings'!CG28)*1.89</f>
        <v>15.12</v>
      </c>
      <c r="AI21" s="84">
        <f>('DJB Daily Readings'!CI29-'DJB Daily Readings'!CI28)*1.89</f>
        <v>54.809999999999995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14</v>
      </c>
      <c r="AM21" s="82">
        <f>'DJB Daily Readings'!DA29-'DJB Daily Readings'!DA28</f>
        <v>10</v>
      </c>
      <c r="AN21" s="82">
        <f>'DJB Daily Readings'!DG29-'DJB Daily Readings'!DG28</f>
        <v>10</v>
      </c>
      <c r="AO21" s="82">
        <f>'DJB Daily Readings'!DE29-'DJB Daily Readings'!DE28</f>
        <v>9</v>
      </c>
      <c r="AP21" s="82">
        <f>'DJB Daily Readings'!DK29-'DJB Daily Readings'!DK28</f>
        <v>5</v>
      </c>
      <c r="AQ21" s="82">
        <f>'DJB Daily Readings'!DI29-'DJB Daily Readings'!DI28</f>
        <v>12</v>
      </c>
      <c r="AR21" s="82">
        <f>'DJB Daily Readings'!DO29-'DJB Daily Readings'!DO28</f>
        <v>7</v>
      </c>
      <c r="AS21" s="82">
        <f>'DJB Daily Readings'!DM29-'DJB Daily Readings'!DM28</f>
        <v>4</v>
      </c>
      <c r="AT21" s="82">
        <f>'DJB Daily Readings'!DQ29-'DJB Daily Readings'!DQ28</f>
        <v>19</v>
      </c>
      <c r="AU21" s="82">
        <f>'DJB Daily Readings'!DT29-'DJB Daily Readings'!DT28</f>
        <v>10</v>
      </c>
      <c r="AW21" s="82">
        <f>'DJB Daily Readings'!DX29-'DJB Daily Readings'!DX28</f>
        <v>6.9000000000000909</v>
      </c>
      <c r="AX21" s="82">
        <f>'DJB Daily Readings'!DZ29-'DJB Daily Readings'!DZ28</f>
        <v>7.5999999999999091</v>
      </c>
      <c r="AY21" s="82">
        <f>'DJB Daily Readings'!EB29-'DJB Daily Readings'!EB28</f>
        <v>711</v>
      </c>
      <c r="AZ21" s="82">
        <f>'DJB Daily Readings'!ED29-'DJB Daily Readings'!ED28</f>
        <v>161.29999999998836</v>
      </c>
      <c r="BA21" s="82">
        <f>'DJB Daily Readings'!EG29-'DJB Daily Readings'!EG28</f>
        <v>4300</v>
      </c>
      <c r="BB21" s="82">
        <f>'DJB Daily Readings'!EI29-'DJB Daily Readings'!EI28</f>
        <v>240</v>
      </c>
      <c r="BC21" s="82">
        <f>'DJB Daily Readings'!EQ29-'DJB Daily Readings'!EQ28</f>
        <v>5200</v>
      </c>
      <c r="BD21" s="82">
        <f>'DJB Daily Readings'!EK29-'DJB Daily Readings'!EK28</f>
        <v>2300</v>
      </c>
      <c r="BE21" s="82">
        <f>'DJB Daily Readings'!EM29-'DJB Daily Readings'!EM28</f>
        <v>300</v>
      </c>
      <c r="BF21" s="82">
        <f>'DJB Daily Readings'!EO29-'DJB Daily Readings'!EO28</f>
        <v>640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22.68</v>
      </c>
      <c r="BJ21" s="82">
        <f>('DJB Daily Readings'!EX29-'DJB Daily Readings'!EX28)*1.89</f>
        <v>18.899999999999999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4</v>
      </c>
      <c r="D22">
        <v>2022</v>
      </c>
      <c r="E22" s="78">
        <f>237*0.944</f>
        <v>223.72799999999998</v>
      </c>
      <c r="F22" s="79">
        <f>341+117</f>
        <v>458</v>
      </c>
      <c r="G22" s="3">
        <f>'DJB Daily Readings'!C30-'DJB Daily Readings'!C29</f>
        <v>828</v>
      </c>
      <c r="H22" s="3">
        <f>'DJB Daily Readings'!F30-'DJB Daily Readings'!F29</f>
        <v>426</v>
      </c>
      <c r="I22" s="3">
        <f>'DJB Daily Readings'!K30-'DJB Daily Readings'!K29</f>
        <v>331</v>
      </c>
      <c r="J22" s="3">
        <f>'DJB Daily Readings'!K30-'DJB Daily Readings'!K29</f>
        <v>331</v>
      </c>
      <c r="K22" s="3">
        <f>'DJB Daily Readings'!O30-'DJB Daily Readings'!O29</f>
        <v>137.15999999999622</v>
      </c>
      <c r="L22" s="3">
        <f>'DJB Daily Readings'!R30-'DJB Daily Readings'!R29</f>
        <v>26</v>
      </c>
      <c r="M22" s="3">
        <f>'DJB Daily Readings'!U30-'DJB Daily Readings'!U29</f>
        <v>2923.1999999992549</v>
      </c>
      <c r="N22" s="3">
        <f>'DJB Daily Readings'!X30-'DJB Daily Readings'!X29</f>
        <v>4774.5599999986589</v>
      </c>
      <c r="O22" s="3">
        <f>'DJB Daily Readings'!AA30-'DJB Daily Readings'!AA29</f>
        <v>13592.88000000082</v>
      </c>
      <c r="P22" s="3">
        <f>'DJB Daily Readings'!AD30-'DJB Daily Readings'!AD29</f>
        <v>97.439999997615814</v>
      </c>
      <c r="Q22" s="3">
        <f>'DJB Daily Readings'!AG30-'DJB Daily Readings'!AG29</f>
        <v>0</v>
      </c>
      <c r="R22" s="3">
        <f>'DJB Daily Readings'!AJ30-'DJB Daily Readings'!AJ29</f>
        <v>5943.8399999979883</v>
      </c>
      <c r="S22" s="3">
        <f>'DJB Daily Readings'!AM30-'DJB Daily Readings'!AM29</f>
        <v>4530.9599999990314</v>
      </c>
      <c r="T22" s="3">
        <f>'DJB Daily Readings'!AP30-'DJB Daily Readings'!AP29</f>
        <v>4872</v>
      </c>
      <c r="U22" s="3">
        <f>'DJB Daily Readings'!AS30-'DJB Daily Readings'!AS29</f>
        <v>2777.0399999991059</v>
      </c>
      <c r="V22" s="3">
        <f>'DJB Daily Readings'!AV30-'DJB Daily Readings'!AV29</f>
        <v>5554.0800000000745</v>
      </c>
      <c r="W22" s="3">
        <f>'DJB Daily Readings'!AZ30-'DJB Daily Readings'!AZ29</f>
        <v>70400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187.10999999999999</v>
      </c>
      <c r="AA22" s="3">
        <f>('DJB Daily Readings'!CN30-'DJB Daily Readings'!CN29)*1.89</f>
        <v>224.91</v>
      </c>
      <c r="AB22" s="3">
        <f>('DJB Daily Readings'!CQ30-'DJB Daily Readings'!CQ29)*1.89</f>
        <v>151.19999999999999</v>
      </c>
      <c r="AC22" s="3">
        <f>'DJB Daily Readings'!CT30-'DJB Daily Readings'!CT29</f>
        <v>0</v>
      </c>
      <c r="AD22" s="84">
        <f>('DJB Daily Readings'!BY30-'DJB Daily Readings'!BY29)*1.89</f>
        <v>41.58</v>
      </c>
      <c r="AE22" s="84">
        <f>('DJB Daily Readings'!CA30-'DJB Daily Readings'!CA29)*1.89</f>
        <v>34.019999999999996</v>
      </c>
      <c r="AF22" s="84">
        <f>('DJB Daily Readings'!CC30-'DJB Daily Readings'!CC29)*1.89</f>
        <v>5.67</v>
      </c>
      <c r="AG22" s="84">
        <f>('DJB Daily Readings'!CE30-'DJB Daily Readings'!CE29)*1.89</f>
        <v>20.79</v>
      </c>
      <c r="AH22" s="84">
        <f>('DJB Daily Readings'!CG30-'DJB Daily Readings'!CG29)*1.89</f>
        <v>11.34</v>
      </c>
      <c r="AI22" s="84">
        <f>('DJB Daily Readings'!CI30-'DJB Daily Readings'!CI29)*1.89</f>
        <v>54.809999999999995</v>
      </c>
      <c r="AJ22" s="81">
        <f>'DJB Daily Readings'!CY30-'DJB Daily Readings'!CY29</f>
        <v>7</v>
      </c>
      <c r="AK22" s="81">
        <f>'DJB Daily Readings'!CW30-'DJB Daily Readings'!CW29</f>
        <v>5</v>
      </c>
      <c r="AL22" s="82">
        <f>'DJB Daily Readings'!DC30-'DJB Daily Readings'!DC29</f>
        <v>14</v>
      </c>
      <c r="AM22" s="82">
        <f>'DJB Daily Readings'!DA30-'DJB Daily Readings'!DA29</f>
        <v>27</v>
      </c>
      <c r="AN22" s="82">
        <f>'DJB Daily Readings'!DG30-'DJB Daily Readings'!DG29</f>
        <v>1</v>
      </c>
      <c r="AO22" s="82">
        <f>'DJB Daily Readings'!DE30-'DJB Daily Readings'!DE29</f>
        <v>8</v>
      </c>
      <c r="AP22" s="82">
        <f>'DJB Daily Readings'!DK30-'DJB Daily Readings'!DK29</f>
        <v>7</v>
      </c>
      <c r="AQ22" s="82">
        <f>'DJB Daily Readings'!DI30-'DJB Daily Readings'!DI29</f>
        <v>9</v>
      </c>
      <c r="AR22" s="82">
        <f>'DJB Daily Readings'!DO30-'DJB Daily Readings'!DO29</f>
        <v>3</v>
      </c>
      <c r="AS22" s="82">
        <f>'DJB Daily Readings'!DM30-'DJB Daily Readings'!DM29</f>
        <v>4</v>
      </c>
      <c r="AT22" s="82">
        <f>'DJB Daily Readings'!DQ30-'DJB Daily Readings'!DQ29</f>
        <v>20</v>
      </c>
      <c r="AU22" s="82">
        <f>'DJB Daily Readings'!DT30-'DJB Daily Readings'!DT29</f>
        <v>9.3999999999996362</v>
      </c>
      <c r="AW22" s="82">
        <f>'DJB Daily Readings'!DX30-'DJB Daily Readings'!DX29</f>
        <v>6.3000000000001819</v>
      </c>
      <c r="AX22" s="82">
        <f>'DJB Daily Readings'!DZ30-'DJB Daily Readings'!DZ29</f>
        <v>8.4000000000000909</v>
      </c>
      <c r="AY22" s="82">
        <f>'DJB Daily Readings'!EB30-'DJB Daily Readings'!EB29</f>
        <v>752</v>
      </c>
      <c r="AZ22" s="82">
        <f>'DJB Daily Readings'!ED30-'DJB Daily Readings'!ED29</f>
        <v>149.10000000000582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5000</v>
      </c>
      <c r="BD22" s="82">
        <f>'DJB Daily Readings'!EK30-'DJB Daily Readings'!EK29</f>
        <v>2200</v>
      </c>
      <c r="BE22" s="82">
        <f>'DJB Daily Readings'!EM30-'DJB Daily Readings'!EM29</f>
        <v>400</v>
      </c>
      <c r="BF22" s="82">
        <f>'DJB Daily Readings'!EO30-'DJB Daily Readings'!EO29</f>
        <v>620</v>
      </c>
      <c r="BG22" s="82">
        <f>('DJB Daily Readings'!ET30-'DJB Daily Readings'!ET29)*1.89</f>
        <v>32.129999999999995</v>
      </c>
      <c r="BH22" s="82">
        <f>('DJB Daily Readings'!EV30-'DJB Daily Readings'!EV29)*1.89</f>
        <v>22.68</v>
      </c>
      <c r="BI22" s="82">
        <f>('DJB Daily Readings'!EZ30-'DJB Daily Readings'!EZ29)*1.89</f>
        <v>15.12</v>
      </c>
      <c r="BJ22" s="82">
        <f>('DJB Daily Readings'!EX30-'DJB Daily Readings'!EX29)*1.89</f>
        <v>15.12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4</v>
      </c>
      <c r="D23">
        <v>2022</v>
      </c>
      <c r="E23" s="78">
        <f>237*0.85</f>
        <v>201.45</v>
      </c>
      <c r="F23" s="79">
        <f>320+101</f>
        <v>421</v>
      </c>
      <c r="G23" s="3">
        <f>'DJB Daily Readings'!C31-'DJB Daily Readings'!C30</f>
        <v>855</v>
      </c>
      <c r="H23" s="3">
        <f>'DJB Daily Readings'!F31-'DJB Daily Readings'!F30</f>
        <v>427</v>
      </c>
      <c r="I23" s="3">
        <f>'DJB Daily Readings'!K31-'DJB Daily Readings'!K30</f>
        <v>317</v>
      </c>
      <c r="J23" s="3">
        <f>'DJB Daily Readings'!K31-'DJB Daily Readings'!K30</f>
        <v>317</v>
      </c>
      <c r="K23" s="3">
        <f>'DJB Daily Readings'!O31-'DJB Daily Readings'!O30</f>
        <v>143.02999999999884</v>
      </c>
      <c r="L23" s="3">
        <f>'DJB Daily Readings'!R31-'DJB Daily Readings'!R30</f>
        <v>20</v>
      </c>
      <c r="M23" s="3">
        <f>'DJB Daily Readings'!U31-'DJB Daily Readings'!U30</f>
        <v>2825.7599999997765</v>
      </c>
      <c r="N23" s="3">
        <f>'DJB Daily Readings'!X31-'DJB Daily Readings'!X30</f>
        <v>4920.7200000006706</v>
      </c>
      <c r="O23" s="3">
        <f>'DJB Daily Readings'!AA31-'DJB Daily Readings'!AA30</f>
        <v>10864.560000000522</v>
      </c>
      <c r="P23" s="3">
        <f>'DJB Daily Readings'!AD31-'DJB Daily Readings'!AD30</f>
        <v>3410.3999999985099</v>
      </c>
      <c r="Q23" s="3">
        <f>'DJB Daily Readings'!AG31-'DJB Daily Readings'!AG30</f>
        <v>0</v>
      </c>
      <c r="R23" s="3">
        <f>'DJB Daily Readings'!AJ31-'DJB Daily Readings'!AJ30</f>
        <v>5797.6800000015646</v>
      </c>
      <c r="S23" s="3">
        <f>'DJB Daily Readings'!AM31-'DJB Daily Readings'!AM30</f>
        <v>4628.4000000003725</v>
      </c>
      <c r="T23" s="3">
        <f>'DJB Daily Readings'!AP31-'DJB Daily Readings'!AP30</f>
        <v>4823.2800000011921</v>
      </c>
      <c r="U23" s="3">
        <f>'DJB Daily Readings'!AS31-'DJB Daily Readings'!AS30</f>
        <v>2825.7599999997765</v>
      </c>
      <c r="V23" s="3">
        <f>'DJB Daily Readings'!AV31-'DJB Daily Readings'!AV30</f>
        <v>5748.9600000027567</v>
      </c>
      <c r="W23" s="3">
        <f>'DJB Daily Readings'!AZ31-'DJB Daily Readings'!AZ30</f>
        <v>54200</v>
      </c>
      <c r="X23" s="3">
        <f>'DJB Daily Readings'!BC31-'DJB Daily Readings'!BC30</f>
        <v>18000</v>
      </c>
      <c r="Y23" s="3">
        <f>'DJB Daily Readings'!BF31-'DJB Daily Readings'!BF30</f>
        <v>0</v>
      </c>
      <c r="Z23" s="3">
        <f>('DJB Daily Readings'!CK31-'DJB Daily Readings'!CK30)*1.89</f>
        <v>0</v>
      </c>
      <c r="AA23" s="3">
        <f>('DJB Daily Readings'!CN31-'DJB Daily Readings'!CN30)*1.89</f>
        <v>232.47</v>
      </c>
      <c r="AB23" s="3">
        <f>('DJB Daily Readings'!CQ31-'DJB Daily Readings'!CQ30)*1.89</f>
        <v>90.72</v>
      </c>
      <c r="AC23" s="3">
        <f>'DJB Daily Readings'!CT31-'DJB Daily Readings'!CT30</f>
        <v>5</v>
      </c>
      <c r="AD23" s="84">
        <f>('DJB Daily Readings'!BY31-'DJB Daily Readings'!BY30)*1.89</f>
        <v>41.58</v>
      </c>
      <c r="AE23" s="84">
        <f>('DJB Daily Readings'!CA31-'DJB Daily Readings'!CA30)*1.89</f>
        <v>35.909999999999997</v>
      </c>
      <c r="AF23" s="84">
        <f>('DJB Daily Readings'!CC31-'DJB Daily Readings'!CC30)*1.89</f>
        <v>11.34</v>
      </c>
      <c r="AG23" s="84">
        <f>('DJB Daily Readings'!CE31-'DJB Daily Readings'!CE30)*1.89</f>
        <v>20.79</v>
      </c>
      <c r="AH23" s="84">
        <f>('DJB Daily Readings'!CG31-'DJB Daily Readings'!CG30)*1.89</f>
        <v>13.229999999999999</v>
      </c>
      <c r="AI23" s="84">
        <f>('DJB Daily Readings'!CI31-'DJB Daily Readings'!CI30)*1.89</f>
        <v>52.919999999999995</v>
      </c>
      <c r="AJ23" s="81">
        <f>'DJB Daily Readings'!CY31-'DJB Daily Readings'!CY30</f>
        <v>4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16</v>
      </c>
      <c r="AN23" s="82">
        <f>'DJB Daily Readings'!DG31-'DJB Daily Readings'!DG30</f>
        <v>5</v>
      </c>
      <c r="AO23" s="82">
        <f>'DJB Daily Readings'!DE31-'DJB Daily Readings'!DE30</f>
        <v>10</v>
      </c>
      <c r="AP23" s="82">
        <f>'DJB Daily Readings'!DK31-'DJB Daily Readings'!DK30</f>
        <v>6</v>
      </c>
      <c r="AQ23" s="82">
        <f>'DJB Daily Readings'!DI31-'DJB Daily Readings'!DI30</f>
        <v>11</v>
      </c>
      <c r="AR23" s="82">
        <f>'DJB Daily Readings'!DO31-'DJB Daily Readings'!DO30</f>
        <v>11</v>
      </c>
      <c r="AS23" s="82">
        <f>'DJB Daily Readings'!DM31-'DJB Daily Readings'!DM30</f>
        <v>4</v>
      </c>
      <c r="AT23" s="82">
        <f>'DJB Daily Readings'!DQ31-'DJB Daily Readings'!DQ30</f>
        <v>18</v>
      </c>
      <c r="AU23" s="82">
        <f>'DJB Daily Readings'!DT31-'DJB Daily Readings'!DT30</f>
        <v>10</v>
      </c>
      <c r="AW23" s="82">
        <f>'DJB Daily Readings'!DX31-'DJB Daily Readings'!DX30</f>
        <v>6.0999999999999091</v>
      </c>
      <c r="AX23" s="82">
        <f>'DJB Daily Readings'!DZ31-'DJB Daily Readings'!DZ30</f>
        <v>9.1999999999998181</v>
      </c>
      <c r="AY23" s="82">
        <f>'DJB Daily Readings'!EB31-'DJB Daily Readings'!EB30</f>
        <v>777</v>
      </c>
      <c r="AZ23" s="82">
        <f>'DJB Daily Readings'!ED31-'DJB Daily Readings'!ED30</f>
        <v>155.39999999999418</v>
      </c>
      <c r="BA23" s="82">
        <f>'DJB Daily Readings'!EG31-'DJB Daily Readings'!EG30</f>
        <v>4700</v>
      </c>
      <c r="BB23" s="82">
        <f>'DJB Daily Readings'!EI31-'DJB Daily Readings'!EI30</f>
        <v>230</v>
      </c>
      <c r="BC23" s="82">
        <f>'DJB Daily Readings'!EQ31-'DJB Daily Readings'!EQ30</f>
        <v>4900</v>
      </c>
      <c r="BD23" s="82">
        <f>'DJB Daily Readings'!EK31-'DJB Daily Readings'!EK30</f>
        <v>2200</v>
      </c>
      <c r="BE23" s="82">
        <f>'DJB Daily Readings'!EM31-'DJB Daily Readings'!EM30</f>
        <v>400</v>
      </c>
      <c r="BF23" s="82">
        <f>'DJB Daily Readings'!EO31-'DJB Daily Readings'!EO30</f>
        <v>600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20.79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4</v>
      </c>
      <c r="D24">
        <v>2022</v>
      </c>
      <c r="E24" s="78">
        <f>237*0.79</f>
        <v>187.23000000000002</v>
      </c>
      <c r="F24" s="79">
        <f>329+80</f>
        <v>409</v>
      </c>
      <c r="G24" s="3">
        <f>'DJB Daily Readings'!C32-'DJB Daily Readings'!C31</f>
        <v>836</v>
      </c>
      <c r="H24" s="3">
        <f>'DJB Daily Readings'!F32-'DJB Daily Readings'!F31</f>
        <v>422</v>
      </c>
      <c r="I24" s="3">
        <f>'DJB Daily Readings'!K32-'DJB Daily Readings'!K31</f>
        <v>298</v>
      </c>
      <c r="J24" s="3">
        <f>'DJB Daily Readings'!K32-'DJB Daily Readings'!K31</f>
        <v>298</v>
      </c>
      <c r="K24" s="3">
        <f>'DJB Daily Readings'!O32-'DJB Daily Readings'!O31</f>
        <v>149.44999999999709</v>
      </c>
      <c r="L24" s="3">
        <f>'DJB Daily Readings'!R32-'DJB Daily Readings'!R31</f>
        <v>31</v>
      </c>
      <c r="M24" s="3">
        <f>'DJB Daily Readings'!U32-'DJB Daily Readings'!U31</f>
        <v>2046.2400000002235</v>
      </c>
      <c r="N24" s="3">
        <f>'DJB Daily Readings'!X32-'DJB Daily Readings'!X31</f>
        <v>4774.5600000005215</v>
      </c>
      <c r="O24" s="3">
        <f>'DJB Daily Readings'!AA32-'DJB Daily Readings'!AA31</f>
        <v>5456.6399999987334</v>
      </c>
      <c r="P24" s="3">
        <f>'DJB Daily Readings'!AD32-'DJB Daily Readings'!AD31</f>
        <v>8915.7600000016391</v>
      </c>
      <c r="Q24" s="3">
        <f>'DJB Daily Readings'!AG32-'DJB Daily Readings'!AG31</f>
        <v>876.95999999716878</v>
      </c>
      <c r="R24" s="3">
        <f>'DJB Daily Readings'!AJ32-'DJB Daily Readings'!AJ31</f>
        <v>7064.3999999985099</v>
      </c>
      <c r="S24" s="3">
        <f>'DJB Daily Readings'!AM32-'DJB Daily Readings'!AM31</f>
        <v>4433.519999999553</v>
      </c>
      <c r="T24" s="3">
        <f>'DJB Daily Readings'!AP32-'DJB Daily Readings'!AP31</f>
        <v>4482.2400000002235</v>
      </c>
      <c r="U24" s="3">
        <f>'DJB Daily Readings'!AS32-'DJB Daily Readings'!AS31</f>
        <v>2436</v>
      </c>
      <c r="V24" s="3">
        <f>'DJB Daily Readings'!AV32-'DJB Daily Readings'!AV31</f>
        <v>5895.1199999991804</v>
      </c>
      <c r="W24" s="3">
        <f>'DJB Daily Readings'!AZ32-'DJB Daily Readings'!AZ31</f>
        <v>32600</v>
      </c>
      <c r="X24" s="3">
        <f>'DJB Daily Readings'!BC32-'DJB Daily Readings'!BC31</f>
        <v>42300</v>
      </c>
      <c r="Y24" s="3">
        <f>'DJB Daily Readings'!BF32-'DJB Daily Readings'!BF31</f>
        <v>0</v>
      </c>
      <c r="Z24" s="3">
        <f>('DJB Daily Readings'!CK32-'DJB Daily Readings'!CK31)*1.89</f>
        <v>362.88</v>
      </c>
      <c r="AA24" s="3">
        <f>('DJB Daily Readings'!CN32-'DJB Daily Readings'!CN31)*1.89</f>
        <v>241.92</v>
      </c>
      <c r="AB24" s="3">
        <f>('DJB Daily Readings'!CQ32-'DJB Daily Readings'!CQ31)*1.89</f>
        <v>86.94</v>
      </c>
      <c r="AC24" s="3">
        <f>'DJB Daily Readings'!CT32-'DJB Daily Readings'!CT31</f>
        <v>0</v>
      </c>
      <c r="AD24" s="84">
        <f>('DJB Daily Readings'!BY32-'DJB Daily Readings'!BY31)*1.89</f>
        <v>39.69</v>
      </c>
      <c r="AE24" s="84">
        <f>('DJB Daily Readings'!CA32-'DJB Daily Readings'!CA31)*1.89</f>
        <v>35.909999999999997</v>
      </c>
      <c r="AF24" s="84">
        <f>('DJB Daily Readings'!CC32-'DJB Daily Readings'!CC31)*1.89</f>
        <v>11.34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51.029999999999994</v>
      </c>
      <c r="AJ24" s="81">
        <f>'DJB Daily Readings'!CY32-'DJB Daily Readings'!CY31</f>
        <v>6</v>
      </c>
      <c r="AK24" s="81">
        <f>'DJB Daily Readings'!CW32-'DJB Daily Readings'!CW31</f>
        <v>6</v>
      </c>
      <c r="AL24" s="82">
        <f>'DJB Daily Readings'!DC32-'DJB Daily Readings'!DC31</f>
        <v>15</v>
      </c>
      <c r="AM24" s="82">
        <f>'DJB Daily Readings'!DA32-'DJB Daily Readings'!DA31</f>
        <v>15</v>
      </c>
      <c r="AN24" s="82">
        <f>'DJB Daily Readings'!DG32-'DJB Daily Readings'!DG31</f>
        <v>4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10</v>
      </c>
      <c r="AR24" s="82">
        <f>'DJB Daily Readings'!DO32-'DJB Daily Readings'!DO31</f>
        <v>10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10.100000000000364</v>
      </c>
      <c r="AW24" s="82">
        <f>'DJB Daily Readings'!DX32-'DJB Daily Readings'!DX31</f>
        <v>6.4000000000000909</v>
      </c>
      <c r="AX24" s="82">
        <f>'DJB Daily Readings'!DZ32-'DJB Daily Readings'!DZ31</f>
        <v>10.800000000000182</v>
      </c>
      <c r="AY24" s="82">
        <f>'DJB Daily Readings'!EB32-'DJB Daily Readings'!EB31</f>
        <v>755</v>
      </c>
      <c r="AZ24" s="82">
        <f>'DJB Daily Readings'!ED32-'DJB Daily Readings'!ED31</f>
        <v>156.39999999999418</v>
      </c>
      <c r="BA24" s="82">
        <f>'DJB Daily Readings'!EG32-'DJB Daily Readings'!EG31</f>
        <v>5300</v>
      </c>
      <c r="BB24" s="82">
        <f>'DJB Daily Readings'!EI32-'DJB Daily Readings'!EI31</f>
        <v>240</v>
      </c>
      <c r="BC24" s="82">
        <f>'DJB Daily Readings'!EQ32-'DJB Daily Readings'!EQ31</f>
        <v>5300</v>
      </c>
      <c r="BD24" s="82">
        <f>'DJB Daily Readings'!EK32-'DJB Daily Readings'!EK31</f>
        <v>2400</v>
      </c>
      <c r="BE24" s="82">
        <f>'DJB Daily Readings'!EM32-'DJB Daily Readings'!EM31</f>
        <v>600</v>
      </c>
      <c r="BF24" s="82">
        <f>'DJB Daily Readings'!EO32-'DJB Daily Readings'!EO31</f>
        <v>640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18.899999999999999</v>
      </c>
      <c r="BJ24" s="82">
        <f>('DJB Daily Readings'!EX32-'DJB Daily Readings'!EX31)*1.89</f>
        <v>26.459999999999997</v>
      </c>
      <c r="BK24" s="82">
        <f>('DJB Daily Readings'!FB32-'DJB Daily Readings'!FB31)*1.89</f>
        <v>60.48</v>
      </c>
    </row>
    <row r="25" spans="1:63" x14ac:dyDescent="0.25">
      <c r="A25" t="s">
        <v>59</v>
      </c>
      <c r="B25">
        <f t="shared" si="0"/>
        <v>24</v>
      </c>
      <c r="C25">
        <v>4</v>
      </c>
      <c r="D25">
        <v>2022</v>
      </c>
      <c r="E25" s="78">
        <f>237*0.75</f>
        <v>177.75</v>
      </c>
      <c r="F25" s="79">
        <f>370+65</f>
        <v>435</v>
      </c>
      <c r="G25" s="3">
        <f>'DJB Daily Readings'!C33-'DJB Daily Readings'!C32</f>
        <v>784</v>
      </c>
      <c r="H25" s="3">
        <f>'DJB Daily Readings'!F33-'DJB Daily Readings'!F32</f>
        <v>379</v>
      </c>
      <c r="I25" s="3">
        <f>'DJB Daily Readings'!K33-'DJB Daily Readings'!K32</f>
        <v>291</v>
      </c>
      <c r="J25" s="3">
        <f>'DJB Daily Readings'!K33-'DJB Daily Readings'!K32</f>
        <v>291</v>
      </c>
      <c r="K25" s="3">
        <f>'DJB Daily Readings'!O33-'DJB Daily Readings'!O32</f>
        <v>162.55000000000291</v>
      </c>
      <c r="L25" s="3">
        <f>'DJB Daily Readings'!R33-'DJB Daily Readings'!R32</f>
        <v>30</v>
      </c>
      <c r="M25" s="3">
        <f>'DJB Daily Readings'!U33-'DJB Daily Readings'!U32</f>
        <v>2046.2400000002235</v>
      </c>
      <c r="N25" s="3">
        <f>'DJB Daily Readings'!X33-'DJB Daily Readings'!X32</f>
        <v>4725.839999999851</v>
      </c>
      <c r="O25" s="3">
        <f>'DJB Daily Readings'!AA33-'DJB Daily Readings'!AA32</f>
        <v>3654</v>
      </c>
      <c r="P25" s="3">
        <f>'DJB Daily Readings'!AD33-'DJB Daily Readings'!AD32</f>
        <v>11985.120000001043</v>
      </c>
      <c r="Q25" s="3">
        <f>'DJB Daily Readings'!AG33-'DJB Daily Readings'!AG32</f>
        <v>1023.1200000047684</v>
      </c>
      <c r="R25" s="3">
        <f>'DJB Daily Readings'!AJ33-'DJB Daily Readings'!AJ32</f>
        <v>4043.7599999979138</v>
      </c>
      <c r="S25" s="3">
        <f>'DJB Daily Readings'!AM33-'DJB Daily Readings'!AM32</f>
        <v>4628.4000000003725</v>
      </c>
      <c r="T25" s="3">
        <f>'DJB Daily Readings'!AP33-'DJB Daily Readings'!AP32</f>
        <v>4823.2799999974668</v>
      </c>
      <c r="U25" s="3">
        <f>'DJB Daily Readings'!AS33-'DJB Daily Readings'!AS32</f>
        <v>2971.9199999999255</v>
      </c>
      <c r="V25" s="3">
        <f>'DJB Daily Readings'!AV33-'DJB Daily Readings'!AV32</f>
        <v>5943.8399999979883</v>
      </c>
      <c r="W25" s="3">
        <f>'DJB Daily Readings'!AZ33-'DJB Daily Readings'!AZ32</f>
        <v>20500</v>
      </c>
      <c r="X25" s="3">
        <f>'DJB Daily Readings'!BC33-'DJB Daily Readings'!BC32</f>
        <v>59400</v>
      </c>
      <c r="Y25" s="3">
        <f>'DJB Daily Readings'!BF33-'DJB Daily Readings'!BF32</f>
        <v>0</v>
      </c>
      <c r="Z25" s="3">
        <f>('DJB Daily Readings'!CK33-'DJB Daily Readings'!CK32)*1.89</f>
        <v>181.44</v>
      </c>
      <c r="AA25" s="3">
        <f>('DJB Daily Readings'!CN33-'DJB Daily Readings'!CN32)*1.89</f>
        <v>240.03</v>
      </c>
      <c r="AB25" s="3">
        <f>('DJB Daily Readings'!CQ33-'DJB Daily Readings'!CQ32)*1.89</f>
        <v>85.05</v>
      </c>
      <c r="AC25" s="3">
        <f>'DJB Daily Readings'!CT33-'DJB Daily Readings'!CT32</f>
        <v>0</v>
      </c>
      <c r="AD25" s="84">
        <f>('DJB Daily Readings'!BY33-'DJB Daily Readings'!BY32)*1.89</f>
        <v>39.69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13.229999999999999</v>
      </c>
      <c r="AH25" s="84">
        <f>('DJB Daily Readings'!CG33-'DJB Daily Readings'!CG32)*1.89</f>
        <v>20.79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1</v>
      </c>
      <c r="AL25" s="82">
        <f>'DJB Daily Readings'!DC33-'DJB Daily Readings'!DC32</f>
        <v>12</v>
      </c>
      <c r="AM25" s="82">
        <f>'DJB Daily Readings'!DA33-'DJB Daily Readings'!DA32</f>
        <v>20</v>
      </c>
      <c r="AN25" s="82">
        <f>'DJB Daily Readings'!DG33-'DJB Daily Readings'!DG32</f>
        <v>7</v>
      </c>
      <c r="AO25" s="82">
        <f>'DJB Daily Readings'!DE33-'DJB Daily Readings'!DE32</f>
        <v>9</v>
      </c>
      <c r="AP25" s="82">
        <f>'DJB Daily Readings'!DK33-'DJB Daily Readings'!DK32</f>
        <v>20</v>
      </c>
      <c r="AQ25" s="82">
        <f>'DJB Daily Readings'!DI33-'DJB Daily Readings'!DI32</f>
        <v>10</v>
      </c>
      <c r="AR25" s="82">
        <f>'DJB Daily Readings'!DO33-'DJB Daily Readings'!DO32</f>
        <v>5</v>
      </c>
      <c r="AS25" s="82">
        <f>'DJB Daily Readings'!DM33-'DJB Daily Readings'!DM32</f>
        <v>3</v>
      </c>
      <c r="AT25" s="82">
        <f>'DJB Daily Readings'!DQ33-'DJB Daily Readings'!DQ32</f>
        <v>0</v>
      </c>
      <c r="AU25" s="82">
        <f>'DJB Daily Readings'!DT33-'DJB Daily Readings'!DT32</f>
        <v>9.0999999999994543</v>
      </c>
      <c r="AW25" s="82">
        <f>'DJB Daily Readings'!DX33-'DJB Daily Readings'!DX32</f>
        <v>6</v>
      </c>
      <c r="AX25" s="82">
        <f>'DJB Daily Readings'!DZ33-'DJB Daily Readings'!DZ32</f>
        <v>10.099999999999909</v>
      </c>
      <c r="AY25" s="82">
        <f>'DJB Daily Readings'!EB33-'DJB Daily Readings'!EB32</f>
        <v>775</v>
      </c>
      <c r="AZ25" s="82">
        <f>'DJB Daily Readings'!ED33-'DJB Daily Readings'!ED32</f>
        <v>143.30000000001746</v>
      </c>
      <c r="BA25" s="82">
        <f>'DJB Daily Readings'!EG33-'DJB Daily Readings'!EG32</f>
        <v>5600</v>
      </c>
      <c r="BB25" s="82">
        <f>'DJB Daily Readings'!EI33-'DJB Daily Readings'!EI32</f>
        <v>250</v>
      </c>
      <c r="BC25" s="82">
        <f>'DJB Daily Readings'!EQ33-'DJB Daily Readings'!EQ32</f>
        <v>5900</v>
      </c>
      <c r="BD25" s="82">
        <f>'DJB Daily Readings'!EK33-'DJB Daily Readings'!EK32</f>
        <v>2500</v>
      </c>
      <c r="BE25" s="82">
        <f>'DJB Daily Readings'!EM33-'DJB Daily Readings'!EM32</f>
        <v>700</v>
      </c>
      <c r="BF25" s="82">
        <f>'DJB Daily Readings'!EO33-'DJB Daily Readings'!EO32</f>
        <v>410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22.68</v>
      </c>
      <c r="BJ25" s="82">
        <f>('DJB Daily Readings'!EX33-'DJB Daily Readings'!EX32)*1.89</f>
        <v>22.68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4</v>
      </c>
      <c r="D26">
        <v>2022</v>
      </c>
      <c r="E26" s="78">
        <f>237*0.67</f>
        <v>158.79000000000002</v>
      </c>
      <c r="F26" s="79">
        <f>266+49</f>
        <v>315</v>
      </c>
      <c r="G26" s="3">
        <f>'DJB Daily Readings'!C34-'DJB Daily Readings'!C33</f>
        <v>789</v>
      </c>
      <c r="H26" s="3">
        <f>'DJB Daily Readings'!F34-'DJB Daily Readings'!F33</f>
        <v>390</v>
      </c>
      <c r="I26" s="3">
        <f>'DJB Daily Readings'!K34-'DJB Daily Readings'!K33</f>
        <v>333</v>
      </c>
      <c r="J26" s="3">
        <f>'DJB Daily Readings'!K34-'DJB Daily Readings'!K33</f>
        <v>333</v>
      </c>
      <c r="K26" s="3">
        <f>'DJB Daily Readings'!O34-'DJB Daily Readings'!O33</f>
        <v>154.94999999999709</v>
      </c>
      <c r="L26" s="3">
        <f>'DJB Daily Readings'!R34-'DJB Daily Readings'!R33</f>
        <v>30</v>
      </c>
      <c r="M26" s="3">
        <f>'DJB Daily Readings'!U34-'DJB Daily Readings'!U33</f>
        <v>1851.3600000003353</v>
      </c>
      <c r="N26" s="3">
        <f>'DJB Daily Readings'!X34-'DJB Daily Readings'!X33</f>
        <v>4823.2799999993294</v>
      </c>
      <c r="O26" s="3">
        <f>'DJB Daily Readings'!AA34-'DJB Daily Readings'!AA33</f>
        <v>2630.8799999989569</v>
      </c>
      <c r="P26" s="3">
        <f>'DJB Daily Readings'!AD34-'DJB Daily Readings'!AD33</f>
        <v>12033.839999999851</v>
      </c>
      <c r="Q26" s="3">
        <f>'DJB Daily Readings'!AG34-'DJB Daily Readings'!AG33</f>
        <v>974.39999999850988</v>
      </c>
      <c r="R26" s="3">
        <f>'DJB Daily Readings'!AJ34-'DJB Daily Readings'!AJ33</f>
        <v>5651.5200000032783</v>
      </c>
      <c r="S26" s="3">
        <f>'DJB Daily Readings'!AM34-'DJB Daily Readings'!AM33</f>
        <v>4336.0800000000745</v>
      </c>
      <c r="T26" s="3">
        <f>'DJB Daily Readings'!AP34-'DJB Daily Readings'!AP33</f>
        <v>4530.9600000027567</v>
      </c>
      <c r="U26" s="3">
        <f>'DJB Daily Readings'!AS34-'DJB Daily Readings'!AS33</f>
        <v>2777.0399999991059</v>
      </c>
      <c r="V26" s="3">
        <f>'DJB Daily Readings'!AV34-'DJB Daily Readings'!AV33</f>
        <v>5456.6400000024587</v>
      </c>
      <c r="W26" s="3">
        <f>'DJB Daily Readings'!AZ34-'DJB Daily Readings'!AZ33</f>
        <v>14100</v>
      </c>
      <c r="X26" s="3">
        <f>'DJB Daily Readings'!BC34-'DJB Daily Readings'!BC33</f>
        <v>58100</v>
      </c>
      <c r="Y26" s="3">
        <f>'DJB Daily Readings'!BF34-'DJB Daily Readings'!BF33</f>
        <v>0</v>
      </c>
      <c r="Z26" s="3">
        <f>('DJB Daily Readings'!CK34-'DJB Daily Readings'!CK33)*1.89</f>
        <v>166.32</v>
      </c>
      <c r="AA26" s="3">
        <f>('DJB Daily Readings'!CN34-'DJB Daily Readings'!CN33)*1.89</f>
        <v>226.79999999999998</v>
      </c>
      <c r="AB26" s="3">
        <f>('DJB Daily Readings'!CQ34-'DJB Daily Readings'!CQ33)*1.89</f>
        <v>68.039999999999992</v>
      </c>
      <c r="AC26" s="3">
        <f>'DJB Daily Readings'!CT34-'DJB Daily Readings'!CT33</f>
        <v>2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7.56</v>
      </c>
      <c r="AG26" s="84">
        <f>('DJB Daily Readings'!CE34-'DJB Daily Readings'!CE33)*1.89</f>
        <v>13.229999999999999</v>
      </c>
      <c r="AH26" s="84">
        <f>('DJB Daily Readings'!CG34-'DJB Daily Readings'!CG33)*1.89</f>
        <v>18.899999999999999</v>
      </c>
      <c r="AI26" s="84">
        <f>('DJB Daily Readings'!CI34-'DJB Daily Readings'!CI33)*1.89</f>
        <v>47.25</v>
      </c>
      <c r="AJ26" s="81">
        <f>'DJB Daily Readings'!CY34-'DJB Daily Readings'!CY33</f>
        <v>2</v>
      </c>
      <c r="AK26" s="81">
        <f>'DJB Daily Readings'!CW34-'DJB Daily Readings'!CW33</f>
        <v>4</v>
      </c>
      <c r="AL26" s="82">
        <f>'DJB Daily Readings'!DC34-'DJB Daily Readings'!DC33</f>
        <v>16</v>
      </c>
      <c r="AM26" s="82">
        <f>'DJB Daily Readings'!DA34-'DJB Daily Readings'!DA33</f>
        <v>12</v>
      </c>
      <c r="AN26" s="82">
        <f>'DJB Daily Readings'!DG34-'DJB Daily Readings'!DG33</f>
        <v>6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8</v>
      </c>
      <c r="AR26" s="82">
        <f>'DJB Daily Readings'!DO34-'DJB Daily Readings'!DO33</f>
        <v>5</v>
      </c>
      <c r="AS26" s="82">
        <f>'DJB Daily Readings'!DM34-'DJB Daily Readings'!DM33</f>
        <v>4</v>
      </c>
      <c r="AT26" s="82">
        <f>'DJB Daily Readings'!DQ34-'DJB Daily Readings'!DQ33</f>
        <v>10</v>
      </c>
      <c r="AU26" s="82">
        <f>'DJB Daily Readings'!DT34-'DJB Daily Readings'!DT33</f>
        <v>9.1999999999998181</v>
      </c>
      <c r="AW26" s="82">
        <f>'DJB Daily Readings'!DX34-'DJB Daily Readings'!DX33</f>
        <v>6.0999999999999091</v>
      </c>
      <c r="AX26" s="82">
        <f>'DJB Daily Readings'!DZ34-'DJB Daily Readings'!DZ33</f>
        <v>7.9000000000000909</v>
      </c>
      <c r="AY26" s="82">
        <f>'DJB Daily Readings'!EB34-'DJB Daily Readings'!EB33</f>
        <v>734</v>
      </c>
      <c r="AZ26" s="82">
        <f>'DJB Daily Readings'!ED34-'DJB Daily Readings'!ED33</f>
        <v>149.69999999998254</v>
      </c>
      <c r="BA26" s="82">
        <f>'DJB Daily Readings'!EG34-'DJB Daily Readings'!EG33</f>
        <v>4800</v>
      </c>
      <c r="BB26" s="82">
        <f>'DJB Daily Readings'!EI34-'DJB Daily Readings'!EI33</f>
        <v>240</v>
      </c>
      <c r="BC26" s="82">
        <f>'DJB Daily Readings'!EQ34-'DJB Daily Readings'!EQ33</f>
        <v>5300</v>
      </c>
      <c r="BD26" s="82">
        <f>'DJB Daily Readings'!EK34-'DJB Daily Readings'!EK33</f>
        <v>1900</v>
      </c>
      <c r="BE26" s="82">
        <f>'DJB Daily Readings'!EM34-'DJB Daily Readings'!EM33</f>
        <v>600</v>
      </c>
      <c r="BF26" s="82">
        <f>'DJB Daily Readings'!EO34-'DJB Daily Readings'!EO33</f>
        <v>360</v>
      </c>
      <c r="BG26" s="82">
        <f>('DJB Daily Readings'!ET34-'DJB Daily Readings'!ET33)*1.89</f>
        <v>26.459999999999997</v>
      </c>
      <c r="BH26" s="82">
        <f>('DJB Daily Readings'!EV34-'DJB Daily Readings'!EV33)*1.89</f>
        <v>18.899999999999999</v>
      </c>
      <c r="BI26" s="82">
        <f>('DJB Daily Readings'!EZ34-'DJB Daily Readings'!EZ33)*1.89</f>
        <v>17.009999999999998</v>
      </c>
      <c r="BJ26" s="82">
        <f>('DJB Daily Readings'!EX34-'DJB Daily Readings'!EX33)*1.89</f>
        <v>15.12</v>
      </c>
      <c r="BK26" s="82">
        <f>('DJB Daily Readings'!FB34-'DJB Daily Readings'!FB33)*1.89</f>
        <v>56.699999999999996</v>
      </c>
    </row>
    <row r="27" spans="1:63" x14ac:dyDescent="0.25">
      <c r="A27" t="s">
        <v>59</v>
      </c>
      <c r="B27">
        <f t="shared" si="0"/>
        <v>26</v>
      </c>
      <c r="C27">
        <v>4</v>
      </c>
      <c r="D27">
        <v>2022</v>
      </c>
      <c r="E27" s="78">
        <f>237*0.71</f>
        <v>168.26999999999998</v>
      </c>
      <c r="F27" s="79">
        <f>286+56</f>
        <v>342</v>
      </c>
      <c r="G27" s="3">
        <f>'DJB Daily Readings'!C35-'DJB Daily Readings'!C34</f>
        <v>770</v>
      </c>
      <c r="H27" s="3">
        <f>'DJB Daily Readings'!F35-'DJB Daily Readings'!F34</f>
        <v>366</v>
      </c>
      <c r="I27" s="3">
        <f>'DJB Daily Readings'!K35-'DJB Daily Readings'!K34</f>
        <v>284</v>
      </c>
      <c r="J27" s="3">
        <f>'DJB Daily Readings'!K35-'DJB Daily Readings'!K34</f>
        <v>284</v>
      </c>
      <c r="K27" s="3">
        <f>'DJB Daily Readings'!O35-'DJB Daily Readings'!O34</f>
        <v>168.01000000000931</v>
      </c>
      <c r="L27" s="3">
        <f>'DJB Daily Readings'!R35-'DJB Daily Readings'!R34</f>
        <v>30</v>
      </c>
      <c r="M27" s="3">
        <f>'DJB Daily Readings'!U35-'DJB Daily Readings'!U34</f>
        <v>1851.359999999404</v>
      </c>
      <c r="N27" s="3">
        <f>'DJB Daily Readings'!X35-'DJB Daily Readings'!X34</f>
        <v>4872</v>
      </c>
      <c r="O27" s="3">
        <f>'DJB Daily Readings'!AA35-'DJB Daily Readings'!AA34</f>
        <v>4823.2800000011921</v>
      </c>
      <c r="P27" s="3">
        <f>'DJB Daily Readings'!AD35-'DJB Daily Readings'!AD34</f>
        <v>11838.960000000894</v>
      </c>
      <c r="Q27" s="3">
        <f>'DJB Daily Readings'!AG35-'DJB Daily Readings'!AG34</f>
        <v>925.67999999970198</v>
      </c>
      <c r="R27" s="3">
        <f>'DJB Daily Readings'!AJ35-'DJB Daily Readings'!AJ34</f>
        <v>5554.0799999982119</v>
      </c>
      <c r="S27" s="3">
        <f>'DJB Daily Readings'!AM35-'DJB Daily Readings'!AM34</f>
        <v>4384.8000000007451</v>
      </c>
      <c r="T27" s="3">
        <f>'DJB Daily Readings'!AP35-'DJB Daily Readings'!AP34</f>
        <v>4530.9599999990314</v>
      </c>
      <c r="U27" s="3">
        <f>'DJB Daily Readings'!AS35-'DJB Daily Readings'!AS34</f>
        <v>2825.7599999997765</v>
      </c>
      <c r="V27" s="3">
        <f>'DJB Daily Readings'!AV35-'DJB Daily Readings'!AV34</f>
        <v>5505.3599999975413</v>
      </c>
      <c r="W27" s="3">
        <f>'DJB Daily Readings'!AZ35-'DJB Daily Readings'!AZ34</f>
        <v>21000</v>
      </c>
      <c r="X27" s="3">
        <f>'DJB Daily Readings'!BC35-'DJB Daily Readings'!BC34</f>
        <v>60200</v>
      </c>
      <c r="Y27" s="3">
        <f>'DJB Daily Readings'!BF35-'DJB Daily Readings'!BF34</f>
        <v>0</v>
      </c>
      <c r="Z27" s="3">
        <f>('DJB Daily Readings'!CK35-'DJB Daily Readings'!CK34)*1.89</f>
        <v>173.88</v>
      </c>
      <c r="AA27" s="3">
        <f>('DJB Daily Readings'!CN35-'DJB Daily Readings'!CN34)*1.89</f>
        <v>223.01999999999998</v>
      </c>
      <c r="AB27" s="3">
        <f>('DJB Daily Readings'!CQ35-'DJB Daily Readings'!CQ34)*1.89</f>
        <v>102.05999999999999</v>
      </c>
      <c r="AC27" s="3">
        <f>'DJB Daily Readings'!CT35-'DJB Daily Readings'!CT34</f>
        <v>1</v>
      </c>
      <c r="AD27" s="84">
        <f>('DJB Daily Readings'!BY35-'DJB Daily Readings'!BY34)*1.89</f>
        <v>35.909999999999997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3.78</v>
      </c>
      <c r="AG27" s="84">
        <f>('DJB Daily Readings'!CE35-'DJB Daily Readings'!CE34)*1.89</f>
        <v>13.229999999999999</v>
      </c>
      <c r="AH27" s="84">
        <f>('DJB Daily Readings'!CG35-'DJB Daily Readings'!CG34)*1.89</f>
        <v>20.79</v>
      </c>
      <c r="AI27" s="84">
        <f>('DJB Daily Readings'!CI35-'DJB Daily Readings'!CI34)*1.89</f>
        <v>47.25</v>
      </c>
      <c r="AJ27" s="81">
        <f>'DJB Daily Readings'!CY35-'DJB Daily Readings'!CY34</f>
        <v>3</v>
      </c>
      <c r="AK27" s="81">
        <f>'DJB Daily Readings'!CW35-'DJB Daily Readings'!CW34</f>
        <v>3</v>
      </c>
      <c r="AL27" s="82">
        <f>'DJB Daily Readings'!DC35-'DJB Daily Readings'!DC34</f>
        <v>14</v>
      </c>
      <c r="AM27" s="82">
        <f>'DJB Daily Readings'!DA35-'DJB Daily Readings'!DA34</f>
        <v>13</v>
      </c>
      <c r="AN27" s="82">
        <f>'DJB Daily Readings'!DG35-'DJB Daily Readings'!DG34</f>
        <v>5</v>
      </c>
      <c r="AO27" s="82">
        <f>'DJB Daily Readings'!DE35-'DJB Daily Readings'!DE34</f>
        <v>7</v>
      </c>
      <c r="AP27" s="82">
        <f>'DJB Daily Readings'!DK35-'DJB Daily Readings'!DK34</f>
        <v>5</v>
      </c>
      <c r="AQ27" s="82">
        <f>'DJB Daily Readings'!DI35-'DJB Daily Readings'!DI34</f>
        <v>9</v>
      </c>
      <c r="AR27" s="82">
        <f>'DJB Daily Readings'!DO35-'DJB Daily Readings'!DO34</f>
        <v>5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9</v>
      </c>
      <c r="AW27" s="82">
        <f>'DJB Daily Readings'!DX35-'DJB Daily Readings'!DX34</f>
        <v>6.5999999999999091</v>
      </c>
      <c r="AX27" s="82">
        <f>'DJB Daily Readings'!DZ35-'DJB Daily Readings'!DZ34</f>
        <v>8.5</v>
      </c>
      <c r="AY27" s="82">
        <f>'DJB Daily Readings'!EB35-'DJB Daily Readings'!EB34</f>
        <v>777</v>
      </c>
      <c r="AZ27" s="82">
        <f>'DJB Daily Readings'!ED35-'DJB Daily Readings'!ED34</f>
        <v>151.40000000002328</v>
      </c>
      <c r="BA27" s="82">
        <f>'DJB Daily Readings'!EG35-'DJB Daily Readings'!EG34</f>
        <v>5300</v>
      </c>
      <c r="BB27" s="82">
        <f>'DJB Daily Readings'!EI35-'DJB Daily Readings'!EI34</f>
        <v>190</v>
      </c>
      <c r="BC27" s="82">
        <f>'DJB Daily Readings'!EQ35-'DJB Daily Readings'!EQ34</f>
        <v>6100</v>
      </c>
      <c r="BD27" s="82">
        <f>'DJB Daily Readings'!EK35-'DJB Daily Readings'!EK34</f>
        <v>2900</v>
      </c>
      <c r="BE27" s="82">
        <f>'DJB Daily Readings'!EM35-'DJB Daily Readings'!EM34</f>
        <v>500</v>
      </c>
      <c r="BF27" s="82">
        <f>'DJB Daily Readings'!EO35-'DJB Daily Readings'!EO34</f>
        <v>380</v>
      </c>
      <c r="BG27" s="82">
        <f>('DJB Daily Readings'!ET35-'DJB Daily Readings'!ET34)*1.89</f>
        <v>26.459999999999997</v>
      </c>
      <c r="BH27" s="82">
        <f>('DJB Daily Readings'!EV35-'DJB Daily Readings'!EV34)*1.89</f>
        <v>18.899999999999999</v>
      </c>
      <c r="BI27" s="82">
        <f>('DJB Daily Readings'!EZ35-'DJB Daily Readings'!EZ34)*1.89</f>
        <v>15.12</v>
      </c>
      <c r="BJ27" s="82">
        <f>('DJB Daily Readings'!EX35-'DJB Daily Readings'!EX34)*1.89</f>
        <v>15.12</v>
      </c>
      <c r="BK27" s="82">
        <f>('DJB Daily Readings'!FB35-'DJB Daily Readings'!FB34)*1.89</f>
        <v>51.029999999999994</v>
      </c>
    </row>
    <row r="28" spans="1:63" x14ac:dyDescent="0.25">
      <c r="A28" t="s">
        <v>59</v>
      </c>
      <c r="B28">
        <f t="shared" si="0"/>
        <v>27</v>
      </c>
      <c r="C28">
        <v>4</v>
      </c>
      <c r="D28">
        <v>2022</v>
      </c>
      <c r="E28" s="78">
        <f>237*0.74</f>
        <v>175.38</v>
      </c>
      <c r="F28" s="79">
        <f>282+60</f>
        <v>342</v>
      </c>
      <c r="G28" s="3">
        <f>'DJB Daily Readings'!C36-'DJB Daily Readings'!C35</f>
        <v>781</v>
      </c>
      <c r="H28" s="3">
        <f>'DJB Daily Readings'!F36-'DJB Daily Readings'!F35</f>
        <v>356</v>
      </c>
      <c r="I28" s="3">
        <f>'DJB Daily Readings'!K36-'DJB Daily Readings'!K35</f>
        <v>361</v>
      </c>
      <c r="J28" s="3">
        <f>'DJB Daily Readings'!K36-'DJB Daily Readings'!K35</f>
        <v>361</v>
      </c>
      <c r="K28" s="3">
        <f>'DJB Daily Readings'!O36-'DJB Daily Readings'!O35</f>
        <v>160.2899999999936</v>
      </c>
      <c r="L28" s="3">
        <f>'DJB Daily Readings'!R36-'DJB Daily Readings'!R35</f>
        <v>31</v>
      </c>
      <c r="M28" s="3">
        <f>'DJB Daily Readings'!U36-'DJB Daily Readings'!U35</f>
        <v>1851.3600000003353</v>
      </c>
      <c r="N28" s="3">
        <f>'DJB Daily Readings'!X36-'DJB Daily Readings'!X35</f>
        <v>4823.2800000011921</v>
      </c>
      <c r="O28" s="3">
        <f>'DJB Daily Readings'!AA36-'DJB Daily Readings'!AA35</f>
        <v>2825.7599999997765</v>
      </c>
      <c r="P28" s="3">
        <f>'DJB Daily Readings'!AD36-'DJB Daily Readings'!AD35</f>
        <v>11692.79999999702</v>
      </c>
      <c r="Q28" s="3">
        <f>'DJB Daily Readings'!AG36-'DJB Daily Readings'!AG35</f>
        <v>974.39999999850988</v>
      </c>
      <c r="R28" s="3">
        <f>'DJB Daily Readings'!AJ36-'DJB Daily Readings'!AJ35</f>
        <v>5797.679999999702</v>
      </c>
      <c r="S28" s="3">
        <f>'DJB Daily Readings'!AM36-'DJB Daily Readings'!AM35</f>
        <v>4482.2400000002235</v>
      </c>
      <c r="T28" s="3">
        <f>'DJB Daily Readings'!AP36-'DJB Daily Readings'!AP35</f>
        <v>4628.4000000003725</v>
      </c>
      <c r="U28" s="3">
        <f>'DJB Daily Readings'!AS36-'DJB Daily Readings'!AS35</f>
        <v>2777.0400000009686</v>
      </c>
      <c r="V28" s="3">
        <f>'DJB Daily Readings'!AV36-'DJB Daily Readings'!AV35</f>
        <v>5554.0800000000745</v>
      </c>
      <c r="W28" s="3">
        <f>'DJB Daily Readings'!AZ36-'DJB Daily Readings'!AZ35</f>
        <v>21000</v>
      </c>
      <c r="X28" s="3">
        <f>'DJB Daily Readings'!BC36-'DJB Daily Readings'!BC35</f>
        <v>58100</v>
      </c>
      <c r="Y28" s="3">
        <f>'DJB Daily Readings'!BF36-'DJB Daily Readings'!BF35</f>
        <v>0</v>
      </c>
      <c r="Z28" s="3">
        <f>('DJB Daily Readings'!CK36-'DJB Daily Readings'!CK35)*1.89</f>
        <v>179.54999999999998</v>
      </c>
      <c r="AA28" s="3">
        <f>('DJB Daily Readings'!CN36-'DJB Daily Readings'!CN35)*1.89</f>
        <v>224.91</v>
      </c>
      <c r="AB28" s="3">
        <f>('DJB Daily Readings'!CQ36-'DJB Daily Readings'!CQ35)*1.89</f>
        <v>41.58</v>
      </c>
      <c r="AC28" s="3">
        <f>'DJB Daily Readings'!CT36-'DJB Daily Readings'!CT35</f>
        <v>0</v>
      </c>
      <c r="AD28" s="84">
        <f>('DJB Daily Readings'!BY36-'DJB Daily Readings'!BY35)*1.89</f>
        <v>35.909999999999997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5.67</v>
      </c>
      <c r="AG28" s="84">
        <f>('DJB Daily Readings'!CE36-'DJB Daily Readings'!CE35)*1.89</f>
        <v>13.229999999999999</v>
      </c>
      <c r="AH28" s="84">
        <f>('DJB Daily Readings'!CG36-'DJB Daily Readings'!CG35)*1.89</f>
        <v>24.57</v>
      </c>
      <c r="AI28" s="84">
        <f>('DJB Daily Readings'!CI36-'DJB Daily Readings'!CI35)*1.89</f>
        <v>51.029999999999994</v>
      </c>
      <c r="AJ28" s="81">
        <f>'DJB Daily Readings'!CY36-'DJB Daily Readings'!CY35</f>
        <v>3</v>
      </c>
      <c r="AK28" s="81">
        <f>'DJB Daily Readings'!CW36-'DJB Daily Readings'!CW35</f>
        <v>4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4</v>
      </c>
      <c r="AO28" s="82">
        <f>'DJB Daily Readings'!DE36-'DJB Daily Readings'!DE35</f>
        <v>9</v>
      </c>
      <c r="AP28" s="82">
        <f>'DJB Daily Readings'!DK36-'DJB Daily Readings'!DK35</f>
        <v>8</v>
      </c>
      <c r="AQ28" s="82">
        <f>'DJB Daily Readings'!DI36-'DJB Daily Readings'!DI35</f>
        <v>8</v>
      </c>
      <c r="AR28" s="82">
        <f>'DJB Daily Readings'!DO36-'DJB Daily Readings'!DO35</f>
        <v>5</v>
      </c>
      <c r="AS28" s="82">
        <f>'DJB Daily Readings'!DM36-'DJB Daily Readings'!DM35</f>
        <v>5</v>
      </c>
      <c r="AT28" s="82">
        <f>'DJB Daily Readings'!DQ36-'DJB Daily Readings'!DQ35</f>
        <v>0</v>
      </c>
      <c r="AU28" s="82">
        <f>'DJB Daily Readings'!DT36-'DJB Daily Readings'!DT35</f>
        <v>8.8000000000001819</v>
      </c>
      <c r="AW28" s="82">
        <f>'DJB Daily Readings'!DX36-'DJB Daily Readings'!DX35</f>
        <v>6.5999999999999091</v>
      </c>
      <c r="AX28" s="82">
        <f>'DJB Daily Readings'!DZ36-'DJB Daily Readings'!DZ35</f>
        <v>7.8999999999996362</v>
      </c>
      <c r="AY28" s="82">
        <f>'DJB Daily Readings'!EB36-'DJB Daily Readings'!EB35</f>
        <v>812</v>
      </c>
      <c r="AZ28" s="82">
        <f>'DJB Daily Readings'!ED36-'DJB Daily Readings'!ED35</f>
        <v>152.09999999997672</v>
      </c>
      <c r="BA28" s="82">
        <f>'DJB Daily Readings'!EG36-'DJB Daily Readings'!EG35</f>
        <v>5100</v>
      </c>
      <c r="BB28" s="82">
        <f>'DJB Daily Readings'!EI36-'DJB Daily Readings'!EI35</f>
        <v>190</v>
      </c>
      <c r="BC28" s="82">
        <f>'DJB Daily Readings'!EQ36-'DJB Daily Readings'!EQ35</f>
        <v>6100</v>
      </c>
      <c r="BD28" s="82">
        <f>'DJB Daily Readings'!EK36-'DJB Daily Readings'!EK35</f>
        <v>2800</v>
      </c>
      <c r="BE28" s="82">
        <f>'DJB Daily Readings'!EM36-'DJB Daily Readings'!EM35</f>
        <v>600</v>
      </c>
      <c r="BF28" s="82">
        <f>'DJB Daily Readings'!EO36-'DJB Daily Readings'!EO35</f>
        <v>390</v>
      </c>
      <c r="BG28" s="82">
        <f>('DJB Daily Readings'!ET36-'DJB Daily Readings'!ET35)*1.89</f>
        <v>28.349999999999998</v>
      </c>
      <c r="BH28" s="82">
        <f>('DJB Daily Readings'!EV36-'DJB Daily Readings'!EV35)*1.89</f>
        <v>20.79</v>
      </c>
      <c r="BI28" s="82">
        <f>('DJB Daily Readings'!EZ36-'DJB Daily Readings'!EZ35)*1.89</f>
        <v>17.009999999999998</v>
      </c>
      <c r="BJ28" s="82">
        <f>('DJB Daily Readings'!EX36-'DJB Daily Readings'!EX35)*1.89</f>
        <v>18.899999999999999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4</v>
      </c>
      <c r="D29">
        <v>2022</v>
      </c>
      <c r="E29" s="78">
        <f>237*0.82</f>
        <v>194.33999999999997</v>
      </c>
      <c r="F29" s="79">
        <f>307+63</f>
        <v>370</v>
      </c>
      <c r="G29" s="3">
        <f>'DJB Daily Readings'!C37-'DJB Daily Readings'!C36</f>
        <v>778</v>
      </c>
      <c r="H29" s="3">
        <f>'DJB Daily Readings'!F37-'DJB Daily Readings'!F36</f>
        <v>371</v>
      </c>
      <c r="I29" s="3">
        <f>'DJB Daily Readings'!K37-'DJB Daily Readings'!K36</f>
        <v>326</v>
      </c>
      <c r="J29" s="3">
        <f>'DJB Daily Readings'!K37-'DJB Daily Readings'!K36</f>
        <v>326</v>
      </c>
      <c r="K29" s="3">
        <f>'DJB Daily Readings'!O37-'DJB Daily Readings'!O36</f>
        <v>164.08999999999651</v>
      </c>
      <c r="L29" s="3">
        <f>'DJB Daily Readings'!R37-'DJB Daily Readings'!R36</f>
        <v>28</v>
      </c>
      <c r="M29" s="3">
        <f>'DJB Daily Readings'!U37-'DJB Daily Readings'!U36</f>
        <v>1997.519999999553</v>
      </c>
      <c r="N29" s="3">
        <f>'DJB Daily Readings'!X37-'DJB Daily Readings'!X36</f>
        <v>4920.7199999988079</v>
      </c>
      <c r="O29" s="3">
        <f>'DJB Daily Readings'!AA37-'DJB Daily Readings'!AA36</f>
        <v>2582.160000000149</v>
      </c>
      <c r="P29" s="3">
        <f>'DJB Daily Readings'!AD37-'DJB Daily Readings'!AD36</f>
        <v>12618.480000004172</v>
      </c>
      <c r="Q29" s="3">
        <f>'DJB Daily Readings'!AG37-'DJB Daily Readings'!AG36</f>
        <v>974.39999999850988</v>
      </c>
      <c r="R29" s="3">
        <f>'DJB Daily Readings'!AJ37-'DJB Daily Readings'!AJ36</f>
        <v>5895.1199999991804</v>
      </c>
      <c r="S29" s="3">
        <f>'DJB Daily Readings'!AM37-'DJB Daily Readings'!AM36</f>
        <v>4774.5599999986589</v>
      </c>
      <c r="T29" s="3">
        <f>'DJB Daily Readings'!AP37-'DJB Daily Readings'!AP36</f>
        <v>4725.839999999851</v>
      </c>
      <c r="U29" s="3">
        <f>'DJB Daily Readings'!AS37-'DJB Daily Readings'!AS36</f>
        <v>2923.1999999992549</v>
      </c>
      <c r="V29" s="3">
        <f>'DJB Daily Readings'!AV37-'DJB Daily Readings'!AV36</f>
        <v>5602.8000000007451</v>
      </c>
      <c r="W29" s="3">
        <f>'DJB Daily Readings'!AZ37-'DJB Daily Readings'!AZ36</f>
        <v>13800</v>
      </c>
      <c r="X29" s="3">
        <f>'DJB Daily Readings'!BC37-'DJB Daily Readings'!BC36</f>
        <v>62700</v>
      </c>
      <c r="Y29" s="3">
        <f>'DJB Daily Readings'!BF37-'DJB Daily Readings'!BF36</f>
        <v>0</v>
      </c>
      <c r="Z29" s="3">
        <f>('DJB Daily Readings'!CK37-'DJB Daily Readings'!CK36)*1.89</f>
        <v>181.44</v>
      </c>
      <c r="AA29" s="3">
        <f>('DJB Daily Readings'!CN37-'DJB Daily Readings'!CN36)*1.89</f>
        <v>211.67999999999998</v>
      </c>
      <c r="AB29" s="3">
        <f>('DJB Daily Readings'!CQ37-'DJB Daily Readings'!CQ36)*1.89</f>
        <v>0</v>
      </c>
      <c r="AC29" s="3">
        <f>'DJB Daily Readings'!CT37-'DJB Daily Readings'!CT36</f>
        <v>0</v>
      </c>
      <c r="AD29" s="84">
        <f>('DJB Daily Readings'!BY37-'DJB Daily Readings'!BY36)*1.89</f>
        <v>34.019999999999996</v>
      </c>
      <c r="AE29" s="84">
        <f>('DJB Daily Readings'!CA37-'DJB Daily Readings'!CA36)*1.89</f>
        <v>43.47</v>
      </c>
      <c r="AF29" s="84">
        <f>('DJB Daily Readings'!CC37-'DJB Daily Readings'!CC36)*1.89</f>
        <v>9.4499999999999993</v>
      </c>
      <c r="AG29" s="84">
        <f>('DJB Daily Readings'!CE37-'DJB Daily Readings'!CE36)*1.89</f>
        <v>13.229999999999999</v>
      </c>
      <c r="AH29" s="84">
        <f>('DJB Daily Readings'!CG37-'DJB Daily Readings'!CG36)*1.89</f>
        <v>17.009999999999998</v>
      </c>
      <c r="AI29" s="84">
        <f>('DJB Daily Readings'!CI37-'DJB Daily Readings'!CI36)*1.89</f>
        <v>49.14</v>
      </c>
      <c r="AJ29" s="81">
        <f>'DJB Daily Readings'!CY37-'DJB Daily Readings'!CY36</f>
        <v>2</v>
      </c>
      <c r="AK29" s="81">
        <f>'DJB Daily Readings'!CW37-'DJB Daily Readings'!CW36</f>
        <v>4</v>
      </c>
      <c r="AL29" s="82">
        <f>'DJB Daily Readings'!DC37-'DJB Daily Readings'!DC36</f>
        <v>13</v>
      </c>
      <c r="AM29" s="82">
        <f>'DJB Daily Readings'!DA37-'DJB Daily Readings'!DA36</f>
        <v>15</v>
      </c>
      <c r="AN29" s="82">
        <f>'DJB Daily Readings'!DG37-'DJB Daily Readings'!DG36</f>
        <v>4</v>
      </c>
      <c r="AO29" s="82">
        <f>'DJB Daily Readings'!DE37-'DJB Daily Readings'!DE36</f>
        <v>8</v>
      </c>
      <c r="AP29" s="82">
        <f>'DJB Daily Readings'!DK37-'DJB Daily Readings'!DK36</f>
        <v>6</v>
      </c>
      <c r="AQ29" s="82">
        <f>'DJB Daily Readings'!DI37-'DJB Daily Readings'!DI36</f>
        <v>9</v>
      </c>
      <c r="AR29" s="82">
        <f>'DJB Daily Readings'!DO37-'DJB Daily Readings'!DO36</f>
        <v>8</v>
      </c>
      <c r="AS29" s="82">
        <f>'DJB Daily Readings'!DM37-'DJB Daily Readings'!DM36</f>
        <v>4</v>
      </c>
      <c r="AT29" s="82">
        <f>'DJB Daily Readings'!DQ37-'DJB Daily Readings'!DQ36</f>
        <v>100</v>
      </c>
      <c r="AU29" s="82">
        <f>'DJB Daily Readings'!DT37-'DJB Daily Readings'!DT36</f>
        <v>8.9000000000005457</v>
      </c>
      <c r="AW29" s="82">
        <f>'DJB Daily Readings'!DX37-'DJB Daily Readings'!DX36</f>
        <v>6.8000000000001819</v>
      </c>
      <c r="AX29" s="82">
        <f>'DJB Daily Readings'!DZ37-'DJB Daily Readings'!DZ36</f>
        <v>8.7000000000002728</v>
      </c>
      <c r="AY29" s="82">
        <f>'DJB Daily Readings'!EB37-'DJB Daily Readings'!EB36</f>
        <v>832</v>
      </c>
      <c r="AZ29" s="82">
        <f>'DJB Daily Readings'!ED37-'DJB Daily Readings'!ED36</f>
        <v>158.80000000001746</v>
      </c>
      <c r="BA29" s="82">
        <f>'DJB Daily Readings'!EG37-'DJB Daily Readings'!EG36</f>
        <v>4800</v>
      </c>
      <c r="BB29" s="82">
        <f>'DJB Daily Readings'!EI37-'DJB Daily Readings'!EI36</f>
        <v>220</v>
      </c>
      <c r="BC29" s="82">
        <f>'DJB Daily Readings'!EQ37-'DJB Daily Readings'!EQ36</f>
        <v>6200</v>
      </c>
      <c r="BD29" s="82">
        <f>'DJB Daily Readings'!EK37-'DJB Daily Readings'!EK36</f>
        <v>2600</v>
      </c>
      <c r="BE29" s="82">
        <f>'DJB Daily Readings'!EM37-'DJB Daily Readings'!EM36</f>
        <v>700</v>
      </c>
      <c r="BF29" s="82">
        <f>'DJB Daily Readings'!EO37-'DJB Daily Readings'!EO36</f>
        <v>370</v>
      </c>
      <c r="BG29" s="82">
        <f>('DJB Daily Readings'!ET37-'DJB Daily Readings'!ET36)*1.89</f>
        <v>30.24</v>
      </c>
      <c r="BH29" s="82">
        <f>('DJB Daily Readings'!EV37-'DJB Daily Readings'!EV36)*1.89</f>
        <v>20.79</v>
      </c>
      <c r="BI29" s="82">
        <f>('DJB Daily Readings'!EZ37-'DJB Daily Readings'!EZ36)*1.89</f>
        <v>17.009999999999998</v>
      </c>
      <c r="BJ29" s="82">
        <f>('DJB Daily Readings'!EX37-'DJB Daily Readings'!EX36)*1.89</f>
        <v>17.009999999999998</v>
      </c>
      <c r="BK29" s="82">
        <f>('DJB Daily Readings'!FB37-'DJB Daily Readings'!FB36)*1.89</f>
        <v>64.259999999999991</v>
      </c>
    </row>
    <row r="30" spans="1:63" x14ac:dyDescent="0.25">
      <c r="A30" t="s">
        <v>59</v>
      </c>
      <c r="B30">
        <f t="shared" si="0"/>
        <v>29</v>
      </c>
      <c r="C30">
        <v>4</v>
      </c>
      <c r="D30">
        <v>2022</v>
      </c>
      <c r="E30" s="78">
        <f>237*0.76</f>
        <v>180.12</v>
      </c>
      <c r="F30" s="79">
        <f>283+57</f>
        <v>340</v>
      </c>
      <c r="G30" s="3">
        <f>'DJB Daily Readings'!C38-'DJB Daily Readings'!C37</f>
        <v>779</v>
      </c>
      <c r="H30" s="3">
        <f>'DJB Daily Readings'!F38-'DJB Daily Readings'!F37</f>
        <v>372</v>
      </c>
      <c r="I30" s="3">
        <f>'DJB Daily Readings'!K38-'DJB Daily Readings'!K37</f>
        <v>299</v>
      </c>
      <c r="J30" s="3">
        <f>'DJB Daily Readings'!K38-'DJB Daily Readings'!K37</f>
        <v>299</v>
      </c>
      <c r="K30" s="3">
        <f>'DJB Daily Readings'!O38-'DJB Daily Readings'!O37</f>
        <v>178.48000000001048</v>
      </c>
      <c r="L30" s="3">
        <f>'DJB Daily Readings'!R38-'DJB Daily Readings'!R37</f>
        <v>33</v>
      </c>
      <c r="M30" s="3">
        <f>'DJB Daily Readings'!U38-'DJB Daily Readings'!U37</f>
        <v>1997.5200000004843</v>
      </c>
      <c r="N30" s="3">
        <f>'DJB Daily Readings'!X38-'DJB Daily Readings'!X37</f>
        <v>4725.839999999851</v>
      </c>
      <c r="O30" s="3">
        <f>'DJB Daily Readings'!AA38-'DJB Daily Readings'!AA37</f>
        <v>4092.480000000447</v>
      </c>
      <c r="P30" s="3">
        <f>'DJB Daily Readings'!AD38-'DJB Daily Readings'!AD37</f>
        <v>12131.279999997467</v>
      </c>
      <c r="Q30" s="3">
        <f>'DJB Daily Readings'!AG38-'DJB Daily Readings'!AG37</f>
        <v>1023.1200000047684</v>
      </c>
      <c r="R30" s="3">
        <f>'DJB Daily Readings'!AJ38-'DJB Daily Readings'!AJ37</f>
        <v>5651.5200000032783</v>
      </c>
      <c r="S30" s="3">
        <f>'DJB Daily Readings'!AM38-'DJB Daily Readings'!AM37</f>
        <v>4336.0800000019372</v>
      </c>
      <c r="T30" s="3">
        <f>'DJB Daily Readings'!AP38-'DJB Daily Readings'!AP37</f>
        <v>4725.8399999979883</v>
      </c>
      <c r="U30" s="3">
        <f>'DJB Daily Readings'!AS38-'DJB Daily Readings'!AS37</f>
        <v>2777.0400000009686</v>
      </c>
      <c r="V30" s="3">
        <f>'DJB Daily Readings'!AV38-'DJB Daily Readings'!AV37</f>
        <v>5505.3600000012666</v>
      </c>
      <c r="W30" s="3">
        <f>'DJB Daily Readings'!AZ38-'DJB Daily Readings'!AZ37</f>
        <v>21300</v>
      </c>
      <c r="X30" s="3">
        <f>'DJB Daily Readings'!BC38-'DJB Daily Readings'!BC37</f>
        <v>61400</v>
      </c>
      <c r="Y30" s="3">
        <f>'DJB Daily Readings'!BF38-'DJB Daily Readings'!BF37</f>
        <v>0</v>
      </c>
      <c r="Z30" s="3">
        <f>('DJB Daily Readings'!CK38-'DJB Daily Readings'!CK37)*1.89</f>
        <v>162.54</v>
      </c>
      <c r="AA30" s="3">
        <f>('DJB Daily Readings'!CN38-'DJB Daily Readings'!CN37)*1.89</f>
        <v>209.79</v>
      </c>
      <c r="AB30" s="3">
        <f>('DJB Daily Readings'!CQ38-'DJB Daily Readings'!CQ37)*1.89</f>
        <v>0</v>
      </c>
      <c r="AC30" s="3">
        <f>'DJB Daily Readings'!CT38-'DJB Daily Readings'!CT37</f>
        <v>203</v>
      </c>
      <c r="AD30" s="84">
        <f>('DJB Daily Readings'!BY38-'DJB Daily Readings'!BY37)*1.89</f>
        <v>28.349999999999998</v>
      </c>
      <c r="AE30" s="84">
        <f>('DJB Daily Readings'!CA38-'DJB Daily Readings'!CA37)*1.89</f>
        <v>35.909999999999997</v>
      </c>
      <c r="AF30" s="84">
        <f>('DJB Daily Readings'!CC38-'DJB Daily Readings'!CC37)*1.89</f>
        <v>9.4499999999999993</v>
      </c>
      <c r="AG30" s="84">
        <f>('DJB Daily Readings'!CE38-'DJB Daily Readings'!CE37)*1.89</f>
        <v>13.229999999999999</v>
      </c>
      <c r="AH30" s="84">
        <f>('DJB Daily Readings'!CG38-'DJB Daily Readings'!CG37)*1.89</f>
        <v>15.12</v>
      </c>
      <c r="AI30" s="84">
        <f>('DJB Daily Readings'!CI38-'DJB Daily Readings'!CI37)*1.89</f>
        <v>51.029999999999994</v>
      </c>
      <c r="AJ30" s="81">
        <f>'DJB Daily Readings'!CY38-'DJB Daily Readings'!CY37</f>
        <v>3</v>
      </c>
      <c r="AK30" s="81">
        <f>'DJB Daily Readings'!CW38-'DJB Daily Readings'!CW37</f>
        <v>4</v>
      </c>
      <c r="AL30" s="82">
        <f>'DJB Daily Readings'!DC38-'DJB Daily Readings'!DC37</f>
        <v>14</v>
      </c>
      <c r="AM30" s="82">
        <f>'DJB Daily Readings'!DA38-'DJB Daily Readings'!DA37</f>
        <v>14</v>
      </c>
      <c r="AN30" s="82">
        <f>'DJB Daily Readings'!DG38-'DJB Daily Readings'!DG37</f>
        <v>4</v>
      </c>
      <c r="AO30" s="82">
        <f>'DJB Daily Readings'!DE38-'DJB Daily Readings'!DE37</f>
        <v>10</v>
      </c>
      <c r="AP30" s="82">
        <f>'DJB Daily Readings'!DK38-'DJB Daily Readings'!DK37</f>
        <v>7</v>
      </c>
      <c r="AQ30" s="82">
        <f>'DJB Daily Readings'!DI38-'DJB Daily Readings'!DI37</f>
        <v>9</v>
      </c>
      <c r="AR30" s="82">
        <f>'DJB Daily Readings'!DO38-'DJB Daily Readings'!DO37</f>
        <v>7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9.0999999999994543</v>
      </c>
      <c r="AW30" s="82">
        <f>'DJB Daily Readings'!DX38-'DJB Daily Readings'!DX37</f>
        <v>6.5999999999999091</v>
      </c>
      <c r="AX30" s="82">
        <f>'DJB Daily Readings'!DZ38-'DJB Daily Readings'!DZ37</f>
        <v>8.5</v>
      </c>
      <c r="AY30" s="82">
        <f>'DJB Daily Readings'!EB38-'DJB Daily Readings'!EB37</f>
        <v>797</v>
      </c>
      <c r="AZ30" s="82">
        <f>'DJB Daily Readings'!ED38-'DJB Daily Readings'!ED37</f>
        <v>150.5</v>
      </c>
      <c r="BA30" s="82">
        <f>'DJB Daily Readings'!EG38-'DJB Daily Readings'!EG37</f>
        <v>4900</v>
      </c>
      <c r="BB30" s="82">
        <f>'DJB Daily Readings'!EI38-'DJB Daily Readings'!EI37</f>
        <v>230</v>
      </c>
      <c r="BC30" s="82">
        <f>'DJB Daily Readings'!EQ38-'DJB Daily Readings'!EQ37</f>
        <v>5900</v>
      </c>
      <c r="BD30" s="82">
        <f>'DJB Daily Readings'!EK38-'DJB Daily Readings'!EK37</f>
        <v>2700</v>
      </c>
      <c r="BE30" s="82">
        <f>'DJB Daily Readings'!EM38-'DJB Daily Readings'!EM37</f>
        <v>300</v>
      </c>
      <c r="BF30" s="82">
        <f>'DJB Daily Readings'!EO38-'DJB Daily Readings'!EO37</f>
        <v>580</v>
      </c>
      <c r="BG30" s="82">
        <f>('DJB Daily Readings'!ET38-'DJB Daily Readings'!ET37)*1.89</f>
        <v>32.129999999999995</v>
      </c>
      <c r="BH30" s="82">
        <f>('DJB Daily Readings'!EV38-'DJB Daily Readings'!EV37)*1.89</f>
        <v>20.79</v>
      </c>
      <c r="BI30" s="82">
        <f>('DJB Daily Readings'!EZ38-'DJB Daily Readings'!EZ37)*1.89</f>
        <v>18.899999999999999</v>
      </c>
      <c r="BJ30" s="82">
        <f>('DJB Daily Readings'!EX38-'DJB Daily Readings'!EX37)*1.89</f>
        <v>18.899999999999999</v>
      </c>
      <c r="BK30" s="82">
        <f>('DJB Daily Readings'!FB38-'DJB Daily Readings'!FB37)*1.89</f>
        <v>56.699999999999996</v>
      </c>
    </row>
    <row r="31" spans="1:63" x14ac:dyDescent="0.25">
      <c r="A31" t="s">
        <v>59</v>
      </c>
      <c r="B31">
        <f t="shared" si="0"/>
        <v>30</v>
      </c>
      <c r="C31">
        <v>4</v>
      </c>
      <c r="D31">
        <v>2022</v>
      </c>
      <c r="E31" s="78">
        <f>237*0.73</f>
        <v>173.01</v>
      </c>
      <c r="F31" s="79">
        <f>278+63</f>
        <v>341</v>
      </c>
      <c r="G31" s="3">
        <f>'DJB Daily Readings'!C39-'DJB Daily Readings'!C38</f>
        <v>767</v>
      </c>
      <c r="H31" s="3">
        <f>'DJB Daily Readings'!F39-'DJB Daily Readings'!F38</f>
        <v>394</v>
      </c>
      <c r="I31" s="3">
        <f>'DJB Daily Readings'!K39-'DJB Daily Readings'!K38</f>
        <v>302</v>
      </c>
      <c r="J31" s="3">
        <f>'DJB Daily Readings'!K39-'DJB Daily Readings'!K38</f>
        <v>302</v>
      </c>
      <c r="K31" s="3">
        <f>'DJB Daily Readings'!O39-'DJB Daily Readings'!O38</f>
        <v>169.50999999999476</v>
      </c>
      <c r="L31" s="3">
        <f>'DJB Daily Readings'!R39-'DJB Daily Readings'!R38</f>
        <v>34</v>
      </c>
      <c r="M31" s="3">
        <f>'DJB Daily Readings'!U39-'DJB Daily Readings'!U38</f>
        <v>3848.8799999998882</v>
      </c>
      <c r="N31" s="3">
        <f>'DJB Daily Readings'!X39-'DJB Daily Readings'!X38</f>
        <v>4725.839999999851</v>
      </c>
      <c r="O31" s="3">
        <f>'DJB Daily Readings'!AA39-'DJB Daily Readings'!AA38</f>
        <v>925.68000000156462</v>
      </c>
      <c r="P31" s="3">
        <f>'DJB Daily Readings'!AD39-'DJB Daily Readings'!AD38</f>
        <v>5505.359999999404</v>
      </c>
      <c r="Q31" s="3">
        <f>'DJB Daily Readings'!AG39-'DJB Daily Readings'!AG38</f>
        <v>8282.3999999985099</v>
      </c>
      <c r="R31" s="3">
        <f>'DJB Daily Readings'!AJ39-'DJB Daily Readings'!AJ38</f>
        <v>5748.9599999971688</v>
      </c>
      <c r="S31" s="3">
        <f>'DJB Daily Readings'!AM39-'DJB Daily Readings'!AM38</f>
        <v>4238.6399999987334</v>
      </c>
      <c r="T31" s="3">
        <f>'DJB Daily Readings'!AP39-'DJB Daily Readings'!AP38</f>
        <v>4725.8400000017136</v>
      </c>
      <c r="U31" s="3">
        <f>'DJB Daily Readings'!AS39-'DJB Daily Readings'!AS38</f>
        <v>2630.8799999989569</v>
      </c>
      <c r="V31" s="3">
        <f>'DJB Daily Readings'!AV39-'DJB Daily Readings'!AV38</f>
        <v>5943.8399999979883</v>
      </c>
      <c r="W31" s="3">
        <f>'DJB Daily Readings'!AZ39-'DJB Daily Readings'!AZ38</f>
        <v>0</v>
      </c>
      <c r="X31" s="3">
        <f>'DJB Daily Readings'!BC39-'DJB Daily Readings'!BC38</f>
        <v>31600</v>
      </c>
      <c r="Y31" s="3">
        <f>'DJB Daily Readings'!BF39-'DJB Daily Readings'!BF38</f>
        <v>47800</v>
      </c>
      <c r="Z31" s="3">
        <f>('DJB Daily Readings'!CK39-'DJB Daily Readings'!CK38)*1.89</f>
        <v>166.32</v>
      </c>
      <c r="AA31" s="3">
        <f>('DJB Daily Readings'!CN39-'DJB Daily Readings'!CN38)*1.89</f>
        <v>198.45</v>
      </c>
      <c r="AB31" s="3">
        <f>('DJB Daily Readings'!CQ39-'DJB Daily Readings'!CQ38)*1.89</f>
        <v>90.72</v>
      </c>
      <c r="AC31" s="3">
        <f>'DJB Daily Readings'!CT39-'DJB Daily Readings'!CT38</f>
        <v>217</v>
      </c>
      <c r="AD31" s="84">
        <f>('DJB Daily Readings'!BY39-'DJB Daily Readings'!BY38)*1.89</f>
        <v>37.799999999999997</v>
      </c>
      <c r="AE31" s="84">
        <f>('DJB Daily Readings'!CA39-'DJB Daily Readings'!CA38)*1.89</f>
        <v>37.799999999999997</v>
      </c>
      <c r="AF31" s="84">
        <f>('DJB Daily Readings'!CC39-'DJB Daily Readings'!CC38)*1.89</f>
        <v>5.67</v>
      </c>
      <c r="AG31" s="84">
        <f>('DJB Daily Readings'!CE39-'DJB Daily Readings'!CE38)*1.89</f>
        <v>13.229999999999999</v>
      </c>
      <c r="AH31" s="84">
        <f>('DJB Daily Readings'!CG39-'DJB Daily Readings'!CG38)*1.89</f>
        <v>17.009999999999998</v>
      </c>
      <c r="AI31" s="84">
        <f>('DJB Daily Readings'!CI39-'DJB Daily Readings'!CI38)*1.89</f>
        <v>49.14</v>
      </c>
      <c r="AJ31" s="81">
        <f>'DJB Daily Readings'!CY39-'DJB Daily Readings'!CY38</f>
        <v>4</v>
      </c>
      <c r="AK31" s="81">
        <f>'DJB Daily Readings'!CW39-'DJB Daily Readings'!CW38</f>
        <v>3</v>
      </c>
      <c r="AL31" s="82">
        <f>'DJB Daily Readings'!DC39-'DJB Daily Readings'!DC38</f>
        <v>15</v>
      </c>
      <c r="AM31" s="82">
        <f>'DJB Daily Readings'!DA39-'DJB Daily Readings'!DA38</f>
        <v>18</v>
      </c>
      <c r="AN31" s="82">
        <f>'DJB Daily Readings'!DG39-'DJB Daily Readings'!DG38</f>
        <v>5</v>
      </c>
      <c r="AO31" s="82">
        <f>'DJB Daily Readings'!DE39-'DJB Daily Readings'!DE38</f>
        <v>9</v>
      </c>
      <c r="AP31" s="82">
        <f>'DJB Daily Readings'!DK39-'DJB Daily Readings'!DK38</f>
        <v>12</v>
      </c>
      <c r="AQ31" s="82">
        <f>'DJB Daily Readings'!DI39-'DJB Daily Readings'!DI38</f>
        <v>12</v>
      </c>
      <c r="AR31" s="82">
        <f>'DJB Daily Readings'!DO39-'DJB Daily Readings'!DO38</f>
        <v>7</v>
      </c>
      <c r="AS31" s="82">
        <f>'DJB Daily Readings'!DM39-'DJB Daily Readings'!DM38</f>
        <v>4</v>
      </c>
      <c r="AT31" s="82">
        <f>'DJB Daily Readings'!DQ39-'DJB Daily Readings'!DQ38</f>
        <v>0</v>
      </c>
      <c r="AU31" s="82">
        <f>'DJB Daily Readings'!DT39-'DJB Daily Readings'!DT38</f>
        <v>11.199999999999818</v>
      </c>
      <c r="AW31" s="82">
        <f>'DJB Daily Readings'!DX39-'DJB Daily Readings'!DX38</f>
        <v>8.0999999999999091</v>
      </c>
      <c r="AX31" s="82">
        <f>'DJB Daily Readings'!DZ39-'DJB Daily Readings'!DZ38</f>
        <v>11.299999999999727</v>
      </c>
      <c r="AY31" s="82">
        <f>'DJB Daily Readings'!EB39-'DJB Daily Readings'!EB38</f>
        <v>645</v>
      </c>
      <c r="AZ31" s="82">
        <f>'DJB Daily Readings'!ED39-'DJB Daily Readings'!ED38</f>
        <v>181.10000000000582</v>
      </c>
      <c r="BA31" s="82">
        <f>'DJB Daily Readings'!EG39-'DJB Daily Readings'!EG38</f>
        <v>6100</v>
      </c>
      <c r="BB31" s="82">
        <f>'DJB Daily Readings'!EI39-'DJB Daily Readings'!EI38</f>
        <v>280</v>
      </c>
      <c r="BC31" s="82">
        <f>'DJB Daily Readings'!EQ39-'DJB Daily Readings'!EQ38</f>
        <v>8300</v>
      </c>
      <c r="BD31" s="82">
        <f>'DJB Daily Readings'!EK39-'DJB Daily Readings'!EK38</f>
        <v>3400</v>
      </c>
      <c r="BE31" s="82">
        <f>'DJB Daily Readings'!EM39-'DJB Daily Readings'!EM38</f>
        <v>1800</v>
      </c>
      <c r="BF31" s="82">
        <f>'DJB Daily Readings'!EO39-'DJB Daily Readings'!EO38</f>
        <v>880</v>
      </c>
      <c r="BG31" s="82">
        <f>('DJB Daily Readings'!ET39-'DJB Daily Readings'!ET38)*1.89</f>
        <v>34.019999999999996</v>
      </c>
      <c r="BH31" s="82">
        <f>('DJB Daily Readings'!EV39-'DJB Daily Readings'!EV38)*1.89</f>
        <v>22.68</v>
      </c>
      <c r="BI31" s="82">
        <f>('DJB Daily Readings'!EZ39-'DJB Daily Readings'!EZ38)*1.89</f>
        <v>22.68</v>
      </c>
      <c r="BJ31" s="82">
        <f>('DJB Daily Readings'!EX39-'DJB Daily Readings'!EX38)*1.89</f>
        <v>22.68</v>
      </c>
      <c r="BK31" s="82">
        <f>('DJB Daily Readings'!FB39-'DJB Daily Readings'!FB38)*1.89</f>
        <v>52.919999999999995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90" t="s">
        <v>105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185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516"/>
      <c r="U6" s="495" t="s">
        <v>186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2"/>
      <c r="AZ6" s="495" t="s">
        <v>187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88"/>
      <c r="BV6" s="498" t="s">
        <v>188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49"/>
      <c r="CW6" s="508" t="s">
        <v>180</v>
      </c>
      <c r="CX6" s="508"/>
      <c r="CY6" s="508"/>
      <c r="CZ6" s="508"/>
      <c r="DA6" s="508"/>
      <c r="DB6" s="508"/>
      <c r="DC6" s="508"/>
      <c r="DD6" s="508"/>
      <c r="DE6" s="508"/>
      <c r="DF6" s="508"/>
      <c r="DG6" s="508"/>
      <c r="DH6" s="508"/>
      <c r="DI6" s="508"/>
      <c r="DJ6" s="508"/>
      <c r="DK6" s="508"/>
      <c r="DL6" s="508"/>
      <c r="DM6" s="508"/>
      <c r="DN6" s="508"/>
      <c r="DO6" s="508"/>
      <c r="DP6" s="508"/>
      <c r="DQ6" s="508"/>
      <c r="DR6" s="509"/>
      <c r="DS6" s="434"/>
      <c r="DT6" s="398" t="s">
        <v>189</v>
      </c>
      <c r="DU6" s="399"/>
      <c r="DV6" s="399"/>
      <c r="DW6" s="399"/>
      <c r="DX6" s="399"/>
      <c r="DY6" s="399"/>
      <c r="DZ6" s="399"/>
      <c r="EA6" s="399"/>
      <c r="EB6" s="399"/>
      <c r="EC6" s="399"/>
      <c r="ED6" s="399"/>
      <c r="EE6" s="400"/>
      <c r="EF6" s="372"/>
      <c r="EG6" s="398" t="s">
        <v>190</v>
      </c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400"/>
      <c r="ES6" s="421"/>
      <c r="ET6" s="418" t="s">
        <v>191</v>
      </c>
      <c r="EU6" s="419"/>
      <c r="EV6" s="419"/>
      <c r="EW6" s="419"/>
      <c r="EX6" s="419"/>
      <c r="EY6" s="419"/>
      <c r="EZ6" s="419"/>
      <c r="FA6" s="419"/>
      <c r="FB6" s="419"/>
      <c r="FC6" s="420"/>
    </row>
    <row r="7" spans="1:159" ht="45" customHeight="1" thickBot="1" x14ac:dyDescent="0.3">
      <c r="A7" s="501" t="s">
        <v>18</v>
      </c>
      <c r="B7" s="503" t="s">
        <v>106</v>
      </c>
      <c r="C7" s="462" t="s">
        <v>107</v>
      </c>
      <c r="D7" s="460"/>
      <c r="E7" s="463"/>
      <c r="F7" s="505" t="s">
        <v>0</v>
      </c>
      <c r="G7" s="506"/>
      <c r="H7" s="507"/>
      <c r="I7" s="510" t="s">
        <v>1</v>
      </c>
      <c r="J7" s="510"/>
      <c r="K7" s="511" t="s">
        <v>108</v>
      </c>
      <c r="L7" s="512"/>
      <c r="M7" s="513" t="s">
        <v>109</v>
      </c>
      <c r="N7" s="507"/>
      <c r="O7" s="513" t="s">
        <v>2</v>
      </c>
      <c r="P7" s="506"/>
      <c r="Q7" s="507"/>
      <c r="R7" s="511" t="s">
        <v>110</v>
      </c>
      <c r="S7" s="514"/>
      <c r="T7" s="516"/>
      <c r="U7" s="515" t="s">
        <v>3</v>
      </c>
      <c r="V7" s="475"/>
      <c r="W7" s="476"/>
      <c r="X7" s="474" t="s">
        <v>4</v>
      </c>
      <c r="Y7" s="475"/>
      <c r="Z7" s="476"/>
      <c r="AA7" s="474" t="s">
        <v>5</v>
      </c>
      <c r="AB7" s="475"/>
      <c r="AC7" s="476"/>
      <c r="AD7" s="474" t="s">
        <v>6</v>
      </c>
      <c r="AE7" s="475"/>
      <c r="AF7" s="476"/>
      <c r="AG7" s="474" t="s">
        <v>7</v>
      </c>
      <c r="AH7" s="475"/>
      <c r="AI7" s="476"/>
      <c r="AJ7" s="471" t="s">
        <v>111</v>
      </c>
      <c r="AK7" s="472"/>
      <c r="AL7" s="473"/>
      <c r="AM7" s="471" t="s">
        <v>112</v>
      </c>
      <c r="AN7" s="472"/>
      <c r="AO7" s="473"/>
      <c r="AP7" s="474" t="s">
        <v>8</v>
      </c>
      <c r="AQ7" s="475"/>
      <c r="AR7" s="476"/>
      <c r="AS7" s="471" t="s">
        <v>113</v>
      </c>
      <c r="AT7" s="472"/>
      <c r="AU7" s="473"/>
      <c r="AV7" s="477" t="s">
        <v>9</v>
      </c>
      <c r="AW7" s="478"/>
      <c r="AX7" s="479"/>
      <c r="AY7" s="422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66" t="s">
        <v>114</v>
      </c>
      <c r="BJ7" s="466"/>
      <c r="BK7" s="466" t="s">
        <v>115</v>
      </c>
      <c r="BL7" s="466"/>
      <c r="BM7" s="466" t="s">
        <v>116</v>
      </c>
      <c r="BN7" s="466"/>
      <c r="BO7" s="466" t="s">
        <v>117</v>
      </c>
      <c r="BP7" s="466"/>
      <c r="BQ7" s="467" t="s">
        <v>118</v>
      </c>
      <c r="BR7" s="468"/>
      <c r="BS7" s="469" t="s">
        <v>119</v>
      </c>
      <c r="BT7" s="470"/>
      <c r="BU7" s="389"/>
      <c r="BV7" s="391" t="s">
        <v>13</v>
      </c>
      <c r="BW7" s="392"/>
      <c r="BX7" s="393"/>
      <c r="BY7" s="394" t="s">
        <v>120</v>
      </c>
      <c r="BZ7" s="394"/>
      <c r="CA7" s="395" t="s">
        <v>121</v>
      </c>
      <c r="CB7" s="396"/>
      <c r="CC7" s="395" t="s">
        <v>122</v>
      </c>
      <c r="CD7" s="396"/>
      <c r="CE7" s="395" t="s">
        <v>123</v>
      </c>
      <c r="CF7" s="396"/>
      <c r="CG7" s="395" t="s">
        <v>124</v>
      </c>
      <c r="CH7" s="396"/>
      <c r="CI7" s="395" t="s">
        <v>125</v>
      </c>
      <c r="CJ7" s="396"/>
      <c r="CK7" s="446" t="s">
        <v>14</v>
      </c>
      <c r="CL7" s="392"/>
      <c r="CM7" s="393"/>
      <c r="CN7" s="446" t="s">
        <v>15</v>
      </c>
      <c r="CO7" s="392"/>
      <c r="CP7" s="393"/>
      <c r="CQ7" s="446" t="s">
        <v>16</v>
      </c>
      <c r="CR7" s="392"/>
      <c r="CS7" s="393"/>
      <c r="CT7" s="447" t="s">
        <v>17</v>
      </c>
      <c r="CU7" s="448"/>
      <c r="CV7" s="450"/>
      <c r="CW7" s="416" t="s">
        <v>181</v>
      </c>
      <c r="CX7" s="417"/>
      <c r="CY7" s="417"/>
      <c r="CZ7" s="417"/>
      <c r="DA7" s="459" t="s">
        <v>176</v>
      </c>
      <c r="DB7" s="460"/>
      <c r="DC7" s="460"/>
      <c r="DD7" s="461"/>
      <c r="DE7" s="459" t="s">
        <v>82</v>
      </c>
      <c r="DF7" s="460"/>
      <c r="DG7" s="460"/>
      <c r="DH7" s="460"/>
      <c r="DI7" s="416" t="s">
        <v>83</v>
      </c>
      <c r="DJ7" s="459"/>
      <c r="DK7" s="459"/>
      <c r="DL7" s="424"/>
      <c r="DM7" s="462" t="s">
        <v>84</v>
      </c>
      <c r="DN7" s="460"/>
      <c r="DO7" s="460"/>
      <c r="DP7" s="463"/>
      <c r="DQ7" s="462" t="s">
        <v>85</v>
      </c>
      <c r="DR7" s="463"/>
      <c r="DS7" s="435"/>
      <c r="DT7" s="432" t="s">
        <v>86</v>
      </c>
      <c r="DU7" s="433"/>
      <c r="DV7" s="440" t="s">
        <v>184</v>
      </c>
      <c r="DW7" s="433"/>
      <c r="DX7" s="397" t="s">
        <v>87</v>
      </c>
      <c r="DY7" s="440"/>
      <c r="DZ7" s="440" t="s">
        <v>88</v>
      </c>
      <c r="EA7" s="433"/>
      <c r="EB7" s="440" t="s">
        <v>89</v>
      </c>
      <c r="EC7" s="433"/>
      <c r="ED7" s="440" t="s">
        <v>90</v>
      </c>
      <c r="EE7" s="441"/>
      <c r="EF7" s="373"/>
      <c r="EG7" s="414" t="s">
        <v>91</v>
      </c>
      <c r="EH7" s="397"/>
      <c r="EI7" s="397" t="s">
        <v>92</v>
      </c>
      <c r="EJ7" s="397"/>
      <c r="EK7" s="397" t="s">
        <v>93</v>
      </c>
      <c r="EL7" s="397"/>
      <c r="EM7" s="397" t="s">
        <v>94</v>
      </c>
      <c r="EN7" s="397"/>
      <c r="EO7" s="397" t="s">
        <v>95</v>
      </c>
      <c r="EP7" s="397"/>
      <c r="EQ7" s="397" t="s">
        <v>183</v>
      </c>
      <c r="ER7" s="415"/>
      <c r="ES7" s="421"/>
      <c r="ET7" s="416" t="s">
        <v>96</v>
      </c>
      <c r="EU7" s="417"/>
      <c r="EV7" s="417" t="s">
        <v>97</v>
      </c>
      <c r="EW7" s="417"/>
      <c r="EX7" s="417" t="s">
        <v>98</v>
      </c>
      <c r="EY7" s="417"/>
      <c r="EZ7" s="417" t="s">
        <v>182</v>
      </c>
      <c r="FA7" s="417"/>
      <c r="FB7" s="417" t="s">
        <v>99</v>
      </c>
      <c r="FC7" s="424"/>
    </row>
    <row r="8" spans="1:159" s="4" customFormat="1" ht="44.25" customHeight="1" thickBot="1" x14ac:dyDescent="0.3">
      <c r="A8" s="502"/>
      <c r="B8" s="50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1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22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50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35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73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22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406">
        <f>C10-C9</f>
        <v>691</v>
      </c>
      <c r="E9" s="408">
        <f>'[1]April - 2022'!G9</f>
        <v>560</v>
      </c>
      <c r="F9" s="168">
        <f>'[1]April - 2022'!H9</f>
        <v>140888</v>
      </c>
      <c r="G9" s="364">
        <f>F10-F9</f>
        <v>441</v>
      </c>
      <c r="H9" s="408">
        <f>'[1]April - 2022'!J9</f>
        <v>380.55999999999995</v>
      </c>
      <c r="I9" s="261">
        <f>'[1]April - 2022'!K9</f>
        <v>164625</v>
      </c>
      <c r="J9" s="364">
        <f>I10-I9</f>
        <v>0</v>
      </c>
      <c r="K9" s="261">
        <f>'[1]April - 2022'!N9</f>
        <v>840477</v>
      </c>
      <c r="L9" s="363">
        <f>K10-K9</f>
        <v>137</v>
      </c>
      <c r="M9" s="261">
        <f>'[1]April - 2022'!Q9</f>
        <v>196477</v>
      </c>
      <c r="N9" s="363">
        <f>M10-M9</f>
        <v>87</v>
      </c>
      <c r="O9" s="261">
        <f>'[1]April - 2022'!U9</f>
        <v>62426.38</v>
      </c>
      <c r="P9" s="364">
        <f>O10-O9</f>
        <v>107.68000000000029</v>
      </c>
      <c r="Q9" s="408">
        <f>'[1]April - 2022'!W9</f>
        <v>104.30000000000001</v>
      </c>
      <c r="R9" s="261">
        <f>'[1]April - 2022'!X9</f>
        <v>4780</v>
      </c>
      <c r="S9" s="410">
        <f>R10-R9</f>
        <v>7</v>
      </c>
      <c r="T9" s="517"/>
      <c r="U9" s="266">
        <f>'[1]April - 2022'!AE9</f>
        <v>7469652.959999999</v>
      </c>
      <c r="V9" s="412">
        <f>U10-U9</f>
        <v>2046.2400000011548</v>
      </c>
      <c r="W9" s="404">
        <f>'[1]April - 2022'!AG9</f>
        <v>2289.839999999851</v>
      </c>
      <c r="X9" s="254">
        <f>'[1]April - 2022'!AH9</f>
        <v>14282560.319999998</v>
      </c>
      <c r="Y9" s="364">
        <f>X10-X9</f>
        <v>4823.2800000011921</v>
      </c>
      <c r="Z9" s="404">
        <f>'[1]April - 2022'!AJ9</f>
        <v>3946.3199999984354</v>
      </c>
      <c r="AA9" s="254">
        <f>'[1]April - 2022'!AK9</f>
        <v>13973188.319999998</v>
      </c>
      <c r="AB9" s="364">
        <f>AA10-AA9</f>
        <v>341.04000000096858</v>
      </c>
      <c r="AC9" s="404">
        <f>'[1]April - 2022'!AM9</f>
        <v>26308.800000000745</v>
      </c>
      <c r="AD9" s="254">
        <f>'[1]April - 2022'!AN9</f>
        <v>17117138.639999997</v>
      </c>
      <c r="AE9" s="364">
        <f>AD10-AD9</f>
        <v>10962</v>
      </c>
      <c r="AF9" s="404">
        <f>'[1]April - 2022'!AP9</f>
        <v>0</v>
      </c>
      <c r="AG9" s="254">
        <f>'[1]April - 2022'!AQ9</f>
        <v>17485656.719999999</v>
      </c>
      <c r="AH9" s="364">
        <f>AG10-AG9</f>
        <v>779.51999999955297</v>
      </c>
      <c r="AI9" s="404">
        <f>'[1]April - 2022'!AS9</f>
        <v>389.75999999791384</v>
      </c>
      <c r="AJ9" s="254">
        <f>'[1]April - 2022'!AT9</f>
        <v>16126855.919999998</v>
      </c>
      <c r="AK9" s="364">
        <f>AJ10-AJ9</f>
        <v>5456.6400000024587</v>
      </c>
      <c r="AL9" s="404">
        <f>'[1]April - 2022'!AV9</f>
        <v>4238.6399999987334</v>
      </c>
      <c r="AM9" s="254">
        <f>'[1]April - 2022'!AW9</f>
        <v>13650272.16</v>
      </c>
      <c r="AN9" s="364">
        <f>AM10-AM9</f>
        <v>4336.0800000000745</v>
      </c>
      <c r="AO9" s="404">
        <f>'[1]April - 2022'!AY9</f>
        <v>3995.0400000009686</v>
      </c>
      <c r="AP9" s="254">
        <f>'[1]April - 2022'!AZ9</f>
        <v>13151428.08</v>
      </c>
      <c r="AQ9" s="364">
        <f>AP10-AP9</f>
        <v>4677.1199999991804</v>
      </c>
      <c r="AR9" s="404">
        <f>'[1]April - 2022'!BB9</f>
        <v>3800.160000000149</v>
      </c>
      <c r="AS9" s="254">
        <f>'[1]April - 2022'!BC9</f>
        <v>10442985.84</v>
      </c>
      <c r="AT9" s="364">
        <f>AS10-AS9</f>
        <v>3069.359999999404</v>
      </c>
      <c r="AU9" s="404">
        <f>'[1]April - 2022'!BE9</f>
        <v>2777.0399999991059</v>
      </c>
      <c r="AV9" s="254">
        <f>'[1]April - 2022'!BF9</f>
        <v>16281152.16</v>
      </c>
      <c r="AW9" s="364">
        <f>AV10-AV9</f>
        <v>5846.4000000003725</v>
      </c>
      <c r="AX9" s="486">
        <f>'[1]April - 2022'!BH9</f>
        <v>5797.6800000015646</v>
      </c>
      <c r="AY9" s="483"/>
      <c r="AZ9" s="269">
        <f>'[1]April - 2022'!BM9</f>
        <v>69273700</v>
      </c>
      <c r="BA9" s="488">
        <f>AZ10-AZ9</f>
        <v>0</v>
      </c>
      <c r="BB9" s="484">
        <f>'[1]April - 2022'!BO9</f>
        <v>74100</v>
      </c>
      <c r="BC9" s="269">
        <f>'[1]April - 2022'!BP9</f>
        <v>72391900</v>
      </c>
      <c r="BD9" s="488">
        <f>BC10-BC9</f>
        <v>61400</v>
      </c>
      <c r="BE9" s="484">
        <f>'[1]April - 2022'!BR9</f>
        <v>0</v>
      </c>
      <c r="BF9" s="269">
        <f>'[1]April - 2022'!BS9</f>
        <v>66850000</v>
      </c>
      <c r="BG9" s="488">
        <f>BF10-BF9</f>
        <v>0</v>
      </c>
      <c r="BH9" s="484">
        <f>'[1]April - 2022'!BU9</f>
        <v>0</v>
      </c>
      <c r="BI9" s="26"/>
      <c r="BJ9" s="36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381">
        <f>BS10-BS9</f>
        <v>6250</v>
      </c>
      <c r="BU9" s="389"/>
      <c r="BV9" s="88">
        <f>'[1]April - 2022'!BY9</f>
        <v>0.52</v>
      </c>
      <c r="BW9" s="383">
        <f>BV10-BV9</f>
        <v>-3.0000000000000027E-2</v>
      </c>
      <c r="BX9" s="385">
        <f>'[1]April - 2022'!$CA$9</f>
        <v>-9.000000000000008E-2</v>
      </c>
      <c r="BY9" s="89">
        <f>'[1]April - 2022'!CB9</f>
        <v>59117</v>
      </c>
      <c r="BZ9" s="387">
        <f>BY10-BY9</f>
        <v>21</v>
      </c>
      <c r="CA9" s="89">
        <f>'[1]April - 2022'!CD9</f>
        <v>50684</v>
      </c>
      <c r="CB9" s="387">
        <f>CA10-CA9</f>
        <v>19</v>
      </c>
      <c r="CC9" s="89">
        <f>'[1]April - 2022'!CF9</f>
        <v>17318</v>
      </c>
      <c r="CD9" s="387">
        <f>CC10-CC9</f>
        <v>6</v>
      </c>
      <c r="CE9" s="89">
        <f>'[1]April - 2022'!CH9</f>
        <v>23241</v>
      </c>
      <c r="CF9" s="387">
        <f>CE10-CE9</f>
        <v>7</v>
      </c>
      <c r="CG9" s="89">
        <f>'[1]April - 2022'!CJ9</f>
        <v>25355</v>
      </c>
      <c r="CH9" s="387">
        <f>CG10-CG9</f>
        <v>12</v>
      </c>
      <c r="CI9" s="89">
        <f>'[1]April - 2022'!CL9</f>
        <v>56327</v>
      </c>
      <c r="CJ9" s="387">
        <f>CI10-CI9</f>
        <v>23</v>
      </c>
      <c r="CK9" s="89">
        <f>'[1]April - 2022'!CN9</f>
        <v>245765</v>
      </c>
      <c r="CL9" s="387">
        <f>CK10-CK9</f>
        <v>105</v>
      </c>
      <c r="CM9" s="401">
        <f>'[1]April - 2022'!CP9</f>
        <v>90</v>
      </c>
      <c r="CN9" s="89">
        <f>'[1]April - 2022'!CQ9</f>
        <v>193345</v>
      </c>
      <c r="CO9" s="387">
        <f>CN10-CN9</f>
        <v>117</v>
      </c>
      <c r="CP9" s="401">
        <f>'[1]April - 2022'!CS9</f>
        <v>100.77999999999884</v>
      </c>
      <c r="CQ9" s="89">
        <f>'[1]April - 2022'!CT9</f>
        <v>347698</v>
      </c>
      <c r="CR9" s="387">
        <f>CQ10-CQ9</f>
        <v>141</v>
      </c>
      <c r="CS9" s="401">
        <f>'[1]April - 2022'!CV9</f>
        <v>73.909999999974389</v>
      </c>
      <c r="CT9" s="89">
        <f>'[1]April - 2022'!CW9</f>
        <v>646018</v>
      </c>
      <c r="CU9" s="464">
        <f>CT10-CT9</f>
        <v>228</v>
      </c>
      <c r="CV9" s="450"/>
      <c r="CW9" s="284">
        <f>'[1]April - 2022'!CZ9</f>
        <v>7400</v>
      </c>
      <c r="CX9" s="375">
        <f>CW10-CW9</f>
        <v>8</v>
      </c>
      <c r="CY9" s="285">
        <f>'[1]April - 2022'!DB9</f>
        <v>4765</v>
      </c>
      <c r="CZ9" s="375">
        <f>CY10-CY9</f>
        <v>6</v>
      </c>
      <c r="DA9" s="285">
        <f>'[1]April - 2022'!DD9</f>
        <v>28885</v>
      </c>
      <c r="DB9" s="375">
        <f>DA10-DA9</f>
        <v>16</v>
      </c>
      <c r="DC9" s="285">
        <f>'[1]April - 2022'!DF9</f>
        <v>29425</v>
      </c>
      <c r="DD9" s="375">
        <f>DC10-DC9</f>
        <v>13</v>
      </c>
      <c r="DE9" s="285">
        <f>'[1]April - 2022'!DH9</f>
        <v>19721</v>
      </c>
      <c r="DF9" s="375">
        <f>DE10-DE9</f>
        <v>10</v>
      </c>
      <c r="DG9" s="285">
        <f>'[1]April - 2022'!DJ9</f>
        <v>22656</v>
      </c>
      <c r="DH9" s="375">
        <f>DG10-DG9</f>
        <v>7</v>
      </c>
      <c r="DI9" s="285">
        <f>'[1]April - 2022'!DL9</f>
        <v>4579</v>
      </c>
      <c r="DJ9" s="375">
        <f>DI10-DI9</f>
        <v>11</v>
      </c>
      <c r="DK9" s="285">
        <f>'[1]April - 2022'!DN9</f>
        <v>7896</v>
      </c>
      <c r="DL9" s="375">
        <f>DK10-DK9</f>
        <v>8</v>
      </c>
      <c r="DM9" s="285">
        <f>'[1]April - 2022'!DP9</f>
        <v>2323</v>
      </c>
      <c r="DN9" s="375">
        <f>DM10-DM9</f>
        <v>3</v>
      </c>
      <c r="DO9" s="285">
        <f>'[1]April - 2022'!DR9</f>
        <v>4413</v>
      </c>
      <c r="DP9" s="375">
        <f>DO10-DO9</f>
        <v>7</v>
      </c>
      <c r="DQ9" s="285">
        <f>'[1]April - 2022'!DT9</f>
        <v>27222</v>
      </c>
      <c r="DR9" s="377">
        <f>DQ10-DQ9</f>
        <v>9</v>
      </c>
      <c r="DS9" s="435"/>
      <c r="DT9" s="209">
        <f>'[1]April - 2022'!DW9</f>
        <v>4115.8</v>
      </c>
      <c r="DU9" s="379">
        <f>DT10-DT9</f>
        <v>9.1999999999998181</v>
      </c>
      <c r="DV9" s="91">
        <f>'[1]April - 2022'!DY9</f>
        <v>9059.7999999999993</v>
      </c>
      <c r="DW9" s="442">
        <f>DV10-DV9</f>
        <v>8</v>
      </c>
      <c r="DX9" s="91">
        <f>'[1]April - 2022'!EA9</f>
        <v>3115.9</v>
      </c>
      <c r="DY9" s="379">
        <f>DX10-DX9</f>
        <v>6.5</v>
      </c>
      <c r="DZ9" s="91">
        <f>'[1]April - 2022'!EC9</f>
        <v>3293.1</v>
      </c>
      <c r="EA9" s="379">
        <f>DZ10-DZ9</f>
        <v>8.7000000000002728</v>
      </c>
      <c r="EB9" s="91">
        <f>'[1]April - 2022'!EE9</f>
        <v>937311</v>
      </c>
      <c r="EC9" s="379">
        <f>EB10-EB9</f>
        <v>707</v>
      </c>
      <c r="ED9" s="91">
        <f>'[1]April - 2022'!EI9</f>
        <v>193734.39999999999</v>
      </c>
      <c r="EE9" s="444">
        <f>ED10-ED9</f>
        <v>154.70000000001164</v>
      </c>
      <c r="EF9" s="373"/>
      <c r="EG9" s="234">
        <f>'[1]April - 2022'!EL9</f>
        <v>10743200</v>
      </c>
      <c r="EH9" s="365">
        <f>EG10-EG9</f>
        <v>4000</v>
      </c>
      <c r="EI9" s="90">
        <f>'[1]April - 2022'!EN9</f>
        <v>855720</v>
      </c>
      <c r="EJ9" s="365">
        <f>EI10-EI9</f>
        <v>230</v>
      </c>
      <c r="EK9" s="90">
        <f>'[1]April - 2022'!EP9</f>
        <v>6490300</v>
      </c>
      <c r="EL9" s="365">
        <f>EK10-EK9</f>
        <v>1900</v>
      </c>
      <c r="EM9" s="90">
        <f>'[1]April - 2022'!ER9</f>
        <v>2288700</v>
      </c>
      <c r="EN9" s="365">
        <f>EM10-EM9</f>
        <v>500</v>
      </c>
      <c r="EO9" s="90">
        <f>'[1]April - 2022'!ET9</f>
        <v>1068070</v>
      </c>
      <c r="EP9" s="365">
        <f>EO10-EO9</f>
        <v>610</v>
      </c>
      <c r="EQ9" s="90">
        <f>'[1]April - 2022'!EV9</f>
        <v>14595300</v>
      </c>
      <c r="ER9" s="430">
        <f>EQ10-EQ9</f>
        <v>4200</v>
      </c>
      <c r="ES9" s="421"/>
      <c r="ET9" s="278">
        <f>'[1]April - 2022'!EY9</f>
        <v>39140</v>
      </c>
      <c r="EU9" s="376">
        <f>ET10-ET9</f>
        <v>17</v>
      </c>
      <c r="EV9" s="279">
        <f>'[1]April - 2022'!FA9</f>
        <v>33895</v>
      </c>
      <c r="EW9" s="376">
        <f>EV10-EV9</f>
        <v>13</v>
      </c>
      <c r="EX9" s="279">
        <f>'[1]April - 2022'!FC9</f>
        <v>4971</v>
      </c>
      <c r="EY9" s="426">
        <f>EX10-EX9</f>
        <v>10</v>
      </c>
      <c r="EZ9" s="279">
        <f>'[1]April - 2022'!FE9</f>
        <v>56138</v>
      </c>
      <c r="FA9" s="376">
        <f>EZ10-EZ9</f>
        <v>12</v>
      </c>
      <c r="FB9" s="279">
        <f>'[1]April - 2022'!FG9</f>
        <v>41306</v>
      </c>
      <c r="FC9" s="378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407"/>
      <c r="E10" s="409"/>
      <c r="F10" s="168">
        <f>'[1]April - 2022'!H10</f>
        <v>141329</v>
      </c>
      <c r="G10" s="403"/>
      <c r="H10" s="409"/>
      <c r="I10" s="168">
        <f>'[1]April - 2022'!K10</f>
        <v>164625</v>
      </c>
      <c r="J10" s="403"/>
      <c r="K10" s="168">
        <f>'[1]April - 2022'!N10</f>
        <v>840614</v>
      </c>
      <c r="L10" s="364"/>
      <c r="M10" s="168">
        <f>'[1]April - 2022'!Q10</f>
        <v>196564</v>
      </c>
      <c r="N10" s="364"/>
      <c r="O10" s="261">
        <f>'[1]April - 2022'!U10</f>
        <v>62534.06</v>
      </c>
      <c r="P10" s="403"/>
      <c r="Q10" s="409"/>
      <c r="R10" s="261">
        <f>'[1]April - 2022'!X10</f>
        <v>4787</v>
      </c>
      <c r="S10" s="411"/>
      <c r="T10" s="517"/>
      <c r="U10" s="266">
        <f>'[1]April - 2022'!AE10</f>
        <v>7471699.2000000002</v>
      </c>
      <c r="V10" s="413"/>
      <c r="W10" s="405"/>
      <c r="X10" s="286">
        <f>'[1]April - 2022'!AH10</f>
        <v>14287383.6</v>
      </c>
      <c r="Y10" s="403"/>
      <c r="Z10" s="405"/>
      <c r="AA10" s="286">
        <f>'[1]April - 2022'!AK10</f>
        <v>13973529.359999999</v>
      </c>
      <c r="AB10" s="403"/>
      <c r="AC10" s="405"/>
      <c r="AD10" s="286">
        <f>'[1]April - 2022'!AN10</f>
        <v>17128100.639999997</v>
      </c>
      <c r="AE10" s="403"/>
      <c r="AF10" s="405"/>
      <c r="AG10" s="286">
        <f>'[1]April - 2022'!AQ10</f>
        <v>17486436.239999998</v>
      </c>
      <c r="AH10" s="403"/>
      <c r="AI10" s="405"/>
      <c r="AJ10" s="286">
        <f>'[1]April - 2022'!AT10</f>
        <v>16132312.560000001</v>
      </c>
      <c r="AK10" s="403"/>
      <c r="AL10" s="405"/>
      <c r="AM10" s="286">
        <f>'[1]April - 2022'!AW10</f>
        <v>13654608.24</v>
      </c>
      <c r="AN10" s="403"/>
      <c r="AO10" s="405"/>
      <c r="AP10" s="286">
        <f>'[1]April - 2022'!AZ10</f>
        <v>13156105.199999999</v>
      </c>
      <c r="AQ10" s="403"/>
      <c r="AR10" s="405"/>
      <c r="AS10" s="286">
        <f>'[1]April - 2022'!BC10</f>
        <v>10446055.199999999</v>
      </c>
      <c r="AT10" s="403"/>
      <c r="AU10" s="405"/>
      <c r="AV10" s="286">
        <f>'[1]April - 2022'!BF10</f>
        <v>16286998.560000001</v>
      </c>
      <c r="AW10" s="403"/>
      <c r="AX10" s="487"/>
      <c r="AY10" s="483"/>
      <c r="AZ10" s="269">
        <f>'[1]April - 2022'!BM10</f>
        <v>69273700</v>
      </c>
      <c r="BA10" s="489"/>
      <c r="BB10" s="485"/>
      <c r="BC10" s="269">
        <f>'[1]April - 2022'!BP10</f>
        <v>72453300</v>
      </c>
      <c r="BD10" s="489"/>
      <c r="BE10" s="485"/>
      <c r="BF10" s="269">
        <f>'[1]April - 2022'!BS10</f>
        <v>66850000</v>
      </c>
      <c r="BG10" s="489"/>
      <c r="BH10" s="485"/>
      <c r="BI10" s="25"/>
      <c r="BJ10" s="36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382"/>
      <c r="BU10" s="389"/>
      <c r="BV10" s="88">
        <f>'[1]April - 2022'!BY10</f>
        <v>0.49</v>
      </c>
      <c r="BW10" s="384"/>
      <c r="BX10" s="386"/>
      <c r="BY10" s="89">
        <f>'[1]April - 2022'!CB10</f>
        <v>59138</v>
      </c>
      <c r="BZ10" s="381"/>
      <c r="CA10" s="89">
        <f>'[1]April - 2022'!CD10</f>
        <v>50703</v>
      </c>
      <c r="CB10" s="381"/>
      <c r="CC10" s="89">
        <f>'[1]April - 2022'!CF10</f>
        <v>17324</v>
      </c>
      <c r="CD10" s="381"/>
      <c r="CE10" s="89">
        <f>'[1]April - 2022'!CH10</f>
        <v>23248</v>
      </c>
      <c r="CF10" s="381"/>
      <c r="CG10" s="89">
        <f>'[1]April - 2022'!CJ10</f>
        <v>25367</v>
      </c>
      <c r="CH10" s="381"/>
      <c r="CI10" s="89">
        <f>'[1]April - 2022'!CL10</f>
        <v>56350</v>
      </c>
      <c r="CJ10" s="381"/>
      <c r="CK10" s="89">
        <f>'[1]April - 2022'!CN10</f>
        <v>245870</v>
      </c>
      <c r="CL10" s="381"/>
      <c r="CM10" s="402"/>
      <c r="CN10" s="89">
        <f>'[1]April - 2022'!CQ10</f>
        <v>193462</v>
      </c>
      <c r="CO10" s="381"/>
      <c r="CP10" s="402"/>
      <c r="CQ10" s="89">
        <f>'[1]April - 2022'!CT10</f>
        <v>347839</v>
      </c>
      <c r="CR10" s="381"/>
      <c r="CS10" s="402"/>
      <c r="CT10" s="89">
        <f>'[1]April - 2022'!CW10</f>
        <v>646246</v>
      </c>
      <c r="CU10" s="465"/>
      <c r="CV10" s="450"/>
      <c r="CW10" s="284">
        <f>'[1]April - 2022'!CZ10</f>
        <v>7408</v>
      </c>
      <c r="CX10" s="376"/>
      <c r="CY10" s="285">
        <f>'[1]April - 2022'!DB10</f>
        <v>4771</v>
      </c>
      <c r="CZ10" s="376"/>
      <c r="DA10" s="285">
        <f>'[1]April - 2022'!DD10</f>
        <v>28901</v>
      </c>
      <c r="DB10" s="376"/>
      <c r="DC10" s="285">
        <f>'[1]April - 2022'!DF10</f>
        <v>29438</v>
      </c>
      <c r="DD10" s="376"/>
      <c r="DE10" s="285">
        <f>'[1]April - 2022'!DH10</f>
        <v>19731</v>
      </c>
      <c r="DF10" s="376"/>
      <c r="DG10" s="285">
        <f>'[1]April - 2022'!DJ10</f>
        <v>22663</v>
      </c>
      <c r="DH10" s="376"/>
      <c r="DI10" s="285">
        <f>'[1]April - 2022'!DL10</f>
        <v>4590</v>
      </c>
      <c r="DJ10" s="376"/>
      <c r="DK10" s="285">
        <f>'[1]April - 2022'!DN10</f>
        <v>7904</v>
      </c>
      <c r="DL10" s="376"/>
      <c r="DM10" s="285">
        <f>'[1]April - 2022'!DP10</f>
        <v>2326</v>
      </c>
      <c r="DN10" s="376"/>
      <c r="DO10" s="285">
        <f>'[1]April - 2022'!DR10</f>
        <v>4420</v>
      </c>
      <c r="DP10" s="376"/>
      <c r="DQ10" s="285">
        <f>'[1]April - 2022'!DT10</f>
        <v>27231</v>
      </c>
      <c r="DR10" s="378"/>
      <c r="DS10" s="435"/>
      <c r="DT10" s="209">
        <f>'[1]April - 2022'!DW10</f>
        <v>4125</v>
      </c>
      <c r="DU10" s="380"/>
      <c r="DV10" s="91">
        <f>'[1]April - 2022'!DY10</f>
        <v>9067.7999999999993</v>
      </c>
      <c r="DW10" s="443"/>
      <c r="DX10" s="91">
        <f>'[1]April - 2022'!EA10</f>
        <v>3122.4</v>
      </c>
      <c r="DY10" s="380"/>
      <c r="DZ10" s="91">
        <f>'[1]April - 2022'!EC10</f>
        <v>3301.8</v>
      </c>
      <c r="EA10" s="380"/>
      <c r="EB10" s="91">
        <f>'[1]April - 2022'!EE10</f>
        <v>938018</v>
      </c>
      <c r="EC10" s="380"/>
      <c r="ED10" s="91">
        <f>'[1]April - 2022'!EI10</f>
        <v>193889.1</v>
      </c>
      <c r="EE10" s="445"/>
      <c r="EF10" s="373"/>
      <c r="EG10" s="234">
        <f>'[1]April - 2022'!EL10</f>
        <v>10747200</v>
      </c>
      <c r="EH10" s="366"/>
      <c r="EI10" s="90">
        <f>'[1]April - 2022'!EN10</f>
        <v>855950</v>
      </c>
      <c r="EJ10" s="366"/>
      <c r="EK10" s="90">
        <f>'[1]April - 2022'!EP10</f>
        <v>6492200</v>
      </c>
      <c r="EL10" s="366"/>
      <c r="EM10" s="90">
        <f>'[1]April - 2022'!ER10</f>
        <v>2289200</v>
      </c>
      <c r="EN10" s="366"/>
      <c r="EO10" s="90">
        <f>'[1]April - 2022'!ET10</f>
        <v>1068680</v>
      </c>
      <c r="EP10" s="366"/>
      <c r="EQ10" s="90">
        <f>'[1]April - 2022'!EV10</f>
        <v>14599500</v>
      </c>
      <c r="ER10" s="431"/>
      <c r="ES10" s="421"/>
      <c r="ET10" s="278">
        <f>'[1]April - 2022'!EY10</f>
        <v>39157</v>
      </c>
      <c r="EU10" s="425"/>
      <c r="EV10" s="279">
        <f>'[1]April - 2022'!FA10</f>
        <v>33908</v>
      </c>
      <c r="EW10" s="425"/>
      <c r="EX10" s="279">
        <f>'[1]April - 2022'!FC10</f>
        <v>4981</v>
      </c>
      <c r="EY10" s="425"/>
      <c r="EZ10" s="279">
        <f>'[1]April - 2022'!FE10</f>
        <v>56150</v>
      </c>
      <c r="FA10" s="425"/>
      <c r="FB10" s="279">
        <f>'[1]April - 2022'!FG10</f>
        <v>41336</v>
      </c>
      <c r="FC10" s="427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517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3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389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450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435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373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42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517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3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389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450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435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373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42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517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3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389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450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435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373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42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517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3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389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450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435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373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42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517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3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389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450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435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373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42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517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3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389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450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435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373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42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517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3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389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450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435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373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42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517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3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389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450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435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373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42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517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3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389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450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435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373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42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517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3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389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450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435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373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42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0.85</v>
      </c>
      <c r="C21" s="249">
        <f>'[1]April - 2022'!E21</f>
        <v>98929</v>
      </c>
      <c r="D21" s="169">
        <f>'[1]April - 2022'!F21</f>
        <v>822</v>
      </c>
      <c r="E21" s="168">
        <f>'[1]April - 2022'!G21</f>
        <v>515</v>
      </c>
      <c r="F21" s="168">
        <f>'[1]April - 2022'!H21</f>
        <v>145532</v>
      </c>
      <c r="G21" s="169">
        <f>'[1]April - 2022'!I21</f>
        <v>414</v>
      </c>
      <c r="H21" s="168">
        <f>'[1]April - 2022'!J21</f>
        <v>347</v>
      </c>
      <c r="I21" s="168">
        <f>'[1]April - 2022'!K21</f>
        <v>164625</v>
      </c>
      <c r="J21" s="169">
        <f>'[1]April - 2022'!L21</f>
        <v>0</v>
      </c>
      <c r="K21" s="168">
        <f>'[1]April - 2022'!N21</f>
        <v>844179</v>
      </c>
      <c r="L21" s="169">
        <f>'[1]April - 2022'!O21</f>
        <v>326</v>
      </c>
      <c r="M21" s="168">
        <f>'[1]April - 2022'!Q21</f>
        <v>198392</v>
      </c>
      <c r="N21" s="169">
        <f>'[1]April - 2022'!R21</f>
        <v>196</v>
      </c>
      <c r="O21" s="261">
        <f>'[1]April - 2022'!U21</f>
        <v>63954.75</v>
      </c>
      <c r="P21" s="169">
        <f>'[1]April - 2022'!V21</f>
        <v>143.72000000000116</v>
      </c>
      <c r="Q21" s="168">
        <f>'[1]April - 2022'!W21</f>
        <v>108.74000000000001</v>
      </c>
      <c r="R21" s="261">
        <f>'[1]April - 2022'!X21</f>
        <v>88</v>
      </c>
      <c r="S21" s="207">
        <f>'[1]April - 2022'!Y21</f>
        <v>19</v>
      </c>
      <c r="T21" s="517"/>
      <c r="U21" s="266">
        <f>'[1]April - 2022'!AE21</f>
        <v>7504292.8799999999</v>
      </c>
      <c r="V21" s="287">
        <f>'[1]April - 2022'!AF21</f>
        <v>2436</v>
      </c>
      <c r="W21" s="92">
        <f>'[1]April - 2022'!AG21</f>
        <v>1948.7999999998137</v>
      </c>
      <c r="X21" s="286">
        <f>'[1]April - 2022'!AH21</f>
        <v>14340244.799999999</v>
      </c>
      <c r="Y21" s="287">
        <f>'[1]April - 2022'!AI21</f>
        <v>4774.5599999986589</v>
      </c>
      <c r="Z21" s="92">
        <f>'[1]April - 2022'!AJ21</f>
        <v>4628.3999999985099</v>
      </c>
      <c r="AA21" s="286">
        <f>'[1]April - 2022'!AK21</f>
        <v>13980398.880000001</v>
      </c>
      <c r="AB21" s="287">
        <f>'[1]April - 2022'!AL21</f>
        <v>194.88000000081956</v>
      </c>
      <c r="AC21" s="92">
        <f>'[1]April - 2022'!AM21</f>
        <v>11546.639999998733</v>
      </c>
      <c r="AD21" s="286">
        <f>'[1]April - 2022'!AN21</f>
        <v>17180815.68</v>
      </c>
      <c r="AE21" s="287">
        <f>'[1]April - 2022'!AO21</f>
        <v>10669.679999999702</v>
      </c>
      <c r="AF21" s="92">
        <f>'[1]April - 2022'!AP21</f>
        <v>974.39999999850988</v>
      </c>
      <c r="AG21" s="286">
        <f>'[1]April - 2022'!AQ21</f>
        <v>17572475.760000002</v>
      </c>
      <c r="AH21" s="287">
        <f>'[1]April - 2022'!AR21</f>
        <v>3215.5200000032783</v>
      </c>
      <c r="AI21" s="92">
        <f>'[1]April - 2022'!AS21</f>
        <v>730.80000000074506</v>
      </c>
      <c r="AJ21" s="286">
        <f>'[1]April - 2022'!AT21</f>
        <v>16195746</v>
      </c>
      <c r="AK21" s="287">
        <f>'[1]April - 2022'!AU21</f>
        <v>5846.4000000003725</v>
      </c>
      <c r="AL21" s="92">
        <f>'[1]April - 2022'!AV21</f>
        <v>3654</v>
      </c>
      <c r="AM21" s="286">
        <f>'[1]April - 2022'!AW21</f>
        <v>13702694.880000001</v>
      </c>
      <c r="AN21" s="287">
        <f>'[1]April - 2022'!AX21</f>
        <v>4482.2400000002235</v>
      </c>
      <c r="AO21" s="92">
        <f>'[1]April - 2022'!AY21</f>
        <v>4628.3999999985099</v>
      </c>
      <c r="AP21" s="286">
        <f>'[1]April - 2022'!AZ21</f>
        <v>13206871.439999999</v>
      </c>
      <c r="AQ21" s="287">
        <f>'[1]April - 2022'!BD21</f>
        <v>2825.7599999997765</v>
      </c>
      <c r="AR21" s="92">
        <f>'[1]April - 2022'!BB21</f>
        <v>4189.9200000017881</v>
      </c>
      <c r="AS21" s="286">
        <f>'[1]April - 2022'!BC21</f>
        <v>10476066.719999999</v>
      </c>
      <c r="AT21" s="287">
        <f>'[1]April - 2022'!BD21</f>
        <v>2825.7599999997765</v>
      </c>
      <c r="AU21" s="92">
        <f>'[1]April - 2022'!BE21</f>
        <v>3020.6399999987334</v>
      </c>
      <c r="AV21" s="286">
        <f>'[1]April - 2022'!BF21</f>
        <v>16347070.319999998</v>
      </c>
      <c r="AW21" s="251">
        <f>'[1]April - 2022'!BG21</f>
        <v>5359.1999999992549</v>
      </c>
      <c r="AX21" s="252">
        <f>'[1]April - 2022'!BH21</f>
        <v>6090</v>
      </c>
      <c r="AY21" s="483"/>
      <c r="AZ21" s="269">
        <f>'[1]April - 2022'!BM21</f>
        <v>69273700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72708100</v>
      </c>
      <c r="BD21" s="244">
        <f>'[1]April - 2022'!BQ21</f>
        <v>52800</v>
      </c>
      <c r="BE21" s="93">
        <f>'[1]April - 2022'!BR21</f>
        <v>0</v>
      </c>
      <c r="BF21" s="269">
        <f>'[1]April - 2022'!BS21</f>
        <v>67314200</v>
      </c>
      <c r="BG21" s="244">
        <f>'[1]April - 2022'!BT21</f>
        <v>14000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8441080</v>
      </c>
      <c r="BT21" s="184">
        <f>'[1]April - 2022'!BW21</f>
        <v>6070</v>
      </c>
      <c r="BU21" s="389"/>
      <c r="BV21" s="88">
        <f>'[1]April - 2022'!BY21</f>
        <v>0.74</v>
      </c>
      <c r="BW21" s="240">
        <f>'[1]April - 2022'!BZ21</f>
        <v>5.0000000000000044E-2</v>
      </c>
      <c r="BX21" s="88">
        <f>'[1]April - 2022'!CA21</f>
        <v>6.0000000000000053E-2</v>
      </c>
      <c r="BY21" s="89">
        <f>'[1]April - 2022'!CB21</f>
        <v>59364</v>
      </c>
      <c r="BZ21" s="190">
        <f>'[1]April - 2022'!CC21</f>
        <v>20</v>
      </c>
      <c r="CA21" s="89">
        <f>'[1]April - 2022'!CD21</f>
        <v>50914</v>
      </c>
      <c r="CB21" s="190">
        <f>'[1]April - 2022'!CE21</f>
        <v>20</v>
      </c>
      <c r="CC21" s="89">
        <f>'[1]April - 2022'!CF21</f>
        <v>17379</v>
      </c>
      <c r="CD21" s="190">
        <f>'[1]April - 2022'!CG21</f>
        <v>6</v>
      </c>
      <c r="CE21" s="89">
        <f>'[1]April - 2022'!CH21</f>
        <v>23328</v>
      </c>
      <c r="CF21" s="190">
        <f>'[1]April - 2022'!CI21</f>
        <v>8</v>
      </c>
      <c r="CG21" s="89">
        <f>'[1]April - 2022'!CJ21</f>
        <v>25478</v>
      </c>
      <c r="CH21" s="190">
        <f>'[1]April - 2022'!CK21</f>
        <v>12</v>
      </c>
      <c r="CI21" s="89">
        <f>'[1]April - 2022'!CL21</f>
        <v>56638</v>
      </c>
      <c r="CJ21" s="190">
        <f>'[1]April - 2022'!CM21</f>
        <v>28</v>
      </c>
      <c r="CK21" s="89">
        <f>'[1]April - 2022'!CN21</f>
        <v>247067</v>
      </c>
      <c r="CL21" s="245">
        <f>'[1]April - 2022'!CO21</f>
        <v>109</v>
      </c>
      <c r="CM21" s="89">
        <f>'[1]April - 2022'!CP21</f>
        <v>97</v>
      </c>
      <c r="CN21" s="89">
        <f>'[1]April - 2022'!CQ21</f>
        <v>194569</v>
      </c>
      <c r="CO21" s="245">
        <f>'[1]April - 2022'!CR21</f>
        <v>78</v>
      </c>
      <c r="CP21" s="89">
        <f>'[1]April - 2022'!CS21</f>
        <v>94</v>
      </c>
      <c r="CQ21" s="89">
        <f>'[1]April - 2022'!CT21</f>
        <v>348375</v>
      </c>
      <c r="CR21" s="245">
        <f>'[1]April - 2022'!CU21</f>
        <v>79</v>
      </c>
      <c r="CS21" s="89">
        <f>'[1]April - 2022'!CV21</f>
        <v>59</v>
      </c>
      <c r="CT21" s="89">
        <f>'[1]April - 2022'!CW21</f>
        <v>649004</v>
      </c>
      <c r="CU21" s="190">
        <f>'[1]April - 2022'!CX21</f>
        <v>250</v>
      </c>
      <c r="CV21" s="450"/>
      <c r="CW21" s="284">
        <f>'[1]April - 2022'!CZ21</f>
        <v>7454</v>
      </c>
      <c r="CX21" s="197">
        <f>'[1]April - 2022'!DA21</f>
        <v>5</v>
      </c>
      <c r="CY21" s="285">
        <f>'[1]April - 2022'!DB21</f>
        <v>4808</v>
      </c>
      <c r="CZ21" s="197">
        <f>'[1]April - 2022'!DC21</f>
        <v>2</v>
      </c>
      <c r="DA21" s="285">
        <f>'[1]April - 2022'!DD21</f>
        <v>29070</v>
      </c>
      <c r="DB21" s="197">
        <f>'[1]April - 2022'!DE21</f>
        <v>17</v>
      </c>
      <c r="DC21" s="285">
        <f>'[1]April - 2022'!DF21</f>
        <v>29585</v>
      </c>
      <c r="DD21" s="197">
        <f>'[1]April - 2022'!DG21</f>
        <v>14</v>
      </c>
      <c r="DE21" s="285">
        <f>'[1]April - 2022'!DH21</f>
        <v>19822</v>
      </c>
      <c r="DF21" s="197">
        <f>'[1]April - 2022'!DI21</f>
        <v>10</v>
      </c>
      <c r="DG21" s="285">
        <f>'[1]April - 2022'!DJ21</f>
        <v>22740</v>
      </c>
      <c r="DH21" s="197">
        <f>'[1]April - 2022'!DK21</f>
        <v>7</v>
      </c>
      <c r="DI21" s="285">
        <f>'[1]April - 2022'!DL21</f>
        <v>4710</v>
      </c>
      <c r="DJ21" s="197">
        <f>'[1]April - 2022'!DM21</f>
        <v>10</v>
      </c>
      <c r="DK21" s="285">
        <f>'[1]April - 2022'!DN21</f>
        <v>7957</v>
      </c>
      <c r="DL21" s="197">
        <f>'[1]April - 2022'!DO21</f>
        <v>4</v>
      </c>
      <c r="DM21" s="285">
        <f>'[1]April - 2022'!DP21</f>
        <v>2364</v>
      </c>
      <c r="DN21" s="197">
        <f>'[1]April - 2022'!DQ21</f>
        <v>4</v>
      </c>
      <c r="DO21" s="285">
        <f>'[1]April - 2022'!DR21</f>
        <v>4474</v>
      </c>
      <c r="DP21" s="197">
        <f>'[1]April - 2022'!DS21</f>
        <v>5</v>
      </c>
      <c r="DQ21" s="285">
        <f>'[1]April - 2022'!DT21</f>
        <v>27434</v>
      </c>
      <c r="DR21" s="205">
        <f>'[1]April - 2022'!DU21</f>
        <v>20</v>
      </c>
      <c r="DS21" s="435"/>
      <c r="DT21" s="209">
        <f>'[1]April - 2022'!DW21</f>
        <v>4220.8999999999996</v>
      </c>
      <c r="DU21" s="220">
        <f>'[1]April - 2022'!DX21</f>
        <v>8.7999999999992724</v>
      </c>
      <c r="DV21" s="91">
        <f>'[1]April - 2022'!DY21</f>
        <v>9153.2999999999993</v>
      </c>
      <c r="DW21" s="214">
        <f>'[1]April - 2022'!DZ21</f>
        <v>7.5999999999985448</v>
      </c>
      <c r="DX21" s="91">
        <f>'[1]April - 2022'!EA21</f>
        <v>3191.5</v>
      </c>
      <c r="DY21" s="214">
        <f>'[1]April - 2022'!EB21</f>
        <v>6.6999999999998181</v>
      </c>
      <c r="DZ21" s="91">
        <f>'[1]April - 2022'!EC21</f>
        <v>3397.9</v>
      </c>
      <c r="EA21" s="214">
        <f>'[1]April - 2022'!ED21</f>
        <v>7.2000000000002728</v>
      </c>
      <c r="EB21" s="91">
        <f>'[1]April - 2022'!EE21</f>
        <v>945572</v>
      </c>
      <c r="EC21" s="214">
        <f>'[1]April - 2022'!EF21</f>
        <v>642</v>
      </c>
      <c r="ED21" s="91">
        <f>'[1]April - 2022'!EI21</f>
        <v>195559.3</v>
      </c>
      <c r="EE21" s="228">
        <f>'[1]April - 2022'!EJ21</f>
        <v>151.79999999998836</v>
      </c>
      <c r="EF21" s="373"/>
      <c r="EG21" s="234">
        <f>'[1]April - 2022'!EL21</f>
        <v>10794200</v>
      </c>
      <c r="EH21" s="229">
        <f>'[1]April - 2022'!EM21</f>
        <v>4100</v>
      </c>
      <c r="EI21" s="90">
        <f>'[1]April - 2022'!EN21</f>
        <v>858540</v>
      </c>
      <c r="EJ21" s="229">
        <f>'[1]April - 2022'!EO21</f>
        <v>240</v>
      </c>
      <c r="EK21" s="90">
        <f>'[1]April - 2022'!EP21</f>
        <v>6515600</v>
      </c>
      <c r="EL21" s="229">
        <f>'[1]April - 2022'!EQ21</f>
        <v>2200</v>
      </c>
      <c r="EM21" s="90">
        <f>'[1]April - 2022'!ER21</f>
        <v>2294800</v>
      </c>
      <c r="EN21" s="229">
        <f>'[1]April - 2022'!ES21</f>
        <v>600</v>
      </c>
      <c r="EO21" s="90">
        <f>'[1]April - 2022'!ET21</f>
        <v>1075690</v>
      </c>
      <c r="EP21" s="229">
        <f>'[1]April - 2022'!EU21</f>
        <v>650</v>
      </c>
      <c r="EQ21" s="90">
        <f>'[1]April - 2022'!EV21</f>
        <v>14652600</v>
      </c>
      <c r="ER21" s="229">
        <f>'[1]April - 2022'!EW21</f>
        <v>5300</v>
      </c>
      <c r="ES21" s="421"/>
      <c r="ET21" s="278">
        <f>'[1]April - 2022'!EY21</f>
        <v>39323</v>
      </c>
      <c r="EU21" s="272">
        <f>'[1]April - 2022'!EZ21</f>
        <v>16</v>
      </c>
      <c r="EV21" s="279">
        <f>'[1]April - 2022'!FA21</f>
        <v>34027</v>
      </c>
      <c r="EW21" s="272">
        <f>'[1]April - 2022'!FB21</f>
        <v>13</v>
      </c>
      <c r="EX21" s="279">
        <f>'[1]April - 2022'!FC21</f>
        <v>5093</v>
      </c>
      <c r="EY21" s="272">
        <f>'[1]April - 2022'!FD21</f>
        <v>10</v>
      </c>
      <c r="EZ21" s="279">
        <f>'[1]April - 2022'!FE21</f>
        <v>56250</v>
      </c>
      <c r="FA21" s="272">
        <f>'[1]April - 2022'!FF21</f>
        <v>12</v>
      </c>
      <c r="FB21" s="279">
        <f>'[1]April - 2022'!FG21</f>
        <v>41606</v>
      </c>
      <c r="FC21" s="273">
        <f>'[1]April - 2022'!FH21</f>
        <v>26</v>
      </c>
    </row>
    <row r="22" spans="1:159" ht="30" customHeight="1" x14ac:dyDescent="0.25">
      <c r="A22" s="206">
        <v>43843</v>
      </c>
      <c r="B22" s="208">
        <f>'[1]April - 2022'!B22</f>
        <v>0.86</v>
      </c>
      <c r="C22" s="249">
        <f>'[1]April - 2022'!E22</f>
        <v>99635</v>
      </c>
      <c r="D22" s="169">
        <f>'[1]April - 2022'!F22</f>
        <v>706</v>
      </c>
      <c r="E22" s="168">
        <f>'[1]April - 2022'!G22</f>
        <v>566</v>
      </c>
      <c r="F22" s="168">
        <f>'[1]April - 2022'!H22</f>
        <v>145929</v>
      </c>
      <c r="G22" s="169">
        <f>'[1]April - 2022'!I22</f>
        <v>397</v>
      </c>
      <c r="H22" s="168">
        <f>'[1]April - 2022'!J22</f>
        <v>333</v>
      </c>
      <c r="I22" s="168">
        <f>'[1]April - 2022'!K22</f>
        <v>164625</v>
      </c>
      <c r="J22" s="169">
        <f>'[1]April - 2022'!L22</f>
        <v>0</v>
      </c>
      <c r="K22" s="168">
        <f>'[1]April - 2022'!N22</f>
        <v>844509</v>
      </c>
      <c r="L22" s="169">
        <f>'[1]April - 2022'!O22</f>
        <v>330</v>
      </c>
      <c r="M22" s="168">
        <f>'[1]April - 2022'!Q22</f>
        <v>198508</v>
      </c>
      <c r="N22" s="169">
        <f>'[1]April - 2022'!R22</f>
        <v>116</v>
      </c>
      <c r="O22" s="261">
        <f>'[1]April - 2022'!U22</f>
        <v>64091.49</v>
      </c>
      <c r="P22" s="169">
        <f>'[1]April - 2022'!V22</f>
        <v>136.73999999999796</v>
      </c>
      <c r="Q22" s="168">
        <f>'[1]April - 2022'!W22</f>
        <v>118.54999999999995</v>
      </c>
      <c r="R22" s="261">
        <f>'[1]April - 2022'!X22</f>
        <v>115</v>
      </c>
      <c r="S22" s="207">
        <f>'[1]April - 2022'!Y22</f>
        <v>27</v>
      </c>
      <c r="T22" s="517"/>
      <c r="U22" s="266">
        <f>'[1]April - 2022'!AE22</f>
        <v>7506436.5599999996</v>
      </c>
      <c r="V22" s="287">
        <f>'[1]April - 2022'!AF22</f>
        <v>2143.679999999702</v>
      </c>
      <c r="W22" s="92">
        <f>'[1]April - 2022'!AG22</f>
        <v>2143.6800000006333</v>
      </c>
      <c r="X22" s="286">
        <f>'[1]April - 2022'!AH22</f>
        <v>14345165.52</v>
      </c>
      <c r="Y22" s="287">
        <f>'[1]April - 2022'!AI22</f>
        <v>4920.7200000006706</v>
      </c>
      <c r="Z22" s="92">
        <f>'[1]April - 2022'!AJ22</f>
        <v>4920.7200000006706</v>
      </c>
      <c r="AA22" s="286">
        <f>'[1]April - 2022'!AK22</f>
        <v>13980545.039999999</v>
      </c>
      <c r="AB22" s="287">
        <f>'[1]April - 2022'!AL22</f>
        <v>146.15999999828637</v>
      </c>
      <c r="AC22" s="92">
        <f>'[1]April - 2022'!AM22</f>
        <v>12082.560000002384</v>
      </c>
      <c r="AD22" s="286">
        <f>'[1]April - 2022'!AN22</f>
        <v>17193044.399999999</v>
      </c>
      <c r="AE22" s="287">
        <f>'[1]April - 2022'!AO22</f>
        <v>12228.719999998808</v>
      </c>
      <c r="AF22" s="92">
        <f>'[1]April - 2022'!AP22</f>
        <v>1412.8800000008196</v>
      </c>
      <c r="AG22" s="286">
        <f>'[1]April - 2022'!AQ22</f>
        <v>17573693.760000002</v>
      </c>
      <c r="AH22" s="287">
        <f>'[1]April - 2022'!AR22</f>
        <v>1218</v>
      </c>
      <c r="AI22" s="92">
        <f>'[1]April - 2022'!AS22</f>
        <v>1753.9199999980628</v>
      </c>
      <c r="AJ22" s="286">
        <f>'[1]April - 2022'!AT22</f>
        <v>16201689.839999998</v>
      </c>
      <c r="AK22" s="287">
        <f>'[1]April - 2022'!AU22</f>
        <v>5943.8399999979883</v>
      </c>
      <c r="AL22" s="92">
        <f>'[1]April - 2022'!AV22</f>
        <v>6187.4399999994785</v>
      </c>
      <c r="AM22" s="286">
        <f>'[1]April - 2022'!AW22</f>
        <v>13707177.119999999</v>
      </c>
      <c r="AN22" s="287">
        <f>'[1]April - 2022'!AX22</f>
        <v>4482.2399999983609</v>
      </c>
      <c r="AO22" s="92">
        <f>'[1]April - 2022'!AY22</f>
        <v>4725.839999999851</v>
      </c>
      <c r="AP22" s="286">
        <f>'[1]April - 2022'!AZ22</f>
        <v>13211646</v>
      </c>
      <c r="AQ22" s="287">
        <f>'[1]April - 2022'!BD22</f>
        <v>2874.480000000447</v>
      </c>
      <c r="AR22" s="92">
        <f>'[1]April - 2022'!BB22</f>
        <v>4384.7999999988824</v>
      </c>
      <c r="AS22" s="286">
        <f>'[1]April - 2022'!BC22</f>
        <v>10478941.199999999</v>
      </c>
      <c r="AT22" s="287">
        <f>'[1]April - 2022'!BD22</f>
        <v>2874.480000000447</v>
      </c>
      <c r="AU22" s="92">
        <f>'[1]April - 2022'!BE22</f>
        <v>3215.519999999553</v>
      </c>
      <c r="AV22" s="286">
        <f>'[1]April - 2022'!BF22</f>
        <v>16352526.960000001</v>
      </c>
      <c r="AW22" s="251">
        <f>'[1]April - 2022'!BG22</f>
        <v>5456.6400000024587</v>
      </c>
      <c r="AX22" s="252">
        <f>'[1]April - 2022'!BH22</f>
        <v>6284.8800000008196</v>
      </c>
      <c r="AY22" s="483"/>
      <c r="AZ22" s="269">
        <f>'[1]April - 2022'!BM22</f>
        <v>69273700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72772600</v>
      </c>
      <c r="BD22" s="244">
        <f>'[1]April - 2022'!BQ22</f>
        <v>64500</v>
      </c>
      <c r="BE22" s="93">
        <f>'[1]April - 2022'!BR22</f>
        <v>0</v>
      </c>
      <c r="BF22" s="269">
        <f>'[1]April - 2022'!BS22</f>
        <v>67314200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8447020</v>
      </c>
      <c r="BT22" s="184">
        <f>'[1]April - 2022'!BW22</f>
        <v>5940</v>
      </c>
      <c r="BU22" s="389"/>
      <c r="BV22" s="88">
        <f>'[1]April - 2022'!BY22</f>
        <v>0.69</v>
      </c>
      <c r="BW22" s="240">
        <f>'[1]April - 2022'!BZ22</f>
        <v>5.0000000000000044E-2</v>
      </c>
      <c r="BX22" s="88">
        <f>'[1]April - 2022'!CA22</f>
        <v>-8.0000000000000071E-2</v>
      </c>
      <c r="BY22" s="89">
        <f>'[1]April - 2022'!CB22</f>
        <v>59386</v>
      </c>
      <c r="BZ22" s="190">
        <f>'[1]April - 2022'!CC22</f>
        <v>22</v>
      </c>
      <c r="CA22" s="89">
        <f>'[1]April - 2022'!CD22</f>
        <v>50935</v>
      </c>
      <c r="CB22" s="190">
        <f>'[1]April - 2022'!CE22</f>
        <v>21</v>
      </c>
      <c r="CC22" s="89">
        <f>'[1]April - 2022'!CF22</f>
        <v>17384</v>
      </c>
      <c r="CD22" s="190">
        <f>'[1]April - 2022'!CG22</f>
        <v>5</v>
      </c>
      <c r="CE22" s="89">
        <f>'[1]April - 2022'!CH22</f>
        <v>23335</v>
      </c>
      <c r="CF22" s="190">
        <f>'[1]April - 2022'!CI22</f>
        <v>7</v>
      </c>
      <c r="CG22" s="89">
        <f>'[1]April - 2022'!CJ22</f>
        <v>25487</v>
      </c>
      <c r="CH22" s="190">
        <f>'[1]April - 2022'!CK22</f>
        <v>9</v>
      </c>
      <c r="CI22" s="89">
        <f>'[1]April - 2022'!CL22</f>
        <v>56666</v>
      </c>
      <c r="CJ22" s="190">
        <f>'[1]April - 2022'!CM22</f>
        <v>28</v>
      </c>
      <c r="CK22" s="89">
        <f>'[1]April - 2022'!CN22</f>
        <v>247178</v>
      </c>
      <c r="CL22" s="245">
        <f>'[1]April - 2022'!CO22</f>
        <v>111</v>
      </c>
      <c r="CM22" s="89">
        <f>'[1]April - 2022'!CP22</f>
        <v>99</v>
      </c>
      <c r="CN22" s="89">
        <f>'[1]April - 2022'!CQ22</f>
        <v>194671</v>
      </c>
      <c r="CO22" s="245">
        <f>'[1]April - 2022'!CR22</f>
        <v>102</v>
      </c>
      <c r="CP22" s="89">
        <f>'[1]April - 2022'!CS22</f>
        <v>91</v>
      </c>
      <c r="CQ22" s="89">
        <f>'[1]April - 2022'!CT22</f>
        <v>348427</v>
      </c>
      <c r="CR22" s="245">
        <f>'[1]April - 2022'!CU22</f>
        <v>52</v>
      </c>
      <c r="CS22" s="89">
        <f>'[1]April - 2022'!CV22</f>
        <v>64</v>
      </c>
      <c r="CT22" s="89">
        <f>'[1]April - 2022'!CW22</f>
        <v>649256</v>
      </c>
      <c r="CU22" s="190">
        <f>'[1]April - 2022'!CX22</f>
        <v>252</v>
      </c>
      <c r="CV22" s="450"/>
      <c r="CW22" s="284">
        <f>'[1]April - 2022'!CZ22</f>
        <v>7458</v>
      </c>
      <c r="CX22" s="197">
        <f>'[1]April - 2022'!DA22</f>
        <v>4</v>
      </c>
      <c r="CY22" s="285">
        <f>'[1]April - 2022'!DB22</f>
        <v>4811</v>
      </c>
      <c r="CZ22" s="197">
        <f>'[1]April - 2022'!DC22</f>
        <v>3</v>
      </c>
      <c r="DA22" s="285">
        <f>'[1]April - 2022'!DD22</f>
        <v>29087</v>
      </c>
      <c r="DB22" s="197">
        <f>'[1]April - 2022'!DE22</f>
        <v>17</v>
      </c>
      <c r="DC22" s="285">
        <f>'[1]April - 2022'!DF22</f>
        <v>29599</v>
      </c>
      <c r="DD22" s="197">
        <f>'[1]April - 2022'!DG22</f>
        <v>14</v>
      </c>
      <c r="DE22" s="285">
        <f>'[1]April - 2022'!DH22</f>
        <v>19830</v>
      </c>
      <c r="DF22" s="197">
        <f>'[1]April - 2022'!DI22</f>
        <v>8</v>
      </c>
      <c r="DG22" s="285">
        <f>'[1]April - 2022'!DJ22</f>
        <v>22747</v>
      </c>
      <c r="DH22" s="197">
        <f>'[1]April - 2022'!DK22</f>
        <v>7</v>
      </c>
      <c r="DI22" s="285">
        <f>'[1]April - 2022'!DL22</f>
        <v>4720</v>
      </c>
      <c r="DJ22" s="197">
        <f>'[1]April - 2022'!DM22</f>
        <v>10</v>
      </c>
      <c r="DK22" s="285">
        <f>'[1]April - 2022'!DN22</f>
        <v>7962</v>
      </c>
      <c r="DL22" s="197">
        <f>'[1]April - 2022'!DO22</f>
        <v>5</v>
      </c>
      <c r="DM22" s="285">
        <f>'[1]April - 2022'!DP22</f>
        <v>2368</v>
      </c>
      <c r="DN22" s="197">
        <f>'[1]April - 2022'!DQ22</f>
        <v>4</v>
      </c>
      <c r="DO22" s="285">
        <f>'[1]April - 2022'!DR22</f>
        <v>4479</v>
      </c>
      <c r="DP22" s="197">
        <f>'[1]April - 2022'!DS22</f>
        <v>5</v>
      </c>
      <c r="DQ22" s="285">
        <f>'[1]April - 2022'!DT22</f>
        <v>27454</v>
      </c>
      <c r="DR22" s="205">
        <f>'[1]April - 2022'!DU22</f>
        <v>20</v>
      </c>
      <c r="DS22" s="435"/>
      <c r="DT22" s="209">
        <f>'[1]April - 2022'!DW22</f>
        <v>4229.7</v>
      </c>
      <c r="DU22" s="220">
        <f>'[1]April - 2022'!DX22</f>
        <v>8.8000000000001819</v>
      </c>
      <c r="DV22" s="91">
        <f>'[1]April - 2022'!DY22</f>
        <v>9161.1</v>
      </c>
      <c r="DW22" s="214">
        <f>'[1]April - 2022'!DZ22</f>
        <v>7.8000000000010914</v>
      </c>
      <c r="DX22" s="91">
        <f>'[1]April - 2022'!EA22</f>
        <v>3198.1</v>
      </c>
      <c r="DY22" s="214">
        <f>'[1]April - 2022'!EB22</f>
        <v>6.5999999999999091</v>
      </c>
      <c r="DZ22" s="91">
        <f>'[1]April - 2022'!EC22</f>
        <v>3405.6</v>
      </c>
      <c r="EA22" s="214">
        <f>'[1]April - 2022'!ED22</f>
        <v>7.6999999999998181</v>
      </c>
      <c r="EB22" s="91">
        <f>'[1]April - 2022'!EE22</f>
        <v>946223</v>
      </c>
      <c r="EC22" s="214">
        <f>'[1]April - 2022'!EF22</f>
        <v>651</v>
      </c>
      <c r="ED22" s="91">
        <f>'[1]April - 2022'!EI22</f>
        <v>195712</v>
      </c>
      <c r="EE22" s="228">
        <f>'[1]April - 2022'!EJ22</f>
        <v>152.70000000001164</v>
      </c>
      <c r="EF22" s="373"/>
      <c r="EG22" s="234">
        <f>'[1]April - 2022'!EL22</f>
        <v>10798200</v>
      </c>
      <c r="EH22" s="229">
        <f>'[1]April - 2022'!EM22</f>
        <v>4000</v>
      </c>
      <c r="EI22" s="90">
        <f>'[1]April - 2022'!EN22</f>
        <v>858770</v>
      </c>
      <c r="EJ22" s="229">
        <f>'[1]April - 2022'!EO22</f>
        <v>230</v>
      </c>
      <c r="EK22" s="90">
        <f>'[1]April - 2022'!EP22</f>
        <v>6517800</v>
      </c>
      <c r="EL22" s="229">
        <f>'[1]April - 2022'!EQ22</f>
        <v>2200</v>
      </c>
      <c r="EM22" s="90">
        <f>'[1]April - 2022'!ER22</f>
        <v>2295200</v>
      </c>
      <c r="EN22" s="229">
        <f>'[1]April - 2022'!ES22</f>
        <v>400</v>
      </c>
      <c r="EO22" s="90">
        <f>'[1]April - 2022'!ET22</f>
        <v>1076320</v>
      </c>
      <c r="EP22" s="229">
        <f>'[1]April - 2022'!EU22</f>
        <v>630</v>
      </c>
      <c r="EQ22" s="90">
        <f>'[1]April - 2022'!EV22</f>
        <v>14657700</v>
      </c>
      <c r="ER22" s="229">
        <f>'[1]April - 2022'!EW22</f>
        <v>5100</v>
      </c>
      <c r="ES22" s="421"/>
      <c r="ET22" s="278">
        <f>'[1]April - 2022'!EY22</f>
        <v>39337</v>
      </c>
      <c r="EU22" s="272">
        <f>'[1]April - 2022'!EZ22</f>
        <v>14</v>
      </c>
      <c r="EV22" s="279">
        <f>'[1]April - 2022'!FA22</f>
        <v>34039</v>
      </c>
      <c r="EW22" s="272">
        <f>'[1]April - 2022'!FB22</f>
        <v>12</v>
      </c>
      <c r="EX22" s="279">
        <f>'[1]April - 2022'!FC22</f>
        <v>5103</v>
      </c>
      <c r="EY22" s="272">
        <f>'[1]April - 2022'!FD22</f>
        <v>10</v>
      </c>
      <c r="EZ22" s="279">
        <f>'[1]April - 2022'!FE22</f>
        <v>56258</v>
      </c>
      <c r="FA22" s="272">
        <f>'[1]April - 2022'!FF22</f>
        <v>8</v>
      </c>
      <c r="FB22" s="279">
        <f>'[1]April - 2022'!FG22</f>
        <v>41633</v>
      </c>
      <c r="FC22" s="273">
        <f>'[1]April - 2022'!FH22</f>
        <v>27</v>
      </c>
    </row>
    <row r="23" spans="1:159" ht="30" customHeight="1" x14ac:dyDescent="0.25">
      <c r="A23" s="206">
        <v>43844</v>
      </c>
      <c r="B23" s="208">
        <f>'[1]April - 2022'!B23</f>
        <v>0.91</v>
      </c>
      <c r="C23" s="249">
        <f>'[1]April - 2022'!E23</f>
        <v>100489</v>
      </c>
      <c r="D23" s="169">
        <f>'[1]April - 2022'!F23</f>
        <v>854</v>
      </c>
      <c r="E23" s="168">
        <f>'[1]April - 2022'!G23</f>
        <v>490</v>
      </c>
      <c r="F23" s="168">
        <f>'[1]April - 2022'!H23</f>
        <v>146353</v>
      </c>
      <c r="G23" s="169">
        <f>'[1]April - 2022'!I23</f>
        <v>424</v>
      </c>
      <c r="H23" s="168">
        <f>'[1]April - 2022'!J23</f>
        <v>330</v>
      </c>
      <c r="I23" s="168">
        <f>'[1]April - 2022'!K23</f>
        <v>164625</v>
      </c>
      <c r="J23" s="169">
        <f>'[1]April - 2022'!L23</f>
        <v>0</v>
      </c>
      <c r="K23" s="168">
        <f>'[1]April - 2022'!N23</f>
        <v>844871.8</v>
      </c>
      <c r="L23" s="169">
        <f>'[1]April - 2022'!O23</f>
        <v>362.80000000004657</v>
      </c>
      <c r="M23" s="168">
        <f>'[1]April - 2022'!Q23</f>
        <v>198713</v>
      </c>
      <c r="N23" s="169">
        <f>'[1]April - 2022'!R23</f>
        <v>205</v>
      </c>
      <c r="O23" s="261">
        <f>'[1]April - 2022'!U23</f>
        <v>64240.25</v>
      </c>
      <c r="P23" s="169">
        <f>'[1]April - 2022'!V23</f>
        <v>148.76000000000204</v>
      </c>
      <c r="Q23" s="168">
        <f>'[1]April - 2022'!W23</f>
        <v>115.56999999999994</v>
      </c>
      <c r="R23" s="261">
        <f>'[1]April - 2022'!X23</f>
        <v>141</v>
      </c>
      <c r="S23" s="207">
        <f>'[1]April - 2022'!Y23</f>
        <v>26</v>
      </c>
      <c r="T23" s="517"/>
      <c r="U23" s="266">
        <f>'[1]April - 2022'!AE23</f>
        <v>7508628.959999999</v>
      </c>
      <c r="V23" s="287">
        <f>'[1]April - 2022'!AF23</f>
        <v>2192.3999999994412</v>
      </c>
      <c r="W23" s="92">
        <f>'[1]April - 2022'!AG23</f>
        <v>1607.7599999997765</v>
      </c>
      <c r="X23" s="286">
        <f>'[1]April - 2022'!AH23</f>
        <v>14350232.4</v>
      </c>
      <c r="Y23" s="287">
        <f>'[1]April - 2022'!AI23</f>
        <v>5066.8800000008196</v>
      </c>
      <c r="Z23" s="92">
        <f>'[1]April - 2022'!AJ23</f>
        <v>4336.0800000000745</v>
      </c>
      <c r="AA23" s="286">
        <f>'[1]April - 2022'!AK23</f>
        <v>13980642.48</v>
      </c>
      <c r="AB23" s="287">
        <f>'[1]April - 2022'!AL23</f>
        <v>97.440000001341105</v>
      </c>
      <c r="AC23" s="92">
        <f>'[1]April - 2022'!AM23</f>
        <v>11497.919999998063</v>
      </c>
      <c r="AD23" s="286">
        <f>'[1]April - 2022'!AN23</f>
        <v>17206393.68</v>
      </c>
      <c r="AE23" s="287">
        <f>'[1]April - 2022'!AO23</f>
        <v>13349.280000001192</v>
      </c>
      <c r="AF23" s="92">
        <f>'[1]April - 2022'!AP23</f>
        <v>925.67999999970198</v>
      </c>
      <c r="AG23" s="286">
        <f>'[1]April - 2022'!AQ23</f>
        <v>17575057.919999998</v>
      </c>
      <c r="AH23" s="287">
        <f>'[1]April - 2022'!AR23</f>
        <v>1364.1599999964237</v>
      </c>
      <c r="AI23" s="92">
        <f>'[1]April - 2022'!AS23</f>
        <v>876.96000000089407</v>
      </c>
      <c r="AJ23" s="286">
        <f>'[1]April - 2022'!AT23</f>
        <v>16207779.839999998</v>
      </c>
      <c r="AK23" s="287">
        <f>'[1]April - 2022'!AU23</f>
        <v>6090</v>
      </c>
      <c r="AL23" s="92">
        <f>'[1]April - 2022'!AV23</f>
        <v>4579.679999999702</v>
      </c>
      <c r="AM23" s="286">
        <f>'[1]April - 2022'!AW23</f>
        <v>13711951.68</v>
      </c>
      <c r="AN23" s="287">
        <f>'[1]April - 2022'!AX23</f>
        <v>4774.5600000005215</v>
      </c>
      <c r="AO23" s="92">
        <f>'[1]April - 2022'!AY23</f>
        <v>3654</v>
      </c>
      <c r="AP23" s="286">
        <f>'[1]April - 2022'!AZ23</f>
        <v>13216615.439999999</v>
      </c>
      <c r="AQ23" s="287">
        <f>'[1]April - 2022'!BD23</f>
        <v>2923.2000000011176</v>
      </c>
      <c r="AR23" s="92">
        <f>'[1]April - 2022'!BB23</f>
        <v>3800.160000000149</v>
      </c>
      <c r="AS23" s="286">
        <f>'[1]April - 2022'!BC23</f>
        <v>10481864.4</v>
      </c>
      <c r="AT23" s="287">
        <f>'[1]April - 2022'!BD23</f>
        <v>2923.2000000011176</v>
      </c>
      <c r="AU23" s="92">
        <f>'[1]April - 2022'!BE23</f>
        <v>2777.0400000009686</v>
      </c>
      <c r="AV23" s="286">
        <f>'[1]April - 2022'!BF23</f>
        <v>16358275.919999998</v>
      </c>
      <c r="AW23" s="251">
        <f>'[1]April - 2022'!BG23</f>
        <v>5748.9599999971688</v>
      </c>
      <c r="AX23" s="252">
        <f>'[1]April - 2022'!BH23</f>
        <v>5700.2400000002235</v>
      </c>
      <c r="AY23" s="483"/>
      <c r="AZ23" s="269">
        <f>'[1]April - 2022'!BM23</f>
        <v>69273700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72841100</v>
      </c>
      <c r="BD23" s="244">
        <f>'[1]April - 2022'!BQ23</f>
        <v>68500</v>
      </c>
      <c r="BE23" s="93">
        <f>'[1]April - 2022'!BR23</f>
        <v>0</v>
      </c>
      <c r="BF23" s="269">
        <f>'[1]April - 2022'!BS23</f>
        <v>67314200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8453330</v>
      </c>
      <c r="BT23" s="184">
        <f>'[1]April - 2022'!BW23</f>
        <v>6310</v>
      </c>
      <c r="BU23" s="389"/>
      <c r="BV23" s="88">
        <f>'[1]April - 2022'!BY23</f>
        <v>0.64</v>
      </c>
      <c r="BW23" s="240">
        <f>'[1]April - 2022'!BZ23</f>
        <v>4.9999999999999933E-2</v>
      </c>
      <c r="BX23" s="88">
        <f>'[1]April - 2022'!CA23</f>
        <v>5.0000000000000044E-2</v>
      </c>
      <c r="BY23" s="89">
        <f>'[1]April - 2022'!CB23</f>
        <v>59407</v>
      </c>
      <c r="BZ23" s="190">
        <f>'[1]April - 2022'!CC23</f>
        <v>21</v>
      </c>
      <c r="CA23" s="89">
        <f>'[1]April - 2022'!CD23</f>
        <v>50957</v>
      </c>
      <c r="CB23" s="190">
        <f>'[1]April - 2022'!CE23</f>
        <v>22</v>
      </c>
      <c r="CC23" s="89">
        <f>'[1]April - 2022'!CF23</f>
        <v>17389</v>
      </c>
      <c r="CD23" s="190">
        <f>'[1]April - 2022'!CG23</f>
        <v>5</v>
      </c>
      <c r="CE23" s="89">
        <f>'[1]April - 2022'!CH23</f>
        <v>23343</v>
      </c>
      <c r="CF23" s="190">
        <f>'[1]April - 2022'!CI23</f>
        <v>8</v>
      </c>
      <c r="CG23" s="89">
        <f>'[1]April - 2022'!CJ23</f>
        <v>25500</v>
      </c>
      <c r="CH23" s="190">
        <f>'[1]April - 2022'!CK23</f>
        <v>13</v>
      </c>
      <c r="CI23" s="89">
        <f>'[1]April - 2022'!CL23</f>
        <v>56694</v>
      </c>
      <c r="CJ23" s="190">
        <f>'[1]April - 2022'!CM23</f>
        <v>28</v>
      </c>
      <c r="CK23" s="89">
        <f>'[1]April - 2022'!CN23</f>
        <v>247291</v>
      </c>
      <c r="CL23" s="245">
        <f>'[1]April - 2022'!CO23</f>
        <v>113</v>
      </c>
      <c r="CM23" s="89">
        <f>'[1]April - 2022'!CP23</f>
        <v>88</v>
      </c>
      <c r="CN23" s="89">
        <f>'[1]April - 2022'!CQ23</f>
        <v>194788</v>
      </c>
      <c r="CO23" s="245">
        <f>'[1]April - 2022'!CR23</f>
        <v>117</v>
      </c>
      <c r="CP23" s="89">
        <f>'[1]April - 2022'!CS23</f>
        <v>99</v>
      </c>
      <c r="CQ23" s="89">
        <f>'[1]April - 2022'!CT23</f>
        <v>348487</v>
      </c>
      <c r="CR23" s="245">
        <f>'[1]April - 2022'!CU23</f>
        <v>60</v>
      </c>
      <c r="CS23" s="89">
        <f>'[1]April - 2022'!CV23</f>
        <v>70</v>
      </c>
      <c r="CT23" s="89">
        <f>'[1]April - 2022'!CW23</f>
        <v>649513</v>
      </c>
      <c r="CU23" s="190">
        <f>'[1]April - 2022'!CX23</f>
        <v>257</v>
      </c>
      <c r="CV23" s="450"/>
      <c r="CW23" s="284">
        <f>'[1]April - 2022'!CZ23</f>
        <v>7462</v>
      </c>
      <c r="CX23" s="197">
        <f>'[1]April - 2022'!DA23</f>
        <v>4</v>
      </c>
      <c r="CY23" s="285">
        <f>'[1]April - 2022'!DB23</f>
        <v>4815</v>
      </c>
      <c r="CZ23" s="197">
        <f>'[1]April - 2022'!DC23</f>
        <v>4</v>
      </c>
      <c r="DA23" s="285">
        <f>'[1]April - 2022'!DD23</f>
        <v>29105</v>
      </c>
      <c r="DB23" s="197">
        <f>'[1]April - 2022'!DE23</f>
        <v>18</v>
      </c>
      <c r="DC23" s="285">
        <f>'[1]April - 2022'!DF23</f>
        <v>29613</v>
      </c>
      <c r="DD23" s="197">
        <f>'[1]April - 2022'!DG23</f>
        <v>14</v>
      </c>
      <c r="DE23" s="285">
        <f>'[1]April - 2022'!DH23</f>
        <v>19838</v>
      </c>
      <c r="DF23" s="197">
        <f>'[1]April - 2022'!DI23</f>
        <v>8</v>
      </c>
      <c r="DG23" s="285">
        <f>'[1]April - 2022'!DJ23</f>
        <v>22754</v>
      </c>
      <c r="DH23" s="197">
        <f>'[1]April - 2022'!DK23</f>
        <v>7</v>
      </c>
      <c r="DI23" s="285">
        <f>'[1]April - 2022'!DL23</f>
        <v>4730</v>
      </c>
      <c r="DJ23" s="197">
        <f>'[1]April - 2022'!DM23</f>
        <v>10</v>
      </c>
      <c r="DK23" s="285">
        <f>'[1]April - 2022'!DN23</f>
        <v>7967</v>
      </c>
      <c r="DL23" s="197">
        <f>'[1]April - 2022'!DO23</f>
        <v>5</v>
      </c>
      <c r="DM23" s="285">
        <f>'[1]April - 2022'!DP23</f>
        <v>2372</v>
      </c>
      <c r="DN23" s="197">
        <f>'[1]April - 2022'!DQ23</f>
        <v>4</v>
      </c>
      <c r="DO23" s="285">
        <f>'[1]April - 2022'!DR23</f>
        <v>4484</v>
      </c>
      <c r="DP23" s="197">
        <f>'[1]April - 2022'!DS23</f>
        <v>5</v>
      </c>
      <c r="DQ23" s="285">
        <f>'[1]April - 2022'!DT23</f>
        <v>27483</v>
      </c>
      <c r="DR23" s="205">
        <f>'[1]April - 2022'!DU23</f>
        <v>29</v>
      </c>
      <c r="DS23" s="435"/>
      <c r="DT23" s="209">
        <f>'[1]April - 2022'!DW23</f>
        <v>4239.6000000000004</v>
      </c>
      <c r="DU23" s="220">
        <f>'[1]April - 2022'!DX23</f>
        <v>9.9000000000005457</v>
      </c>
      <c r="DV23" s="91">
        <f>'[1]April - 2022'!DY23</f>
        <v>9169.5</v>
      </c>
      <c r="DW23" s="214">
        <f>'[1]April - 2022'!DZ23</f>
        <v>8.3999999999996362</v>
      </c>
      <c r="DX23" s="91">
        <f>'[1]April - 2022'!EA23</f>
        <v>3205.5</v>
      </c>
      <c r="DY23" s="214">
        <f>'[1]April - 2022'!EB23</f>
        <v>7.4000000000000909</v>
      </c>
      <c r="DZ23" s="91">
        <f>'[1]April - 2022'!EC23</f>
        <v>3413.9</v>
      </c>
      <c r="EA23" s="214">
        <f>'[1]April - 2022'!ED23</f>
        <v>8.3000000000001819</v>
      </c>
      <c r="EB23" s="91">
        <f>'[1]April - 2022'!EE23</f>
        <v>947024</v>
      </c>
      <c r="EC23" s="214">
        <f>'[1]April - 2022'!EF23</f>
        <v>801</v>
      </c>
      <c r="ED23" s="91">
        <f>'[1]April - 2022'!EI23</f>
        <v>195879.2</v>
      </c>
      <c r="EE23" s="228">
        <f>'[1]April - 2022'!EJ23</f>
        <v>167.20000000001164</v>
      </c>
      <c r="EF23" s="373"/>
      <c r="EG23" s="234">
        <f>'[1]April - 2022'!EL23</f>
        <v>10802000</v>
      </c>
      <c r="EH23" s="229">
        <f>'[1]April - 2022'!EM23</f>
        <v>3800</v>
      </c>
      <c r="EI23" s="90">
        <f>'[1]April - 2022'!EN23</f>
        <v>858990</v>
      </c>
      <c r="EJ23" s="229">
        <f>'[1]April - 2022'!EO23</f>
        <v>220</v>
      </c>
      <c r="EK23" s="90">
        <f>'[1]April - 2022'!EP23</f>
        <v>6519800</v>
      </c>
      <c r="EL23" s="229">
        <f>'[1]April - 2022'!EQ23</f>
        <v>2000</v>
      </c>
      <c r="EM23" s="90">
        <f>'[1]April - 2022'!ER23</f>
        <v>2295800</v>
      </c>
      <c r="EN23" s="229">
        <f>'[1]April - 2022'!ES23</f>
        <v>600</v>
      </c>
      <c r="EO23" s="90">
        <f>'[1]April - 2022'!ET23</f>
        <v>1076900</v>
      </c>
      <c r="EP23" s="229">
        <f>'[1]April - 2022'!EU23</f>
        <v>580</v>
      </c>
      <c r="EQ23" s="90">
        <f>'[1]April - 2022'!EV23</f>
        <v>14662300</v>
      </c>
      <c r="ER23" s="229">
        <f>'[1]April - 2022'!EW23</f>
        <v>4600</v>
      </c>
      <c r="ES23" s="421"/>
      <c r="ET23" s="278">
        <f>'[1]April - 2022'!EY23</f>
        <v>39354</v>
      </c>
      <c r="EU23" s="272">
        <f>'[1]April - 2022'!EZ23</f>
        <v>17</v>
      </c>
      <c r="EV23" s="279">
        <f>'[1]April - 2022'!FA23</f>
        <v>34052</v>
      </c>
      <c r="EW23" s="272">
        <f>'[1]April - 2022'!FB23</f>
        <v>13</v>
      </c>
      <c r="EX23" s="279">
        <f>'[1]April - 2022'!FC23</f>
        <v>5114</v>
      </c>
      <c r="EY23" s="272">
        <f>'[1]April - 2022'!FD23</f>
        <v>11</v>
      </c>
      <c r="EZ23" s="279">
        <f>'[1]April - 2022'!FE23</f>
        <v>56266</v>
      </c>
      <c r="FA23" s="272">
        <f>'[1]April - 2022'!FF23</f>
        <v>8</v>
      </c>
      <c r="FB23" s="279">
        <f>'[1]April - 2022'!FG23</f>
        <v>41664</v>
      </c>
      <c r="FC23" s="273">
        <f>'[1]April - 2022'!FH23</f>
        <v>31</v>
      </c>
    </row>
    <row r="24" spans="1:159" ht="30" customHeight="1" x14ac:dyDescent="0.25">
      <c r="A24" s="206">
        <v>43845</v>
      </c>
      <c r="B24" s="208">
        <f>'[1]April - 2022'!B24</f>
        <v>0.94</v>
      </c>
      <c r="C24" s="249">
        <f>'[1]April - 2022'!E24</f>
        <v>101206</v>
      </c>
      <c r="D24" s="169">
        <f>'[1]April - 2022'!F24</f>
        <v>717</v>
      </c>
      <c r="E24" s="168">
        <f>'[1]April - 2022'!G24</f>
        <v>595</v>
      </c>
      <c r="F24" s="168">
        <f>'[1]April - 2022'!H24</f>
        <v>146790</v>
      </c>
      <c r="G24" s="169">
        <f>'[1]April - 2022'!I24</f>
        <v>437</v>
      </c>
      <c r="H24" s="168">
        <f>'[1]April - 2022'!J24</f>
        <v>409</v>
      </c>
      <c r="I24" s="168">
        <f>'[1]April - 2022'!K24</f>
        <v>164625</v>
      </c>
      <c r="J24" s="169">
        <f>'[1]April - 2022'!L24</f>
        <v>0</v>
      </c>
      <c r="K24" s="168">
        <f>'[1]April - 2022'!N24</f>
        <v>844986</v>
      </c>
      <c r="L24" s="169">
        <f>'[1]April - 2022'!O24</f>
        <v>114.19999999995343</v>
      </c>
      <c r="M24" s="168">
        <f>'[1]April - 2022'!Q24</f>
        <v>198770</v>
      </c>
      <c r="N24" s="169">
        <f>'[1]April - 2022'!R24</f>
        <v>57</v>
      </c>
      <c r="O24" s="261">
        <f>'[1]April - 2022'!U24</f>
        <v>64408.79</v>
      </c>
      <c r="P24" s="169">
        <f>'[1]April - 2022'!V24</f>
        <v>168.54000000000087</v>
      </c>
      <c r="Q24" s="168">
        <f>'[1]April - 2022'!W24</f>
        <v>126.35000000000014</v>
      </c>
      <c r="R24" s="261">
        <f>'[1]April - 2022'!X24</f>
        <v>169</v>
      </c>
      <c r="S24" s="207">
        <f>'[1]April - 2022'!Y24</f>
        <v>28</v>
      </c>
      <c r="T24" s="517"/>
      <c r="U24" s="266">
        <f>'[1]April - 2022'!AE24</f>
        <v>7511113.6799999997</v>
      </c>
      <c r="V24" s="287">
        <f>'[1]April - 2022'!AF24</f>
        <v>2484.7200000006706</v>
      </c>
      <c r="W24" s="92">
        <f>'[1]April - 2022'!AG24</f>
        <v>2777.0400000000373</v>
      </c>
      <c r="X24" s="286">
        <f>'[1]April - 2022'!AH24</f>
        <v>14355104.4</v>
      </c>
      <c r="Y24" s="287">
        <f>'[1]April - 2022'!AI24</f>
        <v>4872</v>
      </c>
      <c r="Z24" s="92">
        <f>'[1]April - 2022'!AJ24</f>
        <v>4774.5600000005215</v>
      </c>
      <c r="AA24" s="286">
        <f>'[1]April - 2022'!AK24</f>
        <v>13980886.08</v>
      </c>
      <c r="AB24" s="287">
        <f>'[1]April - 2022'!AL24</f>
        <v>243.59999999962747</v>
      </c>
      <c r="AC24" s="92">
        <f>'[1]April - 2022'!AM24</f>
        <v>10328.640000000596</v>
      </c>
      <c r="AD24" s="286">
        <f>'[1]April - 2022'!AN24</f>
        <v>17218671.119999997</v>
      </c>
      <c r="AE24" s="287">
        <f>'[1]April - 2022'!AO24</f>
        <v>12277.439999997616</v>
      </c>
      <c r="AF24" s="92">
        <f>'[1]April - 2022'!AP24</f>
        <v>925.67999999970198</v>
      </c>
      <c r="AG24" s="286">
        <f>'[1]April - 2022'!AQ24</f>
        <v>17579052.960000001</v>
      </c>
      <c r="AH24" s="287">
        <f>'[1]April - 2022'!AR24</f>
        <v>3995.0400000028312</v>
      </c>
      <c r="AI24" s="92">
        <f>'[1]April - 2022'!AS24</f>
        <v>5407.9199999999255</v>
      </c>
      <c r="AJ24" s="286">
        <f>'[1]April - 2022'!AT24</f>
        <v>16213480.08</v>
      </c>
      <c r="AK24" s="287">
        <f>'[1]April - 2022'!AU24</f>
        <v>5700.2400000020862</v>
      </c>
      <c r="AL24" s="92">
        <f>'[1]April - 2022'!AV24</f>
        <v>5505.3600000012666</v>
      </c>
      <c r="AM24" s="286">
        <f>'[1]April - 2022'!AW24</f>
        <v>13716823.68</v>
      </c>
      <c r="AN24" s="287">
        <f>'[1]April - 2022'!AX24</f>
        <v>4872</v>
      </c>
      <c r="AO24" s="92">
        <f>'[1]April - 2022'!AY24</f>
        <v>4141.1999999992549</v>
      </c>
      <c r="AP24" s="286">
        <f>'[1]April - 2022'!AZ24</f>
        <v>13220951.52</v>
      </c>
      <c r="AQ24" s="287">
        <f>'[1]April - 2022'!BD24</f>
        <v>2874.480000000447</v>
      </c>
      <c r="AR24" s="92">
        <f>'[1]April - 2022'!BB24</f>
        <v>4384.7999999988824</v>
      </c>
      <c r="AS24" s="286">
        <f>'[1]April - 2022'!BC24</f>
        <v>10484738.880000001</v>
      </c>
      <c r="AT24" s="287">
        <f>'[1]April - 2022'!BD24</f>
        <v>2874.480000000447</v>
      </c>
      <c r="AU24" s="92">
        <f>'[1]April - 2022'!BE24</f>
        <v>3264.2399999983609</v>
      </c>
      <c r="AV24" s="286">
        <f>'[1]April - 2022'!BF24</f>
        <v>16364024.880000001</v>
      </c>
      <c r="AW24" s="251">
        <f>'[1]April - 2022'!BG24</f>
        <v>5748.9600000027567</v>
      </c>
      <c r="AX24" s="252">
        <f>'[1]April - 2022'!BH24</f>
        <v>6431.0399999991059</v>
      </c>
      <c r="AY24" s="483"/>
      <c r="AZ24" s="269">
        <f>'[1]April - 2022'!BM24</f>
        <v>69273700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72903100</v>
      </c>
      <c r="BD24" s="244">
        <f>'[1]April - 2022'!BQ24</f>
        <v>62000</v>
      </c>
      <c r="BE24" s="93">
        <f>'[1]April - 2022'!BR24</f>
        <v>0</v>
      </c>
      <c r="BF24" s="269">
        <f>'[1]April - 2022'!BS24</f>
        <v>67331700</v>
      </c>
      <c r="BG24" s="244">
        <f>'[1]April - 2022'!BT24</f>
        <v>17500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8459990</v>
      </c>
      <c r="BT24" s="184">
        <f>'[1]April - 2022'!BW24</f>
        <v>6660</v>
      </c>
      <c r="BU24" s="389"/>
      <c r="BV24" s="88">
        <f>'[1]April - 2022'!BY24</f>
        <v>0.72</v>
      </c>
      <c r="BW24" s="240">
        <f>'[1]April - 2022'!BZ24</f>
        <v>-7.999999999999996E-2</v>
      </c>
      <c r="BX24" s="88">
        <f>'[1]April - 2022'!CA24</f>
        <v>-5.0000000000000044E-2</v>
      </c>
      <c r="BY24" s="89">
        <f>'[1]April - 2022'!CB24</f>
        <v>59427</v>
      </c>
      <c r="BZ24" s="190">
        <f>'[1]April - 2022'!CC24</f>
        <v>20</v>
      </c>
      <c r="CA24" s="89">
        <f>'[1]April - 2022'!CD24</f>
        <v>50976</v>
      </c>
      <c r="CB24" s="190">
        <f>'[1]April - 2022'!CE24</f>
        <v>19</v>
      </c>
      <c r="CC24" s="89">
        <f>'[1]April - 2022'!CF24</f>
        <v>17395</v>
      </c>
      <c r="CD24" s="190">
        <f>'[1]April - 2022'!CG24</f>
        <v>6</v>
      </c>
      <c r="CE24" s="89">
        <f>'[1]April - 2022'!CH24</f>
        <v>23350</v>
      </c>
      <c r="CF24" s="190">
        <f>'[1]April - 2022'!CI24</f>
        <v>7</v>
      </c>
      <c r="CG24" s="89">
        <f>'[1]April - 2022'!CJ24</f>
        <v>25508</v>
      </c>
      <c r="CH24" s="190">
        <f>'[1]April - 2022'!CK24</f>
        <v>8</v>
      </c>
      <c r="CI24" s="89">
        <f>'[1]April - 2022'!CL24</f>
        <v>56721</v>
      </c>
      <c r="CJ24" s="190">
        <f>'[1]April - 2022'!CM24</f>
        <v>27</v>
      </c>
      <c r="CK24" s="89">
        <f>'[1]April - 2022'!CN24</f>
        <v>247399</v>
      </c>
      <c r="CL24" s="245">
        <f>'[1]April - 2022'!CO24</f>
        <v>108</v>
      </c>
      <c r="CM24" s="89">
        <f>'[1]April - 2022'!CP24</f>
        <v>104</v>
      </c>
      <c r="CN24" s="89">
        <f>'[1]April - 2022'!CQ24</f>
        <v>194900</v>
      </c>
      <c r="CO24" s="245">
        <f>'[1]April - 2022'!CR24</f>
        <v>112</v>
      </c>
      <c r="CP24" s="89">
        <f>'[1]April - 2022'!CS24</f>
        <v>97</v>
      </c>
      <c r="CQ24" s="89">
        <f>'[1]April - 2022'!CT24</f>
        <v>348539</v>
      </c>
      <c r="CR24" s="245">
        <f>'[1]April - 2022'!CU24</f>
        <v>52</v>
      </c>
      <c r="CS24" s="89">
        <f>'[1]April - 2022'!CV24</f>
        <v>76</v>
      </c>
      <c r="CT24" s="89">
        <f>'[1]April - 2022'!CW24</f>
        <v>649759</v>
      </c>
      <c r="CU24" s="190">
        <f>'[1]April - 2022'!CX24</f>
        <v>246</v>
      </c>
      <c r="CV24" s="450"/>
      <c r="CW24" s="284">
        <f>'[1]April - 2022'!CZ24</f>
        <v>7469</v>
      </c>
      <c r="CX24" s="197">
        <f>'[1]April - 2022'!DA24</f>
        <v>7</v>
      </c>
      <c r="CY24" s="285">
        <f>'[1]April - 2022'!DB24</f>
        <v>4818</v>
      </c>
      <c r="CZ24" s="197">
        <f>'[1]April - 2022'!DC24</f>
        <v>3</v>
      </c>
      <c r="DA24" s="285">
        <f>'[1]April - 2022'!DD24</f>
        <v>29121</v>
      </c>
      <c r="DB24" s="197">
        <f>'[1]April - 2022'!DE24</f>
        <v>16</v>
      </c>
      <c r="DC24" s="285">
        <f>'[1]April - 2022'!DF24</f>
        <v>29629</v>
      </c>
      <c r="DD24" s="197">
        <f>'[1]April - 2022'!DG24</f>
        <v>16</v>
      </c>
      <c r="DE24" s="285">
        <f>'[1]April - 2022'!DH24</f>
        <v>19849</v>
      </c>
      <c r="DF24" s="197">
        <f>'[1]April - 2022'!DI24</f>
        <v>11</v>
      </c>
      <c r="DG24" s="285">
        <f>'[1]April - 2022'!DJ24</f>
        <v>22766</v>
      </c>
      <c r="DH24" s="197">
        <f>'[1]April - 2022'!DK24</f>
        <v>12</v>
      </c>
      <c r="DI24" s="285">
        <f>'[1]April - 2022'!DL24</f>
        <v>4742</v>
      </c>
      <c r="DJ24" s="197">
        <f>'[1]April - 2022'!DM24</f>
        <v>12</v>
      </c>
      <c r="DK24" s="285">
        <f>'[1]April - 2022'!DN24</f>
        <v>7975</v>
      </c>
      <c r="DL24" s="197">
        <f>'[1]April - 2022'!DO24</f>
        <v>8</v>
      </c>
      <c r="DM24" s="285">
        <f>'[1]April - 2022'!DP24</f>
        <v>2379</v>
      </c>
      <c r="DN24" s="197">
        <f>'[1]April - 2022'!DQ24</f>
        <v>7</v>
      </c>
      <c r="DO24" s="285">
        <f>'[1]April - 2022'!DR24</f>
        <v>4492</v>
      </c>
      <c r="DP24" s="197">
        <f>'[1]April - 2022'!DS24</f>
        <v>8</v>
      </c>
      <c r="DQ24" s="285">
        <f>'[1]April - 2022'!DT24</f>
        <v>27485</v>
      </c>
      <c r="DR24" s="205">
        <f>'[1]April - 2022'!DU24</f>
        <v>2</v>
      </c>
      <c r="DS24" s="435"/>
      <c r="DT24" s="209">
        <f>'[1]April - 2022'!DW24</f>
        <v>4248.3</v>
      </c>
      <c r="DU24" s="220">
        <f>'[1]April - 2022'!DX24</f>
        <v>8.6999999999998181</v>
      </c>
      <c r="DV24" s="91">
        <f>'[1]April - 2022'!DY24</f>
        <v>9177.5</v>
      </c>
      <c r="DW24" s="214">
        <f>'[1]April - 2022'!DZ24</f>
        <v>8</v>
      </c>
      <c r="DX24" s="91">
        <f>'[1]April - 2022'!EA24</f>
        <v>3212</v>
      </c>
      <c r="DY24" s="214">
        <f>'[1]April - 2022'!EB24</f>
        <v>6.5</v>
      </c>
      <c r="DZ24" s="91">
        <f>'[1]April - 2022'!EC24</f>
        <v>3422.3</v>
      </c>
      <c r="EA24" s="214">
        <f>'[1]April - 2022'!ED24</f>
        <v>8.4000000000000909</v>
      </c>
      <c r="EB24" s="91">
        <f>'[1]April - 2022'!EE24</f>
        <v>947729</v>
      </c>
      <c r="EC24" s="214">
        <f>'[1]April - 2022'!EF24</f>
        <v>705</v>
      </c>
      <c r="ED24" s="91">
        <f>'[1]April - 2022'!EI24</f>
        <v>196020.9</v>
      </c>
      <c r="EE24" s="228">
        <f>'[1]April - 2022'!EJ24</f>
        <v>141.69999999998254</v>
      </c>
      <c r="EF24" s="373"/>
      <c r="EG24" s="234">
        <f>'[1]April - 2022'!EL24</f>
        <v>10806700</v>
      </c>
      <c r="EH24" s="229">
        <f>'[1]April - 2022'!EM24</f>
        <v>4700</v>
      </c>
      <c r="EI24" s="90">
        <f>'[1]April - 2022'!EN24</f>
        <v>859250</v>
      </c>
      <c r="EJ24" s="229">
        <f>'[1]April - 2022'!EO24</f>
        <v>260</v>
      </c>
      <c r="EK24" s="90">
        <f>'[1]April - 2022'!EP24</f>
        <v>6522200</v>
      </c>
      <c r="EL24" s="229">
        <f>'[1]April - 2022'!EQ24</f>
        <v>2400</v>
      </c>
      <c r="EM24" s="90">
        <f>'[1]April - 2022'!ER24</f>
        <v>2296500</v>
      </c>
      <c r="EN24" s="229">
        <f>'[1]April - 2022'!ES24</f>
        <v>700</v>
      </c>
      <c r="EO24" s="90">
        <f>'[1]April - 2022'!ET24</f>
        <v>1077520</v>
      </c>
      <c r="EP24" s="229">
        <f>'[1]April - 2022'!EU24</f>
        <v>620</v>
      </c>
      <c r="EQ24" s="90">
        <f>'[1]April - 2022'!EV24</f>
        <v>14668200</v>
      </c>
      <c r="ER24" s="229">
        <f>'[1]April - 2022'!EW24</f>
        <v>5900</v>
      </c>
      <c r="ES24" s="421"/>
      <c r="ET24" s="278">
        <f>'[1]April - 2022'!EY24</f>
        <v>39371</v>
      </c>
      <c r="EU24" s="272">
        <f>'[1]April - 2022'!EZ24</f>
        <v>17</v>
      </c>
      <c r="EV24" s="279">
        <f>'[1]April - 2022'!FA24</f>
        <v>34065</v>
      </c>
      <c r="EW24" s="272">
        <f>'[1]April - 2022'!FB24</f>
        <v>13</v>
      </c>
      <c r="EX24" s="279">
        <f>'[1]April - 2022'!FC24</f>
        <v>5124</v>
      </c>
      <c r="EY24" s="272">
        <f>'[1]April - 2022'!FD24</f>
        <v>10</v>
      </c>
      <c r="EZ24" s="279">
        <f>'[1]April - 2022'!FE24</f>
        <v>56275</v>
      </c>
      <c r="FA24" s="272">
        <f>'[1]April - 2022'!FF24</f>
        <v>9</v>
      </c>
      <c r="FB24" s="279">
        <f>'[1]April - 2022'!FG24</f>
        <v>41690</v>
      </c>
      <c r="FC24" s="273">
        <f>'[1]April - 2022'!FH24</f>
        <v>26</v>
      </c>
    </row>
    <row r="25" spans="1:159" ht="30" customHeight="1" x14ac:dyDescent="0.25">
      <c r="A25" s="206">
        <v>43846</v>
      </c>
      <c r="B25" s="208">
        <f>'[1]April - 2022'!B25</f>
        <v>0.89</v>
      </c>
      <c r="C25" s="249">
        <f>'[1]April - 2022'!E25</f>
        <v>101924</v>
      </c>
      <c r="D25" s="169">
        <f>'[1]April - 2022'!F25</f>
        <v>718</v>
      </c>
      <c r="E25" s="168">
        <f>'[1]April - 2022'!G25</f>
        <v>564</v>
      </c>
      <c r="F25" s="168">
        <f>'[1]April - 2022'!H25</f>
        <v>147238</v>
      </c>
      <c r="G25" s="169">
        <f>'[1]April - 2022'!I25</f>
        <v>448</v>
      </c>
      <c r="H25" s="168">
        <f>'[1]April - 2022'!J25</f>
        <v>357</v>
      </c>
      <c r="I25" s="168">
        <f>'[1]April - 2022'!K25</f>
        <v>164625</v>
      </c>
      <c r="J25" s="169">
        <f>'[1]April - 2022'!L25</f>
        <v>0</v>
      </c>
      <c r="K25" s="168">
        <f>'[1]April - 2022'!N25</f>
        <v>845062</v>
      </c>
      <c r="L25" s="169">
        <f>'[1]April - 2022'!O25</f>
        <v>76</v>
      </c>
      <c r="M25" s="168">
        <f>'[1]April - 2022'!Q25</f>
        <v>198770</v>
      </c>
      <c r="N25" s="169">
        <f>'[1]April - 2022'!R25</f>
        <v>0</v>
      </c>
      <c r="O25" s="261">
        <f>'[1]April - 2022'!U25</f>
        <v>64589.47</v>
      </c>
      <c r="P25" s="169">
        <f>'[1]April - 2022'!V25</f>
        <v>180.68000000000029</v>
      </c>
      <c r="Q25" s="168">
        <f>'[1]April - 2022'!W25</f>
        <v>106.95000000000005</v>
      </c>
      <c r="R25" s="261">
        <f>'[1]April - 2022'!X25</f>
        <v>198</v>
      </c>
      <c r="S25" s="207">
        <f>'[1]April - 2022'!Y25</f>
        <v>29</v>
      </c>
      <c r="T25" s="517"/>
      <c r="U25" s="266">
        <f>'[1]April - 2022'!AE25</f>
        <v>7514036.8799999999</v>
      </c>
      <c r="V25" s="287">
        <f>'[1]April - 2022'!AF25</f>
        <v>2923.2000000001863</v>
      </c>
      <c r="W25" s="92">
        <f>'[1]April - 2022'!AG25</f>
        <v>1802.6399999996647</v>
      </c>
      <c r="X25" s="286">
        <f>'[1]April - 2022'!AH25</f>
        <v>14359830.24</v>
      </c>
      <c r="Y25" s="287">
        <f>'[1]April - 2022'!AI25</f>
        <v>4725.839999999851</v>
      </c>
      <c r="Z25" s="92">
        <f>'[1]April - 2022'!AJ25</f>
        <v>4384.7999999988824</v>
      </c>
      <c r="AA25" s="286">
        <f>'[1]April - 2022'!AK25</f>
        <v>13992432.719999999</v>
      </c>
      <c r="AB25" s="287">
        <f>'[1]April - 2022'!AL25</f>
        <v>11546.639999998733</v>
      </c>
      <c r="AC25" s="92">
        <f>'[1]April - 2022'!AM25</f>
        <v>11790.240000000224</v>
      </c>
      <c r="AD25" s="286">
        <f>'[1]April - 2022'!AN25</f>
        <v>17224614.960000001</v>
      </c>
      <c r="AE25" s="287">
        <f>'[1]April - 2022'!AO25</f>
        <v>5943.8400000035763</v>
      </c>
      <c r="AF25" s="92">
        <f>'[1]April - 2022'!AP25</f>
        <v>682.08000000193715</v>
      </c>
      <c r="AG25" s="286">
        <f>'[1]April - 2022'!AQ25</f>
        <v>17579101.68</v>
      </c>
      <c r="AH25" s="287">
        <f>'[1]April - 2022'!AR25</f>
        <v>48.719999998807907</v>
      </c>
      <c r="AI25" s="92">
        <f>'[1]April - 2022'!AS25</f>
        <v>730.80000000074506</v>
      </c>
      <c r="AJ25" s="286">
        <f>'[1]April - 2022'!AT25</f>
        <v>16219277.760000002</v>
      </c>
      <c r="AK25" s="287">
        <f>'[1]April - 2022'!AU25</f>
        <v>5797.6800000015646</v>
      </c>
      <c r="AL25" s="92">
        <f>'[1]April - 2022'!AV25</f>
        <v>5066.8799999989569</v>
      </c>
      <c r="AM25" s="286">
        <f>'[1]April - 2022'!AW25</f>
        <v>13721890.559999999</v>
      </c>
      <c r="AN25" s="287">
        <f>'[1]April - 2022'!AX25</f>
        <v>5066.8799999989569</v>
      </c>
      <c r="AO25" s="92">
        <f>'[1]April - 2022'!AY25</f>
        <v>3605.2800000011921</v>
      </c>
      <c r="AP25" s="286">
        <f>'[1]April - 2022'!AZ25</f>
        <v>13225628.640000001</v>
      </c>
      <c r="AQ25" s="287">
        <f>'[1]April - 2022'!BD25</f>
        <v>3264.2399999983609</v>
      </c>
      <c r="AR25" s="92">
        <f>'[1]April - 2022'!BB25</f>
        <v>3995.0400000009686</v>
      </c>
      <c r="AS25" s="286">
        <f>'[1]April - 2022'!BC25</f>
        <v>10488003.119999999</v>
      </c>
      <c r="AT25" s="287">
        <f>'[1]April - 2022'!BD25</f>
        <v>3264.2399999983609</v>
      </c>
      <c r="AU25" s="92">
        <f>'[1]April - 2022'!BE25</f>
        <v>2874.480000000447</v>
      </c>
      <c r="AV25" s="286">
        <f>'[1]April - 2022'!BF25</f>
        <v>16370212.319999998</v>
      </c>
      <c r="AW25" s="251">
        <f>'[1]April - 2022'!BG25</f>
        <v>6187.4399999976158</v>
      </c>
      <c r="AX25" s="252">
        <f>'[1]April - 2022'!BH25</f>
        <v>5846.3999999985099</v>
      </c>
      <c r="AY25" s="483"/>
      <c r="AZ25" s="269">
        <f>'[1]April - 2022'!BM25</f>
        <v>69330500</v>
      </c>
      <c r="BA25" s="178">
        <f>'[1]April - 2022'!BN25</f>
        <v>56800</v>
      </c>
      <c r="BB25" s="93">
        <f>'[1]April - 2022'!BO25</f>
        <v>69300</v>
      </c>
      <c r="BC25" s="269">
        <f>'[1]April - 2022'!BP25</f>
        <v>72937200</v>
      </c>
      <c r="BD25" s="244">
        <f>'[1]April - 2022'!BQ25</f>
        <v>34100</v>
      </c>
      <c r="BE25" s="93">
        <f>'[1]April - 2022'!BR25</f>
        <v>0</v>
      </c>
      <c r="BF25" s="269">
        <f>'[1]April - 2022'!BS25</f>
        <v>67331700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8467030</v>
      </c>
      <c r="BT25" s="184">
        <f>'[1]April - 2022'!BW25</f>
        <v>7040</v>
      </c>
      <c r="BU25" s="389"/>
      <c r="BV25" s="88">
        <f>'[1]April - 2022'!BY25</f>
        <v>0.67</v>
      </c>
      <c r="BW25" s="240">
        <f>'[1]April - 2022'!BZ25</f>
        <v>4.9999999999999933E-2</v>
      </c>
      <c r="BX25" s="88">
        <f>'[1]April - 2022'!CA25</f>
        <v>6.0000000000000053E-2</v>
      </c>
      <c r="BY25" s="89">
        <f>'[1]April - 2022'!CB25</f>
        <v>59449</v>
      </c>
      <c r="BZ25" s="190">
        <f>'[1]April - 2022'!CC25</f>
        <v>22</v>
      </c>
      <c r="CA25" s="89">
        <f>'[1]April - 2022'!CD25</f>
        <v>50996</v>
      </c>
      <c r="CB25" s="190">
        <f>'[1]April - 2022'!CE25</f>
        <v>20</v>
      </c>
      <c r="CC25" s="89">
        <f>'[1]April - 2022'!CF25</f>
        <v>17402</v>
      </c>
      <c r="CD25" s="190">
        <f>'[1]April - 2022'!CG25</f>
        <v>7</v>
      </c>
      <c r="CE25" s="89">
        <f>'[1]April - 2022'!CH25</f>
        <v>23357</v>
      </c>
      <c r="CF25" s="190">
        <f>'[1]April - 2022'!CI25</f>
        <v>7</v>
      </c>
      <c r="CG25" s="89">
        <f>'[1]April - 2022'!CJ25</f>
        <v>25523</v>
      </c>
      <c r="CH25" s="190">
        <f>'[1]April - 2022'!CK25</f>
        <v>15</v>
      </c>
      <c r="CI25" s="89">
        <f>'[1]April - 2022'!CL25</f>
        <v>56747</v>
      </c>
      <c r="CJ25" s="190">
        <f>'[1]April - 2022'!CM25</f>
        <v>26</v>
      </c>
      <c r="CK25" s="89">
        <f>'[1]April - 2022'!CN25</f>
        <v>247507</v>
      </c>
      <c r="CL25" s="245">
        <f>'[1]April - 2022'!CO25</f>
        <v>108</v>
      </c>
      <c r="CM25" s="89">
        <f>'[1]April - 2022'!CP25</f>
        <v>95</v>
      </c>
      <c r="CN25" s="89">
        <f>'[1]April - 2022'!CQ25</f>
        <v>195015</v>
      </c>
      <c r="CO25" s="245">
        <f>'[1]April - 2022'!CR25</f>
        <v>115</v>
      </c>
      <c r="CP25" s="89">
        <f>'[1]April - 2022'!CS25</f>
        <v>96</v>
      </c>
      <c r="CQ25" s="89">
        <f>'[1]April - 2022'!CT25</f>
        <v>348585</v>
      </c>
      <c r="CR25" s="245">
        <f>'[1]April - 2022'!CU25</f>
        <v>46</v>
      </c>
      <c r="CS25" s="89">
        <f>'[1]April - 2022'!CV25</f>
        <v>111</v>
      </c>
      <c r="CT25" s="89">
        <f>'[1]April - 2022'!CW25</f>
        <v>650002</v>
      </c>
      <c r="CU25" s="190">
        <f>'[1]April - 2022'!CX25</f>
        <v>243</v>
      </c>
      <c r="CV25" s="450"/>
      <c r="CW25" s="284">
        <f>'[1]April - 2022'!CZ25</f>
        <v>7475</v>
      </c>
      <c r="CX25" s="197">
        <f>'[1]April - 2022'!DA25</f>
        <v>6</v>
      </c>
      <c r="CY25" s="285">
        <f>'[1]April - 2022'!DB25</f>
        <v>4821</v>
      </c>
      <c r="CZ25" s="197">
        <f>'[1]April - 2022'!DC25</f>
        <v>3</v>
      </c>
      <c r="DA25" s="285">
        <f>'[1]April - 2022'!DD25</f>
        <v>29137</v>
      </c>
      <c r="DB25" s="197">
        <f>'[1]April - 2022'!DE25</f>
        <v>16</v>
      </c>
      <c r="DC25" s="285">
        <f>'[1]April - 2022'!DF25</f>
        <v>29645</v>
      </c>
      <c r="DD25" s="197">
        <f>'[1]April - 2022'!DG25</f>
        <v>16</v>
      </c>
      <c r="DE25" s="285">
        <f>'[1]April - 2022'!DH25</f>
        <v>19860</v>
      </c>
      <c r="DF25" s="197">
        <f>'[1]April - 2022'!DI25</f>
        <v>11</v>
      </c>
      <c r="DG25" s="285">
        <f>'[1]April - 2022'!DJ25</f>
        <v>22776</v>
      </c>
      <c r="DH25" s="197">
        <f>'[1]April - 2022'!DK25</f>
        <v>10</v>
      </c>
      <c r="DI25" s="285">
        <f>'[1]April - 2022'!DL25</f>
        <v>4754</v>
      </c>
      <c r="DJ25" s="197">
        <f>'[1]April - 2022'!DM25</f>
        <v>12</v>
      </c>
      <c r="DK25" s="285">
        <f>'[1]April - 2022'!DN25</f>
        <v>7983</v>
      </c>
      <c r="DL25" s="197">
        <f>'[1]April - 2022'!DO25</f>
        <v>8</v>
      </c>
      <c r="DM25" s="285">
        <f>'[1]April - 2022'!DP25</f>
        <v>2386</v>
      </c>
      <c r="DN25" s="197">
        <f>'[1]April - 2022'!DQ25</f>
        <v>7</v>
      </c>
      <c r="DO25" s="285">
        <f>'[1]April - 2022'!DR25</f>
        <v>4500</v>
      </c>
      <c r="DP25" s="197">
        <f>'[1]April - 2022'!DS25</f>
        <v>8</v>
      </c>
      <c r="DQ25" s="285">
        <f>'[1]April - 2022'!DT25</f>
        <v>27487</v>
      </c>
      <c r="DR25" s="205">
        <f>'[1]April - 2022'!DU25</f>
        <v>2</v>
      </c>
      <c r="DS25" s="435"/>
      <c r="DT25" s="209">
        <f>'[1]April - 2022'!DW25</f>
        <v>4258.7</v>
      </c>
      <c r="DU25" s="220">
        <f>'[1]April - 2022'!DX25</f>
        <v>10.399999999999636</v>
      </c>
      <c r="DV25" s="91">
        <f>'[1]April - 2022'!DY25</f>
        <v>9185.7999999999993</v>
      </c>
      <c r="DW25" s="214">
        <f>'[1]April - 2022'!DZ25</f>
        <v>8.2999999999992724</v>
      </c>
      <c r="DX25" s="91">
        <f>'[1]April - 2022'!EA25</f>
        <v>3218.9</v>
      </c>
      <c r="DY25" s="214">
        <f>'[1]April - 2022'!EB25</f>
        <v>6.9000000000000909</v>
      </c>
      <c r="DZ25" s="91">
        <f>'[1]April - 2022'!EC25</f>
        <v>3432.1</v>
      </c>
      <c r="EA25" s="214">
        <f>'[1]April - 2022'!ED25</f>
        <v>9.7999999999997272</v>
      </c>
      <c r="EB25" s="91">
        <f>'[1]April - 2022'!EE25</f>
        <v>948530</v>
      </c>
      <c r="EC25" s="214">
        <f>'[1]April - 2022'!EF25</f>
        <v>801</v>
      </c>
      <c r="ED25" s="91">
        <f>'[1]April - 2022'!EI25</f>
        <v>196178.3</v>
      </c>
      <c r="EE25" s="228">
        <f>'[1]April - 2022'!EJ25</f>
        <v>157.39999999999418</v>
      </c>
      <c r="EF25" s="373"/>
      <c r="EG25" s="234">
        <f>'[1]April - 2022'!EL25</f>
        <v>10812300</v>
      </c>
      <c r="EH25" s="229">
        <f>'[1]April - 2022'!EM25</f>
        <v>5600</v>
      </c>
      <c r="EI25" s="90">
        <f>'[1]April - 2022'!EN25</f>
        <v>859540</v>
      </c>
      <c r="EJ25" s="229">
        <f>'[1]April - 2022'!EO25</f>
        <v>290</v>
      </c>
      <c r="EK25" s="90">
        <f>'[1]April - 2022'!EP25</f>
        <v>6525000</v>
      </c>
      <c r="EL25" s="229">
        <f>'[1]April - 2022'!EQ25</f>
        <v>2800</v>
      </c>
      <c r="EM25" s="90">
        <f>'[1]April - 2022'!ER25</f>
        <v>2297300</v>
      </c>
      <c r="EN25" s="229">
        <f>'[1]April - 2022'!ES25</f>
        <v>800</v>
      </c>
      <c r="EO25" s="90">
        <f>'[1]April - 2022'!ET25</f>
        <v>1078210</v>
      </c>
      <c r="EP25" s="229">
        <f>'[1]April - 2022'!EU25</f>
        <v>690</v>
      </c>
      <c r="EQ25" s="90">
        <f>'[1]April - 2022'!EV25</f>
        <v>14675000</v>
      </c>
      <c r="ER25" s="229">
        <f>'[1]April - 2022'!EW25</f>
        <v>6800</v>
      </c>
      <c r="ES25" s="421"/>
      <c r="ET25" s="278">
        <f>'[1]April - 2022'!EY25</f>
        <v>39387</v>
      </c>
      <c r="EU25" s="272">
        <f>'[1]April - 2022'!EZ25</f>
        <v>16</v>
      </c>
      <c r="EV25" s="279">
        <f>'[1]April - 2022'!FA25</f>
        <v>34080</v>
      </c>
      <c r="EW25" s="272">
        <f>'[1]April - 2022'!FB25</f>
        <v>15</v>
      </c>
      <c r="EX25" s="279">
        <f>'[1]April - 2022'!FC25</f>
        <v>5139</v>
      </c>
      <c r="EY25" s="272">
        <f>'[1]April - 2022'!FD25</f>
        <v>15</v>
      </c>
      <c r="EZ25" s="279">
        <f>'[1]April - 2022'!FE25</f>
        <v>56283</v>
      </c>
      <c r="FA25" s="272">
        <f>'[1]April - 2022'!FF25</f>
        <v>8</v>
      </c>
      <c r="FB25" s="279">
        <f>'[1]April - 2022'!FG25</f>
        <v>41717</v>
      </c>
      <c r="FC25" s="273">
        <f>'[1]April - 2022'!FH25</f>
        <v>27</v>
      </c>
    </row>
    <row r="26" spans="1:159" ht="30" customHeight="1" x14ac:dyDescent="0.25">
      <c r="A26" s="206">
        <v>43847</v>
      </c>
      <c r="B26" s="208">
        <f>'[1]April - 2022'!B26</f>
        <v>0.88</v>
      </c>
      <c r="C26" s="249">
        <f>'[1]April - 2022'!E26</f>
        <v>102554</v>
      </c>
      <c r="D26" s="169">
        <f>'[1]April - 2022'!F26</f>
        <v>630</v>
      </c>
      <c r="E26" s="168">
        <f>'[1]April - 2022'!G26</f>
        <v>599</v>
      </c>
      <c r="F26" s="168">
        <f>'[1]April - 2022'!H26</f>
        <v>147655</v>
      </c>
      <c r="G26" s="169">
        <f>'[1]April - 2022'!I26</f>
        <v>417</v>
      </c>
      <c r="H26" s="168">
        <f>'[1]April - 2022'!J26</f>
        <v>376.60000000000036</v>
      </c>
      <c r="I26" s="168">
        <f>'[1]April - 2022'!K26</f>
        <v>164625</v>
      </c>
      <c r="J26" s="169">
        <f>'[1]April - 2022'!L26</f>
        <v>0</v>
      </c>
      <c r="K26" s="168">
        <f>'[1]April - 2022'!N26</f>
        <v>845327</v>
      </c>
      <c r="L26" s="169">
        <f>'[1]April - 2022'!O26</f>
        <v>265</v>
      </c>
      <c r="M26" s="168">
        <f>'[1]April - 2022'!Q26</f>
        <v>198770</v>
      </c>
      <c r="N26" s="169">
        <f>'[1]April - 2022'!R26</f>
        <v>0</v>
      </c>
      <c r="O26" s="261">
        <f>'[1]April - 2022'!U26</f>
        <v>64745.36</v>
      </c>
      <c r="P26" s="169">
        <f>'[1]April - 2022'!V26</f>
        <v>155.88999999999942</v>
      </c>
      <c r="Q26" s="168">
        <f>'[1]April - 2022'!W26</f>
        <v>98.739999999999782</v>
      </c>
      <c r="R26" s="261">
        <f>'[1]April - 2022'!X26</f>
        <v>223</v>
      </c>
      <c r="S26" s="207">
        <f>'[1]April - 2022'!Y26</f>
        <v>25</v>
      </c>
      <c r="T26" s="517"/>
      <c r="U26" s="266">
        <f>'[1]April - 2022'!AE26</f>
        <v>7516765.2000000002</v>
      </c>
      <c r="V26" s="287">
        <f>'[1]April - 2022'!AF26</f>
        <v>2728.320000000298</v>
      </c>
      <c r="W26" s="92">
        <f>'[1]April - 2022'!AG26</f>
        <v>2582.1600000010803</v>
      </c>
      <c r="X26" s="286">
        <f>'[1]April - 2022'!AH26</f>
        <v>14364653.52</v>
      </c>
      <c r="Y26" s="287">
        <f>'[1]April - 2022'!AI26</f>
        <v>4823.2799999993294</v>
      </c>
      <c r="Z26" s="92">
        <f>'[1]April - 2022'!AJ26</f>
        <v>4530.9599999990314</v>
      </c>
      <c r="AA26" s="286">
        <f>'[1]April - 2022'!AK26</f>
        <v>14004076.799999999</v>
      </c>
      <c r="AB26" s="287">
        <f>'[1]April - 2022'!AL26</f>
        <v>11644.080000000075</v>
      </c>
      <c r="AC26" s="92">
        <f>'[1]April - 2022'!AM26</f>
        <v>584.6399999987334</v>
      </c>
      <c r="AD26" s="286">
        <f>'[1]April - 2022'!AN26</f>
        <v>17228268.960000001</v>
      </c>
      <c r="AE26" s="287">
        <f>'[1]April - 2022'!AO26</f>
        <v>3654</v>
      </c>
      <c r="AF26" s="92">
        <f>'[1]April - 2022'!AP26</f>
        <v>11059.439999997616</v>
      </c>
      <c r="AG26" s="286">
        <f>'[1]April - 2022'!AQ26</f>
        <v>17579101.68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16224978</v>
      </c>
      <c r="AK26" s="287">
        <f>'[1]April - 2022'!AU26</f>
        <v>5700.2399999983609</v>
      </c>
      <c r="AL26" s="92">
        <f>'[1]April - 2022'!AV26</f>
        <v>5213.0400000009686</v>
      </c>
      <c r="AM26" s="286">
        <f>'[1]April - 2022'!AW26</f>
        <v>13726275.359999999</v>
      </c>
      <c r="AN26" s="287">
        <f>'[1]April - 2022'!AX26</f>
        <v>4384.8000000007451</v>
      </c>
      <c r="AO26" s="92">
        <f>'[1]April - 2022'!AY26</f>
        <v>3751.4399999994785</v>
      </c>
      <c r="AP26" s="286">
        <f>'[1]April - 2022'!AZ26</f>
        <v>13230305.76</v>
      </c>
      <c r="AQ26" s="287">
        <f>'[1]April - 2022'!BD26</f>
        <v>2874.480000000447</v>
      </c>
      <c r="AR26" s="92">
        <f>'[1]April - 2022'!BB26</f>
        <v>4238.640000000596</v>
      </c>
      <c r="AS26" s="286">
        <f>'[1]April - 2022'!BC26</f>
        <v>10490877.6</v>
      </c>
      <c r="AT26" s="287">
        <f>'[1]April - 2022'!BD26</f>
        <v>2874.480000000447</v>
      </c>
      <c r="AU26" s="92">
        <f>'[1]April - 2022'!BE26</f>
        <v>2923.2000000011176</v>
      </c>
      <c r="AV26" s="286">
        <f>'[1]April - 2022'!BF26</f>
        <v>16376204.880000001</v>
      </c>
      <c r="AW26" s="251">
        <f>'[1]April - 2022'!BG26</f>
        <v>5992.5600000023842</v>
      </c>
      <c r="AX26" s="252">
        <f>'[1]April - 2022'!BH26</f>
        <v>5700.2400000020862</v>
      </c>
      <c r="AY26" s="483"/>
      <c r="AZ26" s="269">
        <f>'[1]April - 2022'!BM26</f>
        <v>69388700</v>
      </c>
      <c r="BA26" s="178">
        <f>'[1]April - 2022'!BN26</f>
        <v>58200</v>
      </c>
      <c r="BB26" s="93">
        <f>'[1]April - 2022'!BO26</f>
        <v>2900</v>
      </c>
      <c r="BC26" s="269">
        <f>'[1]April - 2022'!BP26</f>
        <v>72956500</v>
      </c>
      <c r="BD26" s="244">
        <f>'[1]April - 2022'!BQ26</f>
        <v>19300</v>
      </c>
      <c r="BE26" s="93">
        <f>'[1]April - 2022'!BR26</f>
        <v>58200</v>
      </c>
      <c r="BF26" s="269">
        <f>'[1]April - 2022'!BS26</f>
        <v>67331700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8473390</v>
      </c>
      <c r="BT26" s="184">
        <f>'[1]April - 2022'!BW26</f>
        <v>6360</v>
      </c>
      <c r="BU26" s="389"/>
      <c r="BV26" s="88">
        <f>'[1]April - 2022'!BY26</f>
        <v>0.74</v>
      </c>
      <c r="BW26" s="240">
        <f>'[1]April - 2022'!BZ26</f>
        <v>-6.9999999999999951E-2</v>
      </c>
      <c r="BX26" s="88">
        <f>'[1]April - 2022'!CA26</f>
        <v>-5.0000000000000044E-2</v>
      </c>
      <c r="BY26" s="89">
        <f>'[1]April - 2022'!CB26</f>
        <v>59471</v>
      </c>
      <c r="BZ26" s="190">
        <f>'[1]April - 2022'!CC26</f>
        <v>22</v>
      </c>
      <c r="CA26" s="89">
        <f>'[1]April - 2022'!CD26</f>
        <v>51016</v>
      </c>
      <c r="CB26" s="190">
        <f>'[1]April - 2022'!CE26</f>
        <v>20</v>
      </c>
      <c r="CC26" s="89">
        <f>'[1]April - 2022'!CF26</f>
        <v>17406</v>
      </c>
      <c r="CD26" s="190">
        <f>'[1]April - 2022'!CG26</f>
        <v>4</v>
      </c>
      <c r="CE26" s="89">
        <f>'[1]April - 2022'!CH26</f>
        <v>23364</v>
      </c>
      <c r="CF26" s="190">
        <f>'[1]April - 2022'!CI26</f>
        <v>7</v>
      </c>
      <c r="CG26" s="89">
        <f>'[1]April - 2022'!CJ26</f>
        <v>25538</v>
      </c>
      <c r="CH26" s="190">
        <f>'[1]April - 2022'!CK26</f>
        <v>15</v>
      </c>
      <c r="CI26" s="89">
        <f>'[1]April - 2022'!CL26</f>
        <v>56774</v>
      </c>
      <c r="CJ26" s="190">
        <f>'[1]April - 2022'!CM26</f>
        <v>27</v>
      </c>
      <c r="CK26" s="89">
        <f>'[1]April - 2022'!CN26</f>
        <v>247617</v>
      </c>
      <c r="CL26" s="245">
        <f>'[1]April - 2022'!CO26</f>
        <v>110</v>
      </c>
      <c r="CM26" s="89">
        <f>'[1]April - 2022'!CP26</f>
        <v>98</v>
      </c>
      <c r="CN26" s="89">
        <f>'[1]April - 2022'!CQ26</f>
        <v>195135</v>
      </c>
      <c r="CO26" s="245">
        <f>'[1]April - 2022'!CR26</f>
        <v>120</v>
      </c>
      <c r="CP26" s="89">
        <f>'[1]April - 2022'!CS26</f>
        <v>95</v>
      </c>
      <c r="CQ26" s="89">
        <f>'[1]April - 2022'!CT26</f>
        <v>348596</v>
      </c>
      <c r="CR26" s="245">
        <f>'[1]April - 2022'!CU26</f>
        <v>11</v>
      </c>
      <c r="CS26" s="89">
        <f>'[1]April - 2022'!CV26</f>
        <v>117</v>
      </c>
      <c r="CT26" s="89">
        <f>'[1]April - 2022'!CW26</f>
        <v>650252</v>
      </c>
      <c r="CU26" s="190">
        <f>'[1]April - 2022'!CX26</f>
        <v>250</v>
      </c>
      <c r="CV26" s="450"/>
      <c r="CW26" s="284">
        <f>'[1]April - 2022'!CZ26</f>
        <v>7478</v>
      </c>
      <c r="CX26" s="197">
        <f>'[1]April - 2022'!DA26</f>
        <v>3</v>
      </c>
      <c r="CY26" s="285">
        <f>'[1]April - 2022'!DB26</f>
        <v>4824</v>
      </c>
      <c r="CZ26" s="197">
        <f>'[1]April - 2022'!DC26</f>
        <v>3</v>
      </c>
      <c r="DA26" s="285">
        <f>'[1]April - 2022'!DD26</f>
        <v>29155</v>
      </c>
      <c r="DB26" s="197">
        <f>'[1]April - 2022'!DE26</f>
        <v>18</v>
      </c>
      <c r="DC26" s="285">
        <f>'[1]April - 2022'!DF26</f>
        <v>29662</v>
      </c>
      <c r="DD26" s="197">
        <f>'[1]April - 2022'!DG26</f>
        <v>17</v>
      </c>
      <c r="DE26" s="285">
        <f>'[1]April - 2022'!DH26</f>
        <v>19868</v>
      </c>
      <c r="DF26" s="197">
        <f>'[1]April - 2022'!DI26</f>
        <v>8</v>
      </c>
      <c r="DG26" s="285">
        <f>'[1]April - 2022'!DJ26</f>
        <v>22782</v>
      </c>
      <c r="DH26" s="197">
        <f>'[1]April - 2022'!DK26</f>
        <v>6</v>
      </c>
      <c r="DI26" s="285">
        <f>'[1]April - 2022'!DL26</f>
        <v>4767</v>
      </c>
      <c r="DJ26" s="197">
        <f>'[1]April - 2022'!DM26</f>
        <v>13</v>
      </c>
      <c r="DK26" s="285">
        <f>'[1]April - 2022'!DN26</f>
        <v>7995</v>
      </c>
      <c r="DL26" s="197">
        <f>'[1]April - 2022'!DO26</f>
        <v>12</v>
      </c>
      <c r="DM26" s="285">
        <f>'[1]April - 2022'!DP26</f>
        <v>2390</v>
      </c>
      <c r="DN26" s="197">
        <f>'[1]April - 2022'!DQ26</f>
        <v>4</v>
      </c>
      <c r="DO26" s="285">
        <f>'[1]April - 2022'!DR26</f>
        <v>4507</v>
      </c>
      <c r="DP26" s="197">
        <f>'[1]April - 2022'!DS26</f>
        <v>7</v>
      </c>
      <c r="DQ26" s="285">
        <f>'[1]April - 2022'!DT26</f>
        <v>27505</v>
      </c>
      <c r="DR26" s="205">
        <f>'[1]April - 2022'!DU26</f>
        <v>18</v>
      </c>
      <c r="DS26" s="435"/>
      <c r="DT26" s="209">
        <f>'[1]April - 2022'!DW26</f>
        <v>4267.8999999999996</v>
      </c>
      <c r="DU26" s="220">
        <f>'[1]April - 2022'!DX26</f>
        <v>9.1999999999998181</v>
      </c>
      <c r="DV26" s="91">
        <f>'[1]April - 2022'!DY26</f>
        <v>9194</v>
      </c>
      <c r="DW26" s="214">
        <f>'[1]April - 2022'!DZ26</f>
        <v>8.2000000000007276</v>
      </c>
      <c r="DX26" s="91">
        <f>'[1]April - 2022'!EA26</f>
        <v>3225.7</v>
      </c>
      <c r="DY26" s="214">
        <f>'[1]April - 2022'!EB26</f>
        <v>6.7999999999997272</v>
      </c>
      <c r="DZ26" s="91">
        <f>'[1]April - 2022'!EC26</f>
        <v>3441.6</v>
      </c>
      <c r="EA26" s="214">
        <f>'[1]April - 2022'!ED26</f>
        <v>9.5</v>
      </c>
      <c r="EB26" s="91">
        <f>'[1]April - 2022'!EE26</f>
        <v>949300</v>
      </c>
      <c r="EC26" s="214">
        <f>'[1]April - 2022'!EF26</f>
        <v>770</v>
      </c>
      <c r="ED26" s="91">
        <f>'[1]April - 2022'!EI26</f>
        <v>196322.4</v>
      </c>
      <c r="EE26" s="228">
        <f>'[1]April - 2022'!EJ26</f>
        <v>144.10000000000582</v>
      </c>
      <c r="EF26" s="373"/>
      <c r="EG26" s="234">
        <f>'[1]April - 2022'!EL26</f>
        <v>10816800</v>
      </c>
      <c r="EH26" s="229">
        <f>'[1]April - 2022'!EM26</f>
        <v>4500</v>
      </c>
      <c r="EI26" s="90">
        <f>'[1]April - 2022'!EN26</f>
        <v>859790</v>
      </c>
      <c r="EJ26" s="229">
        <f>'[1]April - 2022'!EO26</f>
        <v>250</v>
      </c>
      <c r="EK26" s="90">
        <f>'[1]April - 2022'!EP26</f>
        <v>6527200</v>
      </c>
      <c r="EL26" s="229">
        <f>'[1]April - 2022'!EQ26</f>
        <v>2200</v>
      </c>
      <c r="EM26" s="90">
        <f>'[1]April - 2022'!ER26</f>
        <v>2298000</v>
      </c>
      <c r="EN26" s="229">
        <f>'[1]April - 2022'!ES26</f>
        <v>700</v>
      </c>
      <c r="EO26" s="90">
        <f>'[1]April - 2022'!ET26</f>
        <v>1078840</v>
      </c>
      <c r="EP26" s="229">
        <f>'[1]April - 2022'!EU26</f>
        <v>630</v>
      </c>
      <c r="EQ26" s="90">
        <f>'[1]April - 2022'!EV26</f>
        <v>14680700</v>
      </c>
      <c r="ER26" s="229">
        <f>'[1]April - 2022'!EW26</f>
        <v>5700</v>
      </c>
      <c r="ES26" s="421"/>
      <c r="ET26" s="278">
        <f>'[1]April - 2022'!EY26</f>
        <v>39401</v>
      </c>
      <c r="EU26" s="272">
        <f>'[1]April - 2022'!EZ26</f>
        <v>14</v>
      </c>
      <c r="EV26" s="279">
        <f>'[1]April - 2022'!FA26</f>
        <v>34094</v>
      </c>
      <c r="EW26" s="272">
        <f>'[1]April - 2022'!FB26</f>
        <v>14</v>
      </c>
      <c r="EX26" s="279">
        <f>'[1]April - 2022'!FC26</f>
        <v>5151</v>
      </c>
      <c r="EY26" s="272">
        <f>'[1]April - 2022'!FD26</f>
        <v>12</v>
      </c>
      <c r="EZ26" s="279">
        <f>'[1]April - 2022'!FE26</f>
        <v>56291</v>
      </c>
      <c r="FA26" s="272">
        <f>'[1]April - 2022'!FF26</f>
        <v>8</v>
      </c>
      <c r="FB26" s="279">
        <f>'[1]April - 2022'!FG26</f>
        <v>41747</v>
      </c>
      <c r="FC26" s="273">
        <f>'[1]April - 2022'!FH26</f>
        <v>30</v>
      </c>
    </row>
    <row r="27" spans="1:159" ht="30" customHeight="1" x14ac:dyDescent="0.25">
      <c r="A27" s="206">
        <v>43848</v>
      </c>
      <c r="B27" s="208">
        <f>'[1]April - 2022'!B27</f>
        <v>0.88</v>
      </c>
      <c r="C27" s="249">
        <f>'[1]April - 2022'!E27</f>
        <v>103272</v>
      </c>
      <c r="D27" s="169">
        <f>'[1]April - 2022'!F27</f>
        <v>718</v>
      </c>
      <c r="E27" s="168">
        <f>'[1]April - 2022'!G27</f>
        <v>506</v>
      </c>
      <c r="F27" s="168">
        <f>'[1]April - 2022'!H27</f>
        <v>148067</v>
      </c>
      <c r="G27" s="169">
        <f>'[1]April - 2022'!I27</f>
        <v>412</v>
      </c>
      <c r="H27" s="168">
        <f>'[1]April - 2022'!J27</f>
        <v>350.78999999999905</v>
      </c>
      <c r="I27" s="168">
        <f>'[1]April - 2022'!K27</f>
        <v>164625</v>
      </c>
      <c r="J27" s="169">
        <f>'[1]April - 2022'!L27</f>
        <v>0</v>
      </c>
      <c r="K27" s="168">
        <f>'[1]April - 2022'!N27</f>
        <v>845659</v>
      </c>
      <c r="L27" s="169">
        <f>'[1]April - 2022'!O27</f>
        <v>332</v>
      </c>
      <c r="M27" s="168">
        <f>'[1]April - 2022'!Q27</f>
        <v>198871</v>
      </c>
      <c r="N27" s="169">
        <f>'[1]April - 2022'!R27</f>
        <v>101</v>
      </c>
      <c r="O27" s="261">
        <f>'[1]April - 2022'!U27</f>
        <v>64858.77</v>
      </c>
      <c r="P27" s="169">
        <f>'[1]April - 2022'!V27</f>
        <v>113.40999999999622</v>
      </c>
      <c r="Q27" s="168">
        <f>'[1]April - 2022'!W27</f>
        <v>109.0300000000002</v>
      </c>
      <c r="R27" s="261">
        <f>'[1]April - 2022'!X27</f>
        <v>241</v>
      </c>
      <c r="S27" s="207">
        <f>'[1]April - 2022'!Y27</f>
        <v>18</v>
      </c>
      <c r="T27" s="517"/>
      <c r="U27" s="266">
        <f>'[1]April - 2022'!AE27</f>
        <v>7519298.6400000006</v>
      </c>
      <c r="V27" s="287">
        <f>'[1]April - 2022'!AF27</f>
        <v>2533.4400000004098</v>
      </c>
      <c r="W27" s="92">
        <f>'[1]April - 2022'!AG27</f>
        <v>2728.3199999984354</v>
      </c>
      <c r="X27" s="286">
        <f>'[1]April - 2022'!AH27</f>
        <v>14369622.959999999</v>
      </c>
      <c r="Y27" s="287">
        <f>'[1]April - 2022'!AI27</f>
        <v>4969.4399999994785</v>
      </c>
      <c r="Z27" s="92">
        <f>'[1]April - 2022'!AJ27</f>
        <v>4725.8400000017136</v>
      </c>
      <c r="AA27" s="286">
        <f>'[1]April - 2022'!AK27</f>
        <v>14015477.280000001</v>
      </c>
      <c r="AB27" s="287">
        <f>'[1]April - 2022'!AL27</f>
        <v>11400.48000000231</v>
      </c>
      <c r="AC27" s="92">
        <f>'[1]April - 2022'!AM27</f>
        <v>194.88000000081956</v>
      </c>
      <c r="AD27" s="286">
        <f>'[1]April - 2022'!AN27</f>
        <v>17228366.399999999</v>
      </c>
      <c r="AE27" s="287">
        <f>'[1]April - 2022'!AO27</f>
        <v>97.439999997615814</v>
      </c>
      <c r="AF27" s="92">
        <f>'[1]April - 2022'!AP27</f>
        <v>11010.720000000671</v>
      </c>
      <c r="AG27" s="286">
        <f>'[1]April - 2022'!AQ27</f>
        <v>17579101.68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16230921.839999998</v>
      </c>
      <c r="AK27" s="287">
        <f>'[1]April - 2022'!AU27</f>
        <v>5943.8399999979883</v>
      </c>
      <c r="AL27" s="92">
        <f>'[1]April - 2022'!AV27</f>
        <v>5505.359999999404</v>
      </c>
      <c r="AM27" s="286">
        <f>'[1]April - 2022'!AW27</f>
        <v>13731001.199999999</v>
      </c>
      <c r="AN27" s="287">
        <f>'[1]April - 2022'!AX27</f>
        <v>4725.839999999851</v>
      </c>
      <c r="AO27" s="92">
        <f>'[1]April - 2022'!AY27</f>
        <v>3848.8799999989569</v>
      </c>
      <c r="AP27" s="286">
        <f>'[1]April - 2022'!AZ27</f>
        <v>13235080.319999998</v>
      </c>
      <c r="AQ27" s="287">
        <f>'[1]April - 2022'!BD27</f>
        <v>3020.640000000596</v>
      </c>
      <c r="AR27" s="92">
        <f>'[1]April - 2022'!BB27</f>
        <v>4336.0799999982119</v>
      </c>
      <c r="AS27" s="286">
        <f>'[1]April - 2022'!BC27</f>
        <v>10493898.24</v>
      </c>
      <c r="AT27" s="287">
        <f>'[1]April - 2022'!BD27</f>
        <v>3020.640000000596</v>
      </c>
      <c r="AU27" s="92">
        <f>'[1]April - 2022'!BE27</f>
        <v>3264.2400000002235</v>
      </c>
      <c r="AV27" s="286">
        <f>'[1]April - 2022'!BF27</f>
        <v>16381710.239999998</v>
      </c>
      <c r="AW27" s="251">
        <f>'[1]April - 2022'!BG27</f>
        <v>5505.3599999975413</v>
      </c>
      <c r="AX27" s="252">
        <f>'[1]April - 2022'!BH27</f>
        <v>5943.839999999851</v>
      </c>
      <c r="AY27" s="483"/>
      <c r="AZ27" s="269">
        <f>'[1]April - 2022'!BM27</f>
        <v>69449700</v>
      </c>
      <c r="BA27" s="178">
        <f>'[1]April - 2022'!BN27</f>
        <v>61000</v>
      </c>
      <c r="BB27" s="93">
        <f>'[1]April - 2022'!BO27</f>
        <v>0</v>
      </c>
      <c r="BC27" s="269">
        <f>'[1]April - 2022'!BP27</f>
        <v>72956500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67331700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8479960</v>
      </c>
      <c r="BT27" s="184">
        <f>'[1]April - 2022'!BW27</f>
        <v>6570</v>
      </c>
      <c r="BU27" s="389"/>
      <c r="BV27" s="88">
        <f>'[1]April - 2022'!BY27</f>
        <v>0.68</v>
      </c>
      <c r="BW27" s="240">
        <f>'[1]April - 2022'!BZ27</f>
        <v>5.9999999999999942E-2</v>
      </c>
      <c r="BX27" s="88">
        <f>'[1]April - 2022'!CA27</f>
        <v>6.0000000000000053E-2</v>
      </c>
      <c r="BY27" s="89">
        <f>'[1]April - 2022'!CB27</f>
        <v>59491</v>
      </c>
      <c r="BZ27" s="190">
        <f>'[1]April - 2022'!CC27</f>
        <v>20</v>
      </c>
      <c r="CA27" s="89">
        <f>'[1]April - 2022'!CD27</f>
        <v>51036</v>
      </c>
      <c r="CB27" s="190">
        <f>'[1]April - 2022'!CE27</f>
        <v>20</v>
      </c>
      <c r="CC27" s="89">
        <f>'[1]April - 2022'!CF27</f>
        <v>17412</v>
      </c>
      <c r="CD27" s="190">
        <f>'[1]April - 2022'!CG27</f>
        <v>6</v>
      </c>
      <c r="CE27" s="89">
        <f>'[1]April - 2022'!CH27</f>
        <v>23371</v>
      </c>
      <c r="CF27" s="190">
        <f>'[1]April - 2022'!CI27</f>
        <v>7</v>
      </c>
      <c r="CG27" s="89">
        <f>'[1]April - 2022'!CJ27</f>
        <v>25548</v>
      </c>
      <c r="CH27" s="190">
        <f>'[1]April - 2022'!CK27</f>
        <v>10</v>
      </c>
      <c r="CI27" s="89">
        <f>'[1]April - 2022'!CL27</f>
        <v>56802</v>
      </c>
      <c r="CJ27" s="190">
        <f>'[1]April - 2022'!CM27</f>
        <v>28</v>
      </c>
      <c r="CK27" s="89">
        <f>'[1]April - 2022'!CN27</f>
        <v>247726</v>
      </c>
      <c r="CL27" s="245">
        <f>'[1]April - 2022'!CO27</f>
        <v>109</v>
      </c>
      <c r="CM27" s="89">
        <f>'[1]April - 2022'!CP27</f>
        <v>97</v>
      </c>
      <c r="CN27" s="89">
        <f>'[1]April - 2022'!CQ27</f>
        <v>195248</v>
      </c>
      <c r="CO27" s="245">
        <f>'[1]April - 2022'!CR27</f>
        <v>113</v>
      </c>
      <c r="CP27" s="89">
        <f>'[1]April - 2022'!CS27</f>
        <v>96</v>
      </c>
      <c r="CQ27" s="89">
        <f>'[1]April - 2022'!CT27</f>
        <v>348758</v>
      </c>
      <c r="CR27" s="245">
        <f>'[1]April - 2022'!CU27</f>
        <v>162</v>
      </c>
      <c r="CS27" s="89">
        <f>'[1]April - 2022'!CV27</f>
        <v>237</v>
      </c>
      <c r="CT27" s="89">
        <f>'[1]April - 2022'!CW27</f>
        <v>650499</v>
      </c>
      <c r="CU27" s="190">
        <f>'[1]April - 2022'!CX27</f>
        <v>247</v>
      </c>
      <c r="CV27" s="450"/>
      <c r="CW27" s="284">
        <f>'[1]April - 2022'!CZ27</f>
        <v>7482</v>
      </c>
      <c r="CX27" s="197">
        <f>'[1]April - 2022'!DA27</f>
        <v>4</v>
      </c>
      <c r="CY27" s="285">
        <f>'[1]April - 2022'!DB27</f>
        <v>4827</v>
      </c>
      <c r="CZ27" s="197">
        <f>'[1]April - 2022'!DC27</f>
        <v>3</v>
      </c>
      <c r="DA27" s="285">
        <f>'[1]April - 2022'!DD27</f>
        <v>29168</v>
      </c>
      <c r="DB27" s="197">
        <f>'[1]April - 2022'!DE27</f>
        <v>13</v>
      </c>
      <c r="DC27" s="285">
        <f>'[1]April - 2022'!DF27</f>
        <v>29680</v>
      </c>
      <c r="DD27" s="197">
        <f>'[1]April - 2022'!DG27</f>
        <v>18</v>
      </c>
      <c r="DE27" s="285">
        <f>'[1]April - 2022'!DH27</f>
        <v>19876</v>
      </c>
      <c r="DF27" s="197">
        <f>'[1]April - 2022'!DI27</f>
        <v>8</v>
      </c>
      <c r="DG27" s="285">
        <f>'[1]April - 2022'!DJ27</f>
        <v>22789</v>
      </c>
      <c r="DH27" s="197">
        <f>'[1]April - 2022'!DK27</f>
        <v>7</v>
      </c>
      <c r="DI27" s="285">
        <f>'[1]April - 2022'!DL27</f>
        <v>4778</v>
      </c>
      <c r="DJ27" s="197">
        <f>'[1]April - 2022'!DM27</f>
        <v>11</v>
      </c>
      <c r="DK27" s="285">
        <f>'[1]April - 2022'!DN27</f>
        <v>8001</v>
      </c>
      <c r="DL27" s="197">
        <f>'[1]April - 2022'!DO27</f>
        <v>6</v>
      </c>
      <c r="DM27" s="285">
        <f>'[1]April - 2022'!DP27</f>
        <v>2392</v>
      </c>
      <c r="DN27" s="197">
        <f>'[1]April - 2022'!DQ27</f>
        <v>2</v>
      </c>
      <c r="DO27" s="285">
        <f>'[1]April - 2022'!DR27</f>
        <v>4513</v>
      </c>
      <c r="DP27" s="197">
        <f>'[1]April - 2022'!DS27</f>
        <v>6</v>
      </c>
      <c r="DQ27" s="285">
        <f>'[1]April - 2022'!DT27</f>
        <v>27525</v>
      </c>
      <c r="DR27" s="205">
        <f>'[1]April - 2022'!DU27</f>
        <v>20</v>
      </c>
      <c r="DS27" s="435"/>
      <c r="DT27" s="209">
        <f>'[1]April - 2022'!DW27</f>
        <v>4277.3</v>
      </c>
      <c r="DU27" s="220">
        <f>'[1]April - 2022'!DX27</f>
        <v>9.4000000000005457</v>
      </c>
      <c r="DV27" s="91">
        <f>'[1]April - 2022'!DY27</f>
        <v>9201.5</v>
      </c>
      <c r="DW27" s="214">
        <f>'[1]April - 2022'!DZ27</f>
        <v>7.5</v>
      </c>
      <c r="DX27" s="91">
        <f>'[1]April - 2022'!EA27</f>
        <v>3232.1</v>
      </c>
      <c r="DY27" s="214">
        <f>'[1]April - 2022'!EB27</f>
        <v>6.4000000000000909</v>
      </c>
      <c r="DZ27" s="91">
        <f>'[1]April - 2022'!EC27</f>
        <v>3449.2</v>
      </c>
      <c r="EA27" s="214">
        <f>'[1]April - 2022'!ED27</f>
        <v>7.5999999999999091</v>
      </c>
      <c r="EB27" s="91">
        <f>'[1]April - 2022'!EE27</f>
        <v>949927</v>
      </c>
      <c r="EC27" s="214">
        <f>'[1]April - 2022'!EF27</f>
        <v>627</v>
      </c>
      <c r="ED27" s="91">
        <f>'[1]April - 2022'!EI27</f>
        <v>196471.9</v>
      </c>
      <c r="EE27" s="228">
        <f>'[1]April - 2022'!EJ27</f>
        <v>149.5</v>
      </c>
      <c r="EF27" s="373"/>
      <c r="EG27" s="234">
        <f>'[1]April - 2022'!EL27</f>
        <v>10820500</v>
      </c>
      <c r="EH27" s="229">
        <f>'[1]April - 2022'!EM27</f>
        <v>3700</v>
      </c>
      <c r="EI27" s="90">
        <f>'[1]April - 2022'!EN27</f>
        <v>860030</v>
      </c>
      <c r="EJ27" s="229">
        <f>'[1]April - 2022'!EO27</f>
        <v>240</v>
      </c>
      <c r="EK27" s="90">
        <f>'[1]April - 2022'!EP27</f>
        <v>6529000</v>
      </c>
      <c r="EL27" s="229">
        <f>'[1]April - 2022'!EQ27</f>
        <v>1800</v>
      </c>
      <c r="EM27" s="90">
        <f>'[1]April - 2022'!ER27</f>
        <v>2298600</v>
      </c>
      <c r="EN27" s="229">
        <f>'[1]April - 2022'!ES27</f>
        <v>600</v>
      </c>
      <c r="EO27" s="90">
        <f>'[1]April - 2022'!ET27</f>
        <v>1079440</v>
      </c>
      <c r="EP27" s="229">
        <f>'[1]April - 2022'!EU27</f>
        <v>600</v>
      </c>
      <c r="EQ27" s="90">
        <f>'[1]April - 2022'!EV27</f>
        <v>14684600</v>
      </c>
      <c r="ER27" s="229">
        <f>'[1]April - 2022'!EW27</f>
        <v>3900</v>
      </c>
      <c r="ES27" s="421"/>
      <c r="ET27" s="278">
        <f>'[1]April - 2022'!EY27</f>
        <v>39417</v>
      </c>
      <c r="EU27" s="272">
        <f>'[1]April - 2022'!EZ27</f>
        <v>16</v>
      </c>
      <c r="EV27" s="279">
        <f>'[1]April - 2022'!FA27</f>
        <v>34108</v>
      </c>
      <c r="EW27" s="272">
        <f>'[1]April - 2022'!FB27</f>
        <v>14</v>
      </c>
      <c r="EX27" s="279">
        <f>'[1]April - 2022'!FC27</f>
        <v>5162</v>
      </c>
      <c r="EY27" s="272">
        <f>'[1]April - 2022'!FD27</f>
        <v>11</v>
      </c>
      <c r="EZ27" s="279">
        <f>'[1]April - 2022'!FE27</f>
        <v>56300</v>
      </c>
      <c r="FA27" s="272">
        <f>'[1]April - 2022'!FF27</f>
        <v>9</v>
      </c>
      <c r="FB27" s="279">
        <f>'[1]April - 2022'!FG27</f>
        <v>41774</v>
      </c>
      <c r="FC27" s="273">
        <f>'[1]April - 2022'!FH27</f>
        <v>27</v>
      </c>
    </row>
    <row r="28" spans="1:159" ht="30" customHeight="1" x14ac:dyDescent="0.25">
      <c r="A28" s="206">
        <v>43849</v>
      </c>
      <c r="B28" s="208">
        <f>'[1]April - 2022'!B28</f>
        <v>0.85</v>
      </c>
      <c r="C28" s="249">
        <f>'[1]April - 2022'!E28</f>
        <v>104029</v>
      </c>
      <c r="D28" s="169">
        <f>'[1]April - 2022'!F28</f>
        <v>757</v>
      </c>
      <c r="E28" s="168">
        <f>'[1]April - 2022'!G28</f>
        <v>415</v>
      </c>
      <c r="F28" s="168">
        <f>'[1]April - 2022'!H28</f>
        <v>148454</v>
      </c>
      <c r="G28" s="169">
        <f>'[1]April - 2022'!I28</f>
        <v>387</v>
      </c>
      <c r="H28" s="168">
        <f>'[1]April - 2022'!J28</f>
        <v>293.61000000000058</v>
      </c>
      <c r="I28" s="168">
        <f>'[1]April - 2022'!K28</f>
        <v>164625</v>
      </c>
      <c r="J28" s="169">
        <f>'[1]April - 2022'!L28</f>
        <v>0</v>
      </c>
      <c r="K28" s="168">
        <f>'[1]April - 2022'!N28</f>
        <v>845984</v>
      </c>
      <c r="L28" s="169">
        <f>'[1]April - 2022'!O28</f>
        <v>325</v>
      </c>
      <c r="M28" s="168">
        <f>'[1]April - 2022'!Q28</f>
        <v>199068</v>
      </c>
      <c r="N28" s="169">
        <f>'[1]April - 2022'!R28</f>
        <v>197</v>
      </c>
      <c r="O28" s="261">
        <f>'[1]April - 2022'!U28</f>
        <v>65001.37</v>
      </c>
      <c r="P28" s="169">
        <f>'[1]April - 2022'!V28</f>
        <v>142.60000000000582</v>
      </c>
      <c r="Q28" s="168">
        <f>'[1]April - 2022'!W28</f>
        <v>112.2199999999998</v>
      </c>
      <c r="R28" s="261">
        <f>'[1]April - 2022'!X28</f>
        <v>263</v>
      </c>
      <c r="S28" s="207">
        <f>'[1]April - 2022'!Y28</f>
        <v>22</v>
      </c>
      <c r="T28" s="517"/>
      <c r="U28" s="266">
        <f>'[1]April - 2022'!AE28</f>
        <v>7522221.8399999999</v>
      </c>
      <c r="V28" s="287">
        <f>'[1]April - 2022'!AF28</f>
        <v>2923.1999999992549</v>
      </c>
      <c r="W28" s="92">
        <f>'[1]April - 2022'!AG28</f>
        <v>2582.1600000010803</v>
      </c>
      <c r="X28" s="286">
        <f>'[1]April - 2022'!AH28</f>
        <v>14374494.959999999</v>
      </c>
      <c r="Y28" s="287">
        <f>'[1]April - 2022'!AI28</f>
        <v>4872</v>
      </c>
      <c r="Z28" s="92">
        <f>'[1]April - 2022'!AJ28</f>
        <v>4628.4000000003725</v>
      </c>
      <c r="AA28" s="286">
        <f>'[1]April - 2022'!AK28</f>
        <v>14028485.52</v>
      </c>
      <c r="AB28" s="287">
        <f>'[1]April - 2022'!AL28</f>
        <v>13008.239999998361</v>
      </c>
      <c r="AC28" s="92">
        <f>'[1]April - 2022'!AM28</f>
        <v>146.16000000014901</v>
      </c>
      <c r="AD28" s="286">
        <f>'[1]April - 2022'!AN28</f>
        <v>17228415.119999997</v>
      </c>
      <c r="AE28" s="287">
        <f>'[1]April - 2022'!AO28</f>
        <v>48.719999998807907</v>
      </c>
      <c r="AF28" s="92">
        <f>'[1]April - 2022'!AP28</f>
        <v>10913.279999999329</v>
      </c>
      <c r="AG28" s="286">
        <f>'[1]April - 2022'!AQ28</f>
        <v>17579101.68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16236622.08</v>
      </c>
      <c r="AK28" s="287">
        <f>'[1]April - 2022'!AU28</f>
        <v>5700.2400000020862</v>
      </c>
      <c r="AL28" s="92">
        <f>'[1]April - 2022'!AV28</f>
        <v>5213.0400000009686</v>
      </c>
      <c r="AM28" s="286">
        <f>'[1]April - 2022'!AW28</f>
        <v>13735580.880000001</v>
      </c>
      <c r="AN28" s="287">
        <f>'[1]April - 2022'!AX28</f>
        <v>4579.6800000015646</v>
      </c>
      <c r="AO28" s="92">
        <f>'[1]April - 2022'!AY28</f>
        <v>4384.8000000007451</v>
      </c>
      <c r="AP28" s="286">
        <f>'[1]April - 2022'!AZ28</f>
        <v>13239708.719999999</v>
      </c>
      <c r="AQ28" s="287">
        <f>'[1]April - 2022'!BD28</f>
        <v>2874.4799999985844</v>
      </c>
      <c r="AR28" s="92">
        <f>'[1]April - 2022'!BB28</f>
        <v>4067.4400000013411</v>
      </c>
      <c r="AS28" s="286">
        <f>'[1]April - 2022'!BC28</f>
        <v>10496772.719999999</v>
      </c>
      <c r="AT28" s="287">
        <f>'[1]April - 2022'!BD28</f>
        <v>2874.4799999985844</v>
      </c>
      <c r="AU28" s="92">
        <f>'[1]April - 2022'!BE28</f>
        <v>3020.640000000596</v>
      </c>
      <c r="AV28" s="286">
        <f>'[1]April - 2022'!BF28</f>
        <v>16387118.16</v>
      </c>
      <c r="AW28" s="251">
        <f>'[1]April - 2022'!BG28</f>
        <v>5407.9200000017881</v>
      </c>
      <c r="AX28" s="252">
        <f>'[1]April - 2022'!BH28</f>
        <v>5456.640000000596</v>
      </c>
      <c r="AY28" s="483"/>
      <c r="AZ28" s="269">
        <f>'[1]April - 2022'!BM28</f>
        <v>69518900</v>
      </c>
      <c r="BA28" s="178">
        <f>'[1]April - 2022'!BN28</f>
        <v>69200</v>
      </c>
      <c r="BB28" s="93">
        <f>'[1]April - 2022'!BO28</f>
        <v>0</v>
      </c>
      <c r="BC28" s="269">
        <f>'[1]April - 2022'!BP28</f>
        <v>72956500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67331700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8485980</v>
      </c>
      <c r="BT28" s="184">
        <f>'[1]April - 2022'!BW28</f>
        <v>6020</v>
      </c>
      <c r="BU28" s="389"/>
      <c r="BV28" s="88">
        <f>'[1]April - 2022'!BY28</f>
        <v>0.64</v>
      </c>
      <c r="BW28" s="240">
        <f>'[1]April - 2022'!BZ28</f>
        <v>4.0000000000000036E-2</v>
      </c>
      <c r="BX28" s="88">
        <f>'[1]April - 2022'!CA28</f>
        <v>5.9999999999999942E-2</v>
      </c>
      <c r="BY28" s="89">
        <f>'[1]April - 2022'!CB28</f>
        <v>59512</v>
      </c>
      <c r="BZ28" s="190">
        <f>'[1]April - 2022'!CC28</f>
        <v>21</v>
      </c>
      <c r="CA28" s="89">
        <f>'[1]April - 2022'!CD28</f>
        <v>51055</v>
      </c>
      <c r="CB28" s="190">
        <f>'[1]April - 2022'!CE28</f>
        <v>19</v>
      </c>
      <c r="CC28" s="89">
        <f>'[1]April - 2022'!CF28</f>
        <v>17418</v>
      </c>
      <c r="CD28" s="190">
        <f>'[1]April - 2022'!CG28</f>
        <v>6</v>
      </c>
      <c r="CE28" s="89">
        <f>'[1]April - 2022'!CH28</f>
        <v>23379</v>
      </c>
      <c r="CF28" s="190">
        <f>'[1]April - 2022'!CI28</f>
        <v>8</v>
      </c>
      <c r="CG28" s="89">
        <f>'[1]April - 2022'!CJ28</f>
        <v>25559</v>
      </c>
      <c r="CH28" s="190">
        <f>'[1]April - 2022'!CK28</f>
        <v>11</v>
      </c>
      <c r="CI28" s="89">
        <f>'[1]April - 2022'!CL28</f>
        <v>56830</v>
      </c>
      <c r="CJ28" s="190">
        <f>'[1]April - 2022'!CM28</f>
        <v>28</v>
      </c>
      <c r="CK28" s="89">
        <f>'[1]April - 2022'!CN28</f>
        <v>247831</v>
      </c>
      <c r="CL28" s="245">
        <f>'[1]April - 2022'!CO28</f>
        <v>105</v>
      </c>
      <c r="CM28" s="89">
        <f>'[1]April - 2022'!CP28</f>
        <v>100</v>
      </c>
      <c r="CN28" s="89">
        <f>'[1]April - 2022'!CQ28</f>
        <v>195360</v>
      </c>
      <c r="CO28" s="245">
        <f>'[1]April - 2022'!CR28</f>
        <v>112</v>
      </c>
      <c r="CP28" s="89">
        <f>'[1]April - 2022'!CS28</f>
        <v>97</v>
      </c>
      <c r="CQ28" s="89">
        <f>'[1]April - 2022'!CT28</f>
        <v>348835</v>
      </c>
      <c r="CR28" s="245">
        <f>'[1]April - 2022'!CU28</f>
        <v>77</v>
      </c>
      <c r="CS28" s="89">
        <f>'[1]April - 2022'!CV28</f>
        <v>183</v>
      </c>
      <c r="CT28" s="89">
        <f>'[1]April - 2022'!CW28</f>
        <v>650555</v>
      </c>
      <c r="CU28" s="190">
        <f>'[1]April - 2022'!CX28</f>
        <v>56</v>
      </c>
      <c r="CV28" s="450"/>
      <c r="CW28" s="284">
        <f>'[1]April - 2022'!CZ28</f>
        <v>7486</v>
      </c>
      <c r="CX28" s="197">
        <f>'[1]April - 2022'!DA28</f>
        <v>4</v>
      </c>
      <c r="CY28" s="285">
        <f>'[1]April - 2022'!DB28</f>
        <v>4830</v>
      </c>
      <c r="CZ28" s="197">
        <f>'[1]April - 2022'!DC28</f>
        <v>3</v>
      </c>
      <c r="DA28" s="285">
        <f>'[1]April - 2022'!DD28</f>
        <v>29184</v>
      </c>
      <c r="DB28" s="197">
        <f>'[1]April - 2022'!DE28</f>
        <v>16</v>
      </c>
      <c r="DC28" s="285">
        <f>'[1]April - 2022'!DF28</f>
        <v>29694</v>
      </c>
      <c r="DD28" s="197">
        <f>'[1]April - 2022'!DG28</f>
        <v>14</v>
      </c>
      <c r="DE28" s="285">
        <f>'[1]April - 2022'!DH28</f>
        <v>19885</v>
      </c>
      <c r="DF28" s="197">
        <f>'[1]April - 2022'!DI28</f>
        <v>9</v>
      </c>
      <c r="DG28" s="285">
        <f>'[1]April - 2022'!DJ28</f>
        <v>22795</v>
      </c>
      <c r="DH28" s="197">
        <f>'[1]April - 2022'!DK28</f>
        <v>6</v>
      </c>
      <c r="DI28" s="285">
        <f>'[1]April - 2022'!DL28</f>
        <v>4785</v>
      </c>
      <c r="DJ28" s="197">
        <f>'[1]April - 2022'!DM28</f>
        <v>7</v>
      </c>
      <c r="DK28" s="285">
        <f>'[1]April - 2022'!DN28</f>
        <v>8006</v>
      </c>
      <c r="DL28" s="197">
        <f>'[1]April - 2022'!DO28</f>
        <v>5</v>
      </c>
      <c r="DM28" s="285">
        <f>'[1]April - 2022'!DP28</f>
        <v>2396</v>
      </c>
      <c r="DN28" s="197">
        <f>'[1]April - 2022'!DQ28</f>
        <v>4</v>
      </c>
      <c r="DO28" s="285">
        <f>'[1]April - 2022'!DR28</f>
        <v>4520</v>
      </c>
      <c r="DP28" s="197">
        <f>'[1]April - 2022'!DS28</f>
        <v>7</v>
      </c>
      <c r="DQ28" s="285">
        <f>'[1]April - 2022'!DT28</f>
        <v>27545</v>
      </c>
      <c r="DR28" s="205">
        <f>'[1]April - 2022'!DU28</f>
        <v>20</v>
      </c>
      <c r="DS28" s="435"/>
      <c r="DT28" s="209">
        <f>'[1]April - 2022'!DW28</f>
        <v>4286.6000000000004</v>
      </c>
      <c r="DU28" s="220">
        <f>'[1]April - 2022'!DX28</f>
        <v>9.3000000000001819</v>
      </c>
      <c r="DV28" s="91">
        <f>'[1]April - 2022'!DY28</f>
        <v>9209.2000000000007</v>
      </c>
      <c r="DW28" s="214">
        <f>'[1]April - 2022'!DZ28</f>
        <v>7.7000000000007276</v>
      </c>
      <c r="DX28" s="91">
        <f>'[1]April - 2022'!EA28</f>
        <v>3238.6</v>
      </c>
      <c r="DY28" s="214">
        <f>'[1]April - 2022'!EB28</f>
        <v>6.5</v>
      </c>
      <c r="DZ28" s="91">
        <f>'[1]April - 2022'!EC28</f>
        <v>3456.8</v>
      </c>
      <c r="EA28" s="214">
        <f>'[1]April - 2022'!ED28</f>
        <v>7.6000000000003638</v>
      </c>
      <c r="EB28" s="91">
        <f>'[1]April - 2022'!EE28</f>
        <v>950617</v>
      </c>
      <c r="EC28" s="214">
        <f>'[1]April - 2022'!EF28</f>
        <v>690</v>
      </c>
      <c r="ED28" s="91">
        <f>'[1]April - 2022'!EI28</f>
        <v>196625.1</v>
      </c>
      <c r="EE28" s="228">
        <f>'[1]April - 2022'!EJ28</f>
        <v>153.20000000001164</v>
      </c>
      <c r="EF28" s="373"/>
      <c r="EG28" s="234">
        <f>'[1]April - 2022'!EL28</f>
        <v>10825000</v>
      </c>
      <c r="EH28" s="229">
        <f>'[1]April - 2022'!EM28</f>
        <v>4500</v>
      </c>
      <c r="EI28" s="90">
        <f>'[1]April - 2022'!EN28</f>
        <v>860260</v>
      </c>
      <c r="EJ28" s="229">
        <f>'[1]April - 2022'!EO28</f>
        <v>230</v>
      </c>
      <c r="EK28" s="90">
        <f>'[1]April - 2022'!EP28</f>
        <v>6531100</v>
      </c>
      <c r="EL28" s="229">
        <f>'[1]April - 2022'!EQ28</f>
        <v>2100</v>
      </c>
      <c r="EM28" s="90">
        <f>'[1]April - 2022'!ER28</f>
        <v>2299100</v>
      </c>
      <c r="EN28" s="229">
        <f>'[1]April - 2022'!ES28</f>
        <v>500</v>
      </c>
      <c r="EO28" s="90">
        <f>'[1]April - 2022'!ET28</f>
        <v>1080050</v>
      </c>
      <c r="EP28" s="229">
        <f>'[1]April - 2022'!EU28</f>
        <v>610</v>
      </c>
      <c r="EQ28" s="90">
        <f>'[1]April - 2022'!EV28</f>
        <v>14689300</v>
      </c>
      <c r="ER28" s="229">
        <f>'[1]April - 2022'!EW28</f>
        <v>4700</v>
      </c>
      <c r="ES28" s="421"/>
      <c r="ET28" s="278">
        <f>'[1]April - 2022'!EY28</f>
        <v>39433</v>
      </c>
      <c r="EU28" s="272">
        <f>'[1]April - 2022'!EZ28</f>
        <v>16</v>
      </c>
      <c r="EV28" s="279">
        <f>'[1]April - 2022'!FA28</f>
        <v>34121</v>
      </c>
      <c r="EW28" s="272">
        <f>'[1]April - 2022'!FB28</f>
        <v>13</v>
      </c>
      <c r="EX28" s="279">
        <f>'[1]April - 2022'!FC28</f>
        <v>5170</v>
      </c>
      <c r="EY28" s="272">
        <f>'[1]April - 2022'!FD28</f>
        <v>8</v>
      </c>
      <c r="EZ28" s="279">
        <f>'[1]April - 2022'!FE28</f>
        <v>56308</v>
      </c>
      <c r="FA28" s="272">
        <f>'[1]April - 2022'!FF28</f>
        <v>8</v>
      </c>
      <c r="FB28" s="279">
        <f>'[1]April - 2022'!FG28</f>
        <v>41801</v>
      </c>
      <c r="FC28" s="273">
        <f>'[1]April - 2022'!FH28</f>
        <v>27</v>
      </c>
    </row>
    <row r="29" spans="1:159" ht="30" customHeight="1" x14ac:dyDescent="0.25">
      <c r="A29" s="206">
        <v>43850</v>
      </c>
      <c r="B29" s="208">
        <f>'[1]April - 2022'!B29</f>
        <v>0.93</v>
      </c>
      <c r="C29" s="249">
        <f>'[1]April - 2022'!E29</f>
        <v>104877</v>
      </c>
      <c r="D29" s="169">
        <f>'[1]April - 2022'!F29</f>
        <v>848</v>
      </c>
      <c r="E29" s="168">
        <f>'[1]April - 2022'!G29</f>
        <v>483</v>
      </c>
      <c r="F29" s="168">
        <f>'[1]April - 2022'!H29</f>
        <v>148854</v>
      </c>
      <c r="G29" s="169">
        <f>'[1]April - 2022'!I29</f>
        <v>400</v>
      </c>
      <c r="H29" s="168">
        <f>'[1]April - 2022'!J29</f>
        <v>315</v>
      </c>
      <c r="I29" s="168">
        <f>'[1]April - 2022'!K29</f>
        <v>164625</v>
      </c>
      <c r="J29" s="169">
        <f>'[1]April - 2022'!L29</f>
        <v>0</v>
      </c>
      <c r="K29" s="168">
        <f>'[1]April - 2022'!N29</f>
        <v>846329</v>
      </c>
      <c r="L29" s="169">
        <f>'[1]April - 2022'!O29</f>
        <v>345</v>
      </c>
      <c r="M29" s="168">
        <f>'[1]April - 2022'!Q29</f>
        <v>199331</v>
      </c>
      <c r="N29" s="169">
        <f>'[1]April - 2022'!R29</f>
        <v>263</v>
      </c>
      <c r="O29" s="261">
        <f>'[1]April - 2022'!U29</f>
        <v>65130.98</v>
      </c>
      <c r="P29" s="169">
        <f>'[1]April - 2022'!V29</f>
        <v>129.61000000000058</v>
      </c>
      <c r="Q29" s="168">
        <f>'[1]April - 2022'!W29</f>
        <v>135.87000000000035</v>
      </c>
      <c r="R29" s="261">
        <f>'[1]April - 2022'!X29</f>
        <v>274</v>
      </c>
      <c r="S29" s="207">
        <f>'[1]April - 2022'!Y29</f>
        <v>11</v>
      </c>
      <c r="T29" s="517"/>
      <c r="U29" s="266">
        <f>'[1]April - 2022'!AE29</f>
        <v>7525096.3200000003</v>
      </c>
      <c r="V29" s="287">
        <f>'[1]April - 2022'!AF29</f>
        <v>2874.480000000447</v>
      </c>
      <c r="W29" s="92">
        <f>'[1]April - 2022'!AG29</f>
        <v>2241.1200000001118</v>
      </c>
      <c r="X29" s="286">
        <f>'[1]April - 2022'!AH29</f>
        <v>14379464.4</v>
      </c>
      <c r="Y29" s="287">
        <f>'[1]April - 2022'!AI29</f>
        <v>4969.4400000013411</v>
      </c>
      <c r="Z29" s="92">
        <f>'[1]April - 2022'!AJ29</f>
        <v>4238.6399999987334</v>
      </c>
      <c r="AA29" s="286">
        <f>'[1]April - 2022'!AK29</f>
        <v>14041980.959999999</v>
      </c>
      <c r="AB29" s="287">
        <f>'[1]April - 2022'!AL29</f>
        <v>13495.439999999478</v>
      </c>
      <c r="AC29" s="92">
        <f>'[1]April - 2022'!AM29</f>
        <v>3264.2400000002235</v>
      </c>
      <c r="AD29" s="286">
        <f>'[1]April - 2022'!AN29</f>
        <v>17228561.280000001</v>
      </c>
      <c r="AE29" s="287">
        <f>'[1]April - 2022'!AO29</f>
        <v>146.1600000038743</v>
      </c>
      <c r="AF29" s="92">
        <f>'[1]April - 2022'!AP29</f>
        <v>10036.320000002161</v>
      </c>
      <c r="AG29" s="286">
        <f>'[1]April - 2022'!AQ29</f>
        <v>17579101.68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16242419.760000002</v>
      </c>
      <c r="AK29" s="287">
        <f>'[1]April - 2022'!AU29</f>
        <v>5797.6800000015646</v>
      </c>
      <c r="AL29" s="92">
        <f>'[1]April - 2022'!AV29</f>
        <v>4872</v>
      </c>
      <c r="AM29" s="286">
        <f>'[1]April - 2022'!AW29</f>
        <v>13740111.84</v>
      </c>
      <c r="AN29" s="287">
        <f>'[1]April - 2022'!AX29</f>
        <v>4530.9599999990314</v>
      </c>
      <c r="AO29" s="92">
        <f>'[1]April - 2022'!AY29</f>
        <v>4141.1999999992549</v>
      </c>
      <c r="AP29" s="286">
        <f>'[1]April - 2022'!AZ29</f>
        <v>13244337.119999999</v>
      </c>
      <c r="AQ29" s="287">
        <f>'[1]April - 2022'!BD29</f>
        <v>2728.3200000021607</v>
      </c>
      <c r="AR29" s="92">
        <f>'[1]April - 2022'!BB29</f>
        <v>4068.7999999988824</v>
      </c>
      <c r="AS29" s="286">
        <f>'[1]April - 2022'!BC29</f>
        <v>10499501.040000001</v>
      </c>
      <c r="AT29" s="287">
        <f>'[1]April - 2022'!BD29</f>
        <v>2728.3200000021607</v>
      </c>
      <c r="AU29" s="92">
        <f>'[1]April - 2022'!BE29</f>
        <v>2777.0399999972433</v>
      </c>
      <c r="AV29" s="286">
        <f>'[1]April - 2022'!BF29</f>
        <v>16392672.239999998</v>
      </c>
      <c r="AW29" s="251">
        <f>'[1]April - 2022'!BG29</f>
        <v>5554.0799999982119</v>
      </c>
      <c r="AX29" s="252">
        <f>'[1]April - 2022'!BH29</f>
        <v>5066.8799999989569</v>
      </c>
      <c r="AY29" s="483"/>
      <c r="AZ29" s="269">
        <f>'[1]April - 2022'!BM29</f>
        <v>69589900</v>
      </c>
      <c r="BA29" s="178">
        <f>'[1]April - 2022'!BN29</f>
        <v>71000</v>
      </c>
      <c r="BB29" s="93">
        <f>'[1]April - 2022'!BO29</f>
        <v>15900</v>
      </c>
      <c r="BC29" s="269">
        <f>'[1]April - 2022'!BP29</f>
        <v>72956500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67331700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8492220</v>
      </c>
      <c r="BT29" s="184">
        <f>'[1]April - 2022'!BW29</f>
        <v>6240</v>
      </c>
      <c r="BU29" s="389"/>
      <c r="BV29" s="88">
        <f>'[1]April - 2022'!BY29</f>
        <v>0.7</v>
      </c>
      <c r="BW29" s="240">
        <f>'[1]April - 2022'!BZ29</f>
        <v>-5.9999999999999942E-2</v>
      </c>
      <c r="BX29" s="88">
        <f>'[1]April - 2022'!CA29</f>
        <v>6.0000000000000053E-2</v>
      </c>
      <c r="BY29" s="89">
        <f>'[1]April - 2022'!CB29</f>
        <v>59531</v>
      </c>
      <c r="BZ29" s="190">
        <f>'[1]April - 2022'!CC29</f>
        <v>19</v>
      </c>
      <c r="CA29" s="89">
        <f>'[1]April - 2022'!CD29</f>
        <v>51074</v>
      </c>
      <c r="CB29" s="190">
        <f>'[1]April - 2022'!CE29</f>
        <v>19</v>
      </c>
      <c r="CC29" s="89">
        <f>'[1]April - 2022'!CF29</f>
        <v>17423</v>
      </c>
      <c r="CD29" s="190">
        <f>'[1]April - 2022'!CG29</f>
        <v>5</v>
      </c>
      <c r="CE29" s="89">
        <f>'[1]April - 2022'!CH29</f>
        <v>23388</v>
      </c>
      <c r="CF29" s="190">
        <f>'[1]April - 2022'!CI29</f>
        <v>9</v>
      </c>
      <c r="CG29" s="89">
        <f>'[1]April - 2022'!CJ29</f>
        <v>25567</v>
      </c>
      <c r="CH29" s="190">
        <f>'[1]April - 2022'!CK29</f>
        <v>8</v>
      </c>
      <c r="CI29" s="89">
        <f>'[1]April - 2022'!CL29</f>
        <v>56859</v>
      </c>
      <c r="CJ29" s="190">
        <f>'[1]April - 2022'!CM29</f>
        <v>29</v>
      </c>
      <c r="CK29" s="89">
        <f>'[1]April - 2022'!CN29</f>
        <v>247925</v>
      </c>
      <c r="CL29" s="245">
        <f>'[1]April - 2022'!CO29</f>
        <v>94</v>
      </c>
      <c r="CM29" s="89">
        <f>'[1]April - 2022'!CP29</f>
        <v>93</v>
      </c>
      <c r="CN29" s="89">
        <f>'[1]April - 2022'!CQ29</f>
        <v>195467</v>
      </c>
      <c r="CO29" s="245">
        <f>'[1]April - 2022'!CR29</f>
        <v>107</v>
      </c>
      <c r="CP29" s="89">
        <f>'[1]April - 2022'!CS29</f>
        <v>94</v>
      </c>
      <c r="CQ29" s="89">
        <f>'[1]April - 2022'!CT29</f>
        <v>348835</v>
      </c>
      <c r="CR29" s="245">
        <f>'[1]April - 2022'!CU29</f>
        <v>0</v>
      </c>
      <c r="CS29" s="89">
        <f>'[1]April - 2022'!CV29</f>
        <v>122</v>
      </c>
      <c r="CT29" s="89">
        <f>'[1]April - 2022'!CW29</f>
        <v>650555</v>
      </c>
      <c r="CU29" s="190">
        <f>'[1]April - 2022'!CX29</f>
        <v>0</v>
      </c>
      <c r="CV29" s="450"/>
      <c r="CW29" s="284">
        <f>'[1]April - 2022'!CZ29</f>
        <v>7490</v>
      </c>
      <c r="CX29" s="197">
        <f>'[1]April - 2022'!DA29</f>
        <v>4</v>
      </c>
      <c r="CY29" s="285">
        <f>'[1]April - 2022'!DB29</f>
        <v>4833</v>
      </c>
      <c r="CZ29" s="197">
        <f>'[1]April - 2022'!DC29</f>
        <v>3</v>
      </c>
      <c r="DA29" s="285">
        <f>'[1]April - 2022'!DD29</f>
        <v>29194</v>
      </c>
      <c r="DB29" s="197">
        <f>'[1]April - 2022'!DE29</f>
        <v>10</v>
      </c>
      <c r="DC29" s="285">
        <f>'[1]April - 2022'!DF29</f>
        <v>29708</v>
      </c>
      <c r="DD29" s="197">
        <f>'[1]April - 2022'!DG29</f>
        <v>14</v>
      </c>
      <c r="DE29" s="285">
        <f>'[1]April - 2022'!DH29</f>
        <v>19894</v>
      </c>
      <c r="DF29" s="197">
        <f>'[1]April - 2022'!DI29</f>
        <v>9</v>
      </c>
      <c r="DG29" s="285">
        <f>'[1]April - 2022'!DJ29</f>
        <v>22805</v>
      </c>
      <c r="DH29" s="197">
        <f>'[1]April - 2022'!DK29</f>
        <v>10</v>
      </c>
      <c r="DI29" s="285">
        <f>'[1]April - 2022'!DL29</f>
        <v>4797</v>
      </c>
      <c r="DJ29" s="197">
        <f>'[1]April - 2022'!DM29</f>
        <v>12</v>
      </c>
      <c r="DK29" s="285">
        <f>'[1]April - 2022'!DN29</f>
        <v>8011</v>
      </c>
      <c r="DL29" s="197">
        <f>'[1]April - 2022'!DO29</f>
        <v>5</v>
      </c>
      <c r="DM29" s="285">
        <f>'[1]April - 2022'!DP29</f>
        <v>2400</v>
      </c>
      <c r="DN29" s="197">
        <f>'[1]April - 2022'!DQ29</f>
        <v>4</v>
      </c>
      <c r="DO29" s="285">
        <f>'[1]April - 2022'!DR29</f>
        <v>4527</v>
      </c>
      <c r="DP29" s="197">
        <f>'[1]April - 2022'!DS29</f>
        <v>7</v>
      </c>
      <c r="DQ29" s="285">
        <f>'[1]April - 2022'!DT29</f>
        <v>27564</v>
      </c>
      <c r="DR29" s="205">
        <f>'[1]April - 2022'!DU29</f>
        <v>19</v>
      </c>
      <c r="DS29" s="435"/>
      <c r="DT29" s="209">
        <f>'[1]April - 2022'!DW29</f>
        <v>4296.6000000000004</v>
      </c>
      <c r="DU29" s="220">
        <f>'[1]April - 2022'!DX29</f>
        <v>10</v>
      </c>
      <c r="DV29" s="91">
        <f>'[1]April - 2022'!DY29</f>
        <v>9217</v>
      </c>
      <c r="DW29" s="214">
        <f>'[1]April - 2022'!DZ29</f>
        <v>7.7999999999992724</v>
      </c>
      <c r="DX29" s="91">
        <f>'[1]April - 2022'!EA29</f>
        <v>3245.5</v>
      </c>
      <c r="DY29" s="214">
        <f>'[1]April - 2022'!EB29</f>
        <v>6.9000000000000909</v>
      </c>
      <c r="DZ29" s="91">
        <f>'[1]April - 2022'!EC29</f>
        <v>3464.4</v>
      </c>
      <c r="EA29" s="214">
        <f>'[1]April - 2022'!ED29</f>
        <v>7.5999999999999091</v>
      </c>
      <c r="EB29" s="91">
        <f>'[1]April - 2022'!EE29</f>
        <v>951328</v>
      </c>
      <c r="EC29" s="214">
        <f>'[1]April - 2022'!EF29</f>
        <v>711</v>
      </c>
      <c r="ED29" s="91">
        <f>'[1]April - 2022'!EI29</f>
        <v>196786.4</v>
      </c>
      <c r="EE29" s="228">
        <f>'[1]April - 2022'!EJ29</f>
        <v>161.29999999998836</v>
      </c>
      <c r="EF29" s="373"/>
      <c r="EG29" s="234">
        <f>'[1]April - 2022'!EL29</f>
        <v>10829300</v>
      </c>
      <c r="EH29" s="229">
        <f>'[1]April - 2022'!EM29</f>
        <v>4300</v>
      </c>
      <c r="EI29" s="90">
        <f>'[1]April - 2022'!EN29</f>
        <v>860500</v>
      </c>
      <c r="EJ29" s="229">
        <f>'[1]April - 2022'!EO29</f>
        <v>240</v>
      </c>
      <c r="EK29" s="90">
        <f>'[1]April - 2022'!EP29</f>
        <v>6533400</v>
      </c>
      <c r="EL29" s="229">
        <f>'[1]April - 2022'!EQ29</f>
        <v>2300</v>
      </c>
      <c r="EM29" s="90">
        <f>'[1]April - 2022'!ER29</f>
        <v>2299400</v>
      </c>
      <c r="EN29" s="229">
        <f>'[1]April - 2022'!ES29</f>
        <v>300</v>
      </c>
      <c r="EO29" s="90">
        <f>'[1]April - 2022'!ET29</f>
        <v>1080690</v>
      </c>
      <c r="EP29" s="229">
        <f>'[1]April - 2022'!EU29</f>
        <v>640</v>
      </c>
      <c r="EQ29" s="90">
        <f>'[1]April - 2022'!EV29</f>
        <v>14694500</v>
      </c>
      <c r="ER29" s="229">
        <f>'[1]April - 2022'!EW29</f>
        <v>5200</v>
      </c>
      <c r="ES29" s="421"/>
      <c r="ET29" s="278">
        <f>'[1]April - 2022'!EY29</f>
        <v>39448</v>
      </c>
      <c r="EU29" s="272">
        <f>'[1]April - 2022'!EZ29</f>
        <v>15</v>
      </c>
      <c r="EV29" s="279">
        <f>'[1]April - 2022'!FA29</f>
        <v>34134</v>
      </c>
      <c r="EW29" s="272">
        <f>'[1]April - 2022'!FB29</f>
        <v>13</v>
      </c>
      <c r="EX29" s="279">
        <f>'[1]April - 2022'!FC29</f>
        <v>5180</v>
      </c>
      <c r="EY29" s="272">
        <f>'[1]April - 2022'!FD29</f>
        <v>10</v>
      </c>
      <c r="EZ29" s="279">
        <f>'[1]April - 2022'!FE29</f>
        <v>56320</v>
      </c>
      <c r="FA29" s="272">
        <f>'[1]April - 2022'!FF29</f>
        <v>12</v>
      </c>
      <c r="FB29" s="279">
        <f>'[1]April - 2022'!FG29</f>
        <v>41831</v>
      </c>
      <c r="FC29" s="273">
        <f>'[1]April - 2022'!FH29</f>
        <v>30</v>
      </c>
    </row>
    <row r="30" spans="1:159" ht="30" customHeight="1" x14ac:dyDescent="0.25">
      <c r="A30" s="206">
        <v>43851</v>
      </c>
      <c r="B30" s="208">
        <f>'[1]April - 2022'!B30</f>
        <v>0.94</v>
      </c>
      <c r="C30" s="249">
        <f>'[1]April - 2022'!E30</f>
        <v>105705</v>
      </c>
      <c r="D30" s="169">
        <f>'[1]April - 2022'!F30</f>
        <v>828</v>
      </c>
      <c r="E30" s="168">
        <f>'[1]April - 2022'!G30</f>
        <v>541</v>
      </c>
      <c r="F30" s="168">
        <f>'[1]April - 2022'!H30</f>
        <v>149280</v>
      </c>
      <c r="G30" s="169">
        <f>'[1]April - 2022'!I30</f>
        <v>426</v>
      </c>
      <c r="H30" s="168">
        <f>'[1]April - 2022'!J30</f>
        <v>345</v>
      </c>
      <c r="I30" s="168">
        <f>'[1]April - 2022'!K30</f>
        <v>164625</v>
      </c>
      <c r="J30" s="169">
        <f>'[1]April - 2022'!L30</f>
        <v>0</v>
      </c>
      <c r="K30" s="168">
        <f>'[1]April - 2022'!N30</f>
        <v>846660</v>
      </c>
      <c r="L30" s="169">
        <f>'[1]April - 2022'!O30</f>
        <v>331</v>
      </c>
      <c r="M30" s="168">
        <f>'[1]April - 2022'!Q30</f>
        <v>199534</v>
      </c>
      <c r="N30" s="169">
        <f>'[1]April - 2022'!R30</f>
        <v>203</v>
      </c>
      <c r="O30" s="261">
        <f>'[1]April - 2022'!U30</f>
        <v>65268.14</v>
      </c>
      <c r="P30" s="169">
        <f>'[1]April - 2022'!V30</f>
        <v>137.15999999999622</v>
      </c>
      <c r="Q30" s="168">
        <f>'[1]April - 2022'!W30</f>
        <v>145.66999999999962</v>
      </c>
      <c r="R30" s="261">
        <f>'[1]April - 2022'!X30</f>
        <v>300</v>
      </c>
      <c r="S30" s="207">
        <f>'[1]April - 2022'!Y30</f>
        <v>26</v>
      </c>
      <c r="T30" s="517"/>
      <c r="U30" s="266">
        <f>'[1]April - 2022'!AE30</f>
        <v>7528019.5199999996</v>
      </c>
      <c r="V30" s="287">
        <f>'[1]April - 2022'!AF30</f>
        <v>2923.1999999992549</v>
      </c>
      <c r="W30" s="92">
        <f>'[1]April - 2022'!AG30</f>
        <v>2630.8799999998882</v>
      </c>
      <c r="X30" s="286">
        <f>'[1]April - 2022'!AH30</f>
        <v>14384238.959999999</v>
      </c>
      <c r="Y30" s="287">
        <f>'[1]April - 2022'!AI30</f>
        <v>4774.5599999986589</v>
      </c>
      <c r="Z30" s="92">
        <f>'[1]April - 2022'!AJ30</f>
        <v>4628.4000000003725</v>
      </c>
      <c r="AA30" s="286">
        <f>'[1]April - 2022'!AK30</f>
        <v>14055573.84</v>
      </c>
      <c r="AB30" s="287">
        <f>'[1]April - 2022'!AL30</f>
        <v>13592.88000000082</v>
      </c>
      <c r="AC30" s="92">
        <f>'[1]April - 2022'!AM30</f>
        <v>4482.2400000002235</v>
      </c>
      <c r="AD30" s="286">
        <f>'[1]April - 2022'!AN30</f>
        <v>17228658.719999999</v>
      </c>
      <c r="AE30" s="287">
        <f>'[1]April - 2022'!AO30</f>
        <v>97.439999997615814</v>
      </c>
      <c r="AF30" s="92">
        <f>'[1]April - 2022'!AP30</f>
        <v>9597.839999999851</v>
      </c>
      <c r="AG30" s="286">
        <f>'[1]April - 2022'!AQ30</f>
        <v>17579101.68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16248363.6</v>
      </c>
      <c r="AK30" s="287">
        <f>'[1]April - 2022'!AU30</f>
        <v>5943.8399999979883</v>
      </c>
      <c r="AL30" s="92">
        <f>'[1]April - 2022'!AV30</f>
        <v>5602.8000000007451</v>
      </c>
      <c r="AM30" s="286">
        <f>'[1]April - 2022'!AW30</f>
        <v>13744642.799999999</v>
      </c>
      <c r="AN30" s="287">
        <f>'[1]April - 2022'!AX30</f>
        <v>4530.9599999990314</v>
      </c>
      <c r="AO30" s="92">
        <f>'[1]April - 2022'!AY30</f>
        <v>4384.8000000007451</v>
      </c>
      <c r="AP30" s="286">
        <f>'[1]April - 2022'!AZ30</f>
        <v>13249209.119999999</v>
      </c>
      <c r="AQ30" s="287">
        <f>'[1]April - 2022'!BD30</f>
        <v>2777.0399999991059</v>
      </c>
      <c r="AR30" s="92">
        <f>'[1]April - 2022'!BB30</f>
        <v>4189.9199999999255</v>
      </c>
      <c r="AS30" s="286">
        <f>'[1]April - 2022'!BC30</f>
        <v>10502278.08</v>
      </c>
      <c r="AT30" s="287">
        <f>'[1]April - 2022'!BD30</f>
        <v>2777.0399999991059</v>
      </c>
      <c r="AU30" s="92">
        <f>'[1]April - 2022'!BE30</f>
        <v>2874.480000000447</v>
      </c>
      <c r="AV30" s="286">
        <f>'[1]April - 2022'!BF30</f>
        <v>16398226.319999998</v>
      </c>
      <c r="AW30" s="251">
        <f>'[1]April - 2022'!BG30</f>
        <v>5554.0800000000745</v>
      </c>
      <c r="AX30" s="252">
        <f>'[1]April - 2022'!BH30</f>
        <v>5505.3600000012666</v>
      </c>
      <c r="AY30" s="483"/>
      <c r="AZ30" s="269">
        <f>'[1]April - 2022'!BM30</f>
        <v>69660300</v>
      </c>
      <c r="BA30" s="178">
        <f>'[1]April - 2022'!BN30</f>
        <v>70400</v>
      </c>
      <c r="BB30" s="93">
        <f>'[1]April - 2022'!BO30</f>
        <v>21000</v>
      </c>
      <c r="BC30" s="269">
        <f>'[1]April - 2022'!BP30</f>
        <v>72956500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67331700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8498770</v>
      </c>
      <c r="BT30" s="184">
        <f>'[1]April - 2022'!BW30</f>
        <v>6550</v>
      </c>
      <c r="BU30" s="389"/>
      <c r="BV30" s="88">
        <f>'[1]April - 2022'!BY30</f>
        <v>0.67</v>
      </c>
      <c r="BW30" s="240">
        <f>'[1]April - 2022'!BZ30</f>
        <v>2.9999999999999916E-2</v>
      </c>
      <c r="BX30" s="88">
        <f>'[1]April - 2022'!CA30</f>
        <v>5.9999999999999942E-2</v>
      </c>
      <c r="BY30" s="89">
        <f>'[1]April - 2022'!CB30</f>
        <v>59553</v>
      </c>
      <c r="BZ30" s="190">
        <f>'[1]April - 2022'!CC30</f>
        <v>22</v>
      </c>
      <c r="CA30" s="89">
        <f>'[1]April - 2022'!CD30</f>
        <v>51092</v>
      </c>
      <c r="CB30" s="190">
        <f>'[1]April - 2022'!CE30</f>
        <v>18</v>
      </c>
      <c r="CC30" s="89">
        <f>'[1]April - 2022'!CF30</f>
        <v>17426</v>
      </c>
      <c r="CD30" s="190">
        <f>'[1]April - 2022'!CG30</f>
        <v>3</v>
      </c>
      <c r="CE30" s="89">
        <f>'[1]April - 2022'!CH30</f>
        <v>23399</v>
      </c>
      <c r="CF30" s="190">
        <f>'[1]April - 2022'!CI30</f>
        <v>11</v>
      </c>
      <c r="CG30" s="89">
        <f>'[1]April - 2022'!CJ30</f>
        <v>25573</v>
      </c>
      <c r="CH30" s="190">
        <f>'[1]April - 2022'!CK30</f>
        <v>6</v>
      </c>
      <c r="CI30" s="89">
        <f>'[1]April - 2022'!CL30</f>
        <v>56888</v>
      </c>
      <c r="CJ30" s="190">
        <f>'[1]April - 2022'!CM30</f>
        <v>29</v>
      </c>
      <c r="CK30" s="89">
        <f>'[1]April - 2022'!CN30</f>
        <v>248024</v>
      </c>
      <c r="CL30" s="245">
        <f>'[1]April - 2022'!CO30</f>
        <v>99</v>
      </c>
      <c r="CM30" s="89">
        <f>'[1]April - 2022'!CP30</f>
        <v>100</v>
      </c>
      <c r="CN30" s="89">
        <f>'[1]April - 2022'!CQ30</f>
        <v>195586</v>
      </c>
      <c r="CO30" s="245">
        <f>'[1]April - 2022'!CR30</f>
        <v>119</v>
      </c>
      <c r="CP30" s="89">
        <f>'[1]April - 2022'!CS30</f>
        <v>98</v>
      </c>
      <c r="CQ30" s="89">
        <f>'[1]April - 2022'!CT30</f>
        <v>348915</v>
      </c>
      <c r="CR30" s="245">
        <f>'[1]April - 2022'!CU30</f>
        <v>80</v>
      </c>
      <c r="CS30" s="89">
        <f>'[1]April - 2022'!CV30</f>
        <v>83</v>
      </c>
      <c r="CT30" s="89">
        <f>'[1]April - 2022'!CW30</f>
        <v>650555</v>
      </c>
      <c r="CU30" s="190">
        <f>'[1]April - 2022'!CX30</f>
        <v>0</v>
      </c>
      <c r="CV30" s="450"/>
      <c r="CW30" s="284">
        <f>'[1]April - 2022'!CZ30</f>
        <v>7495</v>
      </c>
      <c r="CX30" s="197">
        <f>'[1]April - 2022'!DA30</f>
        <v>5</v>
      </c>
      <c r="CY30" s="285">
        <f>'[1]April - 2022'!DB30</f>
        <v>4840</v>
      </c>
      <c r="CZ30" s="197">
        <f>'[1]April - 2022'!DC30</f>
        <v>7</v>
      </c>
      <c r="DA30" s="285">
        <f>'[1]April - 2022'!DD30</f>
        <v>29221</v>
      </c>
      <c r="DB30" s="197">
        <f>'[1]April - 2022'!DE30</f>
        <v>27</v>
      </c>
      <c r="DC30" s="285">
        <f>'[1]April - 2022'!DF30</f>
        <v>29722</v>
      </c>
      <c r="DD30" s="197">
        <f>'[1]April - 2022'!DG30</f>
        <v>14</v>
      </c>
      <c r="DE30" s="285">
        <f>'[1]April - 2022'!DH30</f>
        <v>19902</v>
      </c>
      <c r="DF30" s="197">
        <f>'[1]April - 2022'!DI30</f>
        <v>8</v>
      </c>
      <c r="DG30" s="285">
        <f>'[1]April - 2022'!DJ30</f>
        <v>22806</v>
      </c>
      <c r="DH30" s="197">
        <f>'[1]April - 2022'!DK30</f>
        <v>1</v>
      </c>
      <c r="DI30" s="285">
        <f>'[1]April - 2022'!DL30</f>
        <v>4806</v>
      </c>
      <c r="DJ30" s="197">
        <f>'[1]April - 2022'!DM30</f>
        <v>9</v>
      </c>
      <c r="DK30" s="285">
        <f>'[1]April - 2022'!DN30</f>
        <v>8018</v>
      </c>
      <c r="DL30" s="197">
        <f>'[1]April - 2022'!DO30</f>
        <v>7</v>
      </c>
      <c r="DM30" s="285">
        <f>'[1]April - 2022'!DP30</f>
        <v>2404</v>
      </c>
      <c r="DN30" s="197">
        <f>'[1]April - 2022'!DQ30</f>
        <v>4</v>
      </c>
      <c r="DO30" s="285">
        <f>'[1]April - 2022'!DR30</f>
        <v>4530</v>
      </c>
      <c r="DP30" s="197">
        <f>'[1]April - 2022'!DS30</f>
        <v>3</v>
      </c>
      <c r="DQ30" s="285">
        <f>'[1]April - 2022'!DT30</f>
        <v>27584</v>
      </c>
      <c r="DR30" s="205">
        <f>'[1]April - 2022'!DU30</f>
        <v>20</v>
      </c>
      <c r="DS30" s="435"/>
      <c r="DT30" s="209">
        <f>'[1]April - 2022'!DW30</f>
        <v>4306</v>
      </c>
      <c r="DU30" s="220">
        <f>'[1]April - 2022'!DX30</f>
        <v>9.3999999999996362</v>
      </c>
      <c r="DV30" s="91">
        <f>'[1]April - 2022'!DY30</f>
        <v>9225.1</v>
      </c>
      <c r="DW30" s="214">
        <f>'[1]April - 2022'!DZ30</f>
        <v>8.1000000000003638</v>
      </c>
      <c r="DX30" s="91">
        <f>'[1]April - 2022'!EA30</f>
        <v>3251.8</v>
      </c>
      <c r="DY30" s="214">
        <f>'[1]April - 2022'!EB30</f>
        <v>6.3000000000001819</v>
      </c>
      <c r="DZ30" s="91">
        <f>'[1]April - 2022'!EC30</f>
        <v>3472.8</v>
      </c>
      <c r="EA30" s="214">
        <f>'[1]April - 2022'!ED30</f>
        <v>8.4000000000000909</v>
      </c>
      <c r="EB30" s="91">
        <f>'[1]April - 2022'!EE30</f>
        <v>952080</v>
      </c>
      <c r="EC30" s="214">
        <f>'[1]April - 2022'!EF30</f>
        <v>752</v>
      </c>
      <c r="ED30" s="91">
        <f>'[1]April - 2022'!EI30</f>
        <v>196935.5</v>
      </c>
      <c r="EE30" s="228">
        <f>'[1]April - 2022'!EJ30</f>
        <v>149.10000000000582</v>
      </c>
      <c r="EF30" s="373"/>
      <c r="EG30" s="234">
        <f>'[1]April - 2022'!EL30</f>
        <v>10833400</v>
      </c>
      <c r="EH30" s="229">
        <f>'[1]April - 2022'!EM30</f>
        <v>4100</v>
      </c>
      <c r="EI30" s="90">
        <f>'[1]April - 2022'!EN30</f>
        <v>860750</v>
      </c>
      <c r="EJ30" s="229">
        <f>'[1]April - 2022'!EO30</f>
        <v>250</v>
      </c>
      <c r="EK30" s="90">
        <f>'[1]April - 2022'!EP30</f>
        <v>6535600</v>
      </c>
      <c r="EL30" s="229">
        <f>'[1]April - 2022'!EQ30</f>
        <v>2200</v>
      </c>
      <c r="EM30" s="90">
        <f>'[1]April - 2022'!ER30</f>
        <v>2299800</v>
      </c>
      <c r="EN30" s="229">
        <f>'[1]April - 2022'!ES30</f>
        <v>400</v>
      </c>
      <c r="EO30" s="90">
        <f>'[1]April - 2022'!ET30</f>
        <v>1081310</v>
      </c>
      <c r="EP30" s="229">
        <f>'[1]April - 2022'!EU30</f>
        <v>620</v>
      </c>
      <c r="EQ30" s="90">
        <f>'[1]April - 2022'!EV30</f>
        <v>14699500</v>
      </c>
      <c r="ER30" s="229">
        <f>'[1]April - 2022'!EW30</f>
        <v>5000</v>
      </c>
      <c r="ES30" s="421"/>
      <c r="ET30" s="278">
        <f>'[1]April - 2022'!EY30</f>
        <v>39465</v>
      </c>
      <c r="EU30" s="272">
        <f>'[1]April - 2022'!EZ30</f>
        <v>17</v>
      </c>
      <c r="EV30" s="279">
        <f>'[1]April - 2022'!FA30</f>
        <v>34146</v>
      </c>
      <c r="EW30" s="272">
        <f>'[1]April - 2022'!FB30</f>
        <v>12</v>
      </c>
      <c r="EX30" s="279">
        <f>'[1]April - 2022'!FC30</f>
        <v>5188</v>
      </c>
      <c r="EY30" s="272">
        <f>'[1]April - 2022'!FD30</f>
        <v>8</v>
      </c>
      <c r="EZ30" s="279">
        <f>'[1]April - 2022'!FE30</f>
        <v>56328</v>
      </c>
      <c r="FA30" s="272">
        <f>'[1]April - 2022'!FF30</f>
        <v>8</v>
      </c>
      <c r="FB30" s="279">
        <f>'[1]April - 2022'!FG30</f>
        <v>41860</v>
      </c>
      <c r="FC30" s="273">
        <f>'[1]April - 2022'!FH30</f>
        <v>29</v>
      </c>
    </row>
    <row r="31" spans="1:159" ht="30" customHeight="1" x14ac:dyDescent="0.25">
      <c r="A31" s="206">
        <v>43852</v>
      </c>
      <c r="B31" s="208">
        <f>'[1]April - 2022'!B31</f>
        <v>0.85</v>
      </c>
      <c r="C31" s="249">
        <f>'[1]April - 2022'!E31</f>
        <v>106560</v>
      </c>
      <c r="D31" s="169">
        <f>'[1]April - 2022'!F31</f>
        <v>855</v>
      </c>
      <c r="E31" s="168">
        <f>'[1]April - 2022'!G31</f>
        <v>559</v>
      </c>
      <c r="F31" s="168">
        <f>'[1]April - 2022'!H31</f>
        <v>149707</v>
      </c>
      <c r="G31" s="169">
        <f>'[1]April - 2022'!I31</f>
        <v>427</v>
      </c>
      <c r="H31" s="168">
        <f>'[1]April - 2022'!J31</f>
        <v>331</v>
      </c>
      <c r="I31" s="168">
        <f>'[1]April - 2022'!K31</f>
        <v>164625</v>
      </c>
      <c r="J31" s="169">
        <f>'[1]April - 2022'!L31</f>
        <v>0</v>
      </c>
      <c r="K31" s="168">
        <f>'[1]April - 2022'!N31</f>
        <v>846977</v>
      </c>
      <c r="L31" s="169">
        <f>'[1]April - 2022'!O31</f>
        <v>317</v>
      </c>
      <c r="M31" s="168">
        <f>'[1]April - 2022'!Q31</f>
        <v>199758</v>
      </c>
      <c r="N31" s="169">
        <f>'[1]April - 2022'!R31</f>
        <v>224</v>
      </c>
      <c r="O31" s="261">
        <f>'[1]April - 2022'!U31</f>
        <v>65411.17</v>
      </c>
      <c r="P31" s="169">
        <f>'[1]April - 2022'!V31</f>
        <v>143.02999999999884</v>
      </c>
      <c r="Q31" s="168">
        <f>'[1]April - 2022'!W31</f>
        <v>158.41000000000031</v>
      </c>
      <c r="R31" s="261">
        <f>'[1]April - 2022'!X31</f>
        <v>320</v>
      </c>
      <c r="S31" s="207">
        <f>'[1]April - 2022'!Y31</f>
        <v>20</v>
      </c>
      <c r="T31" s="517"/>
      <c r="U31" s="266">
        <f>'[1]April - 2022'!AE31</f>
        <v>7530845.2799999993</v>
      </c>
      <c r="V31" s="287">
        <f>'[1]April - 2022'!AF31</f>
        <v>2825.7599999997765</v>
      </c>
      <c r="W31" s="92">
        <f>'[1]April - 2022'!AG31</f>
        <v>2582.1599999992177</v>
      </c>
      <c r="X31" s="286">
        <f>'[1]April - 2022'!AH31</f>
        <v>14389159.68</v>
      </c>
      <c r="Y31" s="287">
        <f>'[1]April - 2022'!AI31</f>
        <v>4920.7200000006706</v>
      </c>
      <c r="Z31" s="92">
        <f>'[1]April - 2022'!AJ31</f>
        <v>4628.4000000003725</v>
      </c>
      <c r="AA31" s="286">
        <f>'[1]April - 2022'!AK31</f>
        <v>14066438.4</v>
      </c>
      <c r="AB31" s="287">
        <f>'[1]April - 2022'!AL31</f>
        <v>10864.560000000522</v>
      </c>
      <c r="AC31" s="92">
        <f>'[1]April - 2022'!AM31</f>
        <v>5359.1999999992549</v>
      </c>
      <c r="AD31" s="286">
        <f>'[1]April - 2022'!AN31</f>
        <v>17232069.119999997</v>
      </c>
      <c r="AE31" s="287">
        <f>'[1]April - 2022'!AO31</f>
        <v>3410.3999999985099</v>
      </c>
      <c r="AF31" s="92">
        <f>'[1]April - 2022'!AP31</f>
        <v>9354.2399999983609</v>
      </c>
      <c r="AG31" s="286">
        <f>'[1]April - 2022'!AQ31</f>
        <v>17579101.68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16254161.280000001</v>
      </c>
      <c r="AK31" s="287">
        <f>'[1]April - 2022'!AU31</f>
        <v>5797.6800000015646</v>
      </c>
      <c r="AL31" s="92">
        <f>'[1]April - 2022'!AV31</f>
        <v>5602.7999999988824</v>
      </c>
      <c r="AM31" s="286">
        <f>'[1]April - 2022'!AW31</f>
        <v>13749271.199999999</v>
      </c>
      <c r="AN31" s="287">
        <f>'[1]April - 2022'!AX31</f>
        <v>4628.4000000003725</v>
      </c>
      <c r="AO31" s="92">
        <f>'[1]April - 2022'!AY31</f>
        <v>4677.1200000010431</v>
      </c>
      <c r="AP31" s="286">
        <f>'[1]April - 2022'!AZ31</f>
        <v>13254032.4</v>
      </c>
      <c r="AQ31" s="287">
        <f>'[1]April - 2022'!BD31</f>
        <v>2825.7599999997765</v>
      </c>
      <c r="AR31" s="92">
        <f>'[1]April - 2022'!BB31</f>
        <v>4336.0800000000745</v>
      </c>
      <c r="AS31" s="286">
        <f>'[1]April - 2022'!BC31</f>
        <v>10505103.84</v>
      </c>
      <c r="AT31" s="287">
        <f>'[1]April - 2022'!BD31</f>
        <v>2825.7599999997765</v>
      </c>
      <c r="AU31" s="92">
        <f>'[1]April - 2022'!BE31</f>
        <v>2874.4800000023097</v>
      </c>
      <c r="AV31" s="286">
        <f>'[1]April - 2022'!BF31</f>
        <v>16403975.280000001</v>
      </c>
      <c r="AW31" s="251">
        <f>'[1]April - 2022'!BG31</f>
        <v>5748.9600000027567</v>
      </c>
      <c r="AX31" s="252">
        <f>'[1]April - 2022'!BH31</f>
        <v>5797.6799999978393</v>
      </c>
      <c r="AY31" s="483"/>
      <c r="AZ31" s="269">
        <f>'[1]April - 2022'!BM31</f>
        <v>69714500</v>
      </c>
      <c r="BA31" s="178">
        <f>'[1]April - 2022'!BN31</f>
        <v>54200</v>
      </c>
      <c r="BB31" s="93">
        <f>'[1]April - 2022'!BO31</f>
        <v>25000</v>
      </c>
      <c r="BC31" s="269">
        <f>'[1]April - 2022'!BP31</f>
        <v>72974500</v>
      </c>
      <c r="BD31" s="244">
        <f>'[1]April - 2022'!BQ31</f>
        <v>18000</v>
      </c>
      <c r="BE31" s="93">
        <f>'[1]April - 2022'!BR31</f>
        <v>46700</v>
      </c>
      <c r="BF31" s="269">
        <f>'[1]April - 2022'!BS31</f>
        <v>67331700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8505300</v>
      </c>
      <c r="BT31" s="184">
        <f>'[1]April - 2022'!BW31</f>
        <v>6530</v>
      </c>
      <c r="BU31" s="389"/>
      <c r="BV31" s="88">
        <f>'[1]April - 2022'!BY31</f>
        <v>0.62</v>
      </c>
      <c r="BW31" s="240">
        <f>'[1]April - 2022'!BZ31</f>
        <v>5.0000000000000044E-2</v>
      </c>
      <c r="BX31" s="88">
        <f>'[1]April - 2022'!CA31</f>
        <v>-0.14999999999999991</v>
      </c>
      <c r="BY31" s="89">
        <f>'[1]April - 2022'!CB31</f>
        <v>59575</v>
      </c>
      <c r="BZ31" s="190">
        <f>'[1]April - 2022'!CC31</f>
        <v>22</v>
      </c>
      <c r="CA31" s="89">
        <f>'[1]April - 2022'!CD31</f>
        <v>51111</v>
      </c>
      <c r="CB31" s="190">
        <f>'[1]April - 2022'!CE31</f>
        <v>19</v>
      </c>
      <c r="CC31" s="89">
        <f>'[1]April - 2022'!CF31</f>
        <v>17432</v>
      </c>
      <c r="CD31" s="190">
        <f>'[1]April - 2022'!CG31</f>
        <v>6</v>
      </c>
      <c r="CE31" s="89">
        <f>'[1]April - 2022'!CH31</f>
        <v>23410</v>
      </c>
      <c r="CF31" s="190">
        <f>'[1]April - 2022'!CI31</f>
        <v>11</v>
      </c>
      <c r="CG31" s="89">
        <f>'[1]April - 2022'!CJ31</f>
        <v>25580</v>
      </c>
      <c r="CH31" s="190">
        <f>'[1]April - 2022'!CK31</f>
        <v>7</v>
      </c>
      <c r="CI31" s="89">
        <f>'[1]April - 2022'!CL31</f>
        <v>56916</v>
      </c>
      <c r="CJ31" s="190">
        <f>'[1]April - 2022'!CM31</f>
        <v>28</v>
      </c>
      <c r="CK31" s="89">
        <f>'[1]April - 2022'!CN31</f>
        <v>248024</v>
      </c>
      <c r="CL31" s="245">
        <f>'[1]April - 2022'!CO31</f>
        <v>0</v>
      </c>
      <c r="CM31" s="89">
        <f>'[1]April - 2022'!CP31</f>
        <v>92</v>
      </c>
      <c r="CN31" s="89">
        <f>'[1]April - 2022'!CQ31</f>
        <v>195709</v>
      </c>
      <c r="CO31" s="245">
        <f>'[1]April - 2022'!CR31</f>
        <v>123</v>
      </c>
      <c r="CP31" s="89">
        <f>'[1]April - 2022'!CS31</f>
        <v>99</v>
      </c>
      <c r="CQ31" s="89">
        <f>'[1]April - 2022'!CT31</f>
        <v>348963</v>
      </c>
      <c r="CR31" s="245">
        <f>'[1]April - 2022'!CU31</f>
        <v>48</v>
      </c>
      <c r="CS31" s="89">
        <f>'[1]April - 2022'!CV31</f>
        <v>73</v>
      </c>
      <c r="CT31" s="89">
        <f>'[1]April - 2022'!CW31</f>
        <v>650560</v>
      </c>
      <c r="CU31" s="190">
        <f>'[1]April - 2022'!CX31</f>
        <v>5</v>
      </c>
      <c r="CV31" s="450"/>
      <c r="CW31" s="284">
        <f>'[1]April - 2022'!CZ31</f>
        <v>7501</v>
      </c>
      <c r="CX31" s="197">
        <f>'[1]April - 2022'!DA31</f>
        <v>6</v>
      </c>
      <c r="CY31" s="285">
        <f>'[1]April - 2022'!DB31</f>
        <v>4844</v>
      </c>
      <c r="CZ31" s="197">
        <f>'[1]April - 2022'!DC31</f>
        <v>4</v>
      </c>
      <c r="DA31" s="285">
        <f>'[1]April - 2022'!DD31</f>
        <v>29237</v>
      </c>
      <c r="DB31" s="197">
        <f>'[1]April - 2022'!DE31</f>
        <v>16</v>
      </c>
      <c r="DC31" s="285">
        <f>'[1]April - 2022'!DF31</f>
        <v>29738</v>
      </c>
      <c r="DD31" s="197">
        <f>'[1]April - 2022'!DG31</f>
        <v>16</v>
      </c>
      <c r="DE31" s="285">
        <f>'[1]April - 2022'!DH31</f>
        <v>19912</v>
      </c>
      <c r="DF31" s="197">
        <f>'[1]April - 2022'!DI31</f>
        <v>10</v>
      </c>
      <c r="DG31" s="285">
        <f>'[1]April - 2022'!DJ31</f>
        <v>22811</v>
      </c>
      <c r="DH31" s="197">
        <f>'[1]April - 2022'!DK31</f>
        <v>5</v>
      </c>
      <c r="DI31" s="285">
        <f>'[1]April - 2022'!DL31</f>
        <v>4817</v>
      </c>
      <c r="DJ31" s="197">
        <f>'[1]April - 2022'!DM31</f>
        <v>11</v>
      </c>
      <c r="DK31" s="285">
        <f>'[1]April - 2022'!DN31</f>
        <v>8024</v>
      </c>
      <c r="DL31" s="197">
        <f>'[1]April - 2022'!DO31</f>
        <v>6</v>
      </c>
      <c r="DM31" s="285">
        <f>'[1]April - 2022'!DP31</f>
        <v>2408</v>
      </c>
      <c r="DN31" s="197">
        <f>'[1]April - 2022'!DQ31</f>
        <v>4</v>
      </c>
      <c r="DO31" s="285">
        <f>'[1]April - 2022'!DR31</f>
        <v>4541</v>
      </c>
      <c r="DP31" s="197">
        <f>'[1]April - 2022'!DS31</f>
        <v>11</v>
      </c>
      <c r="DQ31" s="285">
        <f>'[1]April - 2022'!DT31</f>
        <v>27602</v>
      </c>
      <c r="DR31" s="205">
        <f>'[1]April - 2022'!DU31</f>
        <v>18</v>
      </c>
      <c r="DS31" s="435"/>
      <c r="DT31" s="209">
        <f>'[1]April - 2022'!DW31</f>
        <v>4316</v>
      </c>
      <c r="DU31" s="220">
        <f>'[1]April - 2022'!DX31</f>
        <v>10</v>
      </c>
      <c r="DV31" s="91">
        <f>'[1]April - 2022'!DY31</f>
        <v>9233.1</v>
      </c>
      <c r="DW31" s="214">
        <f>'[1]April - 2022'!DZ31</f>
        <v>8</v>
      </c>
      <c r="DX31" s="91">
        <f>'[1]April - 2022'!EA31</f>
        <v>3257.9</v>
      </c>
      <c r="DY31" s="214">
        <f>'[1]April - 2022'!EB31</f>
        <v>6.0999999999999091</v>
      </c>
      <c r="DZ31" s="91">
        <f>'[1]April - 2022'!EC31</f>
        <v>3482</v>
      </c>
      <c r="EA31" s="214">
        <f>'[1]April - 2022'!ED31</f>
        <v>9.1999999999998181</v>
      </c>
      <c r="EB31" s="91">
        <f>'[1]April - 2022'!EE31</f>
        <v>952857</v>
      </c>
      <c r="EC31" s="214">
        <f>'[1]April - 2022'!EF31</f>
        <v>777</v>
      </c>
      <c r="ED31" s="91">
        <f>'[1]April - 2022'!EI31</f>
        <v>197090.9</v>
      </c>
      <c r="EE31" s="228">
        <f>'[1]April - 2022'!EJ31</f>
        <v>155.39999999999418</v>
      </c>
      <c r="EF31" s="373"/>
      <c r="EG31" s="234">
        <f>'[1]April - 2022'!EL31</f>
        <v>10838100</v>
      </c>
      <c r="EH31" s="229">
        <f>'[1]April - 2022'!EM31</f>
        <v>4700</v>
      </c>
      <c r="EI31" s="90">
        <f>'[1]April - 2022'!EN31</f>
        <v>860980</v>
      </c>
      <c r="EJ31" s="229">
        <f>'[1]April - 2022'!EO31</f>
        <v>230</v>
      </c>
      <c r="EK31" s="90">
        <f>'[1]April - 2022'!EP31</f>
        <v>6537800</v>
      </c>
      <c r="EL31" s="229">
        <f>'[1]April - 2022'!EQ31</f>
        <v>2200</v>
      </c>
      <c r="EM31" s="90">
        <f>'[1]April - 2022'!ER31</f>
        <v>2300200</v>
      </c>
      <c r="EN31" s="229">
        <f>'[1]April - 2022'!ES31</f>
        <v>400</v>
      </c>
      <c r="EO31" s="90">
        <f>'[1]April - 2022'!ET31</f>
        <v>1081910</v>
      </c>
      <c r="EP31" s="229">
        <f>'[1]April - 2022'!EU31</f>
        <v>600</v>
      </c>
      <c r="EQ31" s="90">
        <f>'[1]April - 2022'!EV31</f>
        <v>14704400</v>
      </c>
      <c r="ER31" s="229">
        <f>'[1]April - 2022'!EW31</f>
        <v>4900</v>
      </c>
      <c r="ES31" s="421"/>
      <c r="ET31" s="278">
        <f>'[1]April - 2022'!EY31</f>
        <v>39482</v>
      </c>
      <c r="EU31" s="272">
        <f>'[1]April - 2022'!EZ31</f>
        <v>17</v>
      </c>
      <c r="EV31" s="279">
        <f>'[1]April - 2022'!FA31</f>
        <v>34159</v>
      </c>
      <c r="EW31" s="272">
        <f>'[1]April - 2022'!FB31</f>
        <v>13</v>
      </c>
      <c r="EX31" s="279">
        <f>'[1]April - 2022'!FC31</f>
        <v>5198</v>
      </c>
      <c r="EY31" s="272">
        <f>'[1]April - 2022'!FD31</f>
        <v>10</v>
      </c>
      <c r="EZ31" s="279">
        <f>'[1]April - 2022'!FE31</f>
        <v>56339</v>
      </c>
      <c r="FA31" s="272">
        <f>'[1]April - 2022'!FF31</f>
        <v>11</v>
      </c>
      <c r="FB31" s="279">
        <f>'[1]April - 2022'!FG31</f>
        <v>41890</v>
      </c>
      <c r="FC31" s="273">
        <f>'[1]April - 2022'!FH31</f>
        <v>30</v>
      </c>
    </row>
    <row r="32" spans="1:159" ht="30" customHeight="1" x14ac:dyDescent="0.25">
      <c r="A32" s="206">
        <v>43853</v>
      </c>
      <c r="B32" s="208">
        <f>'[1]April - 2022'!B32</f>
        <v>0.79</v>
      </c>
      <c r="C32" s="249">
        <f>'[1]April - 2022'!E32</f>
        <v>107396</v>
      </c>
      <c r="D32" s="169">
        <f>'[1]April - 2022'!F32</f>
        <v>836</v>
      </c>
      <c r="E32" s="168">
        <f>'[1]April - 2022'!G32</f>
        <v>544</v>
      </c>
      <c r="F32" s="168">
        <f>'[1]April - 2022'!H32</f>
        <v>150129</v>
      </c>
      <c r="G32" s="169">
        <f>'[1]April - 2022'!I32</f>
        <v>422</v>
      </c>
      <c r="H32" s="168">
        <f>'[1]April - 2022'!J32</f>
        <v>352</v>
      </c>
      <c r="I32" s="168">
        <f>'[1]April - 2022'!K32</f>
        <v>164625</v>
      </c>
      <c r="J32" s="169">
        <f>'[1]April - 2022'!L32</f>
        <v>0</v>
      </c>
      <c r="K32" s="168">
        <f>'[1]April - 2022'!N32</f>
        <v>847275</v>
      </c>
      <c r="L32" s="169">
        <f>'[1]April - 2022'!O32</f>
        <v>298</v>
      </c>
      <c r="M32" s="168">
        <f>'[1]April - 2022'!Q32</f>
        <v>199959</v>
      </c>
      <c r="N32" s="169">
        <f>'[1]April - 2022'!R32</f>
        <v>201</v>
      </c>
      <c r="O32" s="261">
        <f>'[1]April - 2022'!U32</f>
        <v>65560.62</v>
      </c>
      <c r="P32" s="169">
        <f>'[1]April - 2022'!V32</f>
        <v>149.44999999999709</v>
      </c>
      <c r="Q32" s="168">
        <f>'[1]April - 2022'!W32</f>
        <v>146.86999999999989</v>
      </c>
      <c r="R32" s="261">
        <f>'[1]April - 2022'!X32</f>
        <v>351</v>
      </c>
      <c r="S32" s="207">
        <f>'[1]April - 2022'!Y32</f>
        <v>31</v>
      </c>
      <c r="T32" s="517"/>
      <c r="U32" s="266">
        <f>'[1]April - 2022'!AE32</f>
        <v>7532891.5199999996</v>
      </c>
      <c r="V32" s="287">
        <f>'[1]April - 2022'!AF32</f>
        <v>2046.2400000002235</v>
      </c>
      <c r="W32" s="92">
        <f>'[1]April - 2022'!AG32</f>
        <v>2582.1600000010803</v>
      </c>
      <c r="X32" s="286">
        <f>'[1]April - 2022'!AH32</f>
        <v>14393934.24</v>
      </c>
      <c r="Y32" s="287">
        <f>'[1]April - 2022'!AI32</f>
        <v>4774.5600000005215</v>
      </c>
      <c r="Z32" s="92">
        <f>'[1]April - 2022'!AJ32</f>
        <v>4433.519999999553</v>
      </c>
      <c r="AA32" s="286">
        <f>'[1]April - 2022'!AK32</f>
        <v>14071895.039999999</v>
      </c>
      <c r="AB32" s="287">
        <f>'[1]April - 2022'!AL32</f>
        <v>5456.6399999987334</v>
      </c>
      <c r="AC32" s="92">
        <f>'[1]April - 2022'!AM32</f>
        <v>4092.480000000447</v>
      </c>
      <c r="AD32" s="286">
        <f>'[1]April - 2022'!AN32</f>
        <v>17240984.879999999</v>
      </c>
      <c r="AE32" s="287">
        <f>'[1]April - 2022'!AO32</f>
        <v>8915.7600000016391</v>
      </c>
      <c r="AF32" s="92">
        <f>'[1]April - 2022'!AP32</f>
        <v>10036.320000000298</v>
      </c>
      <c r="AG32" s="286">
        <f>'[1]April - 2022'!AQ32</f>
        <v>17579978.639999997</v>
      </c>
      <c r="AH32" s="287">
        <f>'[1]April - 2022'!AR32</f>
        <v>876.95999999716878</v>
      </c>
      <c r="AI32" s="92">
        <f>'[1]April - 2022'!AS32</f>
        <v>682.08000000007451</v>
      </c>
      <c r="AJ32" s="286">
        <f>'[1]April - 2022'!AT32</f>
        <v>16261225.68</v>
      </c>
      <c r="AK32" s="287">
        <f>'[1]April - 2022'!AU32</f>
        <v>7064.3999999985099</v>
      </c>
      <c r="AL32" s="92">
        <f>'[1]April - 2022'!AV32</f>
        <v>5554.0800000000745</v>
      </c>
      <c r="AM32" s="286">
        <f>'[1]April - 2022'!AW32</f>
        <v>13753704.719999999</v>
      </c>
      <c r="AN32" s="287">
        <f>'[1]April - 2022'!AX32</f>
        <v>4433.519999999553</v>
      </c>
      <c r="AO32" s="92">
        <f>'[1]April - 2022'!AY32</f>
        <v>4384.8000000007451</v>
      </c>
      <c r="AP32" s="286">
        <f>'[1]April - 2022'!AZ32</f>
        <v>13258514.640000001</v>
      </c>
      <c r="AQ32" s="287">
        <f>'[1]April - 2022'!BD32</f>
        <v>2436</v>
      </c>
      <c r="AR32" s="92">
        <f>'[1]April - 2022'!BB32</f>
        <v>3995.0400000009686</v>
      </c>
      <c r="AS32" s="286">
        <f>'[1]April - 2022'!BC32</f>
        <v>10507539.84</v>
      </c>
      <c r="AT32" s="287">
        <f>'[1]April - 2022'!BD32</f>
        <v>2436</v>
      </c>
      <c r="AU32" s="92">
        <f>'[1]April - 2022'!BE32</f>
        <v>2923.1999999992549</v>
      </c>
      <c r="AV32" s="286">
        <f>'[1]April - 2022'!BF32</f>
        <v>16409870.4</v>
      </c>
      <c r="AW32" s="251">
        <f>'[1]April - 2022'!BG32</f>
        <v>5895.1199999991804</v>
      </c>
      <c r="AX32" s="252">
        <f>'[1]April - 2022'!BH32</f>
        <v>5456.640000000596</v>
      </c>
      <c r="AY32" s="483"/>
      <c r="AZ32" s="269">
        <f>'[1]April - 2022'!BM32</f>
        <v>69747100</v>
      </c>
      <c r="BA32" s="178">
        <f>'[1]April - 2022'!BN32</f>
        <v>32600</v>
      </c>
      <c r="BB32" s="93">
        <f>'[1]April - 2022'!BO32</f>
        <v>18500</v>
      </c>
      <c r="BC32" s="269">
        <f>'[1]April - 2022'!BP32</f>
        <v>73016800</v>
      </c>
      <c r="BD32" s="244">
        <f>'[1]April - 2022'!BQ32</f>
        <v>42300</v>
      </c>
      <c r="BE32" s="93">
        <f>'[1]April - 2022'!BR32</f>
        <v>52900</v>
      </c>
      <c r="BF32" s="269">
        <f>'[1]April - 2022'!BS32</f>
        <v>67331700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8511820</v>
      </c>
      <c r="BT32" s="184">
        <f>'[1]April - 2022'!BW32</f>
        <v>6520</v>
      </c>
      <c r="BU32" s="389"/>
      <c r="BV32" s="88">
        <f>'[1]April - 2022'!BY32</f>
        <v>0.71</v>
      </c>
      <c r="BW32" s="240">
        <f>'[1]April - 2022'!BZ32</f>
        <v>-8.9999999999999969E-2</v>
      </c>
      <c r="BX32" s="88">
        <f>'[1]April - 2022'!CA32</f>
        <v>-0.1100000000000001</v>
      </c>
      <c r="BY32" s="89">
        <f>'[1]April - 2022'!CB32</f>
        <v>59596</v>
      </c>
      <c r="BZ32" s="190">
        <f>'[1]April - 2022'!CC32</f>
        <v>21</v>
      </c>
      <c r="CA32" s="89">
        <f>'[1]April - 2022'!CD32</f>
        <v>51130</v>
      </c>
      <c r="CB32" s="190">
        <f>'[1]April - 2022'!CE32</f>
        <v>19</v>
      </c>
      <c r="CC32" s="89">
        <f>'[1]April - 2022'!CF32</f>
        <v>17438</v>
      </c>
      <c r="CD32" s="190">
        <f>'[1]April - 2022'!CG32</f>
        <v>6</v>
      </c>
      <c r="CE32" s="89">
        <f>'[1]April - 2022'!CH32</f>
        <v>23418</v>
      </c>
      <c r="CF32" s="190">
        <f>'[1]April - 2022'!CI32</f>
        <v>8</v>
      </c>
      <c r="CG32" s="89">
        <f>'[1]April - 2022'!CJ32</f>
        <v>25589</v>
      </c>
      <c r="CH32" s="190">
        <f>'[1]April - 2022'!CK32</f>
        <v>9</v>
      </c>
      <c r="CI32" s="89">
        <f>'[1]April - 2022'!CL32</f>
        <v>56943</v>
      </c>
      <c r="CJ32" s="190">
        <f>'[1]April - 2022'!CM32</f>
        <v>27</v>
      </c>
      <c r="CK32" s="89">
        <f>'[1]April - 2022'!CN32</f>
        <v>248216</v>
      </c>
      <c r="CL32" s="245">
        <f>'[1]April - 2022'!CO32</f>
        <v>192</v>
      </c>
      <c r="CM32" s="89">
        <f>'[1]April - 2022'!CP32</f>
        <v>100</v>
      </c>
      <c r="CN32" s="89">
        <f>'[1]April - 2022'!CQ32</f>
        <v>195837</v>
      </c>
      <c r="CO32" s="245">
        <f>'[1]April - 2022'!CR32</f>
        <v>128</v>
      </c>
      <c r="CP32" s="89">
        <f>'[1]April - 2022'!CS32</f>
        <v>103</v>
      </c>
      <c r="CQ32" s="89">
        <f>'[1]April - 2022'!CT32</f>
        <v>349009</v>
      </c>
      <c r="CR32" s="245">
        <f>'[1]April - 2022'!CU32</f>
        <v>46</v>
      </c>
      <c r="CS32" s="89">
        <f>'[1]April - 2022'!CV32</f>
        <v>73</v>
      </c>
      <c r="CT32" s="89">
        <f>'[1]April - 2022'!CW32</f>
        <v>650560</v>
      </c>
      <c r="CU32" s="190">
        <f>'[1]April - 2022'!CX32</f>
        <v>0</v>
      </c>
      <c r="CV32" s="450"/>
      <c r="CW32" s="284">
        <f>'[1]April - 2022'!CZ32</f>
        <v>7507</v>
      </c>
      <c r="CX32" s="197">
        <f>'[1]April - 2022'!DA32</f>
        <v>6</v>
      </c>
      <c r="CY32" s="285">
        <f>'[1]April - 2022'!DB32</f>
        <v>4850</v>
      </c>
      <c r="CZ32" s="197">
        <f>'[1]April - 2022'!DC32</f>
        <v>6</v>
      </c>
      <c r="DA32" s="285">
        <f>'[1]April - 2022'!DD32</f>
        <v>29252</v>
      </c>
      <c r="DB32" s="197">
        <f>'[1]April - 2022'!DE32</f>
        <v>15</v>
      </c>
      <c r="DC32" s="285">
        <f>'[1]April - 2022'!DF32</f>
        <v>29753</v>
      </c>
      <c r="DD32" s="197">
        <f>'[1]April - 2022'!DG32</f>
        <v>15</v>
      </c>
      <c r="DE32" s="285">
        <f>'[1]April - 2022'!DH32</f>
        <v>19920</v>
      </c>
      <c r="DF32" s="197">
        <f>'[1]April - 2022'!DI32</f>
        <v>8</v>
      </c>
      <c r="DG32" s="285">
        <f>'[1]April - 2022'!DJ32</f>
        <v>22815</v>
      </c>
      <c r="DH32" s="197">
        <f>'[1]April - 2022'!DK32</f>
        <v>4</v>
      </c>
      <c r="DI32" s="285">
        <f>'[1]April - 2022'!DL32</f>
        <v>4827</v>
      </c>
      <c r="DJ32" s="197">
        <f>'[1]April - 2022'!DM32</f>
        <v>10</v>
      </c>
      <c r="DK32" s="285">
        <f>'[1]April - 2022'!DN32</f>
        <v>8030</v>
      </c>
      <c r="DL32" s="197">
        <f>'[1]April - 2022'!DO32</f>
        <v>6</v>
      </c>
      <c r="DM32" s="285">
        <f>'[1]April - 2022'!DP32</f>
        <v>2412</v>
      </c>
      <c r="DN32" s="197">
        <f>'[1]April - 2022'!DQ32</f>
        <v>4</v>
      </c>
      <c r="DO32" s="285">
        <f>'[1]April - 2022'!DR32</f>
        <v>4551</v>
      </c>
      <c r="DP32" s="197">
        <f>'[1]April - 2022'!DS32</f>
        <v>10</v>
      </c>
      <c r="DQ32" s="285">
        <f>'[1]April - 2022'!DT32</f>
        <v>27611</v>
      </c>
      <c r="DR32" s="205">
        <f>'[1]April - 2022'!DU32</f>
        <v>9</v>
      </c>
      <c r="DS32" s="435"/>
      <c r="DT32" s="209">
        <f>'[1]April - 2022'!DW32</f>
        <v>4326.1000000000004</v>
      </c>
      <c r="DU32" s="220">
        <f>'[1]April - 2022'!DX32</f>
        <v>10.100000000000364</v>
      </c>
      <c r="DV32" s="91">
        <f>'[1]April - 2022'!DY32</f>
        <v>9241</v>
      </c>
      <c r="DW32" s="214">
        <f>'[1]April - 2022'!DZ32</f>
        <v>7.8999999999996362</v>
      </c>
      <c r="DX32" s="91">
        <f>'[1]April - 2022'!EA32</f>
        <v>3264.3</v>
      </c>
      <c r="DY32" s="214">
        <f>'[1]April - 2022'!EB32</f>
        <v>6.4000000000000909</v>
      </c>
      <c r="DZ32" s="91">
        <f>'[1]April - 2022'!EC32</f>
        <v>3492.8</v>
      </c>
      <c r="EA32" s="214">
        <f>'[1]April - 2022'!ED32</f>
        <v>10.800000000000182</v>
      </c>
      <c r="EB32" s="91">
        <f>'[1]April - 2022'!EE32</f>
        <v>953612</v>
      </c>
      <c r="EC32" s="214">
        <f>'[1]April - 2022'!EF32</f>
        <v>755</v>
      </c>
      <c r="ED32" s="91">
        <f>'[1]April - 2022'!EI32</f>
        <v>197247.3</v>
      </c>
      <c r="EE32" s="228">
        <f>'[1]April - 2022'!EJ32</f>
        <v>156.39999999999418</v>
      </c>
      <c r="EF32" s="373"/>
      <c r="EG32" s="234">
        <f>'[1]April - 2022'!EL32</f>
        <v>10843400</v>
      </c>
      <c r="EH32" s="229">
        <f>'[1]April - 2022'!EM32</f>
        <v>5300</v>
      </c>
      <c r="EI32" s="90">
        <f>'[1]April - 2022'!EN32</f>
        <v>861220</v>
      </c>
      <c r="EJ32" s="229">
        <f>'[1]April - 2022'!EO32</f>
        <v>240</v>
      </c>
      <c r="EK32" s="90">
        <f>'[1]April - 2022'!EP32</f>
        <v>6540200</v>
      </c>
      <c r="EL32" s="229">
        <f>'[1]April - 2022'!EQ32</f>
        <v>2400</v>
      </c>
      <c r="EM32" s="90">
        <f>'[1]April - 2022'!ER32</f>
        <v>2300800</v>
      </c>
      <c r="EN32" s="229">
        <f>'[1]April - 2022'!ES32</f>
        <v>600</v>
      </c>
      <c r="EO32" s="90">
        <f>'[1]April - 2022'!ET32</f>
        <v>1082550</v>
      </c>
      <c r="EP32" s="229">
        <f>'[1]April - 2022'!EU32</f>
        <v>640</v>
      </c>
      <c r="EQ32" s="90">
        <f>'[1]April - 2022'!EV32</f>
        <v>14709700</v>
      </c>
      <c r="ER32" s="229">
        <f>'[1]April - 2022'!EW32</f>
        <v>5300</v>
      </c>
      <c r="ES32" s="421"/>
      <c r="ET32" s="278">
        <f>'[1]April - 2022'!EY32</f>
        <v>39498</v>
      </c>
      <c r="EU32" s="272">
        <f>'[1]April - 2022'!EZ32</f>
        <v>16</v>
      </c>
      <c r="EV32" s="279">
        <f>'[1]April - 2022'!FA32</f>
        <v>34172</v>
      </c>
      <c r="EW32" s="272">
        <f>'[1]April - 2022'!FB32</f>
        <v>13</v>
      </c>
      <c r="EX32" s="279">
        <f>'[1]April - 2022'!FC32</f>
        <v>5212</v>
      </c>
      <c r="EY32" s="272">
        <f>'[1]April - 2022'!FD32</f>
        <v>14</v>
      </c>
      <c r="EZ32" s="279">
        <f>'[1]April - 2022'!FE32</f>
        <v>56349</v>
      </c>
      <c r="FA32" s="272">
        <f>'[1]April - 2022'!FF32</f>
        <v>10</v>
      </c>
      <c r="FB32" s="279">
        <f>'[1]April - 2022'!FG32</f>
        <v>41922</v>
      </c>
      <c r="FC32" s="273">
        <f>'[1]April - 2022'!FH32</f>
        <v>32</v>
      </c>
    </row>
    <row r="33" spans="1:160" ht="30" customHeight="1" x14ac:dyDescent="0.25">
      <c r="A33" s="206">
        <v>43854</v>
      </c>
      <c r="B33" s="208">
        <f>'[1]April - 2022'!B33</f>
        <v>0.75</v>
      </c>
      <c r="C33" s="249">
        <f>'[1]April - 2022'!E33</f>
        <v>108180</v>
      </c>
      <c r="D33" s="169">
        <f>'[1]April - 2022'!F33</f>
        <v>784</v>
      </c>
      <c r="E33" s="168">
        <f>'[1]April - 2022'!G33</f>
        <v>579</v>
      </c>
      <c r="F33" s="168">
        <f>'[1]April - 2022'!H33</f>
        <v>150508</v>
      </c>
      <c r="G33" s="169">
        <f>'[1]April - 2022'!I33</f>
        <v>379</v>
      </c>
      <c r="H33" s="168">
        <f>'[1]April - 2022'!J33</f>
        <v>342</v>
      </c>
      <c r="I33" s="168">
        <f>'[1]April - 2022'!K33</f>
        <v>164625</v>
      </c>
      <c r="J33" s="169">
        <f>'[1]April - 2022'!L33</f>
        <v>0</v>
      </c>
      <c r="K33" s="168">
        <f>'[1]April - 2022'!N33</f>
        <v>847566</v>
      </c>
      <c r="L33" s="169">
        <f>'[1]April - 2022'!O33</f>
        <v>291</v>
      </c>
      <c r="M33" s="168">
        <f>'[1]April - 2022'!Q33</f>
        <v>200138</v>
      </c>
      <c r="N33" s="169">
        <f>'[1]April - 2022'!R33</f>
        <v>179</v>
      </c>
      <c r="O33" s="261">
        <f>'[1]April - 2022'!U33</f>
        <v>65723.17</v>
      </c>
      <c r="P33" s="169">
        <f>'[1]April - 2022'!V33</f>
        <v>162.55000000000291</v>
      </c>
      <c r="Q33" s="168">
        <f>'[1]April - 2022'!W33</f>
        <v>145.21000000000004</v>
      </c>
      <c r="R33" s="261">
        <f>'[1]April - 2022'!X33</f>
        <v>381</v>
      </c>
      <c r="S33" s="207">
        <f>'[1]April - 2022'!Y33</f>
        <v>30</v>
      </c>
      <c r="T33" s="517"/>
      <c r="U33" s="266">
        <f>'[1]April - 2022'!AE33</f>
        <v>7534937.7599999998</v>
      </c>
      <c r="V33" s="287">
        <f>'[1]April - 2022'!AF33</f>
        <v>2046.2400000002235</v>
      </c>
      <c r="W33" s="92">
        <f>'[1]April - 2022'!AG33</f>
        <v>3702.7199999988079</v>
      </c>
      <c r="X33" s="286">
        <f>'[1]April - 2022'!AH33</f>
        <v>14398660.08</v>
      </c>
      <c r="Y33" s="287">
        <f>'[1]April - 2022'!AI33</f>
        <v>4725.839999999851</v>
      </c>
      <c r="Z33" s="92">
        <f>'[1]April - 2022'!AJ33</f>
        <v>4579.679999999702</v>
      </c>
      <c r="AA33" s="286">
        <f>'[1]April - 2022'!AK33</f>
        <v>14075549.039999999</v>
      </c>
      <c r="AB33" s="287">
        <f>'[1]April - 2022'!AL33</f>
        <v>3654</v>
      </c>
      <c r="AC33" s="92">
        <f>'[1]April - 2022'!AM33</f>
        <v>1023.1200000010431</v>
      </c>
      <c r="AD33" s="286">
        <f>'[1]April - 2022'!AN33</f>
        <v>17252970</v>
      </c>
      <c r="AE33" s="287">
        <f>'[1]April - 2022'!AO33</f>
        <v>11985.120000001043</v>
      </c>
      <c r="AF33" s="92">
        <f>'[1]April - 2022'!AP33</f>
        <v>3848.8799999989569</v>
      </c>
      <c r="AG33" s="286">
        <f>'[1]April - 2022'!AQ33</f>
        <v>17581001.760000002</v>
      </c>
      <c r="AH33" s="287">
        <f>'[1]April - 2022'!AR33</f>
        <v>1023.1200000047684</v>
      </c>
      <c r="AI33" s="92">
        <f>'[1]April - 2022'!AS33</f>
        <v>9256.7999999988824</v>
      </c>
      <c r="AJ33" s="286">
        <f>'[1]April - 2022'!AT33</f>
        <v>16265269.439999998</v>
      </c>
      <c r="AK33" s="287">
        <f>'[1]April - 2022'!AU33</f>
        <v>4043.7599999979138</v>
      </c>
      <c r="AL33" s="92">
        <f>'[1]April - 2022'!AV33</f>
        <v>5602.7999999988824</v>
      </c>
      <c r="AM33" s="286">
        <f>'[1]April - 2022'!AW33</f>
        <v>13758333.119999999</v>
      </c>
      <c r="AN33" s="287">
        <f>'[1]April - 2022'!AX33</f>
        <v>4628.4000000003725</v>
      </c>
      <c r="AO33" s="92">
        <f>'[1]April - 2022'!AY33</f>
        <v>4336.0799999982119</v>
      </c>
      <c r="AP33" s="286">
        <f>'[1]April - 2022'!AZ33</f>
        <v>13263337.919999998</v>
      </c>
      <c r="AQ33" s="287">
        <f>'[1]April - 2022'!BD33</f>
        <v>2971.9199999999255</v>
      </c>
      <c r="AR33" s="92">
        <f>'[1]April - 2022'!BB33</f>
        <v>4141.2000000011176</v>
      </c>
      <c r="AS33" s="286">
        <f>'[1]April - 2022'!BC33</f>
        <v>10510511.76</v>
      </c>
      <c r="AT33" s="287">
        <f>'[1]April - 2022'!BD33</f>
        <v>2971.9199999999255</v>
      </c>
      <c r="AU33" s="92">
        <f>'[1]April - 2022'!BE33</f>
        <v>2971.9199999999255</v>
      </c>
      <c r="AV33" s="286">
        <f>'[1]April - 2022'!BF33</f>
        <v>16415814.239999998</v>
      </c>
      <c r="AW33" s="251">
        <f>'[1]April - 2022'!BG33</f>
        <v>5943.8399999979883</v>
      </c>
      <c r="AX33" s="252">
        <f>'[1]April - 2022'!BH33</f>
        <v>5651.519999999553</v>
      </c>
      <c r="AY33" s="483"/>
      <c r="AZ33" s="269">
        <f>'[1]April - 2022'!BM33</f>
        <v>69767600</v>
      </c>
      <c r="BA33" s="178">
        <f>'[1]April - 2022'!BN33</f>
        <v>20500</v>
      </c>
      <c r="BB33" s="93">
        <f>'[1]April - 2022'!BO33</f>
        <v>0</v>
      </c>
      <c r="BC33" s="269">
        <f>'[1]April - 2022'!BP33</f>
        <v>73076200</v>
      </c>
      <c r="BD33" s="244">
        <f>'[1]April - 2022'!BQ33</f>
        <v>59400</v>
      </c>
      <c r="BE33" s="93">
        <f>'[1]April - 2022'!BR33</f>
        <v>20900</v>
      </c>
      <c r="BF33" s="269">
        <f>'[1]April - 2022'!BS33</f>
        <v>67331700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8518000</v>
      </c>
      <c r="BT33" s="184">
        <f>'[1]April - 2022'!BW33</f>
        <v>6180</v>
      </c>
      <c r="BU33" s="389"/>
      <c r="BV33" s="88">
        <f>'[1]April - 2022'!BY33</f>
        <v>0.66</v>
      </c>
      <c r="BW33" s="240">
        <f>'[1]April - 2022'!BZ33</f>
        <v>4.9999999999999933E-2</v>
      </c>
      <c r="BX33" s="88">
        <f>'[1]April - 2022'!CA33</f>
        <v>6.0000000000000053E-2</v>
      </c>
      <c r="BY33" s="89">
        <f>'[1]April - 2022'!CB33</f>
        <v>59617</v>
      </c>
      <c r="BZ33" s="190">
        <f>'[1]April - 2022'!CC33</f>
        <v>21</v>
      </c>
      <c r="CA33" s="89">
        <f>'[1]April - 2022'!CD33</f>
        <v>51149</v>
      </c>
      <c r="CB33" s="190">
        <f>'[1]April - 2022'!CE33</f>
        <v>19</v>
      </c>
      <c r="CC33" s="89">
        <f>'[1]April - 2022'!CF33</f>
        <v>17444</v>
      </c>
      <c r="CD33" s="190">
        <f>'[1]April - 2022'!CG33</f>
        <v>6</v>
      </c>
      <c r="CE33" s="89">
        <f>'[1]April - 2022'!CH33</f>
        <v>23425</v>
      </c>
      <c r="CF33" s="190">
        <f>'[1]April - 2022'!CI33</f>
        <v>7</v>
      </c>
      <c r="CG33" s="89">
        <f>'[1]April - 2022'!CJ33</f>
        <v>25600</v>
      </c>
      <c r="CH33" s="190">
        <f>'[1]April - 2022'!CK33</f>
        <v>11</v>
      </c>
      <c r="CI33" s="89">
        <f>'[1]April - 2022'!CL33</f>
        <v>56969</v>
      </c>
      <c r="CJ33" s="190">
        <f>'[1]April - 2022'!CM33</f>
        <v>26</v>
      </c>
      <c r="CK33" s="89">
        <f>'[1]April - 2022'!CN33</f>
        <v>248312</v>
      </c>
      <c r="CL33" s="245">
        <f>'[1]April - 2022'!CO33</f>
        <v>96</v>
      </c>
      <c r="CM33" s="89">
        <f>'[1]April - 2022'!CP33</f>
        <v>100</v>
      </c>
      <c r="CN33" s="89">
        <f>'[1]April - 2022'!CQ33</f>
        <v>195964</v>
      </c>
      <c r="CO33" s="245">
        <f>'[1]April - 2022'!CR33</f>
        <v>127</v>
      </c>
      <c r="CP33" s="89">
        <f>'[1]April - 2022'!CS33</f>
        <v>96</v>
      </c>
      <c r="CQ33" s="89">
        <f>'[1]April - 2022'!CT33</f>
        <v>349054</v>
      </c>
      <c r="CR33" s="245">
        <f>'[1]April - 2022'!CU33</f>
        <v>45</v>
      </c>
      <c r="CS33" s="89">
        <f>'[1]April - 2022'!CV33</f>
        <v>72</v>
      </c>
      <c r="CT33" s="89">
        <f>'[1]April - 2022'!CW33</f>
        <v>650560</v>
      </c>
      <c r="CU33" s="190">
        <f>'[1]April - 2022'!CX33</f>
        <v>0</v>
      </c>
      <c r="CV33" s="450"/>
      <c r="CW33" s="284">
        <f>'[1]April - 2022'!CZ33</f>
        <v>7508</v>
      </c>
      <c r="CX33" s="197">
        <f>'[1]April - 2022'!DA33</f>
        <v>1</v>
      </c>
      <c r="CY33" s="285">
        <f>'[1]April - 2022'!DB33</f>
        <v>4850</v>
      </c>
      <c r="CZ33" s="197">
        <f>'[1]April - 2022'!DC33</f>
        <v>0</v>
      </c>
      <c r="DA33" s="285">
        <f>'[1]April - 2022'!DD33</f>
        <v>29272</v>
      </c>
      <c r="DB33" s="197">
        <f>'[1]April - 2022'!DE33</f>
        <v>20</v>
      </c>
      <c r="DC33" s="285">
        <f>'[1]April - 2022'!DF33</f>
        <v>29765</v>
      </c>
      <c r="DD33" s="197">
        <f>'[1]April - 2022'!DG33</f>
        <v>12</v>
      </c>
      <c r="DE33" s="285">
        <f>'[1]April - 2022'!DH33</f>
        <v>19929</v>
      </c>
      <c r="DF33" s="197">
        <f>'[1]April - 2022'!DI33</f>
        <v>9</v>
      </c>
      <c r="DG33" s="285">
        <f>'[1]April - 2022'!DJ33</f>
        <v>22822</v>
      </c>
      <c r="DH33" s="197">
        <f>'[1]April - 2022'!DK33</f>
        <v>7</v>
      </c>
      <c r="DI33" s="285">
        <f>'[1]April - 2022'!DL33</f>
        <v>4837</v>
      </c>
      <c r="DJ33" s="197">
        <f>'[1]April - 2022'!DM33</f>
        <v>10</v>
      </c>
      <c r="DK33" s="285">
        <f>'[1]April - 2022'!DN33</f>
        <v>8050</v>
      </c>
      <c r="DL33" s="197">
        <f>'[1]April - 2022'!DO33</f>
        <v>20</v>
      </c>
      <c r="DM33" s="285">
        <f>'[1]April - 2022'!DP33</f>
        <v>2415</v>
      </c>
      <c r="DN33" s="197">
        <f>'[1]April - 2022'!DQ33</f>
        <v>3</v>
      </c>
      <c r="DO33" s="285">
        <f>'[1]April - 2022'!DR33</f>
        <v>4556</v>
      </c>
      <c r="DP33" s="197">
        <f>'[1]April - 2022'!DS33</f>
        <v>5</v>
      </c>
      <c r="DQ33" s="285">
        <f>'[1]April - 2022'!DT33</f>
        <v>27611</v>
      </c>
      <c r="DR33" s="205">
        <f>'[1]April - 2022'!DU33</f>
        <v>0</v>
      </c>
      <c r="DS33" s="435"/>
      <c r="DT33" s="209">
        <f>'[1]April - 2022'!DW33</f>
        <v>4335.2</v>
      </c>
      <c r="DU33" s="220">
        <f>'[1]April - 2022'!DX33</f>
        <v>9.0999999999994543</v>
      </c>
      <c r="DV33" s="91">
        <f>'[1]April - 2022'!DY33</f>
        <v>9248.9</v>
      </c>
      <c r="DW33" s="214">
        <f>'[1]April - 2022'!DZ33</f>
        <v>7.8999999999996362</v>
      </c>
      <c r="DX33" s="91">
        <f>'[1]April - 2022'!EA33</f>
        <v>3270.3</v>
      </c>
      <c r="DY33" s="214">
        <f>'[1]April - 2022'!EB33</f>
        <v>6</v>
      </c>
      <c r="DZ33" s="91">
        <f>'[1]April - 2022'!EC33</f>
        <v>3502.9</v>
      </c>
      <c r="EA33" s="214">
        <f>'[1]April - 2022'!ED33</f>
        <v>10.099999999999909</v>
      </c>
      <c r="EB33" s="91">
        <f>'[1]April - 2022'!EE33</f>
        <v>954387</v>
      </c>
      <c r="EC33" s="214">
        <f>'[1]April - 2022'!EF33</f>
        <v>775</v>
      </c>
      <c r="ED33" s="91">
        <f>'[1]April - 2022'!EI33</f>
        <v>197390.6</v>
      </c>
      <c r="EE33" s="228">
        <f>'[1]April - 2022'!EJ33</f>
        <v>143.30000000001746</v>
      </c>
      <c r="EF33" s="373"/>
      <c r="EG33" s="234">
        <f>'[1]April - 2022'!EL33</f>
        <v>10849000</v>
      </c>
      <c r="EH33" s="229">
        <f>'[1]April - 2022'!EM33</f>
        <v>5600</v>
      </c>
      <c r="EI33" s="90">
        <f>'[1]April - 2022'!EN33</f>
        <v>861470</v>
      </c>
      <c r="EJ33" s="229">
        <f>'[1]April - 2022'!EO33</f>
        <v>250</v>
      </c>
      <c r="EK33" s="90">
        <f>'[1]April - 2022'!EP33</f>
        <v>6542700</v>
      </c>
      <c r="EL33" s="229">
        <f>'[1]April - 2022'!EQ33</f>
        <v>2500</v>
      </c>
      <c r="EM33" s="90">
        <f>'[1]April - 2022'!ER33</f>
        <v>2301500</v>
      </c>
      <c r="EN33" s="229">
        <f>'[1]April - 2022'!ES33</f>
        <v>700</v>
      </c>
      <c r="EO33" s="90">
        <f>'[1]April - 2022'!ET33</f>
        <v>1082960</v>
      </c>
      <c r="EP33" s="229">
        <f>'[1]April - 2022'!EU33</f>
        <v>410</v>
      </c>
      <c r="EQ33" s="90">
        <f>'[1]April - 2022'!EV33</f>
        <v>14715600</v>
      </c>
      <c r="ER33" s="229">
        <f>'[1]April - 2022'!EW33</f>
        <v>5900</v>
      </c>
      <c r="ES33" s="421"/>
      <c r="ET33" s="278">
        <f>'[1]April - 2022'!EY33</f>
        <v>39513</v>
      </c>
      <c r="EU33" s="272">
        <f>'[1]April - 2022'!EZ33</f>
        <v>15</v>
      </c>
      <c r="EV33" s="279">
        <f>'[1]April - 2022'!FA33</f>
        <v>34184</v>
      </c>
      <c r="EW33" s="272">
        <f>'[1]April - 2022'!FB33</f>
        <v>12</v>
      </c>
      <c r="EX33" s="279">
        <f>'[1]April - 2022'!FC33</f>
        <v>5224</v>
      </c>
      <c r="EY33" s="272">
        <f>'[1]April - 2022'!FD33</f>
        <v>12</v>
      </c>
      <c r="EZ33" s="279">
        <f>'[1]April - 2022'!FE33</f>
        <v>56361</v>
      </c>
      <c r="FA33" s="272">
        <f>'[1]April - 2022'!FF33</f>
        <v>12</v>
      </c>
      <c r="FB33" s="279">
        <f>'[1]April - 2022'!FG33</f>
        <v>41947</v>
      </c>
      <c r="FC33" s="273">
        <f>'[1]April - 2022'!FH33</f>
        <v>25</v>
      </c>
    </row>
    <row r="34" spans="1:160" ht="30" customHeight="1" x14ac:dyDescent="0.25">
      <c r="A34" s="206">
        <v>43855</v>
      </c>
      <c r="B34" s="208">
        <f>'[1]April - 2022'!B34</f>
        <v>0.67</v>
      </c>
      <c r="C34" s="249">
        <f>'[1]April - 2022'!E34</f>
        <v>108969</v>
      </c>
      <c r="D34" s="169">
        <f>'[1]April - 2022'!F34</f>
        <v>789</v>
      </c>
      <c r="E34" s="168">
        <f>'[1]April - 2022'!G34</f>
        <v>636</v>
      </c>
      <c r="F34" s="168">
        <f>'[1]April - 2022'!H34</f>
        <v>150898</v>
      </c>
      <c r="G34" s="169">
        <f>'[1]April - 2022'!I34</f>
        <v>390</v>
      </c>
      <c r="H34" s="168">
        <f>'[1]April - 2022'!J34</f>
        <v>338</v>
      </c>
      <c r="I34" s="168">
        <f>'[1]April - 2022'!K34</f>
        <v>164625</v>
      </c>
      <c r="J34" s="169">
        <f>'[1]April - 2022'!L34</f>
        <v>0</v>
      </c>
      <c r="K34" s="168">
        <f>'[1]April - 2022'!N34</f>
        <v>847899</v>
      </c>
      <c r="L34" s="169">
        <f>'[1]April - 2022'!O34</f>
        <v>333</v>
      </c>
      <c r="M34" s="168">
        <f>'[1]April - 2022'!Q34</f>
        <v>200326</v>
      </c>
      <c r="N34" s="169">
        <f>'[1]April - 2022'!R34</f>
        <v>188</v>
      </c>
      <c r="O34" s="261">
        <f>'[1]April - 2022'!U34</f>
        <v>65878.12</v>
      </c>
      <c r="P34" s="169">
        <f>'[1]April - 2022'!V34</f>
        <v>154.94999999999709</v>
      </c>
      <c r="Q34" s="168">
        <f>'[1]April - 2022'!W34</f>
        <v>148.23000000000002</v>
      </c>
      <c r="R34" s="261">
        <f>'[1]April - 2022'!X34</f>
        <v>411</v>
      </c>
      <c r="S34" s="207">
        <f>'[1]April - 2022'!Y34</f>
        <v>30</v>
      </c>
      <c r="T34" s="517"/>
      <c r="U34" s="266">
        <f>'[1]April - 2022'!AE34</f>
        <v>7536789.1200000001</v>
      </c>
      <c r="V34" s="287">
        <f>'[1]April - 2022'!AF34</f>
        <v>1851.3600000003353</v>
      </c>
      <c r="W34" s="92">
        <f>'[1]April - 2022'!AG34</f>
        <v>3654</v>
      </c>
      <c r="X34" s="286">
        <f>'[1]April - 2022'!AH34</f>
        <v>14403483.359999999</v>
      </c>
      <c r="Y34" s="287">
        <f>'[1]April - 2022'!AI34</f>
        <v>4823.2799999993294</v>
      </c>
      <c r="Z34" s="92">
        <f>'[1]April - 2022'!AJ34</f>
        <v>4579.679999999702</v>
      </c>
      <c r="AA34" s="286">
        <f>'[1]April - 2022'!AK34</f>
        <v>14078179.919999998</v>
      </c>
      <c r="AB34" s="287">
        <f>'[1]April - 2022'!AL34</f>
        <v>2630.8799999989569</v>
      </c>
      <c r="AC34" s="92">
        <f>'[1]April - 2022'!AM34</f>
        <v>1071.839999999851</v>
      </c>
      <c r="AD34" s="286">
        <f>'[1]April - 2022'!AN34</f>
        <v>17265003.84</v>
      </c>
      <c r="AE34" s="287">
        <f>'[1]April - 2022'!AO34</f>
        <v>12033.839999999851</v>
      </c>
      <c r="AF34" s="92">
        <f>'[1]April - 2022'!AP34</f>
        <v>2679.6000000014901</v>
      </c>
      <c r="AG34" s="286">
        <f>'[1]April - 2022'!AQ34</f>
        <v>17581976.16</v>
      </c>
      <c r="AH34" s="287">
        <f>'[1]April - 2022'!AR34</f>
        <v>974.39999999850988</v>
      </c>
      <c r="AI34" s="92">
        <f>'[1]April - 2022'!AS34</f>
        <v>9354.2400000002235</v>
      </c>
      <c r="AJ34" s="286">
        <f>'[1]April - 2022'!AT34</f>
        <v>16270920.960000001</v>
      </c>
      <c r="AK34" s="287">
        <f>'[1]April - 2022'!AU34</f>
        <v>5651.5200000032783</v>
      </c>
      <c r="AL34" s="92">
        <f>'[1]April - 2022'!AV34</f>
        <v>5505.359999999404</v>
      </c>
      <c r="AM34" s="286">
        <f>'[1]April - 2022'!AW34</f>
        <v>13762669.199999999</v>
      </c>
      <c r="AN34" s="287">
        <f>'[1]April - 2022'!AX34</f>
        <v>4336.0800000000745</v>
      </c>
      <c r="AO34" s="92">
        <f>'[1]April - 2022'!AY34</f>
        <v>4433.5200000014156</v>
      </c>
      <c r="AP34" s="286">
        <f>'[1]April - 2022'!AZ34</f>
        <v>13267868.880000001</v>
      </c>
      <c r="AQ34" s="287">
        <f>'[1]April - 2022'!BD34</f>
        <v>2777.0399999991059</v>
      </c>
      <c r="AR34" s="92">
        <f>'[1]April - 2022'!BB34</f>
        <v>4189.9199999980628</v>
      </c>
      <c r="AS34" s="286">
        <f>'[1]April - 2022'!BC34</f>
        <v>10513288.799999999</v>
      </c>
      <c r="AT34" s="287">
        <f>'[1]April - 2022'!BD34</f>
        <v>2777.0399999991059</v>
      </c>
      <c r="AU34" s="92">
        <f>'[1]April - 2022'!BE34</f>
        <v>2971.9199999980628</v>
      </c>
      <c r="AV34" s="286">
        <f>'[1]April - 2022'!BF34</f>
        <v>16421270.880000001</v>
      </c>
      <c r="AW34" s="251">
        <f>'[1]April - 2022'!BG34</f>
        <v>5456.6400000024587</v>
      </c>
      <c r="AX34" s="252">
        <f>'[1]April - 2022'!BH34</f>
        <v>5456.640000000596</v>
      </c>
      <c r="AY34" s="483"/>
      <c r="AZ34" s="269">
        <f>'[1]April - 2022'!BM34</f>
        <v>69781700</v>
      </c>
      <c r="BA34" s="178">
        <f>'[1]April - 2022'!BN34</f>
        <v>14100</v>
      </c>
      <c r="BB34" s="93">
        <f>'[1]April - 2022'!BO34</f>
        <v>0</v>
      </c>
      <c r="BC34" s="269">
        <f>'[1]April - 2022'!BP34</f>
        <v>73134300</v>
      </c>
      <c r="BD34" s="244">
        <f>'[1]April - 2022'!BQ34</f>
        <v>58100</v>
      </c>
      <c r="BE34" s="93">
        <f>'[1]April - 2022'!BR34</f>
        <v>13400</v>
      </c>
      <c r="BF34" s="269">
        <f>'[1]April - 2022'!BS34</f>
        <v>67331700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8524180</v>
      </c>
      <c r="BT34" s="184">
        <f>'[1]April - 2022'!BW34</f>
        <v>6180</v>
      </c>
      <c r="BU34" s="389"/>
      <c r="BV34" s="88">
        <f>'[1]April - 2022'!BY34</f>
        <v>0.62</v>
      </c>
      <c r="BW34" s="240">
        <f>'[1]April - 2022'!BZ34</f>
        <v>4.0000000000000036E-2</v>
      </c>
      <c r="BX34" s="88">
        <f>'[1]April - 2022'!CA34</f>
        <v>-6.9999999999999951E-2</v>
      </c>
      <c r="BY34" s="89">
        <f>'[1]April - 2022'!CB34</f>
        <v>59636</v>
      </c>
      <c r="BZ34" s="190">
        <f>'[1]April - 2022'!CC34</f>
        <v>19</v>
      </c>
      <c r="CA34" s="89">
        <f>'[1]April - 2022'!CD34</f>
        <v>51168</v>
      </c>
      <c r="CB34" s="190">
        <f>'[1]April - 2022'!CE34</f>
        <v>19</v>
      </c>
      <c r="CC34" s="89">
        <f>'[1]April - 2022'!CF34</f>
        <v>17448</v>
      </c>
      <c r="CD34" s="190">
        <f>'[1]April - 2022'!CG34</f>
        <v>4</v>
      </c>
      <c r="CE34" s="89">
        <f>'[1]April - 2022'!CH34</f>
        <v>23432</v>
      </c>
      <c r="CF34" s="190">
        <f>'[1]April - 2022'!CI34</f>
        <v>7</v>
      </c>
      <c r="CG34" s="89">
        <f>'[1]April - 2022'!CJ34</f>
        <v>25610</v>
      </c>
      <c r="CH34" s="190">
        <f>'[1]April - 2022'!CK34</f>
        <v>10</v>
      </c>
      <c r="CI34" s="89">
        <f>'[1]April - 2022'!CL34</f>
        <v>56994</v>
      </c>
      <c r="CJ34" s="190">
        <f>'[1]April - 2022'!CM34</f>
        <v>25</v>
      </c>
      <c r="CK34" s="89">
        <f>'[1]April - 2022'!CN34</f>
        <v>248400</v>
      </c>
      <c r="CL34" s="245">
        <f>'[1]April - 2022'!CO34</f>
        <v>88</v>
      </c>
      <c r="CM34" s="89">
        <f>'[1]April - 2022'!CP34</f>
        <v>96</v>
      </c>
      <c r="CN34" s="89">
        <f>'[1]April - 2022'!CQ34</f>
        <v>196084</v>
      </c>
      <c r="CO34" s="245">
        <f>'[1]April - 2022'!CR34</f>
        <v>120</v>
      </c>
      <c r="CP34" s="89">
        <f>'[1]April - 2022'!CS34</f>
        <v>101</v>
      </c>
      <c r="CQ34" s="89">
        <f>'[1]April - 2022'!CT34</f>
        <v>349090</v>
      </c>
      <c r="CR34" s="245">
        <f>'[1]April - 2022'!CU34</f>
        <v>36</v>
      </c>
      <c r="CS34" s="89">
        <f>'[1]April - 2022'!CV34</f>
        <v>10</v>
      </c>
      <c r="CT34" s="89">
        <f>'[1]April - 2022'!CW34</f>
        <v>650562</v>
      </c>
      <c r="CU34" s="190">
        <f>'[1]April - 2022'!CX34</f>
        <v>2</v>
      </c>
      <c r="CV34" s="450"/>
      <c r="CW34" s="284">
        <f>'[1]April - 2022'!CZ34</f>
        <v>7512</v>
      </c>
      <c r="CX34" s="197">
        <f>'[1]April - 2022'!DA34</f>
        <v>4</v>
      </c>
      <c r="CY34" s="285">
        <f>'[1]April - 2022'!DB34</f>
        <v>4852</v>
      </c>
      <c r="CZ34" s="197">
        <f>'[1]April - 2022'!DC34</f>
        <v>2</v>
      </c>
      <c r="DA34" s="285">
        <f>'[1]April - 2022'!DD34</f>
        <v>29284</v>
      </c>
      <c r="DB34" s="197">
        <f>'[1]April - 2022'!DE34</f>
        <v>12</v>
      </c>
      <c r="DC34" s="285">
        <f>'[1]April - 2022'!DF34</f>
        <v>29781</v>
      </c>
      <c r="DD34" s="197">
        <f>'[1]April - 2022'!DG34</f>
        <v>16</v>
      </c>
      <c r="DE34" s="285">
        <f>'[1]April - 2022'!DH34</f>
        <v>19938</v>
      </c>
      <c r="DF34" s="197">
        <f>'[1]April - 2022'!DI34</f>
        <v>9</v>
      </c>
      <c r="DG34" s="285">
        <f>'[1]April - 2022'!DJ34</f>
        <v>22828</v>
      </c>
      <c r="DH34" s="197">
        <f>'[1]April - 2022'!DK34</f>
        <v>6</v>
      </c>
      <c r="DI34" s="285">
        <f>'[1]April - 2022'!DL34</f>
        <v>4845</v>
      </c>
      <c r="DJ34" s="197">
        <f>'[1]April - 2022'!DM34</f>
        <v>8</v>
      </c>
      <c r="DK34" s="285">
        <f>'[1]April - 2022'!DN34</f>
        <v>8055</v>
      </c>
      <c r="DL34" s="197">
        <f>'[1]April - 2022'!DO34</f>
        <v>5</v>
      </c>
      <c r="DM34" s="285">
        <f>'[1]April - 2022'!DP34</f>
        <v>2419</v>
      </c>
      <c r="DN34" s="197">
        <f>'[1]April - 2022'!DQ34</f>
        <v>4</v>
      </c>
      <c r="DO34" s="285">
        <f>'[1]April - 2022'!DR34</f>
        <v>4561</v>
      </c>
      <c r="DP34" s="197">
        <f>'[1]April - 2022'!DS34</f>
        <v>5</v>
      </c>
      <c r="DQ34" s="285">
        <f>'[1]April - 2022'!DT34</f>
        <v>27621</v>
      </c>
      <c r="DR34" s="205">
        <f>'[1]April - 2022'!DU34</f>
        <v>10</v>
      </c>
      <c r="DS34" s="435"/>
      <c r="DT34" s="209">
        <f>'[1]April - 2022'!DW34</f>
        <v>4344.3999999999996</v>
      </c>
      <c r="DU34" s="220">
        <f>'[1]April - 2022'!DX34</f>
        <v>9.1999999999998181</v>
      </c>
      <c r="DV34" s="91">
        <f>'[1]April - 2022'!DY34</f>
        <v>9256.7000000000007</v>
      </c>
      <c r="DW34" s="214">
        <f>'[1]April - 2022'!DZ34</f>
        <v>7.8000000000010914</v>
      </c>
      <c r="DX34" s="91">
        <f>'[1]April - 2022'!EA34</f>
        <v>3276.4</v>
      </c>
      <c r="DY34" s="214">
        <f>'[1]April - 2022'!EB34</f>
        <v>6.0999999999999091</v>
      </c>
      <c r="DZ34" s="91">
        <f>'[1]April - 2022'!EC34</f>
        <v>3510.8</v>
      </c>
      <c r="EA34" s="214">
        <f>'[1]April - 2022'!ED34</f>
        <v>7.9000000000000909</v>
      </c>
      <c r="EB34" s="91">
        <f>'[1]April - 2022'!EE34</f>
        <v>955121</v>
      </c>
      <c r="EC34" s="214">
        <f>'[1]April - 2022'!EF34</f>
        <v>734</v>
      </c>
      <c r="ED34" s="91">
        <f>'[1]April - 2022'!EI34</f>
        <v>197540.3</v>
      </c>
      <c r="EE34" s="228">
        <f>'[1]April - 2022'!EJ34</f>
        <v>149.69999999998254</v>
      </c>
      <c r="EF34" s="373"/>
      <c r="EG34" s="234">
        <f>'[1]April - 2022'!EL34</f>
        <v>10853800</v>
      </c>
      <c r="EH34" s="229">
        <f>'[1]April - 2022'!EM34</f>
        <v>4800</v>
      </c>
      <c r="EI34" s="90">
        <f>'[1]April - 2022'!EN34</f>
        <v>861710</v>
      </c>
      <c r="EJ34" s="229">
        <f>'[1]April - 2022'!EO34</f>
        <v>240</v>
      </c>
      <c r="EK34" s="90">
        <f>'[1]April - 2022'!EP34</f>
        <v>6544600</v>
      </c>
      <c r="EL34" s="229">
        <f>'[1]April - 2022'!EQ34</f>
        <v>1900</v>
      </c>
      <c r="EM34" s="90">
        <f>'[1]April - 2022'!ER34</f>
        <v>2302100</v>
      </c>
      <c r="EN34" s="229">
        <f>'[1]April - 2022'!ES34</f>
        <v>600</v>
      </c>
      <c r="EO34" s="90">
        <f>'[1]April - 2022'!ET34</f>
        <v>1083320</v>
      </c>
      <c r="EP34" s="229">
        <f>'[1]April - 2022'!EU34</f>
        <v>360</v>
      </c>
      <c r="EQ34" s="90">
        <f>'[1]April - 2022'!EV34</f>
        <v>14720900</v>
      </c>
      <c r="ER34" s="229">
        <f>'[1]April - 2022'!EW34</f>
        <v>5300</v>
      </c>
      <c r="ES34" s="421"/>
      <c r="ET34" s="278">
        <f>'[1]April - 2022'!EY34</f>
        <v>39527</v>
      </c>
      <c r="EU34" s="272">
        <f>'[1]April - 2022'!EZ34</f>
        <v>14</v>
      </c>
      <c r="EV34" s="279">
        <f>'[1]April - 2022'!FA34</f>
        <v>34194</v>
      </c>
      <c r="EW34" s="272">
        <f>'[1]April - 2022'!FB34</f>
        <v>10</v>
      </c>
      <c r="EX34" s="279">
        <f>'[1]April - 2022'!FC34</f>
        <v>5232</v>
      </c>
      <c r="EY34" s="272">
        <f>'[1]April - 2022'!FD34</f>
        <v>8</v>
      </c>
      <c r="EZ34" s="279">
        <f>'[1]April - 2022'!FE34</f>
        <v>56370</v>
      </c>
      <c r="FA34" s="272">
        <f>'[1]April - 2022'!FF34</f>
        <v>9</v>
      </c>
      <c r="FB34" s="279">
        <f>'[1]April - 2022'!FG34</f>
        <v>41977</v>
      </c>
      <c r="FC34" s="273">
        <f>'[1]April - 2022'!FH34</f>
        <v>30</v>
      </c>
    </row>
    <row r="35" spans="1:160" ht="30" customHeight="1" x14ac:dyDescent="0.25">
      <c r="A35" s="206">
        <v>43856</v>
      </c>
      <c r="B35" s="208">
        <f>'[1]April - 2022'!B35</f>
        <v>0.71</v>
      </c>
      <c r="C35" s="249">
        <f>'[1]April - 2022'!E35</f>
        <v>109739</v>
      </c>
      <c r="D35" s="169">
        <f>'[1]April - 2022'!F35</f>
        <v>770</v>
      </c>
      <c r="E35" s="168">
        <f>'[1]April - 2022'!G35</f>
        <v>635</v>
      </c>
      <c r="F35" s="168">
        <f>'[1]April - 2022'!H35</f>
        <v>151264</v>
      </c>
      <c r="G35" s="169">
        <f>'[1]April - 2022'!I35</f>
        <v>366</v>
      </c>
      <c r="H35" s="168">
        <f>'[1]April - 2022'!J35</f>
        <v>344</v>
      </c>
      <c r="I35" s="168">
        <f>'[1]April - 2022'!K35</f>
        <v>164625</v>
      </c>
      <c r="J35" s="169">
        <f>'[1]April - 2022'!L35</f>
        <v>0</v>
      </c>
      <c r="K35" s="168">
        <f>'[1]April - 2022'!N35</f>
        <v>848183</v>
      </c>
      <c r="L35" s="169">
        <f>'[1]April - 2022'!O35</f>
        <v>284</v>
      </c>
      <c r="M35" s="168">
        <f>'[1]April - 2022'!Q35</f>
        <v>200501</v>
      </c>
      <c r="N35" s="169">
        <f>'[1]April - 2022'!R35</f>
        <v>175</v>
      </c>
      <c r="O35" s="261">
        <f>'[1]April - 2022'!U35</f>
        <v>66046.13</v>
      </c>
      <c r="P35" s="169">
        <f>'[1]April - 2022'!V35</f>
        <v>168.01000000000931</v>
      </c>
      <c r="Q35" s="168">
        <f>'[1]April - 2022'!W35</f>
        <v>120.55999999999995</v>
      </c>
      <c r="R35" s="261">
        <f>'[1]April - 2022'!X35</f>
        <v>441</v>
      </c>
      <c r="S35" s="207">
        <f>'[1]April - 2022'!Y35</f>
        <v>30</v>
      </c>
      <c r="T35" s="517"/>
      <c r="U35" s="266">
        <f>'[1]April - 2022'!AE35</f>
        <v>7538640.4799999995</v>
      </c>
      <c r="V35" s="287">
        <f>'[1]April - 2022'!AF35</f>
        <v>1851.359999999404</v>
      </c>
      <c r="W35" s="92">
        <f>'[1]April - 2022'!AG35</f>
        <v>3848.8800000008196</v>
      </c>
      <c r="X35" s="286">
        <f>'[1]April - 2022'!AH35</f>
        <v>14408355.359999999</v>
      </c>
      <c r="Y35" s="287">
        <f>'[1]April - 2022'!AI35</f>
        <v>4872</v>
      </c>
      <c r="Z35" s="92">
        <f>'[1]April - 2022'!AJ35</f>
        <v>4969.4399999994785</v>
      </c>
      <c r="AA35" s="286">
        <f>'[1]April - 2022'!AK35</f>
        <v>14083003.199999999</v>
      </c>
      <c r="AB35" s="287">
        <f>'[1]April - 2022'!AL35</f>
        <v>4823.2800000011921</v>
      </c>
      <c r="AC35" s="92">
        <f>'[1]April - 2022'!AM35</f>
        <v>1120.5599999986589</v>
      </c>
      <c r="AD35" s="286">
        <f>'[1]April - 2022'!AN35</f>
        <v>17276842.800000001</v>
      </c>
      <c r="AE35" s="287">
        <f>'[1]April - 2022'!AO35</f>
        <v>11838.960000000894</v>
      </c>
      <c r="AF35" s="92">
        <f>'[1]April - 2022'!AP35</f>
        <v>3118.0800000000745</v>
      </c>
      <c r="AG35" s="286">
        <f>'[1]April - 2022'!AQ35</f>
        <v>17582901.84</v>
      </c>
      <c r="AH35" s="287">
        <f>'[1]April - 2022'!AR35</f>
        <v>925.67999999970198</v>
      </c>
      <c r="AI35" s="92">
        <f>'[1]April - 2022'!AS35</f>
        <v>9402.9600000008941</v>
      </c>
      <c r="AJ35" s="286">
        <f>'[1]April - 2022'!AT35</f>
        <v>16276475.039999999</v>
      </c>
      <c r="AK35" s="287">
        <f>'[1]April - 2022'!AU35</f>
        <v>5554.0799999982119</v>
      </c>
      <c r="AL35" s="92">
        <f>'[1]April - 2022'!AV35</f>
        <v>5748.9600000027567</v>
      </c>
      <c r="AM35" s="286">
        <f>'[1]April - 2022'!AW35</f>
        <v>13767054</v>
      </c>
      <c r="AN35" s="287">
        <f>'[1]April - 2022'!AX35</f>
        <v>4384.8000000007451</v>
      </c>
      <c r="AO35" s="92">
        <f>'[1]April - 2022'!AY35</f>
        <v>4628.4000000003725</v>
      </c>
      <c r="AP35" s="286">
        <f>'[1]April - 2022'!AZ35</f>
        <v>13272399.84</v>
      </c>
      <c r="AQ35" s="287">
        <f>'[1]April - 2022'!BD35</f>
        <v>2825.7599999997765</v>
      </c>
      <c r="AR35" s="92">
        <f>'[1]April - 2022'!BB35</f>
        <v>4287.359999999404</v>
      </c>
      <c r="AS35" s="286">
        <f>'[1]April - 2022'!BC35</f>
        <v>10516114.559999999</v>
      </c>
      <c r="AT35" s="287">
        <f>'[1]April - 2022'!BD35</f>
        <v>2825.7599999997765</v>
      </c>
      <c r="AU35" s="92">
        <f>'[1]April - 2022'!BE35</f>
        <v>3166.8000000007451</v>
      </c>
      <c r="AV35" s="286">
        <f>'[1]April - 2022'!BF35</f>
        <v>16426776.239999998</v>
      </c>
      <c r="AW35" s="251">
        <f>'[1]April - 2022'!BG35</f>
        <v>5505.3599999975413</v>
      </c>
      <c r="AX35" s="252">
        <f>'[1]April - 2022'!BH35</f>
        <v>5407.9200000017881</v>
      </c>
      <c r="AY35" s="483"/>
      <c r="AZ35" s="269">
        <f>'[1]April - 2022'!BM35</f>
        <v>69802700</v>
      </c>
      <c r="BA35" s="178">
        <f>'[1]April - 2022'!BN35</f>
        <v>21000</v>
      </c>
      <c r="BB35" s="93">
        <f>'[1]April - 2022'!BO35</f>
        <v>0</v>
      </c>
      <c r="BC35" s="269">
        <f>'[1]April - 2022'!BP35</f>
        <v>73194500</v>
      </c>
      <c r="BD35" s="244">
        <f>'[1]April - 2022'!BQ35</f>
        <v>60200</v>
      </c>
      <c r="BE35" s="93">
        <f>'[1]April - 2022'!BR35</f>
        <v>15500</v>
      </c>
      <c r="BF35" s="269">
        <f>'[1]April - 2022'!BS35</f>
        <v>67331700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8530330</v>
      </c>
      <c r="BT35" s="184">
        <f>'[1]April - 2022'!BW35</f>
        <v>6150</v>
      </c>
      <c r="BU35" s="389"/>
      <c r="BV35" s="88">
        <f>'[1]April - 2022'!BY35</f>
        <v>0.6</v>
      </c>
      <c r="BW35" s="240">
        <f>'[1]April - 2022'!BZ35</f>
        <v>2.0000000000000018E-2</v>
      </c>
      <c r="BX35" s="88">
        <f>'[1]April - 2022'!CA35</f>
        <v>3.9999999999999925E-2</v>
      </c>
      <c r="BY35" s="89">
        <f>'[1]April - 2022'!CB35</f>
        <v>59655</v>
      </c>
      <c r="BZ35" s="190">
        <f>'[1]April - 2022'!CC35</f>
        <v>19</v>
      </c>
      <c r="CA35" s="89">
        <f>'[1]April - 2022'!CD35</f>
        <v>51186</v>
      </c>
      <c r="CB35" s="190">
        <f>'[1]April - 2022'!CE35</f>
        <v>18</v>
      </c>
      <c r="CC35" s="89">
        <f>'[1]April - 2022'!CF35</f>
        <v>17450</v>
      </c>
      <c r="CD35" s="190">
        <f>'[1]April - 2022'!CG35</f>
        <v>2</v>
      </c>
      <c r="CE35" s="89">
        <f>'[1]April - 2022'!CH35</f>
        <v>23439</v>
      </c>
      <c r="CF35" s="190">
        <f>'[1]April - 2022'!CI35</f>
        <v>7</v>
      </c>
      <c r="CG35" s="89">
        <f>'[1]April - 2022'!CJ35</f>
        <v>25621</v>
      </c>
      <c r="CH35" s="190">
        <f>'[1]April - 2022'!CK35</f>
        <v>11</v>
      </c>
      <c r="CI35" s="89">
        <f>'[1]April - 2022'!CL35</f>
        <v>57019</v>
      </c>
      <c r="CJ35" s="190">
        <f>'[1]April - 2022'!CM35</f>
        <v>25</v>
      </c>
      <c r="CK35" s="89">
        <f>'[1]April - 2022'!CN35</f>
        <v>248492</v>
      </c>
      <c r="CL35" s="245">
        <f>'[1]April - 2022'!CO35</f>
        <v>92</v>
      </c>
      <c r="CM35" s="89">
        <f>'[1]April - 2022'!CP35</f>
        <v>113</v>
      </c>
      <c r="CN35" s="89">
        <f>'[1]April - 2022'!CQ35</f>
        <v>196202</v>
      </c>
      <c r="CO35" s="245">
        <f>'[1]April - 2022'!CR35</f>
        <v>118</v>
      </c>
      <c r="CP35" s="89">
        <f>'[1]April - 2022'!CS35</f>
        <v>97</v>
      </c>
      <c r="CQ35" s="89">
        <f>'[1]April - 2022'!CT35</f>
        <v>349144</v>
      </c>
      <c r="CR35" s="245">
        <f>'[1]April - 2022'!CU35</f>
        <v>54</v>
      </c>
      <c r="CS35" s="89">
        <f>'[1]April - 2022'!CV35</f>
        <v>0</v>
      </c>
      <c r="CT35" s="89">
        <f>'[1]April - 2022'!CW35</f>
        <v>650563</v>
      </c>
      <c r="CU35" s="190">
        <f>'[1]April - 2022'!CX35</f>
        <v>1</v>
      </c>
      <c r="CV35" s="450"/>
      <c r="CW35" s="284">
        <f>'[1]April - 2022'!CZ35</f>
        <v>7515</v>
      </c>
      <c r="CX35" s="197">
        <f>'[1]April - 2022'!DA35</f>
        <v>3</v>
      </c>
      <c r="CY35" s="285">
        <f>'[1]April - 2022'!DB35</f>
        <v>4855</v>
      </c>
      <c r="CZ35" s="197">
        <f>'[1]April - 2022'!DC35</f>
        <v>3</v>
      </c>
      <c r="DA35" s="285">
        <f>'[1]April - 2022'!DD35</f>
        <v>29297</v>
      </c>
      <c r="DB35" s="197">
        <f>'[1]April - 2022'!DE35</f>
        <v>13</v>
      </c>
      <c r="DC35" s="285">
        <f>'[1]April - 2022'!DF35</f>
        <v>29795</v>
      </c>
      <c r="DD35" s="197">
        <f>'[1]April - 2022'!DG35</f>
        <v>14</v>
      </c>
      <c r="DE35" s="285">
        <f>'[1]April - 2022'!DH35</f>
        <v>19945</v>
      </c>
      <c r="DF35" s="197">
        <f>'[1]April - 2022'!DI35</f>
        <v>7</v>
      </c>
      <c r="DG35" s="285">
        <f>'[1]April - 2022'!DJ35</f>
        <v>22833</v>
      </c>
      <c r="DH35" s="197">
        <f>'[1]April - 2022'!DK35</f>
        <v>5</v>
      </c>
      <c r="DI35" s="285">
        <f>'[1]April - 2022'!DL35</f>
        <v>4854</v>
      </c>
      <c r="DJ35" s="197">
        <f>'[1]April - 2022'!DM35</f>
        <v>9</v>
      </c>
      <c r="DK35" s="285">
        <f>'[1]April - 2022'!DN35</f>
        <v>8060</v>
      </c>
      <c r="DL35" s="197">
        <f>'[1]April - 2022'!DO35</f>
        <v>5</v>
      </c>
      <c r="DM35" s="285">
        <f>'[1]April - 2022'!DP35</f>
        <v>2423</v>
      </c>
      <c r="DN35" s="197">
        <f>'[1]April - 2022'!DQ35</f>
        <v>4</v>
      </c>
      <c r="DO35" s="285">
        <f>'[1]April - 2022'!DR35</f>
        <v>4566</v>
      </c>
      <c r="DP35" s="197">
        <f>'[1]April - 2022'!DS35</f>
        <v>5</v>
      </c>
      <c r="DQ35" s="285">
        <f>'[1]April - 2022'!DT35</f>
        <v>27621</v>
      </c>
      <c r="DR35" s="205">
        <f>'[1]April - 2022'!DU35</f>
        <v>0</v>
      </c>
      <c r="DS35" s="435"/>
      <c r="DT35" s="209">
        <f>'[1]April - 2022'!DW35</f>
        <v>4353.3999999999996</v>
      </c>
      <c r="DU35" s="220">
        <f>'[1]April - 2022'!DX35</f>
        <v>9</v>
      </c>
      <c r="DV35" s="91">
        <f>'[1]April - 2022'!DY35</f>
        <v>9264.6</v>
      </c>
      <c r="DW35" s="214">
        <f>'[1]April - 2022'!DZ35</f>
        <v>7.8999999999996362</v>
      </c>
      <c r="DX35" s="91">
        <f>'[1]April - 2022'!EA35</f>
        <v>3283</v>
      </c>
      <c r="DY35" s="214">
        <f>'[1]April - 2022'!EB35</f>
        <v>6.5999999999999091</v>
      </c>
      <c r="DZ35" s="91">
        <f>'[1]April - 2022'!EC35</f>
        <v>3519.3</v>
      </c>
      <c r="EA35" s="214">
        <f>'[1]April - 2022'!ED35</f>
        <v>8.5</v>
      </c>
      <c r="EB35" s="91">
        <f>'[1]April - 2022'!EE35</f>
        <v>955898</v>
      </c>
      <c r="EC35" s="214">
        <f>'[1]April - 2022'!EF35</f>
        <v>777</v>
      </c>
      <c r="ED35" s="91">
        <f>'[1]April - 2022'!EI35</f>
        <v>197691.7</v>
      </c>
      <c r="EE35" s="228">
        <f>'[1]April - 2022'!EJ35</f>
        <v>151.40000000002328</v>
      </c>
      <c r="EF35" s="373"/>
      <c r="EG35" s="234">
        <f>'[1]April - 2022'!EL35</f>
        <v>10859100</v>
      </c>
      <c r="EH35" s="229">
        <f>'[1]April - 2022'!EM35</f>
        <v>5300</v>
      </c>
      <c r="EI35" s="90">
        <f>'[1]April - 2022'!EN35</f>
        <v>861900</v>
      </c>
      <c r="EJ35" s="229">
        <f>'[1]April - 2022'!EO35</f>
        <v>190</v>
      </c>
      <c r="EK35" s="90">
        <f>'[1]April - 2022'!EP35</f>
        <v>6547500</v>
      </c>
      <c r="EL35" s="229">
        <f>'[1]April - 2022'!EQ35</f>
        <v>2900</v>
      </c>
      <c r="EM35" s="90">
        <f>'[1]April - 2022'!ER35</f>
        <v>2302600</v>
      </c>
      <c r="EN35" s="229">
        <f>'[1]April - 2022'!ES35</f>
        <v>500</v>
      </c>
      <c r="EO35" s="90">
        <f>'[1]April - 2022'!ET35</f>
        <v>1083700</v>
      </c>
      <c r="EP35" s="229">
        <f>'[1]April - 2022'!EU35</f>
        <v>380</v>
      </c>
      <c r="EQ35" s="90">
        <f>'[1]April - 2022'!EV35</f>
        <v>14727000</v>
      </c>
      <c r="ER35" s="229">
        <f>'[1]April - 2022'!EW35</f>
        <v>6100</v>
      </c>
      <c r="ES35" s="421"/>
      <c r="ET35" s="278">
        <f>'[1]April - 2022'!EY35</f>
        <v>39541</v>
      </c>
      <c r="EU35" s="272">
        <f>'[1]April - 2022'!EZ35</f>
        <v>14</v>
      </c>
      <c r="EV35" s="279">
        <f>'[1]April - 2022'!FA35</f>
        <v>34204</v>
      </c>
      <c r="EW35" s="272">
        <f>'[1]April - 2022'!FB35</f>
        <v>10</v>
      </c>
      <c r="EX35" s="279">
        <f>'[1]April - 2022'!FC35</f>
        <v>5240</v>
      </c>
      <c r="EY35" s="272">
        <f>'[1]April - 2022'!FD35</f>
        <v>8</v>
      </c>
      <c r="EZ35" s="279">
        <f>'[1]April - 2022'!FE35</f>
        <v>56378</v>
      </c>
      <c r="FA35" s="272">
        <f>'[1]April - 2022'!FF35</f>
        <v>8</v>
      </c>
      <c r="FB35" s="279">
        <f>'[1]April - 2022'!FG35</f>
        <v>42004</v>
      </c>
      <c r="FC35" s="273">
        <f>'[1]April - 2022'!FH35</f>
        <v>27</v>
      </c>
    </row>
    <row r="36" spans="1:160" ht="30" customHeight="1" x14ac:dyDescent="0.25">
      <c r="A36" s="206">
        <v>43857</v>
      </c>
      <c r="B36" s="208">
        <f>'[1]April - 2022'!B36</f>
        <v>0.74</v>
      </c>
      <c r="C36" s="249">
        <f>'[1]April - 2022'!E36</f>
        <v>110520</v>
      </c>
      <c r="D36" s="169">
        <f>'[1]April - 2022'!F36</f>
        <v>781</v>
      </c>
      <c r="E36" s="168">
        <f>'[1]April - 2022'!G36</f>
        <v>484</v>
      </c>
      <c r="F36" s="168">
        <f>'[1]April - 2022'!H36</f>
        <v>151620</v>
      </c>
      <c r="G36" s="169">
        <f>'[1]April - 2022'!I36</f>
        <v>356</v>
      </c>
      <c r="H36" s="168">
        <f>'[1]April - 2022'!J36</f>
        <v>327</v>
      </c>
      <c r="I36" s="168">
        <f>'[1]April - 2022'!K36</f>
        <v>164625</v>
      </c>
      <c r="J36" s="169">
        <f>'[1]April - 2022'!L36</f>
        <v>0</v>
      </c>
      <c r="K36" s="168">
        <f>'[1]April - 2022'!N36</f>
        <v>848544</v>
      </c>
      <c r="L36" s="169">
        <f>'[1]April - 2022'!O36</f>
        <v>361</v>
      </c>
      <c r="M36" s="168">
        <f>'[1]April - 2022'!Q36</f>
        <v>200711</v>
      </c>
      <c r="N36" s="169">
        <f>'[1]April - 2022'!R36</f>
        <v>210</v>
      </c>
      <c r="O36" s="261">
        <f>'[1]April - 2022'!U36</f>
        <v>66206.42</v>
      </c>
      <c r="P36" s="169">
        <f>'[1]April - 2022'!V36</f>
        <v>160.2899999999936</v>
      </c>
      <c r="Q36" s="168">
        <f>'[1]April - 2022'!W36</f>
        <v>120.11000000000013</v>
      </c>
      <c r="R36" s="261">
        <f>'[1]April - 2022'!X36</f>
        <v>472</v>
      </c>
      <c r="S36" s="207">
        <f>'[1]April - 2022'!Y36</f>
        <v>31</v>
      </c>
      <c r="T36" s="517"/>
      <c r="U36" s="266">
        <f>'[1]April - 2022'!AE36</f>
        <v>7540491.8399999999</v>
      </c>
      <c r="V36" s="287">
        <f>'[1]April - 2022'!AF36</f>
        <v>1851.3600000003353</v>
      </c>
      <c r="W36" s="92">
        <f>'[1]April - 2022'!AG36</f>
        <v>3459.1199999991804</v>
      </c>
      <c r="X36" s="286">
        <f>'[1]April - 2022'!AH36</f>
        <v>14413178.640000001</v>
      </c>
      <c r="Y36" s="287">
        <f>'[1]April - 2022'!AI36</f>
        <v>4823.2800000011921</v>
      </c>
      <c r="Z36" s="92">
        <f>'[1]April - 2022'!AJ36</f>
        <v>4530.9600000008941</v>
      </c>
      <c r="AA36" s="286">
        <f>'[1]April - 2022'!AK36</f>
        <v>14085828.959999999</v>
      </c>
      <c r="AB36" s="287">
        <f>'[1]April - 2022'!AL36</f>
        <v>2825.7599999997765</v>
      </c>
      <c r="AC36" s="92">
        <f>'[1]April - 2022'!AM36</f>
        <v>1120.5600000005215</v>
      </c>
      <c r="AD36" s="286">
        <f>'[1]April - 2022'!AN36</f>
        <v>17288535.599999998</v>
      </c>
      <c r="AE36" s="287">
        <f>'[1]April - 2022'!AO36</f>
        <v>11692.79999999702</v>
      </c>
      <c r="AF36" s="92">
        <f>'[1]April - 2022'!AP36</f>
        <v>3507.839999999851</v>
      </c>
      <c r="AG36" s="286">
        <f>'[1]April - 2022'!AQ36</f>
        <v>17583876.239999998</v>
      </c>
      <c r="AH36" s="287">
        <f>'[1]April - 2022'!AR36</f>
        <v>974.39999999850988</v>
      </c>
      <c r="AI36" s="92">
        <f>'[1]April - 2022'!AS36</f>
        <v>8526</v>
      </c>
      <c r="AJ36" s="286">
        <f>'[1]April - 2022'!AT36</f>
        <v>16282272.719999999</v>
      </c>
      <c r="AK36" s="287">
        <f>'[1]April - 2022'!AU36</f>
        <v>5797.679999999702</v>
      </c>
      <c r="AL36" s="92">
        <f>'[1]April - 2022'!AV36</f>
        <v>5261.7599999979138</v>
      </c>
      <c r="AM36" s="286">
        <f>'[1]April - 2022'!AW36</f>
        <v>13771536.24</v>
      </c>
      <c r="AN36" s="287">
        <f>'[1]April - 2022'!AX36</f>
        <v>4482.2400000002235</v>
      </c>
      <c r="AO36" s="92">
        <f>'[1]April - 2022'!AY36</f>
        <v>4092.4799999985844</v>
      </c>
      <c r="AP36" s="286">
        <f>'[1]April - 2022'!AZ36</f>
        <v>13277028.24</v>
      </c>
      <c r="AQ36" s="287">
        <f>'[1]April - 2022'!BD36</f>
        <v>2777.0400000009686</v>
      </c>
      <c r="AR36" s="92">
        <f>'[1]April - 2022'!BB36</f>
        <v>3946.3200000021607</v>
      </c>
      <c r="AS36" s="286">
        <f>'[1]April - 2022'!BC36</f>
        <v>10518891.6</v>
      </c>
      <c r="AT36" s="287">
        <f>'[1]April - 2022'!BD36</f>
        <v>2777.0400000009686</v>
      </c>
      <c r="AU36" s="92">
        <f>'[1]April - 2022'!BE36</f>
        <v>3118.0800000000745</v>
      </c>
      <c r="AV36" s="286">
        <f>'[1]April - 2022'!BF36</f>
        <v>16432330.319999998</v>
      </c>
      <c r="AW36" s="251">
        <f>'[1]April - 2022'!BG36</f>
        <v>5554.0800000000745</v>
      </c>
      <c r="AX36" s="252">
        <f>'[1]April - 2022'!BH36</f>
        <v>5310.4799999985844</v>
      </c>
      <c r="AY36" s="483"/>
      <c r="AZ36" s="269">
        <f>'[1]April - 2022'!BM36</f>
        <v>69823700</v>
      </c>
      <c r="BA36" s="178">
        <f>'[1]April - 2022'!BN36</f>
        <v>21000</v>
      </c>
      <c r="BB36" s="93">
        <f>'[1]April - 2022'!BO36</f>
        <v>0</v>
      </c>
      <c r="BC36" s="269">
        <f>'[1]April - 2022'!BP36</f>
        <v>73252600</v>
      </c>
      <c r="BD36" s="244">
        <f>'[1]April - 2022'!BQ36</f>
        <v>58100</v>
      </c>
      <c r="BE36" s="93">
        <f>'[1]April - 2022'!BR36</f>
        <v>18000</v>
      </c>
      <c r="BF36" s="269">
        <f>'[1]April - 2022'!BS36</f>
        <v>67331700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8536000</v>
      </c>
      <c r="BT36" s="184">
        <f>'[1]April - 2022'!BW36</f>
        <v>5670</v>
      </c>
      <c r="BU36" s="389"/>
      <c r="BV36" s="88">
        <f>'[1]April - 2022'!BY36</f>
        <v>0.66</v>
      </c>
      <c r="BW36" s="240">
        <f>'[1]April - 2022'!BZ36</f>
        <v>-6.0000000000000053E-2</v>
      </c>
      <c r="BX36" s="88">
        <f>'[1]April - 2022'!CA36</f>
        <v>4.0000000000000036E-2</v>
      </c>
      <c r="BY36" s="89">
        <f>'[1]April - 2022'!CB36</f>
        <v>59674</v>
      </c>
      <c r="BZ36" s="190">
        <f>'[1]April - 2022'!CC36</f>
        <v>19</v>
      </c>
      <c r="CA36" s="89">
        <f>'[1]April - 2022'!CD36</f>
        <v>51205</v>
      </c>
      <c r="CB36" s="190">
        <f>'[1]April - 2022'!CE36</f>
        <v>19</v>
      </c>
      <c r="CC36" s="89">
        <f>'[1]April - 2022'!CF36</f>
        <v>17453</v>
      </c>
      <c r="CD36" s="190">
        <f>'[1]April - 2022'!CG36</f>
        <v>3</v>
      </c>
      <c r="CE36" s="89">
        <f>'[1]April - 2022'!CH36</f>
        <v>23446</v>
      </c>
      <c r="CF36" s="190">
        <f>'[1]April - 2022'!CI36</f>
        <v>7</v>
      </c>
      <c r="CG36" s="89">
        <f>'[1]April - 2022'!CJ36</f>
        <v>25634</v>
      </c>
      <c r="CH36" s="190">
        <f>'[1]April - 2022'!CK36</f>
        <v>13</v>
      </c>
      <c r="CI36" s="89">
        <f>'[1]April - 2022'!CL36</f>
        <v>57046</v>
      </c>
      <c r="CJ36" s="190">
        <f>'[1]April - 2022'!CM36</f>
        <v>27</v>
      </c>
      <c r="CK36" s="89">
        <f>'[1]April - 2022'!CN36</f>
        <v>248587</v>
      </c>
      <c r="CL36" s="245">
        <f>'[1]April - 2022'!CO36</f>
        <v>95</v>
      </c>
      <c r="CM36" s="89">
        <f>'[1]April - 2022'!CP36</f>
        <v>98</v>
      </c>
      <c r="CN36" s="89">
        <f>'[1]April - 2022'!CQ36</f>
        <v>196321</v>
      </c>
      <c r="CO36" s="245">
        <f>'[1]April - 2022'!CR36</f>
        <v>119</v>
      </c>
      <c r="CP36" s="89">
        <f>'[1]April - 2022'!CS36</f>
        <v>97</v>
      </c>
      <c r="CQ36" s="89">
        <f>'[1]April - 2022'!CT36</f>
        <v>349166</v>
      </c>
      <c r="CR36" s="245">
        <f>'[1]April - 2022'!CU36</f>
        <v>22</v>
      </c>
      <c r="CS36" s="89">
        <f>'[1]April - 2022'!CV36</f>
        <v>0</v>
      </c>
      <c r="CT36" s="89">
        <f>'[1]April - 2022'!CW36</f>
        <v>650563</v>
      </c>
      <c r="CU36" s="190">
        <f>'[1]April - 2022'!CX36</f>
        <v>0</v>
      </c>
      <c r="CV36" s="450"/>
      <c r="CW36" s="284">
        <f>'[1]April - 2022'!CZ36</f>
        <v>7519</v>
      </c>
      <c r="CX36" s="197">
        <f>'[1]April - 2022'!DA36</f>
        <v>4</v>
      </c>
      <c r="CY36" s="285">
        <f>'[1]April - 2022'!DB36</f>
        <v>4858</v>
      </c>
      <c r="CZ36" s="197">
        <f>'[1]April - 2022'!DC36</f>
        <v>3</v>
      </c>
      <c r="DA36" s="285">
        <f>'[1]April - 2022'!DD36</f>
        <v>29313</v>
      </c>
      <c r="DB36" s="197">
        <f>'[1]April - 2022'!DE36</f>
        <v>16</v>
      </c>
      <c r="DC36" s="285">
        <f>'[1]April - 2022'!DF36</f>
        <v>29808</v>
      </c>
      <c r="DD36" s="197">
        <f>'[1]April - 2022'!DG36</f>
        <v>13</v>
      </c>
      <c r="DE36" s="285">
        <f>'[1]April - 2022'!DH36</f>
        <v>19954</v>
      </c>
      <c r="DF36" s="197">
        <f>'[1]April - 2022'!DI36</f>
        <v>9</v>
      </c>
      <c r="DG36" s="285">
        <f>'[1]April - 2022'!DJ36</f>
        <v>22837</v>
      </c>
      <c r="DH36" s="197">
        <f>'[1]April - 2022'!DK36</f>
        <v>4</v>
      </c>
      <c r="DI36" s="285">
        <f>'[1]April - 2022'!DL36</f>
        <v>4862</v>
      </c>
      <c r="DJ36" s="197">
        <f>'[1]April - 2022'!DM36</f>
        <v>8</v>
      </c>
      <c r="DK36" s="285">
        <f>'[1]April - 2022'!DN36</f>
        <v>8068</v>
      </c>
      <c r="DL36" s="197">
        <f>'[1]April - 2022'!DO36</f>
        <v>8</v>
      </c>
      <c r="DM36" s="285">
        <f>'[1]April - 2022'!DP36</f>
        <v>2428</v>
      </c>
      <c r="DN36" s="197">
        <f>'[1]April - 2022'!DQ36</f>
        <v>5</v>
      </c>
      <c r="DO36" s="285">
        <f>'[1]April - 2022'!DR36</f>
        <v>4571</v>
      </c>
      <c r="DP36" s="197">
        <f>'[1]April - 2022'!DS36</f>
        <v>5</v>
      </c>
      <c r="DQ36" s="285">
        <f>'[1]April - 2022'!DT36</f>
        <v>27621</v>
      </c>
      <c r="DR36" s="205">
        <f>'[1]April - 2022'!DU36</f>
        <v>0</v>
      </c>
      <c r="DS36" s="435"/>
      <c r="DT36" s="209">
        <f>'[1]April - 2022'!DW36</f>
        <v>4362.2</v>
      </c>
      <c r="DU36" s="220">
        <f>'[1]April - 2022'!DX36</f>
        <v>8.8000000000001819</v>
      </c>
      <c r="DV36" s="91">
        <f>'[1]April - 2022'!DY36</f>
        <v>9273</v>
      </c>
      <c r="DW36" s="214">
        <f>'[1]April - 2022'!DZ36</f>
        <v>8.3999999999996362</v>
      </c>
      <c r="DX36" s="91">
        <f>'[1]April - 2022'!EA36</f>
        <v>3289.6</v>
      </c>
      <c r="DY36" s="214">
        <f>'[1]April - 2022'!EB36</f>
        <v>6.5999999999999091</v>
      </c>
      <c r="DZ36" s="91">
        <f>'[1]April - 2022'!EC36</f>
        <v>3527.2</v>
      </c>
      <c r="EA36" s="214">
        <f>'[1]April - 2022'!ED36</f>
        <v>7.8999999999996362</v>
      </c>
      <c r="EB36" s="91">
        <f>'[1]April - 2022'!EE36</f>
        <v>956710</v>
      </c>
      <c r="EC36" s="214">
        <f>'[1]April - 2022'!EF36</f>
        <v>812</v>
      </c>
      <c r="ED36" s="91">
        <f>'[1]April - 2022'!EI36</f>
        <v>197843.8</v>
      </c>
      <c r="EE36" s="228">
        <f>'[1]April - 2022'!EJ36</f>
        <v>152.09999999997672</v>
      </c>
      <c r="EF36" s="373"/>
      <c r="EG36" s="234">
        <f>'[1]April - 2022'!EL36</f>
        <v>10864200</v>
      </c>
      <c r="EH36" s="229">
        <f>'[1]April - 2022'!EM36</f>
        <v>5100</v>
      </c>
      <c r="EI36" s="90">
        <f>'[1]April - 2022'!EN36</f>
        <v>862090</v>
      </c>
      <c r="EJ36" s="229">
        <f>'[1]April - 2022'!EO36</f>
        <v>190</v>
      </c>
      <c r="EK36" s="90">
        <f>'[1]April - 2022'!EP36</f>
        <v>6550300</v>
      </c>
      <c r="EL36" s="229">
        <f>'[1]April - 2022'!EQ36</f>
        <v>2800</v>
      </c>
      <c r="EM36" s="90">
        <f>'[1]April - 2022'!ER36</f>
        <v>2303200</v>
      </c>
      <c r="EN36" s="229">
        <f>'[1]April - 2022'!ES36</f>
        <v>600</v>
      </c>
      <c r="EO36" s="90">
        <f>'[1]April - 2022'!ET36</f>
        <v>1084090</v>
      </c>
      <c r="EP36" s="229">
        <f>'[1]April - 2022'!EU36</f>
        <v>390</v>
      </c>
      <c r="EQ36" s="90">
        <f>'[1]April - 2022'!EV36</f>
        <v>14733100</v>
      </c>
      <c r="ER36" s="229">
        <f>'[1]April - 2022'!EW36</f>
        <v>6100</v>
      </c>
      <c r="ES36" s="421"/>
      <c r="ET36" s="278">
        <f>'[1]April - 2022'!EY36</f>
        <v>39556</v>
      </c>
      <c r="EU36" s="272">
        <f>'[1]April - 2022'!EZ36</f>
        <v>15</v>
      </c>
      <c r="EV36" s="279">
        <f>'[1]April - 2022'!FA36</f>
        <v>34215</v>
      </c>
      <c r="EW36" s="272">
        <f>'[1]April - 2022'!FB36</f>
        <v>11</v>
      </c>
      <c r="EX36" s="279">
        <f>'[1]April - 2022'!FC36</f>
        <v>5250</v>
      </c>
      <c r="EY36" s="272">
        <f>'[1]April - 2022'!FD36</f>
        <v>10</v>
      </c>
      <c r="EZ36" s="279">
        <f>'[1]April - 2022'!FE36</f>
        <v>56387</v>
      </c>
      <c r="FA36" s="272">
        <f>'[1]April - 2022'!FF36</f>
        <v>9</v>
      </c>
      <c r="FB36" s="279">
        <f>'[1]April - 2022'!FG36</f>
        <v>42034</v>
      </c>
      <c r="FC36" s="273">
        <f>'[1]April - 2022'!FH36</f>
        <v>30</v>
      </c>
    </row>
    <row r="37" spans="1:160" ht="30" customHeight="1" x14ac:dyDescent="0.25">
      <c r="A37" s="206">
        <v>43858</v>
      </c>
      <c r="B37" s="208">
        <f>'[1]April - 2022'!B37</f>
        <v>0.82</v>
      </c>
      <c r="C37" s="249">
        <f>'[1]April - 2022'!E37</f>
        <v>111298</v>
      </c>
      <c r="D37" s="169">
        <f>'[1]April - 2022'!F37</f>
        <v>778</v>
      </c>
      <c r="E37" s="168">
        <f>'[1]April - 2022'!G37</f>
        <v>630</v>
      </c>
      <c r="F37" s="168">
        <f>'[1]April - 2022'!H37</f>
        <v>151991</v>
      </c>
      <c r="G37" s="169">
        <f>'[1]April - 2022'!I37</f>
        <v>371</v>
      </c>
      <c r="H37" s="168">
        <f>'[1]April - 2022'!J37</f>
        <v>415</v>
      </c>
      <c r="I37" s="168">
        <f>'[1]April - 2022'!K37</f>
        <v>164625</v>
      </c>
      <c r="J37" s="169">
        <f>'[1]April - 2022'!L37</f>
        <v>0</v>
      </c>
      <c r="K37" s="168">
        <f>'[1]April - 2022'!N37</f>
        <v>848870</v>
      </c>
      <c r="L37" s="169">
        <f>'[1]April - 2022'!O37</f>
        <v>326</v>
      </c>
      <c r="M37" s="168">
        <f>'[1]April - 2022'!Q37</f>
        <v>200894</v>
      </c>
      <c r="N37" s="169">
        <f>'[1]April - 2022'!R37</f>
        <v>183</v>
      </c>
      <c r="O37" s="261">
        <f>'[1]April - 2022'!U37</f>
        <v>66370.509999999995</v>
      </c>
      <c r="P37" s="169">
        <f>'[1]April - 2022'!V37</f>
        <v>164.08999999999651</v>
      </c>
      <c r="Q37" s="168">
        <f>'[1]April - 2022'!W37</f>
        <v>128.55999999999995</v>
      </c>
      <c r="R37" s="261">
        <f>'[1]April - 2022'!X37</f>
        <v>500</v>
      </c>
      <c r="S37" s="207">
        <f>'[1]April - 2022'!Y37</f>
        <v>28</v>
      </c>
      <c r="T37" s="517"/>
      <c r="U37" s="266">
        <f>'[1]April - 2022'!AE37</f>
        <v>7542489.3599999994</v>
      </c>
      <c r="V37" s="287">
        <f>'[1]April - 2022'!AF37</f>
        <v>1997.519999999553</v>
      </c>
      <c r="W37" s="92">
        <f>'[1]April - 2022'!AG37</f>
        <v>3800.1600000010803</v>
      </c>
      <c r="X37" s="286">
        <f>'[1]April - 2022'!AH37</f>
        <v>14418099.359999999</v>
      </c>
      <c r="Y37" s="287">
        <f>'[1]April - 2022'!AI37</f>
        <v>4920.7199999988079</v>
      </c>
      <c r="Z37" s="92">
        <f>'[1]April - 2022'!AJ37</f>
        <v>4920.7200000006706</v>
      </c>
      <c r="AA37" s="286">
        <f>'[1]April - 2022'!AK37</f>
        <v>14088411.119999999</v>
      </c>
      <c r="AB37" s="287">
        <f>'[1]April - 2022'!AL37</f>
        <v>2582.160000000149</v>
      </c>
      <c r="AC37" s="92">
        <f>'[1]April - 2022'!AM37</f>
        <v>1218</v>
      </c>
      <c r="AD37" s="286">
        <f>'[1]April - 2022'!AN37</f>
        <v>17301154.080000002</v>
      </c>
      <c r="AE37" s="287">
        <f>'[1]April - 2022'!AO37</f>
        <v>12618.480000004172</v>
      </c>
      <c r="AF37" s="92">
        <f>'[1]April - 2022'!AP37</f>
        <v>2923.2000000011176</v>
      </c>
      <c r="AG37" s="286">
        <f>'[1]April - 2022'!AQ37</f>
        <v>17584850.639999997</v>
      </c>
      <c r="AH37" s="287">
        <f>'[1]April - 2022'!AR37</f>
        <v>974.39999999850988</v>
      </c>
      <c r="AI37" s="92">
        <f>'[1]April - 2022'!AS37</f>
        <v>10133.759999999776</v>
      </c>
      <c r="AJ37" s="286">
        <f>'[1]April - 2022'!AT37</f>
        <v>16288167.839999998</v>
      </c>
      <c r="AK37" s="287">
        <f>'[1]April - 2022'!AU37</f>
        <v>5895.1199999991804</v>
      </c>
      <c r="AL37" s="92">
        <f>'[1]April - 2022'!AV37</f>
        <v>5651.519999999553</v>
      </c>
      <c r="AM37" s="286">
        <f>'[1]April - 2022'!AW37</f>
        <v>13776310.799999999</v>
      </c>
      <c r="AN37" s="287">
        <f>'[1]April - 2022'!AX37</f>
        <v>4774.5599999986589</v>
      </c>
      <c r="AO37" s="92">
        <f>'[1]April - 2022'!AY37</f>
        <v>4628.4000000003725</v>
      </c>
      <c r="AP37" s="286">
        <f>'[1]April - 2022'!AZ37</f>
        <v>13281754.08</v>
      </c>
      <c r="AQ37" s="287">
        <f>'[1]April - 2022'!BD37</f>
        <v>2923.1999999992549</v>
      </c>
      <c r="AR37" s="92">
        <f>'[1]April - 2022'!BB37</f>
        <v>4336.0799999982119</v>
      </c>
      <c r="AS37" s="286">
        <f>'[1]April - 2022'!BC37</f>
        <v>10521814.799999999</v>
      </c>
      <c r="AT37" s="287">
        <f>'[1]April - 2022'!BD37</f>
        <v>2923.1999999992549</v>
      </c>
      <c r="AU37" s="92">
        <f>'[1]April - 2022'!BE37</f>
        <v>3118.0800000019372</v>
      </c>
      <c r="AV37" s="286">
        <f>'[1]April - 2022'!BF37</f>
        <v>16437933.119999999</v>
      </c>
      <c r="AW37" s="251">
        <f>'[1]April - 2022'!BG37</f>
        <v>5602.8000000007451</v>
      </c>
      <c r="AX37" s="252">
        <f>'[1]April - 2022'!BH37</f>
        <v>5505.359999999404</v>
      </c>
      <c r="AY37" s="483"/>
      <c r="AZ37" s="269">
        <f>'[1]April - 2022'!BM37</f>
        <v>69837500</v>
      </c>
      <c r="BA37" s="178">
        <f>'[1]April - 2022'!BN37</f>
        <v>13800</v>
      </c>
      <c r="BB37" s="93">
        <f>'[1]April - 2022'!BO37</f>
        <v>0</v>
      </c>
      <c r="BC37" s="269">
        <f>'[1]April - 2022'!BP37</f>
        <v>73315300</v>
      </c>
      <c r="BD37" s="244">
        <f>'[1]April - 2022'!BQ37</f>
        <v>62700</v>
      </c>
      <c r="BE37" s="93">
        <f>'[1]April - 2022'!BR37</f>
        <v>14200</v>
      </c>
      <c r="BF37" s="269">
        <f>'[1]April - 2022'!BS37</f>
        <v>67331700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8541930</v>
      </c>
      <c r="BT37" s="184">
        <f>'[1]April - 2022'!BW37</f>
        <v>5930</v>
      </c>
      <c r="BU37" s="389"/>
      <c r="BV37" s="88">
        <f>'[1]April - 2022'!BY37</f>
        <v>0.63</v>
      </c>
      <c r="BW37" s="240">
        <f>'[1]April - 2022'!BZ37</f>
        <v>3.0000000000000027E-2</v>
      </c>
      <c r="BX37" s="88">
        <f>'[1]April - 2022'!CA37</f>
        <v>-6.0000000000000053E-2</v>
      </c>
      <c r="BY37" s="89">
        <f>'[1]April - 2022'!CB37</f>
        <v>59692</v>
      </c>
      <c r="BZ37" s="190">
        <f>'[1]April - 2022'!CC37</f>
        <v>18</v>
      </c>
      <c r="CA37" s="89">
        <f>'[1]April - 2022'!CD37</f>
        <v>51228</v>
      </c>
      <c r="CB37" s="190">
        <f>'[1]April - 2022'!CE37</f>
        <v>23</v>
      </c>
      <c r="CC37" s="89">
        <f>'[1]April - 2022'!CF37</f>
        <v>17458</v>
      </c>
      <c r="CD37" s="190">
        <f>'[1]April - 2022'!CG37</f>
        <v>5</v>
      </c>
      <c r="CE37" s="89">
        <f>'[1]April - 2022'!CH37</f>
        <v>23453</v>
      </c>
      <c r="CF37" s="190">
        <f>'[1]April - 2022'!CI37</f>
        <v>7</v>
      </c>
      <c r="CG37" s="89">
        <f>'[1]April - 2022'!CJ37</f>
        <v>25643</v>
      </c>
      <c r="CH37" s="190">
        <f>'[1]April - 2022'!CK37</f>
        <v>9</v>
      </c>
      <c r="CI37" s="89">
        <f>'[1]April - 2022'!CL37</f>
        <v>57072</v>
      </c>
      <c r="CJ37" s="190">
        <f>'[1]April - 2022'!CM37</f>
        <v>26</v>
      </c>
      <c r="CK37" s="89">
        <f>'[1]April - 2022'!CN37</f>
        <v>248683</v>
      </c>
      <c r="CL37" s="245">
        <f>'[1]April - 2022'!CO37</f>
        <v>96</v>
      </c>
      <c r="CM37" s="89">
        <f>'[1]April - 2022'!CP37</f>
        <v>100</v>
      </c>
      <c r="CN37" s="89">
        <f>'[1]April - 2022'!CQ37</f>
        <v>196433</v>
      </c>
      <c r="CO37" s="245">
        <f>'[1]April - 2022'!CR37</f>
        <v>112</v>
      </c>
      <c r="CP37" s="89">
        <f>'[1]April - 2022'!CS37</f>
        <v>99</v>
      </c>
      <c r="CQ37" s="89">
        <f>'[1]April - 2022'!CT37</f>
        <v>349166</v>
      </c>
      <c r="CR37" s="245">
        <f>'[1]April - 2022'!CU37</f>
        <v>0</v>
      </c>
      <c r="CS37" s="89">
        <f>'[1]April - 2022'!CV37</f>
        <v>0</v>
      </c>
      <c r="CT37" s="89">
        <f>'[1]April - 2022'!CW37</f>
        <v>650563</v>
      </c>
      <c r="CU37" s="190">
        <f>'[1]April - 2022'!CX37</f>
        <v>0</v>
      </c>
      <c r="CV37" s="450"/>
      <c r="CW37" s="284">
        <f>'[1]April - 2022'!CZ37</f>
        <v>7523</v>
      </c>
      <c r="CX37" s="197">
        <f>'[1]April - 2022'!DA37</f>
        <v>4</v>
      </c>
      <c r="CY37" s="285">
        <f>'[1]April - 2022'!DB37</f>
        <v>4860</v>
      </c>
      <c r="CZ37" s="197">
        <f>'[1]April - 2022'!DC37</f>
        <v>2</v>
      </c>
      <c r="DA37" s="285">
        <f>'[1]April - 2022'!DD37</f>
        <v>29328</v>
      </c>
      <c r="DB37" s="197">
        <f>'[1]April - 2022'!DE37</f>
        <v>15</v>
      </c>
      <c r="DC37" s="285">
        <f>'[1]April - 2022'!DF37</f>
        <v>29821</v>
      </c>
      <c r="DD37" s="197">
        <f>'[1]April - 2022'!DG37</f>
        <v>13</v>
      </c>
      <c r="DE37" s="285">
        <f>'[1]April - 2022'!DH37</f>
        <v>19962</v>
      </c>
      <c r="DF37" s="197">
        <f>'[1]April - 2022'!DI37</f>
        <v>8</v>
      </c>
      <c r="DG37" s="285">
        <f>'[1]April - 2022'!DJ37</f>
        <v>22841</v>
      </c>
      <c r="DH37" s="197">
        <f>'[1]April - 2022'!DK37</f>
        <v>4</v>
      </c>
      <c r="DI37" s="285">
        <f>'[1]April - 2022'!DL37</f>
        <v>4871</v>
      </c>
      <c r="DJ37" s="197">
        <f>'[1]April - 2022'!DM37</f>
        <v>9</v>
      </c>
      <c r="DK37" s="285">
        <f>'[1]April - 2022'!DN37</f>
        <v>8074</v>
      </c>
      <c r="DL37" s="197">
        <f>'[1]April - 2022'!DO37</f>
        <v>6</v>
      </c>
      <c r="DM37" s="285">
        <f>'[1]April - 2022'!DP37</f>
        <v>2432</v>
      </c>
      <c r="DN37" s="197">
        <f>'[1]April - 2022'!DQ37</f>
        <v>4</v>
      </c>
      <c r="DO37" s="285">
        <f>'[1]April - 2022'!DR37</f>
        <v>4579</v>
      </c>
      <c r="DP37" s="197">
        <f>'[1]April - 2022'!DS37</f>
        <v>8</v>
      </c>
      <c r="DQ37" s="285">
        <f>'[1]April - 2022'!DT37</f>
        <v>27721</v>
      </c>
      <c r="DR37" s="205">
        <f>'[1]April - 2022'!DU37</f>
        <v>100</v>
      </c>
      <c r="DS37" s="435"/>
      <c r="DT37" s="209">
        <f>'[1]April - 2022'!DW37</f>
        <v>4371.1000000000004</v>
      </c>
      <c r="DU37" s="220">
        <f>'[1]April - 2022'!DX37</f>
        <v>8.9000000000005457</v>
      </c>
      <c r="DV37" s="91">
        <f>'[1]April - 2022'!DY37</f>
        <v>9281.5</v>
      </c>
      <c r="DW37" s="214">
        <f>'[1]April - 2022'!DZ37</f>
        <v>8.5</v>
      </c>
      <c r="DX37" s="91">
        <f>'[1]April - 2022'!EA37</f>
        <v>3296.4</v>
      </c>
      <c r="DY37" s="214">
        <f>'[1]April - 2022'!EB37</f>
        <v>6.8000000000001819</v>
      </c>
      <c r="DZ37" s="91">
        <f>'[1]April - 2022'!EC37</f>
        <v>3535.9</v>
      </c>
      <c r="EA37" s="214">
        <f>'[1]April - 2022'!ED37</f>
        <v>8.7000000000002728</v>
      </c>
      <c r="EB37" s="91">
        <f>'[1]April - 2022'!EE37</f>
        <v>957542</v>
      </c>
      <c r="EC37" s="214">
        <f>'[1]April - 2022'!EF37</f>
        <v>832</v>
      </c>
      <c r="ED37" s="91">
        <f>'[1]April - 2022'!EI37</f>
        <v>198002.6</v>
      </c>
      <c r="EE37" s="228">
        <f>'[1]April - 2022'!EJ37</f>
        <v>158.80000000001746</v>
      </c>
      <c r="EF37" s="373"/>
      <c r="EG37" s="234">
        <f>'[1]April - 2022'!EL37</f>
        <v>10869000</v>
      </c>
      <c r="EH37" s="229">
        <f>'[1]April - 2022'!EM37</f>
        <v>4800</v>
      </c>
      <c r="EI37" s="90">
        <f>'[1]April - 2022'!EN37</f>
        <v>862310</v>
      </c>
      <c r="EJ37" s="229">
        <f>'[1]April - 2022'!EO37</f>
        <v>220</v>
      </c>
      <c r="EK37" s="90">
        <f>'[1]April - 2022'!EP37</f>
        <v>6552900</v>
      </c>
      <c r="EL37" s="229">
        <f>'[1]April - 2022'!EQ37</f>
        <v>2600</v>
      </c>
      <c r="EM37" s="90">
        <f>'[1]April - 2022'!ER37</f>
        <v>2303900</v>
      </c>
      <c r="EN37" s="229">
        <f>'[1]April - 2022'!ES37</f>
        <v>700</v>
      </c>
      <c r="EO37" s="90">
        <f>'[1]April - 2022'!ET37</f>
        <v>1084460</v>
      </c>
      <c r="EP37" s="229">
        <f>'[1]April - 2022'!EU37</f>
        <v>370</v>
      </c>
      <c r="EQ37" s="90">
        <f>'[1]April - 2022'!EV37</f>
        <v>14739300</v>
      </c>
      <c r="ER37" s="229">
        <f>'[1]April - 2022'!EW37</f>
        <v>6200</v>
      </c>
      <c r="ES37" s="421"/>
      <c r="ET37" s="278">
        <f>'[1]April - 2022'!EY37</f>
        <v>39572</v>
      </c>
      <c r="EU37" s="272">
        <f>'[1]April - 2022'!EZ37</f>
        <v>16</v>
      </c>
      <c r="EV37" s="279">
        <f>'[1]April - 2022'!FA37</f>
        <v>34226</v>
      </c>
      <c r="EW37" s="272">
        <f>'[1]April - 2022'!FB37</f>
        <v>11</v>
      </c>
      <c r="EX37" s="279">
        <f>'[1]April - 2022'!FC37</f>
        <v>5259</v>
      </c>
      <c r="EY37" s="272">
        <f>'[1]April - 2022'!FD37</f>
        <v>9</v>
      </c>
      <c r="EZ37" s="279">
        <f>'[1]April - 2022'!FE37</f>
        <v>56396</v>
      </c>
      <c r="FA37" s="272">
        <f>'[1]April - 2022'!FF37</f>
        <v>9</v>
      </c>
      <c r="FB37" s="279">
        <f>'[1]April - 2022'!FG37</f>
        <v>42068</v>
      </c>
      <c r="FC37" s="273">
        <f>'[1]April - 2022'!FH37</f>
        <v>34</v>
      </c>
    </row>
    <row r="38" spans="1:160" ht="30" customHeight="1" x14ac:dyDescent="0.25">
      <c r="A38" s="206">
        <v>43859</v>
      </c>
      <c r="B38" s="208">
        <f>'[1]April - 2022'!B38</f>
        <v>0.76</v>
      </c>
      <c r="C38" s="249">
        <f>'[1]April - 2022'!E38</f>
        <v>112077</v>
      </c>
      <c r="D38" s="169">
        <f>'[1]April - 2022'!F38</f>
        <v>779</v>
      </c>
      <c r="E38" s="168">
        <f>'[1]April - 2022'!G38</f>
        <v>565</v>
      </c>
      <c r="F38" s="168">
        <f>'[1]April - 2022'!H38</f>
        <v>152363</v>
      </c>
      <c r="G38" s="169">
        <f>'[1]April - 2022'!I38</f>
        <v>372</v>
      </c>
      <c r="H38" s="168">
        <f>'[1]April - 2022'!J38</f>
        <v>443</v>
      </c>
      <c r="I38" s="168">
        <f>'[1]April - 2022'!K38</f>
        <v>164625</v>
      </c>
      <c r="J38" s="169">
        <f>'[1]April - 2022'!L38</f>
        <v>0</v>
      </c>
      <c r="K38" s="168">
        <f>'[1]April - 2022'!N38</f>
        <v>849169</v>
      </c>
      <c r="L38" s="169">
        <f>'[1]April - 2022'!O38</f>
        <v>299</v>
      </c>
      <c r="M38" s="168">
        <f>'[1]April - 2022'!Q38</f>
        <v>201057</v>
      </c>
      <c r="N38" s="169">
        <f>'[1]April - 2022'!R38</f>
        <v>163</v>
      </c>
      <c r="O38" s="261">
        <f>'[1]April - 2022'!U38</f>
        <v>66548.990000000005</v>
      </c>
      <c r="P38" s="169">
        <f>'[1]April - 2022'!V38</f>
        <v>178.48000000001048</v>
      </c>
      <c r="Q38" s="168">
        <f>'[1]April - 2022'!W38</f>
        <v>130.04999999999973</v>
      </c>
      <c r="R38" s="261">
        <f>'[1]April - 2022'!X38</f>
        <v>533</v>
      </c>
      <c r="S38" s="207">
        <f>'[1]April - 2022'!Y38</f>
        <v>33</v>
      </c>
      <c r="T38" s="517"/>
      <c r="U38" s="266">
        <f>'[1]April - 2022'!AE38</f>
        <v>7544486.8799999999</v>
      </c>
      <c r="V38" s="287">
        <f>'[1]April - 2022'!AF38</f>
        <v>1997.5200000004843</v>
      </c>
      <c r="W38" s="92">
        <f>'[1]April - 2022'!AG38</f>
        <v>3556.5599999995902</v>
      </c>
      <c r="X38" s="286">
        <f>'[1]April - 2022'!AH38</f>
        <v>14422825.199999999</v>
      </c>
      <c r="Y38" s="287">
        <f>'[1]April - 2022'!AI38</f>
        <v>4725.839999999851</v>
      </c>
      <c r="Z38" s="92">
        <f>'[1]April - 2022'!AJ38</f>
        <v>4677.1199999991804</v>
      </c>
      <c r="AA38" s="286">
        <f>'[1]April - 2022'!AK38</f>
        <v>14092503.6</v>
      </c>
      <c r="AB38" s="287">
        <f>'[1]April - 2022'!AL38</f>
        <v>4092.480000000447</v>
      </c>
      <c r="AC38" s="92">
        <f>'[1]April - 2022'!AM38</f>
        <v>1218</v>
      </c>
      <c r="AD38" s="286">
        <f>'[1]April - 2022'!AN38</f>
        <v>17313285.359999999</v>
      </c>
      <c r="AE38" s="287">
        <f>'[1]April - 2022'!AO38</f>
        <v>12131.279999997467</v>
      </c>
      <c r="AF38" s="92">
        <f>'[1]April - 2022'!AP38</f>
        <v>3897.5999999996275</v>
      </c>
      <c r="AG38" s="286">
        <f>'[1]April - 2022'!AQ38</f>
        <v>17585873.760000002</v>
      </c>
      <c r="AH38" s="287">
        <f>'[1]April - 2022'!AR38</f>
        <v>1023.1200000047684</v>
      </c>
      <c r="AI38" s="92">
        <f>'[1]April - 2022'!AS38</f>
        <v>9110.640000000596</v>
      </c>
      <c r="AJ38" s="286">
        <f>'[1]April - 2022'!AT38</f>
        <v>16293819.360000001</v>
      </c>
      <c r="AK38" s="287">
        <f>'[1]April - 2022'!AU38</f>
        <v>5651.5200000032783</v>
      </c>
      <c r="AL38" s="92">
        <f>'[1]April - 2022'!AV38</f>
        <v>5310.480000000447</v>
      </c>
      <c r="AM38" s="286">
        <f>'[1]April - 2022'!AW38</f>
        <v>13780646.880000001</v>
      </c>
      <c r="AN38" s="287">
        <f>'[1]April - 2022'!AX38</f>
        <v>4336.0800000019372</v>
      </c>
      <c r="AO38" s="92">
        <f>'[1]April - 2022'!AY38</f>
        <v>4433.519999999553</v>
      </c>
      <c r="AP38" s="286">
        <f>'[1]April - 2022'!AZ38</f>
        <v>13286479.919999998</v>
      </c>
      <c r="AQ38" s="287">
        <f>'[1]April - 2022'!BD38</f>
        <v>2777.0400000009686</v>
      </c>
      <c r="AR38" s="92">
        <f>'[1]April - 2022'!BB38</f>
        <v>3995.0400000009686</v>
      </c>
      <c r="AS38" s="286">
        <f>'[1]April - 2022'!BC38</f>
        <v>10524591.84</v>
      </c>
      <c r="AT38" s="287">
        <f>'[1]April - 2022'!BD38</f>
        <v>2777.0400000009686</v>
      </c>
      <c r="AU38" s="92">
        <f>'[1]April - 2022'!BE38</f>
        <v>2971.9199999980628</v>
      </c>
      <c r="AV38" s="286">
        <f>'[1]April - 2022'!BF38</f>
        <v>16443438.48</v>
      </c>
      <c r="AW38" s="251">
        <f>'[1]April - 2022'!BG38</f>
        <v>5505.3600000012666</v>
      </c>
      <c r="AX38" s="252">
        <f>'[1]April - 2022'!BH38</f>
        <v>5310.480000000447</v>
      </c>
      <c r="AY38" s="483"/>
      <c r="AZ38" s="269">
        <f>'[1]April - 2022'!BM38</f>
        <v>69858800</v>
      </c>
      <c r="BA38" s="178">
        <f>'[1]April - 2022'!BN38</f>
        <v>21300</v>
      </c>
      <c r="BB38" s="93">
        <f>'[1]April - 2022'!BO38</f>
        <v>0</v>
      </c>
      <c r="BC38" s="269">
        <f>'[1]April - 2022'!BP38</f>
        <v>73376700</v>
      </c>
      <c r="BD38" s="244">
        <f>'[1]April - 2022'!BQ38</f>
        <v>61400</v>
      </c>
      <c r="BE38" s="93">
        <f>'[1]April - 2022'!BR38</f>
        <v>20000</v>
      </c>
      <c r="BF38" s="269">
        <f>'[1]April - 2022'!BS38</f>
        <v>67331700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8548140</v>
      </c>
      <c r="BT38" s="184">
        <f>'[1]April - 2022'!BW38</f>
        <v>6210</v>
      </c>
      <c r="BU38" s="389"/>
      <c r="BV38" s="88">
        <f>'[1]April - 2022'!BY38</f>
        <v>0.75</v>
      </c>
      <c r="BW38" s="240">
        <f>'[1]April - 2022'!BZ38</f>
        <v>-0.12</v>
      </c>
      <c r="BX38" s="88">
        <f>'[1]April - 2022'!CA38</f>
        <v>4.0000000000000036E-2</v>
      </c>
      <c r="BY38" s="89">
        <f>'[1]April - 2022'!CB38</f>
        <v>59707</v>
      </c>
      <c r="BZ38" s="190">
        <f>'[1]April - 2022'!CC38</f>
        <v>15</v>
      </c>
      <c r="CA38" s="89">
        <f>'[1]April - 2022'!CD38</f>
        <v>51247</v>
      </c>
      <c r="CB38" s="190">
        <f>'[1]April - 2022'!CE38</f>
        <v>19</v>
      </c>
      <c r="CC38" s="89">
        <f>'[1]April - 2022'!CF38</f>
        <v>17463</v>
      </c>
      <c r="CD38" s="190">
        <f>'[1]April - 2022'!CG38</f>
        <v>5</v>
      </c>
      <c r="CE38" s="89">
        <f>'[1]April - 2022'!CH38</f>
        <v>23460</v>
      </c>
      <c r="CF38" s="190">
        <f>'[1]April - 2022'!CI38</f>
        <v>7</v>
      </c>
      <c r="CG38" s="89">
        <f>'[1]April - 2022'!CJ38</f>
        <v>25651</v>
      </c>
      <c r="CH38" s="190">
        <f>'[1]April - 2022'!CK38</f>
        <v>8</v>
      </c>
      <c r="CI38" s="89">
        <f>'[1]April - 2022'!CL38</f>
        <v>57099</v>
      </c>
      <c r="CJ38" s="190">
        <f>'[1]April - 2022'!CM38</f>
        <v>27</v>
      </c>
      <c r="CK38" s="89">
        <f>'[1]April - 2022'!CN38</f>
        <v>248769</v>
      </c>
      <c r="CL38" s="245">
        <f>'[1]April - 2022'!CO38</f>
        <v>86</v>
      </c>
      <c r="CM38" s="89">
        <f>'[1]April - 2022'!CP38</f>
        <v>108</v>
      </c>
      <c r="CN38" s="89">
        <f>'[1]April - 2022'!CQ38</f>
        <v>196544</v>
      </c>
      <c r="CO38" s="245">
        <f>'[1]April - 2022'!CR38</f>
        <v>111</v>
      </c>
      <c r="CP38" s="89">
        <f>'[1]April - 2022'!CS38</f>
        <v>116</v>
      </c>
      <c r="CQ38" s="89">
        <f>'[1]April - 2022'!CT38</f>
        <v>349166</v>
      </c>
      <c r="CR38" s="245">
        <f>'[1]April - 2022'!CU38</f>
        <v>0</v>
      </c>
      <c r="CS38" s="89">
        <f>'[1]April - 2022'!CV38</f>
        <v>0</v>
      </c>
      <c r="CT38" s="89">
        <f>'[1]April - 2022'!CW38</f>
        <v>650766</v>
      </c>
      <c r="CU38" s="190">
        <f>'[1]April - 2022'!CX38</f>
        <v>203</v>
      </c>
      <c r="CV38" s="450"/>
      <c r="CW38" s="284">
        <f>'[1]April - 2022'!CZ38</f>
        <v>7527</v>
      </c>
      <c r="CX38" s="197">
        <f>'[1]April - 2022'!DA38</f>
        <v>4</v>
      </c>
      <c r="CY38" s="285">
        <f>'[1]April - 2022'!DB38</f>
        <v>4863</v>
      </c>
      <c r="CZ38" s="197">
        <f>'[1]April - 2022'!DC38</f>
        <v>3</v>
      </c>
      <c r="DA38" s="285">
        <f>'[1]April - 2022'!DD38</f>
        <v>29342</v>
      </c>
      <c r="DB38" s="197">
        <f>'[1]April - 2022'!DE38</f>
        <v>14</v>
      </c>
      <c r="DC38" s="285">
        <f>'[1]April - 2022'!DF38</f>
        <v>29835</v>
      </c>
      <c r="DD38" s="197">
        <f>'[1]April - 2022'!DG38</f>
        <v>14</v>
      </c>
      <c r="DE38" s="285">
        <f>'[1]April - 2022'!DH38</f>
        <v>19972</v>
      </c>
      <c r="DF38" s="197">
        <f>'[1]April - 2022'!DI38</f>
        <v>10</v>
      </c>
      <c r="DG38" s="285">
        <f>'[1]April - 2022'!DJ38</f>
        <v>22845</v>
      </c>
      <c r="DH38" s="197">
        <f>'[1]April - 2022'!DK38</f>
        <v>4</v>
      </c>
      <c r="DI38" s="285">
        <f>'[1]April - 2022'!DL38</f>
        <v>4880</v>
      </c>
      <c r="DJ38" s="197">
        <f>'[1]April - 2022'!DM38</f>
        <v>9</v>
      </c>
      <c r="DK38" s="285">
        <f>'[1]April - 2022'!DN38</f>
        <v>8081</v>
      </c>
      <c r="DL38" s="197">
        <f>'[1]April - 2022'!DO38</f>
        <v>7</v>
      </c>
      <c r="DM38" s="285">
        <f>'[1]April - 2022'!DP38</f>
        <v>2436</v>
      </c>
      <c r="DN38" s="197">
        <f>'[1]April - 2022'!DQ38</f>
        <v>4</v>
      </c>
      <c r="DO38" s="285">
        <f>'[1]April - 2022'!DR38</f>
        <v>4586</v>
      </c>
      <c r="DP38" s="197">
        <f>'[1]April - 2022'!DS38</f>
        <v>7</v>
      </c>
      <c r="DQ38" s="285">
        <f>'[1]April - 2022'!DT38</f>
        <v>27721</v>
      </c>
      <c r="DR38" s="205">
        <f>'[1]April - 2022'!DU38</f>
        <v>0</v>
      </c>
      <c r="DS38" s="435"/>
      <c r="DT38" s="209">
        <f>'[1]April - 2022'!DW38</f>
        <v>4380.2</v>
      </c>
      <c r="DU38" s="220">
        <f>'[1]April - 2022'!DX38</f>
        <v>9.0999999999994543</v>
      </c>
      <c r="DV38" s="91">
        <f>'[1]April - 2022'!DY38</f>
        <v>9290.1</v>
      </c>
      <c r="DW38" s="214">
        <f>'[1]April - 2022'!DZ38</f>
        <v>8.6000000000003638</v>
      </c>
      <c r="DX38" s="91">
        <f>'[1]April - 2022'!EA38</f>
        <v>3303</v>
      </c>
      <c r="DY38" s="214">
        <f>'[1]April - 2022'!EB38</f>
        <v>6.5999999999999091</v>
      </c>
      <c r="DZ38" s="91">
        <f>'[1]April - 2022'!EC38</f>
        <v>3544.4</v>
      </c>
      <c r="EA38" s="214">
        <f>'[1]April - 2022'!ED38</f>
        <v>8.5</v>
      </c>
      <c r="EB38" s="91">
        <f>'[1]April - 2022'!EE38</f>
        <v>958339</v>
      </c>
      <c r="EC38" s="214">
        <f>'[1]April - 2022'!EF38</f>
        <v>797</v>
      </c>
      <c r="ED38" s="91">
        <f>'[1]April - 2022'!EI38</f>
        <v>198153.1</v>
      </c>
      <c r="EE38" s="228">
        <f>'[1]April - 2022'!EJ38</f>
        <v>150.5</v>
      </c>
      <c r="EF38" s="373"/>
      <c r="EG38" s="234">
        <f>'[1]April - 2022'!EL38</f>
        <v>10873900</v>
      </c>
      <c r="EH38" s="229">
        <f>'[1]April - 2022'!EM38</f>
        <v>4900</v>
      </c>
      <c r="EI38" s="90">
        <f>'[1]April - 2022'!EN38</f>
        <v>862540</v>
      </c>
      <c r="EJ38" s="229">
        <f>'[1]April - 2022'!EO38</f>
        <v>230</v>
      </c>
      <c r="EK38" s="90">
        <f>'[1]April - 2022'!EP38</f>
        <v>6555600</v>
      </c>
      <c r="EL38" s="229">
        <f>'[1]April - 2022'!EQ38</f>
        <v>2700</v>
      </c>
      <c r="EM38" s="90">
        <f>'[1]April - 2022'!ER38</f>
        <v>2304200</v>
      </c>
      <c r="EN38" s="229">
        <f>'[1]April - 2022'!ES38</f>
        <v>300</v>
      </c>
      <c r="EO38" s="90">
        <f>'[1]April - 2022'!ET38</f>
        <v>1085040</v>
      </c>
      <c r="EP38" s="229">
        <f>'[1]April - 2022'!EU38</f>
        <v>580</v>
      </c>
      <c r="EQ38" s="90">
        <f>'[1]April - 2022'!EV38</f>
        <v>14745200</v>
      </c>
      <c r="ER38" s="229">
        <f>'[1]April - 2022'!EW38</f>
        <v>5900</v>
      </c>
      <c r="ES38" s="421"/>
      <c r="ET38" s="278">
        <f>'[1]April - 2022'!EY38</f>
        <v>39589</v>
      </c>
      <c r="EU38" s="272">
        <f>'[1]April - 2022'!EZ38</f>
        <v>17</v>
      </c>
      <c r="EV38" s="279">
        <f>'[1]April - 2022'!FA38</f>
        <v>34237</v>
      </c>
      <c r="EW38" s="272">
        <f>'[1]April - 2022'!FB38</f>
        <v>11</v>
      </c>
      <c r="EX38" s="279">
        <f>'[1]April - 2022'!FC38</f>
        <v>5269</v>
      </c>
      <c r="EY38" s="272">
        <f>'[1]April - 2022'!FD38</f>
        <v>10</v>
      </c>
      <c r="EZ38" s="279">
        <f>'[1]April - 2022'!FE38</f>
        <v>56406</v>
      </c>
      <c r="FA38" s="272">
        <f>'[1]April - 2022'!FF38</f>
        <v>10</v>
      </c>
      <c r="FB38" s="279">
        <f>'[1]April - 2022'!FG38</f>
        <v>42098</v>
      </c>
      <c r="FC38" s="273">
        <f>'[1]April - 2022'!FH38</f>
        <v>30</v>
      </c>
    </row>
    <row r="39" spans="1:160" ht="30" customHeight="1" x14ac:dyDescent="0.25">
      <c r="A39" s="206">
        <v>43860</v>
      </c>
      <c r="B39" s="208">
        <f>'[1]April - 2022'!B39</f>
        <v>0.73</v>
      </c>
      <c r="C39" s="249">
        <f>'[1]April - 2022'!E39</f>
        <v>112844</v>
      </c>
      <c r="D39" s="169">
        <f>'[1]April - 2022'!F39</f>
        <v>767</v>
      </c>
      <c r="E39" s="168">
        <f>'[1]April - 2022'!G39</f>
        <v>624</v>
      </c>
      <c r="F39" s="168">
        <f>'[1]April - 2022'!H39</f>
        <v>152757</v>
      </c>
      <c r="G39" s="169">
        <f>'[1]April - 2022'!I39</f>
        <v>394</v>
      </c>
      <c r="H39" s="168">
        <f>'[1]April - 2022'!J39</f>
        <v>372</v>
      </c>
      <c r="I39" s="168">
        <f>'[1]April - 2022'!K39</f>
        <v>164625</v>
      </c>
      <c r="J39" s="169">
        <f>'[1]April - 2022'!L39</f>
        <v>0</v>
      </c>
      <c r="K39" s="168">
        <f>'[1]April - 2022'!N39</f>
        <v>849471</v>
      </c>
      <c r="L39" s="169">
        <f>'[1]April - 2022'!O39</f>
        <v>302</v>
      </c>
      <c r="M39" s="168">
        <f>'[1]April - 2022'!Q39</f>
        <v>201192</v>
      </c>
      <c r="N39" s="169">
        <f>'[1]April - 2022'!R39</f>
        <v>135</v>
      </c>
      <c r="O39" s="261">
        <f>'[1]April - 2022'!U39</f>
        <v>66718.5</v>
      </c>
      <c r="P39" s="169">
        <f>'[1]April - 2022'!V39</f>
        <v>169.50999999999476</v>
      </c>
      <c r="Q39" s="168">
        <f>'[1]April - 2022'!W39</f>
        <v>126.63000000000011</v>
      </c>
      <c r="R39" s="261">
        <f>'[1]April - 2022'!X39</f>
        <v>567</v>
      </c>
      <c r="S39" s="207">
        <f>'[1]April - 2022'!Y39</f>
        <v>34</v>
      </c>
      <c r="T39" s="517"/>
      <c r="U39" s="266">
        <f>'[1]April - 2022'!AE39</f>
        <v>7548335.7599999998</v>
      </c>
      <c r="V39" s="287">
        <f>'[1]April - 2022'!AF39</f>
        <v>3848.8799999998882</v>
      </c>
      <c r="W39" s="92">
        <f>'[1]April - 2022'!AG39</f>
        <v>3897.5999999996275</v>
      </c>
      <c r="X39" s="286">
        <f>'[1]April - 2022'!AH39</f>
        <v>14427551.039999999</v>
      </c>
      <c r="Y39" s="287">
        <f>'[1]April - 2022'!AI39</f>
        <v>4725.839999999851</v>
      </c>
      <c r="Z39" s="92">
        <f>'[1]April - 2022'!AJ39</f>
        <v>4677.1199999991804</v>
      </c>
      <c r="AA39" s="286">
        <f>'[1]April - 2022'!AK39</f>
        <v>14093429.280000001</v>
      </c>
      <c r="AB39" s="287">
        <f>'[1]April - 2022'!AL39</f>
        <v>925.68000000156462</v>
      </c>
      <c r="AC39" s="92">
        <f>'[1]April - 2022'!AM39</f>
        <v>1169.2800000011921</v>
      </c>
      <c r="AD39" s="286">
        <f>'[1]April - 2022'!AN39</f>
        <v>17318790.719999999</v>
      </c>
      <c r="AE39" s="287">
        <f>'[1]April - 2022'!AO39</f>
        <v>5505.359999999404</v>
      </c>
      <c r="AF39" s="92">
        <f>'[1]April - 2022'!AP39</f>
        <v>4774.5599999986589</v>
      </c>
      <c r="AG39" s="286">
        <f>'[1]April - 2022'!AQ39</f>
        <v>17594156.16</v>
      </c>
      <c r="AH39" s="287">
        <f>'[1]April - 2022'!AR39</f>
        <v>8282.3999999985099</v>
      </c>
      <c r="AI39" s="92">
        <f>'[1]April - 2022'!AS39</f>
        <v>9451.679999999702</v>
      </c>
      <c r="AJ39" s="286">
        <f>'[1]April - 2022'!AT39</f>
        <v>16299568.319999998</v>
      </c>
      <c r="AK39" s="287">
        <f>'[1]April - 2022'!AU39</f>
        <v>5748.9599999971688</v>
      </c>
      <c r="AL39" s="92">
        <f>'[1]April - 2022'!AV39</f>
        <v>5505.3600000012666</v>
      </c>
      <c r="AM39" s="286">
        <f>'[1]April - 2022'!AW39</f>
        <v>13784885.52</v>
      </c>
      <c r="AN39" s="287">
        <f>'[1]April - 2022'!AX39</f>
        <v>4238.6399999987334</v>
      </c>
      <c r="AO39" s="92">
        <f>'[1]April - 2022'!AY39</f>
        <v>4579.679999999702</v>
      </c>
      <c r="AP39" s="286">
        <f>'[1]April - 2022'!AZ39</f>
        <v>13291205.76</v>
      </c>
      <c r="AQ39" s="287">
        <f>'[1]April - 2022'!BD39</f>
        <v>2630.8799999989569</v>
      </c>
      <c r="AR39" s="92">
        <f>'[1]April - 2022'!BB39</f>
        <v>4336.0800000000745</v>
      </c>
      <c r="AS39" s="286">
        <f>'[1]April - 2022'!BC39</f>
        <v>10527222.719999999</v>
      </c>
      <c r="AT39" s="287">
        <f>'[1]April - 2022'!BD39</f>
        <v>2630.8799999989569</v>
      </c>
      <c r="AU39" s="92">
        <f>'[1]April - 2022'!BE39</f>
        <v>3166.8000000007451</v>
      </c>
      <c r="AV39" s="286">
        <f>'[1]April - 2022'!BF39</f>
        <v>16449382.319999998</v>
      </c>
      <c r="AW39" s="251">
        <f>'[1]April - 2022'!BG39</f>
        <v>5943.8399999979883</v>
      </c>
      <c r="AX39" s="252">
        <f>'[1]April - 2022'!BH39</f>
        <v>5700.2400000002235</v>
      </c>
      <c r="AY39" s="483"/>
      <c r="AZ39" s="269">
        <f>'[1]April - 2022'!BM39</f>
        <v>69858800</v>
      </c>
      <c r="BA39" s="178">
        <f>'[1]April - 2022'!BN39</f>
        <v>0</v>
      </c>
      <c r="BB39" s="93">
        <f>'[1]April - 2022'!BO39</f>
        <v>0</v>
      </c>
      <c r="BC39" s="269">
        <f>'[1]April - 2022'!BP39</f>
        <v>73408300</v>
      </c>
      <c r="BD39" s="244">
        <f>'[1]April - 2022'!BQ39</f>
        <v>31600</v>
      </c>
      <c r="BE39" s="93">
        <f>'[1]April - 2022'!BR39</f>
        <v>24100</v>
      </c>
      <c r="BF39" s="269">
        <f>'[1]April - 2022'!BS39</f>
        <v>67379500</v>
      </c>
      <c r="BG39" s="244">
        <f>'[1]April - 2022'!BT39</f>
        <v>47800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8554430</v>
      </c>
      <c r="BT39" s="184">
        <f>'[1]April - 2022'!BW39</f>
        <v>6290</v>
      </c>
      <c r="BU39" s="390"/>
      <c r="BV39" s="88">
        <f>'[1]April - 2022'!BY39</f>
        <v>0.7</v>
      </c>
      <c r="BW39" s="240">
        <f>'[1]April - 2022'!BZ39</f>
        <v>5.0000000000000044E-2</v>
      </c>
      <c r="BX39" s="88">
        <f>'[1]April - 2022'!CA39</f>
        <v>-4.0000000000000036E-2</v>
      </c>
      <c r="BY39" s="89">
        <f>'[1]April - 2022'!CB39</f>
        <v>59727</v>
      </c>
      <c r="BZ39" s="190">
        <f>'[1]April - 2022'!CC39</f>
        <v>20</v>
      </c>
      <c r="CA39" s="89">
        <f>'[1]April - 2022'!CD39</f>
        <v>51267</v>
      </c>
      <c r="CB39" s="190">
        <f>'[1]April - 2022'!CE39</f>
        <v>20</v>
      </c>
      <c r="CC39" s="89">
        <f>'[1]April - 2022'!CF39</f>
        <v>17466</v>
      </c>
      <c r="CD39" s="190">
        <f>'[1]April - 2022'!CG39</f>
        <v>3</v>
      </c>
      <c r="CE39" s="89">
        <f>'[1]April - 2022'!CH39</f>
        <v>23467</v>
      </c>
      <c r="CF39" s="190">
        <f>'[1]April - 2022'!CI39</f>
        <v>7</v>
      </c>
      <c r="CG39" s="89">
        <f>'[1]April - 2022'!CJ39</f>
        <v>25660</v>
      </c>
      <c r="CH39" s="190">
        <f>'[1]April - 2022'!CK39</f>
        <v>9</v>
      </c>
      <c r="CI39" s="89">
        <f>'[1]April - 2022'!CL39</f>
        <v>57125</v>
      </c>
      <c r="CJ39" s="190">
        <f>'[1]April - 2022'!CM39</f>
        <v>26</v>
      </c>
      <c r="CK39" s="89">
        <f>'[1]April - 2022'!CN39</f>
        <v>248857</v>
      </c>
      <c r="CL39" s="245">
        <f>'[1]April - 2022'!CO39</f>
        <v>88</v>
      </c>
      <c r="CM39" s="89">
        <f>'[1]April - 2022'!CP39</f>
        <v>104</v>
      </c>
      <c r="CN39" s="89">
        <f>'[1]April - 2022'!CQ39</f>
        <v>196649</v>
      </c>
      <c r="CO39" s="245">
        <f>'[1]April - 2022'!CR39</f>
        <v>105</v>
      </c>
      <c r="CP39" s="89">
        <f>'[1]April - 2022'!CS39</f>
        <v>93</v>
      </c>
      <c r="CQ39" s="89">
        <f>'[1]April - 2022'!CT39</f>
        <v>349214</v>
      </c>
      <c r="CR39" s="245">
        <f>'[1]April - 2022'!CU39</f>
        <v>48</v>
      </c>
      <c r="CS39" s="89">
        <f>'[1]April - 2022'!CV39</f>
        <v>0</v>
      </c>
      <c r="CT39" s="89">
        <f>'[1]April - 2022'!CW39</f>
        <v>650983</v>
      </c>
      <c r="CU39" s="190">
        <f>'[1]April - 2022'!CX39</f>
        <v>217</v>
      </c>
      <c r="CV39" s="450"/>
      <c r="CW39" s="284">
        <f>'[1]April - 2022'!CZ39</f>
        <v>7530</v>
      </c>
      <c r="CX39" s="197">
        <f>'[1]April - 2022'!DA39</f>
        <v>3</v>
      </c>
      <c r="CY39" s="285">
        <f>'[1]April - 2022'!DB39</f>
        <v>4867</v>
      </c>
      <c r="CZ39" s="197">
        <f>'[1]April - 2022'!DC39</f>
        <v>4</v>
      </c>
      <c r="DA39" s="285">
        <f>'[1]April - 2022'!DD39</f>
        <v>29360</v>
      </c>
      <c r="DB39" s="197">
        <f>'[1]April - 2022'!DE39</f>
        <v>18</v>
      </c>
      <c r="DC39" s="285">
        <f>'[1]April - 2022'!DF39</f>
        <v>29850</v>
      </c>
      <c r="DD39" s="197">
        <f>'[1]April - 2022'!DG39</f>
        <v>15</v>
      </c>
      <c r="DE39" s="285">
        <f>'[1]April - 2022'!DH39</f>
        <v>19981</v>
      </c>
      <c r="DF39" s="197">
        <f>'[1]April - 2022'!DI39</f>
        <v>9</v>
      </c>
      <c r="DG39" s="285">
        <f>'[1]April - 2022'!DJ39</f>
        <v>22850</v>
      </c>
      <c r="DH39" s="197">
        <f>'[1]April - 2022'!DK39</f>
        <v>5</v>
      </c>
      <c r="DI39" s="285">
        <f>'[1]April - 2022'!DL39</f>
        <v>4892</v>
      </c>
      <c r="DJ39" s="197">
        <f>'[1]April - 2022'!DM39</f>
        <v>12</v>
      </c>
      <c r="DK39" s="285">
        <f>'[1]April - 2022'!DN39</f>
        <v>8093</v>
      </c>
      <c r="DL39" s="197">
        <f>'[1]April - 2022'!DO39</f>
        <v>12</v>
      </c>
      <c r="DM39" s="285">
        <f>'[1]April - 2022'!DP39</f>
        <v>2440</v>
      </c>
      <c r="DN39" s="197">
        <f>'[1]April - 2022'!DQ39</f>
        <v>4</v>
      </c>
      <c r="DO39" s="285">
        <f>'[1]April - 2022'!DR39</f>
        <v>4593</v>
      </c>
      <c r="DP39" s="197">
        <f>'[1]April - 2022'!DS39</f>
        <v>7</v>
      </c>
      <c r="DQ39" s="285">
        <f>'[1]April - 2022'!DT39</f>
        <v>27721</v>
      </c>
      <c r="DR39" s="205">
        <f>'[1]April - 2022'!DU39</f>
        <v>0</v>
      </c>
      <c r="DS39" s="435"/>
      <c r="DT39" s="209">
        <f>'[1]April - 2022'!DW39</f>
        <v>4391.3999999999996</v>
      </c>
      <c r="DU39" s="220">
        <f>'[1]April - 2022'!DX39</f>
        <v>11.199999999999818</v>
      </c>
      <c r="DV39" s="91">
        <f>'[1]April - 2022'!DY39</f>
        <v>9298.1</v>
      </c>
      <c r="DW39" s="214">
        <f>'[1]April - 2022'!DZ39</f>
        <v>8</v>
      </c>
      <c r="DX39" s="91">
        <f>'[1]April - 2022'!EA39</f>
        <v>3311.1</v>
      </c>
      <c r="DY39" s="214">
        <f>'[1]April - 2022'!EB39</f>
        <v>8.0999999999999091</v>
      </c>
      <c r="DZ39" s="91">
        <f>'[1]April - 2022'!EC39</f>
        <v>3555.7</v>
      </c>
      <c r="EA39" s="214">
        <f>'[1]April - 2022'!ED39</f>
        <v>11.299999999999727</v>
      </c>
      <c r="EB39" s="91">
        <f>'[1]April - 2022'!EE39</f>
        <v>958984</v>
      </c>
      <c r="EC39" s="214">
        <f>'[1]April - 2022'!EF39</f>
        <v>645</v>
      </c>
      <c r="ED39" s="91">
        <f>'[1]April - 2022'!EI39</f>
        <v>198334.2</v>
      </c>
      <c r="EE39" s="228">
        <f>'[1]April - 2022'!EJ39</f>
        <v>181.10000000000582</v>
      </c>
      <c r="EF39" s="373"/>
      <c r="EG39" s="234">
        <f>'[1]April - 2022'!EL39</f>
        <v>10880000</v>
      </c>
      <c r="EH39" s="229">
        <f>'[1]April - 2022'!EM39</f>
        <v>6100</v>
      </c>
      <c r="EI39" s="90">
        <f>'[1]April - 2022'!EN39</f>
        <v>862820</v>
      </c>
      <c r="EJ39" s="229">
        <f>'[1]April - 2022'!EO39</f>
        <v>280</v>
      </c>
      <c r="EK39" s="90">
        <f>'[1]April - 2022'!EP39</f>
        <v>6559000</v>
      </c>
      <c r="EL39" s="229">
        <f>'[1]April - 2022'!EQ39</f>
        <v>3400</v>
      </c>
      <c r="EM39" s="90">
        <f>'[1]April - 2022'!ER39</f>
        <v>2306000</v>
      </c>
      <c r="EN39" s="229">
        <f>'[1]April - 2022'!ES39</f>
        <v>1800</v>
      </c>
      <c r="EO39" s="90">
        <f>'[1]April - 2022'!ET39</f>
        <v>1085920</v>
      </c>
      <c r="EP39" s="229">
        <f>'[1]April - 2022'!EU39</f>
        <v>880</v>
      </c>
      <c r="EQ39" s="90">
        <f>'[1]April - 2022'!EV39</f>
        <v>14753500</v>
      </c>
      <c r="ER39" s="229">
        <f>'[1]April - 2022'!EW39</f>
        <v>8300</v>
      </c>
      <c r="ES39" s="421"/>
      <c r="ET39" s="278">
        <f>'[1]April - 2022'!EY39</f>
        <v>39607</v>
      </c>
      <c r="EU39" s="272">
        <f>'[1]April - 2022'!EZ39</f>
        <v>18</v>
      </c>
      <c r="EV39" s="279">
        <f>'[1]April - 2022'!FA39</f>
        <v>34249</v>
      </c>
      <c r="EW39" s="272">
        <f>'[1]April - 2022'!FB39</f>
        <v>12</v>
      </c>
      <c r="EX39" s="279">
        <f>'[1]April - 2022'!FC39</f>
        <v>5281</v>
      </c>
      <c r="EY39" s="272">
        <f>'[1]April - 2022'!FD39</f>
        <v>12</v>
      </c>
      <c r="EZ39" s="279">
        <f>'[1]April - 2022'!FE39</f>
        <v>56418</v>
      </c>
      <c r="FA39" s="272">
        <f>'[1]April - 2022'!FF39</f>
        <v>12</v>
      </c>
      <c r="FB39" s="279">
        <f>'[1]April - 2022'!FG39</f>
        <v>42126</v>
      </c>
      <c r="FC39" s="273">
        <f>'[1]April - 2022'!FH39</f>
        <v>28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450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435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373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423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538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40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39"/>
      <c r="AG41" s="539"/>
      <c r="AH41" s="539"/>
      <c r="AI41" s="539"/>
      <c r="AJ41" s="539"/>
      <c r="AK41" s="539"/>
      <c r="AL41" s="539"/>
      <c r="AM41" s="539"/>
      <c r="AN41" s="539"/>
      <c r="AO41" s="539"/>
      <c r="AP41" s="539"/>
      <c r="AQ41" s="539"/>
      <c r="AR41" s="539"/>
      <c r="AS41" s="539"/>
      <c r="AT41" s="539"/>
      <c r="AU41" s="539"/>
      <c r="AV41" s="539"/>
      <c r="AW41" s="539"/>
      <c r="AX41" s="539"/>
      <c r="AY41" s="541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39"/>
      <c r="BT41" s="539"/>
      <c r="BU41" s="542"/>
      <c r="BV41" s="539"/>
      <c r="BW41" s="539"/>
      <c r="BX41" s="539"/>
      <c r="BY41" s="539"/>
      <c r="BZ41" s="539"/>
      <c r="CA41" s="539"/>
      <c r="CB41" s="539"/>
      <c r="CC41" s="539"/>
      <c r="CD41" s="539"/>
      <c r="CE41" s="539"/>
      <c r="CF41" s="539"/>
      <c r="CG41" s="539"/>
      <c r="CH41" s="539"/>
      <c r="CI41" s="539"/>
      <c r="CJ41" s="539"/>
      <c r="CK41" s="539"/>
      <c r="CL41" s="539"/>
      <c r="CM41" s="539"/>
      <c r="CN41" s="539"/>
      <c r="CO41" s="539"/>
      <c r="CP41" s="539"/>
      <c r="CQ41" s="539"/>
      <c r="CR41" s="539"/>
      <c r="CS41" s="539"/>
      <c r="CT41" s="539"/>
      <c r="CU41" s="539"/>
      <c r="CV41" s="450"/>
      <c r="CW41" s="452"/>
      <c r="CX41" s="452"/>
      <c r="CY41" s="452"/>
      <c r="CZ41" s="452"/>
      <c r="DA41" s="452"/>
      <c r="DB41" s="452"/>
      <c r="DC41" s="452"/>
      <c r="DD41" s="452"/>
      <c r="DE41" s="452"/>
      <c r="DF41" s="452"/>
      <c r="DG41" s="452"/>
      <c r="DH41" s="452"/>
      <c r="DI41" s="452"/>
      <c r="DJ41" s="452"/>
      <c r="DK41" s="452"/>
      <c r="DL41" s="452"/>
      <c r="DM41" s="452"/>
      <c r="DN41" s="452"/>
      <c r="DO41" s="452"/>
      <c r="DP41" s="452"/>
      <c r="DQ41" s="452"/>
      <c r="DR41" s="453"/>
      <c r="DS41" s="436"/>
      <c r="DT41" s="437"/>
      <c r="DU41" s="438"/>
      <c r="DV41" s="438"/>
      <c r="DW41" s="438"/>
      <c r="DX41" s="438"/>
      <c r="DY41" s="438"/>
      <c r="DZ41" s="438"/>
      <c r="EA41" s="438"/>
      <c r="EB41" s="438"/>
      <c r="EC41" s="438"/>
      <c r="ED41" s="438"/>
      <c r="EE41" s="439"/>
      <c r="EF41" s="374"/>
      <c r="EG41" s="428"/>
      <c r="EH41" s="428"/>
      <c r="EI41" s="428"/>
      <c r="EJ41" s="428"/>
      <c r="EK41" s="428"/>
      <c r="EL41" s="428"/>
      <c r="EM41" s="428"/>
      <c r="EN41" s="428"/>
      <c r="EO41" s="428"/>
      <c r="EP41" s="428"/>
      <c r="EQ41" s="428"/>
      <c r="ER41" s="428"/>
      <c r="ES41" s="423"/>
      <c r="ET41" s="429"/>
      <c r="EU41" s="429"/>
      <c r="EV41" s="429"/>
      <c r="EW41" s="429"/>
      <c r="EX41" s="429"/>
      <c r="EY41" s="429"/>
      <c r="EZ41" s="429"/>
      <c r="FA41" s="429"/>
      <c r="FB41" s="429"/>
      <c r="FC41" s="429"/>
      <c r="FD41" s="28"/>
    </row>
    <row r="42" spans="1:160" ht="28.5" customHeight="1" thickBot="1" x14ac:dyDescent="0.35">
      <c r="A42" s="518" t="s">
        <v>192</v>
      </c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19"/>
      <c r="M42" s="519"/>
      <c r="N42" s="519"/>
      <c r="O42" s="519"/>
      <c r="P42" s="519"/>
      <c r="Q42" s="519"/>
      <c r="R42" s="519"/>
      <c r="S42" s="520"/>
      <c r="T42" s="521"/>
      <c r="U42" s="524" t="s">
        <v>193</v>
      </c>
      <c r="V42" s="524"/>
      <c r="W42" s="524"/>
      <c r="X42" s="524"/>
      <c r="Y42" s="524"/>
      <c r="Z42" s="524"/>
      <c r="AA42" s="524"/>
      <c r="AB42" s="524"/>
      <c r="AC42" s="524"/>
      <c r="AD42" s="524"/>
      <c r="AE42" s="524"/>
      <c r="AF42" s="524"/>
      <c r="AG42" s="524"/>
      <c r="AH42" s="524"/>
      <c r="AI42" s="524"/>
      <c r="AJ42" s="524"/>
      <c r="AK42" s="524"/>
      <c r="AL42" s="524"/>
      <c r="AM42" s="524"/>
      <c r="AN42" s="524"/>
      <c r="AO42" s="524"/>
      <c r="AP42" s="524"/>
      <c r="AQ42" s="524"/>
      <c r="AR42" s="524"/>
      <c r="AS42" s="524"/>
      <c r="AT42" s="524"/>
      <c r="AU42" s="524"/>
      <c r="AV42" s="524"/>
      <c r="AW42" s="524"/>
      <c r="AX42" s="524"/>
      <c r="AY42" s="525"/>
      <c r="AZ42" s="526" t="s">
        <v>130</v>
      </c>
      <c r="BA42" s="527"/>
      <c r="BB42" s="527"/>
      <c r="BC42" s="527"/>
      <c r="BD42" s="527"/>
      <c r="BE42" s="527"/>
      <c r="BF42" s="527"/>
      <c r="BG42" s="527"/>
      <c r="BH42" s="528"/>
      <c r="BI42" s="529"/>
      <c r="BJ42" s="530"/>
      <c r="BK42" s="530"/>
      <c r="BL42" s="530"/>
      <c r="BM42" s="530"/>
      <c r="BN42" s="530"/>
      <c r="BO42" s="530"/>
      <c r="BP42" s="530"/>
      <c r="BQ42" s="530"/>
      <c r="BR42" s="531"/>
      <c r="BS42" s="532" t="s">
        <v>131</v>
      </c>
      <c r="BT42" s="533"/>
      <c r="BU42" s="30"/>
      <c r="BV42" s="367" t="s">
        <v>194</v>
      </c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9"/>
      <c r="CV42" s="450"/>
      <c r="CW42" s="534"/>
      <c r="CX42" s="535"/>
      <c r="CY42" s="535"/>
      <c r="CZ42" s="535"/>
      <c r="DA42" s="535"/>
      <c r="DB42" s="535"/>
      <c r="DC42" s="535"/>
      <c r="DD42" s="535"/>
      <c r="DE42" s="535"/>
      <c r="DF42" s="535"/>
      <c r="DG42" s="535"/>
      <c r="DH42" s="535"/>
      <c r="DI42" s="535"/>
      <c r="DJ42" s="535"/>
      <c r="DK42" s="535"/>
      <c r="DL42" s="535"/>
      <c r="DM42" s="535"/>
      <c r="DN42" s="535"/>
      <c r="DO42" s="535"/>
      <c r="DP42" s="535"/>
      <c r="DQ42" s="535"/>
      <c r="DR42" s="536"/>
      <c r="DS42" s="436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74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23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7" t="s">
        <v>31</v>
      </c>
      <c r="B43" s="537"/>
      <c r="C43" s="556" t="s">
        <v>32</v>
      </c>
      <c r="D43" s="556"/>
      <c r="E43" s="557"/>
      <c r="F43" s="555" t="s">
        <v>33</v>
      </c>
      <c r="G43" s="556"/>
      <c r="H43" s="557"/>
      <c r="I43" s="558" t="s">
        <v>34</v>
      </c>
      <c r="J43" s="558"/>
      <c r="K43" s="558" t="s">
        <v>35</v>
      </c>
      <c r="L43" s="558"/>
      <c r="M43" s="558"/>
      <c r="N43" s="558"/>
      <c r="O43" s="555" t="s">
        <v>132</v>
      </c>
      <c r="P43" s="556"/>
      <c r="Q43" s="556"/>
      <c r="R43" s="556"/>
      <c r="S43" s="556"/>
      <c r="T43" s="522"/>
      <c r="U43" s="555" t="s">
        <v>36</v>
      </c>
      <c r="V43" s="556"/>
      <c r="W43" s="557"/>
      <c r="X43" s="555" t="s">
        <v>37</v>
      </c>
      <c r="Y43" s="556"/>
      <c r="Z43" s="557"/>
      <c r="AA43" s="555" t="s">
        <v>38</v>
      </c>
      <c r="AB43" s="556"/>
      <c r="AC43" s="557"/>
      <c r="AD43" s="555" t="s">
        <v>39</v>
      </c>
      <c r="AE43" s="556"/>
      <c r="AF43" s="557"/>
      <c r="AG43" s="555" t="s">
        <v>40</v>
      </c>
      <c r="AH43" s="556"/>
      <c r="AI43" s="557"/>
      <c r="AJ43" s="555" t="s">
        <v>41</v>
      </c>
      <c r="AK43" s="556"/>
      <c r="AL43" s="557"/>
      <c r="AM43" s="555" t="s">
        <v>42</v>
      </c>
      <c r="AN43" s="556"/>
      <c r="AO43" s="557"/>
      <c r="AP43" s="555" t="s">
        <v>43</v>
      </c>
      <c r="AQ43" s="556"/>
      <c r="AR43" s="557"/>
      <c r="AS43" s="555" t="s">
        <v>44</v>
      </c>
      <c r="AT43" s="556"/>
      <c r="AU43" s="557"/>
      <c r="AV43" s="555" t="s">
        <v>45</v>
      </c>
      <c r="AW43" s="556"/>
      <c r="AX43" s="556"/>
      <c r="AY43" s="581"/>
      <c r="AZ43" s="370" t="s">
        <v>133</v>
      </c>
      <c r="BA43" s="371"/>
      <c r="BB43" s="371"/>
      <c r="BC43" s="371" t="s">
        <v>134</v>
      </c>
      <c r="BD43" s="371"/>
      <c r="BE43" s="371"/>
      <c r="BF43" s="371" t="s">
        <v>135</v>
      </c>
      <c r="BG43" s="371"/>
      <c r="BH43" s="371"/>
      <c r="BI43" s="560"/>
      <c r="BJ43" s="561"/>
      <c r="BK43" s="560"/>
      <c r="BL43" s="561"/>
      <c r="BM43" s="560"/>
      <c r="BN43" s="561"/>
      <c r="BO43" s="560"/>
      <c r="BP43" s="561"/>
      <c r="BQ43" s="560"/>
      <c r="BR43" s="561"/>
      <c r="BS43" s="560" t="s">
        <v>136</v>
      </c>
      <c r="BT43" s="561"/>
      <c r="BU43" s="562"/>
      <c r="BV43" s="563" t="s">
        <v>13</v>
      </c>
      <c r="BW43" s="564"/>
      <c r="BX43" s="95"/>
      <c r="BY43" s="565" t="s">
        <v>120</v>
      </c>
      <c r="BZ43" s="565"/>
      <c r="CA43" s="454" t="s">
        <v>121</v>
      </c>
      <c r="CB43" s="455"/>
      <c r="CC43" s="454" t="s">
        <v>122</v>
      </c>
      <c r="CD43" s="455"/>
      <c r="CE43" s="454" t="s">
        <v>123</v>
      </c>
      <c r="CF43" s="455"/>
      <c r="CG43" s="454" t="s">
        <v>124</v>
      </c>
      <c r="CH43" s="455"/>
      <c r="CI43" s="454" t="s">
        <v>125</v>
      </c>
      <c r="CJ43" s="455"/>
      <c r="CK43" s="456" t="s">
        <v>14</v>
      </c>
      <c r="CL43" s="457"/>
      <c r="CM43" s="458"/>
      <c r="CN43" s="568" t="s">
        <v>15</v>
      </c>
      <c r="CO43" s="569"/>
      <c r="CP43" s="570"/>
      <c r="CQ43" s="456" t="s">
        <v>137</v>
      </c>
      <c r="CR43" s="457"/>
      <c r="CS43" s="458"/>
      <c r="CT43" s="576" t="s">
        <v>138</v>
      </c>
      <c r="CU43" s="577"/>
      <c r="CV43" s="450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36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74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23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43" t="s">
        <v>195</v>
      </c>
      <c r="B44" s="543"/>
      <c r="C44" s="544">
        <f>SUM(E9:E24)</f>
        <v>8239</v>
      </c>
      <c r="D44" s="545"/>
      <c r="E44" s="546"/>
      <c r="F44" s="547">
        <f>SUM(H9:H24)</f>
        <v>5778.5599999999995</v>
      </c>
      <c r="G44" s="548"/>
      <c r="H44" s="549"/>
      <c r="I44" s="547"/>
      <c r="J44" s="549"/>
      <c r="K44" s="550"/>
      <c r="L44" s="551"/>
      <c r="M44" s="552"/>
      <c r="N44" s="552"/>
      <c r="O44" s="547">
        <f>SUM(Q9:Q24)</f>
        <v>1544.14</v>
      </c>
      <c r="P44" s="548"/>
      <c r="Q44" s="549"/>
      <c r="R44" s="553"/>
      <c r="S44" s="554"/>
      <c r="T44" s="522"/>
      <c r="U44" s="358">
        <f>SUM(W9:W24)</f>
        <v>31473.120000000112</v>
      </c>
      <c r="V44" s="359"/>
      <c r="W44" s="360"/>
      <c r="X44" s="358">
        <f>SUM(Z9:Z24)</f>
        <v>68110.560000000522</v>
      </c>
      <c r="Y44" s="359"/>
      <c r="Z44" s="360"/>
      <c r="AA44" s="358">
        <f>SUM(AC9:AC24)</f>
        <v>112250.88000000082</v>
      </c>
      <c r="AB44" s="359"/>
      <c r="AC44" s="360"/>
      <c r="AD44" s="358">
        <f>SUM(AF9:AF24)</f>
        <v>22167.599999999627</v>
      </c>
      <c r="AE44" s="359"/>
      <c r="AF44" s="360"/>
      <c r="AG44" s="358">
        <f>SUM(AI9:AI24)</f>
        <v>91885.919999999925</v>
      </c>
      <c r="AH44" s="359"/>
      <c r="AI44" s="360"/>
      <c r="AJ44" s="358">
        <f>SUM(AL9:AL24)</f>
        <v>71082.480000000447</v>
      </c>
      <c r="AK44" s="359"/>
      <c r="AL44" s="360"/>
      <c r="AM44" s="358">
        <f>SUM(AO9:AO24)</f>
        <v>66210.479999998584</v>
      </c>
      <c r="AN44" s="359"/>
      <c r="AO44" s="360"/>
      <c r="AP44" s="358">
        <f>SUM(AR9:AR24)</f>
        <v>62020.559999998659</v>
      </c>
      <c r="AQ44" s="359"/>
      <c r="AR44" s="360"/>
      <c r="AS44" s="358">
        <f>SUM(AU9:AU24)</f>
        <v>45748.079999998212</v>
      </c>
      <c r="AT44" s="359"/>
      <c r="AU44" s="360"/>
      <c r="AV44" s="358">
        <f>SUM(AX9:AX24)</f>
        <v>90862.800000000745</v>
      </c>
      <c r="AW44" s="359"/>
      <c r="AX44" s="359"/>
      <c r="AY44" s="581"/>
      <c r="AZ44" s="359">
        <f>SUM(BB9:BB24)</f>
        <v>499600</v>
      </c>
      <c r="BA44" s="359"/>
      <c r="BB44" s="359"/>
      <c r="BC44" s="358">
        <f>SUM(BE9:BE24)</f>
        <v>55700</v>
      </c>
      <c r="BD44" s="359"/>
      <c r="BE44" s="359"/>
      <c r="BF44" s="353">
        <f>SUM(BH9:BH24)</f>
        <v>440500</v>
      </c>
      <c r="BG44" s="353"/>
      <c r="BH44" s="35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6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53">
        <f>SUM(CM9:CM24)</f>
        <v>1452</v>
      </c>
      <c r="CL44" s="353"/>
      <c r="CM44" s="353"/>
      <c r="CN44" s="353">
        <f>SUM(CP9:CP24)</f>
        <v>1483.6600000000035</v>
      </c>
      <c r="CO44" s="353"/>
      <c r="CP44" s="353"/>
      <c r="CQ44" s="353">
        <f>SUM(CS9:CS24)</f>
        <v>1792.9099999999744</v>
      </c>
      <c r="CR44" s="353"/>
      <c r="CS44" s="353"/>
      <c r="CT44" s="100"/>
      <c r="CU44" s="195"/>
      <c r="CV44" s="450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36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74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23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54" t="s">
        <v>196</v>
      </c>
      <c r="B45" s="354"/>
      <c r="C45" s="355">
        <f>SUM(D9:D24)</f>
        <v>11093</v>
      </c>
      <c r="D45" s="355"/>
      <c r="E45" s="356"/>
      <c r="F45" s="355">
        <f>SUM(G9:G24)</f>
        <v>5902</v>
      </c>
      <c r="G45" s="355"/>
      <c r="H45" s="356"/>
      <c r="I45" s="357"/>
      <c r="J45" s="357"/>
      <c r="K45" s="357"/>
      <c r="L45" s="357"/>
      <c r="M45" s="357"/>
      <c r="N45" s="357"/>
      <c r="O45" s="355">
        <f>SUM(P9:P24)</f>
        <v>1982.4100000000035</v>
      </c>
      <c r="P45" s="355"/>
      <c r="Q45" s="356"/>
      <c r="R45" s="361"/>
      <c r="S45" s="362"/>
      <c r="T45" s="523"/>
      <c r="U45" s="346">
        <f>SUM(V9:V24)</f>
        <v>41460.720000000671</v>
      </c>
      <c r="V45" s="346"/>
      <c r="W45" s="347"/>
      <c r="X45" s="346">
        <f>SUM(Y9:Y24)</f>
        <v>72544.080000001937</v>
      </c>
      <c r="Y45" s="346"/>
      <c r="Z45" s="347"/>
      <c r="AA45" s="346">
        <f>SUM(AB9:AB24)</f>
        <v>7697.7600000016391</v>
      </c>
      <c r="AB45" s="346"/>
      <c r="AC45" s="347"/>
      <c r="AD45" s="346">
        <f>SUM(AE9:AE24)</f>
        <v>101532.48000000045</v>
      </c>
      <c r="AE45" s="346"/>
      <c r="AF45" s="347"/>
      <c r="AG45" s="346">
        <f>SUM(AH9:AH24)</f>
        <v>93396.240000002086</v>
      </c>
      <c r="AH45" s="346"/>
      <c r="AI45" s="347"/>
      <c r="AJ45" s="346">
        <f>SUM(AK9:AK24)</f>
        <v>86624.160000002012</v>
      </c>
      <c r="AK45" s="346"/>
      <c r="AL45" s="347"/>
      <c r="AM45" s="346">
        <f>SUM(AN9:AN24)</f>
        <v>66551.519999999553</v>
      </c>
      <c r="AN45" s="346"/>
      <c r="AO45" s="347"/>
      <c r="AP45" s="346">
        <f>SUM(AQ9:AQ24)</f>
        <v>43360.800000000745</v>
      </c>
      <c r="AQ45" s="346"/>
      <c r="AR45" s="347"/>
      <c r="AS45" s="346">
        <f>SUM(AT9:AT24)</f>
        <v>41753.040000000969</v>
      </c>
      <c r="AT45" s="346"/>
      <c r="AU45" s="347"/>
      <c r="AV45" s="346">
        <f>SUM(AW9:AW24)</f>
        <v>82872.720000000671</v>
      </c>
      <c r="AW45" s="346"/>
      <c r="AX45" s="346"/>
      <c r="AY45" s="581"/>
      <c r="AZ45" s="347">
        <f>SUM(BA9:BA24)</f>
        <v>0</v>
      </c>
      <c r="BA45" s="353"/>
      <c r="BB45" s="353"/>
      <c r="BC45" s="353">
        <f>SUM(BD9:BD24)</f>
        <v>511200</v>
      </c>
      <c r="BD45" s="353"/>
      <c r="BE45" s="353"/>
      <c r="BF45" s="353">
        <f>SUM(BG9:BG24)</f>
        <v>481700</v>
      </c>
      <c r="BG45" s="353"/>
      <c r="BH45" s="35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6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53">
        <f>SUM(CL9:CL24)</f>
        <v>1634</v>
      </c>
      <c r="CL45" s="353"/>
      <c r="CM45" s="353"/>
      <c r="CN45" s="353">
        <f>SUM(CO9:CO24)</f>
        <v>1555</v>
      </c>
      <c r="CO45" s="353"/>
      <c r="CP45" s="353"/>
      <c r="CQ45" s="353">
        <f>SUM(CR9:CR24)</f>
        <v>841</v>
      </c>
      <c r="CR45" s="353"/>
      <c r="CS45" s="353"/>
      <c r="CT45" s="105"/>
      <c r="CU45" s="196"/>
      <c r="CV45" s="450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36"/>
      <c r="DT45" s="578" t="s">
        <v>104</v>
      </c>
      <c r="DU45" s="579"/>
      <c r="DV45" s="579"/>
      <c r="DW45" s="579"/>
      <c r="DX45" s="579"/>
      <c r="DY45" s="579"/>
      <c r="DZ45" s="579"/>
      <c r="EA45" s="579"/>
      <c r="EB45" s="579"/>
      <c r="EC45" s="579"/>
      <c r="ED45" s="579"/>
      <c r="EE45" s="579"/>
      <c r="EF45" s="579"/>
      <c r="EG45" s="579"/>
      <c r="EH45" s="579"/>
      <c r="EI45" s="579"/>
      <c r="EJ45" s="580"/>
      <c r="EK45" s="559"/>
      <c r="EL45" s="559"/>
      <c r="EM45" s="559"/>
      <c r="EN45" s="559"/>
      <c r="EO45" s="559"/>
      <c r="EP45" s="559"/>
      <c r="EQ45" s="559"/>
      <c r="ER45" s="55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1"/>
      <c r="AZ46" s="351">
        <f>AZ44-AZ45</f>
        <v>499600</v>
      </c>
      <c r="BA46" s="352"/>
      <c r="BB46" s="352"/>
      <c r="BC46" s="351">
        <f>BC45-BC44</f>
        <v>455500</v>
      </c>
      <c r="BD46" s="352"/>
      <c r="BE46" s="352"/>
      <c r="BF46" s="351">
        <f>BF45-BF44</f>
        <v>41200</v>
      </c>
      <c r="BG46" s="352"/>
      <c r="BH46" s="35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62"/>
      <c r="BV46" s="566"/>
      <c r="BW46" s="566"/>
      <c r="BX46" s="566"/>
      <c r="BY46" s="566"/>
      <c r="BZ46" s="566"/>
      <c r="CA46" s="566"/>
      <c r="CB46" s="566"/>
      <c r="CC46" s="566"/>
      <c r="CD46" s="566"/>
      <c r="CE46" s="566"/>
      <c r="CF46" s="566"/>
      <c r="CG46" s="566"/>
      <c r="CH46" s="566"/>
      <c r="CI46" s="566"/>
      <c r="CJ46" s="566"/>
      <c r="CK46" s="566"/>
      <c r="CL46" s="566"/>
      <c r="CM46" s="566"/>
      <c r="CN46" s="566"/>
      <c r="CO46" s="566"/>
      <c r="CP46" s="566"/>
      <c r="CQ46" s="566"/>
      <c r="CR46" s="566"/>
      <c r="CS46" s="566"/>
      <c r="CT46" s="566"/>
      <c r="CU46" s="567"/>
      <c r="CV46" s="450"/>
    </row>
    <row r="47" spans="1:160" ht="33.75" customHeight="1" x14ac:dyDescent="0.25">
      <c r="A47" s="571" t="s">
        <v>197</v>
      </c>
      <c r="B47" s="571"/>
      <c r="C47" s="572">
        <f>SUM(E9:E39)</f>
        <v>16603</v>
      </c>
      <c r="D47" s="573"/>
      <c r="E47" s="574"/>
      <c r="F47" s="572">
        <f>SUM(H9:H39)</f>
        <v>11080.56</v>
      </c>
      <c r="G47" s="573"/>
      <c r="H47" s="574"/>
      <c r="I47" s="575">
        <v>7048.9</v>
      </c>
      <c r="J47" s="575"/>
      <c r="K47" s="575">
        <v>7702.2000000000116</v>
      </c>
      <c r="L47" s="575"/>
      <c r="M47" s="575"/>
      <c r="N47" s="575"/>
      <c r="O47" s="575">
        <f>SUM(Q9:Q39)</f>
        <v>3477.25</v>
      </c>
      <c r="P47" s="575"/>
      <c r="Q47" s="575"/>
      <c r="R47" s="572">
        <v>476</v>
      </c>
      <c r="S47" s="573"/>
      <c r="T47" s="582"/>
      <c r="U47" s="345">
        <f>SUM(W9:W39)</f>
        <v>77123.759999999776</v>
      </c>
      <c r="V47" s="346"/>
      <c r="W47" s="347"/>
      <c r="X47" s="345">
        <f>SUM(Z9:Z39)</f>
        <v>137244.23999999836</v>
      </c>
      <c r="Y47" s="346"/>
      <c r="Z47" s="347"/>
      <c r="AA47" s="345">
        <f>SUM(AC9:AC39)</f>
        <v>150106.32000000216</v>
      </c>
      <c r="AB47" s="346"/>
      <c r="AC47" s="347"/>
      <c r="AD47" s="345">
        <f>SUM(AF9:AF39)</f>
        <v>119607.59999999963</v>
      </c>
      <c r="AE47" s="346"/>
      <c r="AF47" s="347"/>
      <c r="AG47" s="345">
        <f>SUM(AI9:AI39)</f>
        <v>162919.6799999997</v>
      </c>
      <c r="AH47" s="346"/>
      <c r="AI47" s="347"/>
      <c r="AJ47" s="345">
        <f>SUM(AL9:AL39)</f>
        <v>152298.72000000067</v>
      </c>
      <c r="AK47" s="346"/>
      <c r="AL47" s="347"/>
      <c r="AM47" s="345">
        <f>SUM(AO9:AO39)</f>
        <v>130520.87999999896</v>
      </c>
      <c r="AN47" s="346"/>
      <c r="AO47" s="347"/>
      <c r="AP47" s="345">
        <f>SUM(AR9:AR39)</f>
        <v>124479.59999999963</v>
      </c>
      <c r="AQ47" s="346"/>
      <c r="AR47" s="347"/>
      <c r="AS47" s="345">
        <f>SUM(AU9:AU39)</f>
        <v>90765.359999999404</v>
      </c>
      <c r="AT47" s="346"/>
      <c r="AU47" s="347"/>
      <c r="AV47" s="345">
        <f>SUM(AX9:AX39)</f>
        <v>173979.12000000104</v>
      </c>
      <c r="AW47" s="346"/>
      <c r="AX47" s="346"/>
      <c r="AY47" s="581"/>
      <c r="AZ47" s="331">
        <v>347300</v>
      </c>
      <c r="BA47" s="331"/>
      <c r="BB47" s="332"/>
      <c r="BC47" s="339">
        <v>361100</v>
      </c>
      <c r="BD47" s="331"/>
      <c r="BE47" s="332"/>
      <c r="BF47" s="339">
        <v>558842</v>
      </c>
      <c r="BG47" s="331"/>
      <c r="BH47" s="33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0">
        <v>131110</v>
      </c>
      <c r="BT47" s="341"/>
      <c r="BU47" s="562"/>
      <c r="BV47" s="342"/>
      <c r="BW47" s="34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45">
        <f>SUM(CM9:CM39)</f>
        <v>2946</v>
      </c>
      <c r="CL47" s="346"/>
      <c r="CM47" s="347"/>
      <c r="CN47" s="345">
        <f>SUM(CP9:CP39)</f>
        <v>2960.6600000000035</v>
      </c>
      <c r="CO47" s="346"/>
      <c r="CP47" s="347"/>
      <c r="CQ47" s="345">
        <f>SUM(CS9:CS39)</f>
        <v>2873.9099999999744</v>
      </c>
      <c r="CR47" s="346"/>
      <c r="CS47" s="347"/>
      <c r="CT47" s="333">
        <v>3894</v>
      </c>
      <c r="CU47" s="334"/>
      <c r="CV47" s="450"/>
      <c r="DJ47" s="4">
        <v>487.2</v>
      </c>
    </row>
    <row r="48" spans="1:160" ht="30" customHeight="1" x14ac:dyDescent="0.25">
      <c r="A48" s="587" t="s">
        <v>198</v>
      </c>
      <c r="B48" s="587"/>
      <c r="C48" s="572">
        <f>SUM(D10:D39)</f>
        <v>22040</v>
      </c>
      <c r="D48" s="573"/>
      <c r="E48" s="574"/>
      <c r="F48" s="572">
        <f>SUM(G9:G39)</f>
        <v>11869</v>
      </c>
      <c r="G48" s="573"/>
      <c r="H48" s="574"/>
      <c r="I48" s="572">
        <f>SUM(J10:J39)</f>
        <v>0</v>
      </c>
      <c r="J48" s="574"/>
      <c r="K48" s="572">
        <f>SUM(L9:L39)</f>
        <v>8994</v>
      </c>
      <c r="L48" s="574"/>
      <c r="M48" s="572"/>
      <c r="N48" s="574"/>
      <c r="O48" s="572">
        <f>SUM(P9:P39)</f>
        <v>4292.1200000000026</v>
      </c>
      <c r="P48" s="573"/>
      <c r="Q48" s="574"/>
      <c r="R48" s="572">
        <f>SUM(S9:S39)</f>
        <v>587</v>
      </c>
      <c r="S48" s="573"/>
      <c r="T48" s="582"/>
      <c r="U48" s="583">
        <f>SUM(V9:V39)</f>
        <v>78682.800000000745</v>
      </c>
      <c r="V48" s="584"/>
      <c r="W48" s="585"/>
      <c r="X48" s="583">
        <f>SUM(Y9:Y39)</f>
        <v>144990.72000000067</v>
      </c>
      <c r="Y48" s="584"/>
      <c r="Z48" s="585"/>
      <c r="AA48" s="335">
        <f>SUM(AB9:AB39)</f>
        <v>120240.96000000276</v>
      </c>
      <c r="AB48" s="336"/>
      <c r="AC48" s="337"/>
      <c r="AD48" s="335">
        <f>SUM(AE9:AE39)</f>
        <v>201652.08000000194</v>
      </c>
      <c r="AE48" s="336"/>
      <c r="AF48" s="337"/>
      <c r="AG48" s="335">
        <f>SUM(AH9:AH39)</f>
        <v>108499.44000000134</v>
      </c>
      <c r="AH48" s="336"/>
      <c r="AI48" s="337"/>
      <c r="AJ48" s="335">
        <f>SUM(AK9:AK39)</f>
        <v>172712.40000000037</v>
      </c>
      <c r="AK48" s="336"/>
      <c r="AL48" s="337"/>
      <c r="AM48" s="335">
        <f>SUM(AN9:AN39)</f>
        <v>134613.3599999994</v>
      </c>
      <c r="AN48" s="336"/>
      <c r="AO48" s="337"/>
      <c r="AP48" s="335">
        <f>SUM(AQ9:AQ39)</f>
        <v>85844.639999998733</v>
      </c>
      <c r="AQ48" s="336"/>
      <c r="AR48" s="337"/>
      <c r="AS48" s="335">
        <f>SUM(AT9:AT39)</f>
        <v>84236.879999998957</v>
      </c>
      <c r="AT48" s="336"/>
      <c r="AU48" s="337"/>
      <c r="AV48" s="335">
        <f>SUM(AW9:AW39)</f>
        <v>168230.15999999829</v>
      </c>
      <c r="AW48" s="336"/>
      <c r="AX48" s="336"/>
      <c r="AY48" s="581"/>
      <c r="AZ48" s="331">
        <f>SUM(BA9:BA40)</f>
        <v>585100</v>
      </c>
      <c r="BA48" s="331"/>
      <c r="BB48" s="332"/>
      <c r="BC48" s="331">
        <f t="shared" ref="BC48" si="0">SUM(BD9:BD40)</f>
        <v>1016400</v>
      </c>
      <c r="BD48" s="331"/>
      <c r="BE48" s="332"/>
      <c r="BF48" s="331">
        <f t="shared" ref="BF48" si="1">SUM(BG9:BG40)</f>
        <v>529500</v>
      </c>
      <c r="BG48" s="331"/>
      <c r="BH48" s="33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8">
        <f>SUM(BT9:BT39)</f>
        <v>182710</v>
      </c>
      <c r="BT48" s="338"/>
      <c r="BU48" s="562"/>
      <c r="BV48" s="348"/>
      <c r="BW48" s="349"/>
      <c r="BX48" s="117"/>
      <c r="BY48" s="343">
        <f>SUM(BZ9:BZ39)</f>
        <v>610</v>
      </c>
      <c r="BZ48" s="344"/>
      <c r="CA48" s="343">
        <f>SUM(CB9:CB39)</f>
        <v>583</v>
      </c>
      <c r="CB48" s="344"/>
      <c r="CC48" s="343">
        <f>SUM(CD9:CD39)</f>
        <v>148</v>
      </c>
      <c r="CD48" s="344"/>
      <c r="CE48" s="343">
        <f>SUM(CF9:CF39)</f>
        <v>226</v>
      </c>
      <c r="CF48" s="344"/>
      <c r="CG48" s="343">
        <f>SUM(CH9:CH39)</f>
        <v>305</v>
      </c>
      <c r="CH48" s="344"/>
      <c r="CI48" s="343">
        <f>SUM(CJ9:CJ39)</f>
        <v>798</v>
      </c>
      <c r="CJ48" s="344"/>
      <c r="CK48" s="343">
        <f>SUM(CL9:CL39)</f>
        <v>3092</v>
      </c>
      <c r="CL48" s="350"/>
      <c r="CM48" s="344"/>
      <c r="CN48" s="343">
        <f>SUM(CO9:CO39)</f>
        <v>3304</v>
      </c>
      <c r="CO48" s="350"/>
      <c r="CP48" s="344"/>
      <c r="CQ48" s="343">
        <f>SUM(CR9:CR39)</f>
        <v>1516</v>
      </c>
      <c r="CR48" s="350"/>
      <c r="CS48" s="344"/>
      <c r="CT48" s="343">
        <f>SUM(CU9:CU39)</f>
        <v>4965</v>
      </c>
      <c r="CU48" s="350"/>
      <c r="CV48" s="450"/>
    </row>
    <row r="49" spans="1:159" ht="30" customHeight="1" x14ac:dyDescent="0.25">
      <c r="A49" s="297" t="s">
        <v>46</v>
      </c>
      <c r="B49" s="297"/>
      <c r="C49" s="298">
        <f>C47-C48</f>
        <v>-5437</v>
      </c>
      <c r="D49" s="299"/>
      <c r="E49" s="300"/>
      <c r="F49" s="298">
        <f>F47-F48</f>
        <v>-788.44000000000051</v>
      </c>
      <c r="G49" s="299"/>
      <c r="H49" s="300"/>
      <c r="I49" s="298">
        <f>I47-I48</f>
        <v>7048.9</v>
      </c>
      <c r="J49" s="300"/>
      <c r="K49" s="298">
        <f>K47-K48</f>
        <v>-1291.7999999999884</v>
      </c>
      <c r="L49" s="300"/>
      <c r="M49" s="298"/>
      <c r="N49" s="300"/>
      <c r="O49" s="586">
        <f>O47-O48</f>
        <v>-814.87000000000262</v>
      </c>
      <c r="P49" s="586"/>
      <c r="Q49" s="586"/>
      <c r="R49" s="298">
        <f>R47-R48</f>
        <v>-111</v>
      </c>
      <c r="S49" s="299"/>
      <c r="T49" s="582"/>
      <c r="U49" s="295">
        <f>U48-U47</f>
        <v>1559.0400000009686</v>
      </c>
      <c r="V49" s="296"/>
      <c r="W49" s="588"/>
      <c r="X49" s="295">
        <f>X47-X48</f>
        <v>-7746.4800000023097</v>
      </c>
      <c r="Y49" s="296"/>
      <c r="Z49" s="588"/>
      <c r="AA49" s="295">
        <f>AA47-AA48</f>
        <v>29865.359999999404</v>
      </c>
      <c r="AB49" s="296"/>
      <c r="AC49" s="588"/>
      <c r="AD49" s="295">
        <f>AD47-AD48</f>
        <v>-82044.48000000231</v>
      </c>
      <c r="AE49" s="296"/>
      <c r="AF49" s="588"/>
      <c r="AG49" s="295">
        <f>AG47-AG48</f>
        <v>54420.239999998361</v>
      </c>
      <c r="AH49" s="296"/>
      <c r="AI49" s="588"/>
      <c r="AJ49" s="295">
        <f>AJ47-AJ48</f>
        <v>-20413.679999999702</v>
      </c>
      <c r="AK49" s="296"/>
      <c r="AL49" s="588"/>
      <c r="AM49" s="295">
        <f>AM47-AM48</f>
        <v>-4092.480000000447</v>
      </c>
      <c r="AN49" s="296"/>
      <c r="AO49" s="588"/>
      <c r="AP49" s="295">
        <f>AP47-AP48</f>
        <v>38634.960000000894</v>
      </c>
      <c r="AQ49" s="296"/>
      <c r="AR49" s="588"/>
      <c r="AS49" s="295">
        <f>AS47-AS48</f>
        <v>6528.480000000447</v>
      </c>
      <c r="AT49" s="296"/>
      <c r="AU49" s="588"/>
      <c r="AV49" s="295">
        <f>AV47-AV48</f>
        <v>5748.9600000027567</v>
      </c>
      <c r="AW49" s="296"/>
      <c r="AX49" s="296"/>
      <c r="AY49" s="581"/>
      <c r="AZ49" s="331">
        <f>AZ48-AZ47</f>
        <v>237800</v>
      </c>
      <c r="BA49" s="331"/>
      <c r="BB49" s="332"/>
      <c r="BC49" s="331">
        <f t="shared" ref="BC49" si="2">BC48-BC47</f>
        <v>655300</v>
      </c>
      <c r="BD49" s="331"/>
      <c r="BE49" s="332"/>
      <c r="BF49" s="331">
        <f t="shared" ref="BF49" si="3">BF48-BF47</f>
        <v>-29342</v>
      </c>
      <c r="BG49" s="331"/>
      <c r="BH49" s="33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9"/>
      <c r="BT49" s="332"/>
      <c r="BU49" s="562"/>
      <c r="BV49" s="323"/>
      <c r="BW49" s="32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02">
        <f>CK47-CK48</f>
        <v>-146</v>
      </c>
      <c r="CL49" s="589"/>
      <c r="CM49" s="590"/>
      <c r="CN49" s="302">
        <f>CN47-CN48</f>
        <v>-343.33999999999651</v>
      </c>
      <c r="CO49" s="589"/>
      <c r="CP49" s="590"/>
      <c r="CQ49" s="302">
        <f>CQ47-CQ48</f>
        <v>1357.9099999999744</v>
      </c>
      <c r="CR49" s="589"/>
      <c r="CS49" s="590"/>
      <c r="CT49" s="301">
        <f>CT47-CT48</f>
        <v>-1071</v>
      </c>
      <c r="CU49" s="302"/>
      <c r="CV49" s="450"/>
    </row>
    <row r="50" spans="1:159" ht="31.5" customHeight="1" thickBot="1" x14ac:dyDescent="0.3">
      <c r="A50" s="303" t="s">
        <v>139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4" t="s">
        <v>199</v>
      </c>
      <c r="V50" s="305"/>
      <c r="W50" s="305"/>
      <c r="X50" s="305"/>
      <c r="Y50" s="305"/>
      <c r="Z50" s="306"/>
      <c r="AA50" s="307">
        <f>SUM(U47,X47,AA47,AD47,AG47,AJ47,AM47,AP47,AS47,AV47)</f>
        <v>1319045.2799999993</v>
      </c>
      <c r="AB50" s="308"/>
      <c r="AC50" s="308"/>
      <c r="AD50" s="308"/>
      <c r="AE50" s="308"/>
      <c r="AF50" s="309"/>
      <c r="AG50" s="310" t="s">
        <v>200</v>
      </c>
      <c r="AH50" s="311"/>
      <c r="AI50" s="311"/>
      <c r="AJ50" s="311"/>
      <c r="AK50" s="311"/>
      <c r="AL50" s="312"/>
      <c r="AM50" s="313">
        <f>SUM(U48,X48,AA48,AD48,AG48,AJ48,AM48,AP48,AS48,AV48)</f>
        <v>1299703.4400000032</v>
      </c>
      <c r="AN50" s="314"/>
      <c r="AO50" s="314"/>
      <c r="AP50" s="314"/>
      <c r="AQ50" s="314"/>
      <c r="AR50" s="315"/>
      <c r="AS50" s="316" t="s">
        <v>140</v>
      </c>
      <c r="AT50" s="317"/>
      <c r="AU50" s="318"/>
      <c r="AV50" s="316">
        <f>AA50-AM50</f>
        <v>19341.839999996126</v>
      </c>
      <c r="AW50" s="317"/>
      <c r="AX50" s="317"/>
      <c r="AY50" s="581"/>
      <c r="AZ50" s="319">
        <v>42751</v>
      </c>
      <c r="BA50" s="320"/>
      <c r="BB50" s="321"/>
      <c r="BC50" s="319">
        <v>43116</v>
      </c>
      <c r="BD50" s="320"/>
      <c r="BE50" s="321"/>
      <c r="BF50" s="324" t="s">
        <v>46</v>
      </c>
      <c r="BG50" s="325"/>
      <c r="BH50" s="32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7"/>
      <c r="BT50" s="328"/>
      <c r="BU50" s="562"/>
      <c r="BV50" s="323"/>
      <c r="BW50" s="32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23"/>
      <c r="CL50" s="330"/>
      <c r="CM50" s="329"/>
      <c r="CN50" s="323"/>
      <c r="CO50" s="330"/>
      <c r="CP50" s="329"/>
      <c r="CQ50" s="323"/>
      <c r="CR50" s="330"/>
      <c r="CS50" s="329"/>
      <c r="CT50" s="322"/>
      <c r="CU50" s="323"/>
      <c r="CV50" s="451"/>
    </row>
    <row r="51" spans="1:159" ht="27.75" customHeight="1" x14ac:dyDescent="0.3">
      <c r="A51" s="591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34"/>
      <c r="U51" s="592" t="s">
        <v>201</v>
      </c>
      <c r="V51" s="593"/>
      <c r="W51" s="593"/>
      <c r="X51" s="593"/>
      <c r="Y51" s="593"/>
      <c r="Z51" s="594"/>
      <c r="AA51" s="307">
        <f>SUM(U44:AX44)</f>
        <v>661812.47999999765</v>
      </c>
      <c r="AB51" s="308"/>
      <c r="AC51" s="308"/>
      <c r="AD51" s="308"/>
      <c r="AE51" s="308"/>
      <c r="AF51" s="309"/>
      <c r="AG51" s="595" t="s">
        <v>202</v>
      </c>
      <c r="AH51" s="596"/>
      <c r="AI51" s="596"/>
      <c r="AJ51" s="596"/>
      <c r="AK51" s="596"/>
      <c r="AL51" s="597"/>
      <c r="AM51" s="598">
        <f>SUM(U45:AX45)</f>
        <v>637793.52000001073</v>
      </c>
      <c r="AN51" s="598"/>
      <c r="AO51" s="598"/>
      <c r="AP51" s="598"/>
      <c r="AQ51" s="598"/>
      <c r="AR51" s="598"/>
      <c r="AS51" s="316" t="s">
        <v>140</v>
      </c>
      <c r="AT51" s="317"/>
      <c r="AU51" s="318"/>
      <c r="AV51" s="316">
        <f>AA51-AM51</f>
        <v>24018.959999986924</v>
      </c>
      <c r="AW51" s="317"/>
      <c r="AX51" s="318"/>
      <c r="AY51" s="581"/>
      <c r="AZ51" s="324">
        <f>SUM(AZ47,BC47,BF47)</f>
        <v>1267242</v>
      </c>
      <c r="BA51" s="325"/>
      <c r="BB51" s="326"/>
      <c r="BC51" s="324">
        <f>SUM(AZ48:BG48)</f>
        <v>2131000</v>
      </c>
      <c r="BD51" s="325"/>
      <c r="BE51" s="326"/>
      <c r="BF51" s="324">
        <v>643100</v>
      </c>
      <c r="BG51" s="325"/>
      <c r="BH51" s="325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7"/>
      <c r="BT51" s="328"/>
      <c r="BU51" s="56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601"/>
      <c r="B52" s="601"/>
      <c r="C52" s="601"/>
      <c r="D52" s="602"/>
      <c r="E52" s="602"/>
      <c r="F52" s="602"/>
      <c r="G52" s="603"/>
      <c r="H52" s="603"/>
      <c r="I52" s="603"/>
      <c r="J52" s="603"/>
      <c r="K52" s="123"/>
      <c r="L52" s="602"/>
      <c r="M52" s="602"/>
      <c r="N52" s="602"/>
      <c r="O52" s="602"/>
      <c r="P52" s="36"/>
      <c r="Q52" s="36"/>
      <c r="R52" s="124"/>
      <c r="S52" s="37"/>
      <c r="T52" s="38"/>
      <c r="U52" s="604"/>
      <c r="V52" s="604"/>
      <c r="W52" s="39"/>
      <c r="X52" s="605"/>
      <c r="Y52" s="605"/>
      <c r="Z52" s="7"/>
      <c r="AA52" s="125"/>
      <c r="AY52" s="581"/>
    </row>
    <row r="53" spans="1:159" ht="25.5" customHeight="1" x14ac:dyDescent="0.25">
      <c r="A53" s="606">
        <v>487.2</v>
      </c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  <c r="AA53" s="606"/>
      <c r="AB53" s="606"/>
      <c r="AC53" s="606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606"/>
      <c r="BT53" s="606"/>
      <c r="BU53" s="606"/>
      <c r="BV53" s="606"/>
      <c r="BW53" s="606"/>
      <c r="BX53" s="606"/>
      <c r="BY53" s="606"/>
      <c r="BZ53" s="606"/>
      <c r="CA53" s="606"/>
      <c r="CB53" s="606"/>
      <c r="CC53" s="606"/>
      <c r="CD53" s="606"/>
      <c r="CE53" s="606"/>
      <c r="CF53" s="606"/>
      <c r="CG53" s="606"/>
      <c r="CH53" s="606"/>
      <c r="CI53" s="606"/>
      <c r="CJ53" s="606"/>
      <c r="CK53" s="606"/>
      <c r="CL53" s="606"/>
      <c r="CM53" s="606"/>
      <c r="CN53" s="606"/>
      <c r="CO53" s="606"/>
      <c r="CP53" s="606"/>
      <c r="CQ53" s="606"/>
      <c r="CR53" s="606"/>
      <c r="CS53" s="606"/>
      <c r="CT53" s="606"/>
      <c r="CU53" s="606"/>
    </row>
    <row r="54" spans="1:159" s="1" customFormat="1" ht="12.75" customHeight="1" x14ac:dyDescent="0.4">
      <c r="A54" s="601"/>
      <c r="B54" s="601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40"/>
      <c r="R54" s="40"/>
      <c r="S54" s="167"/>
      <c r="T54" s="38"/>
      <c r="U54" s="612"/>
      <c r="V54" s="612"/>
      <c r="W54" s="612"/>
      <c r="X54" s="612"/>
      <c r="Y54" s="6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10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610"/>
      <c r="W55" s="610"/>
      <c r="X55" s="613"/>
      <c r="Y55" s="610"/>
      <c r="Z55" s="610"/>
      <c r="AA55" s="610"/>
      <c r="AB55" s="610"/>
      <c r="AC55" s="610"/>
      <c r="AD55" s="610"/>
      <c r="AE55" s="610"/>
      <c r="AF55" s="610"/>
      <c r="AG55" s="610"/>
      <c r="AH55" s="610"/>
      <c r="AI55" s="610"/>
      <c r="AJ55" s="610"/>
      <c r="AK55" s="611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7"/>
      <c r="B56" s="607"/>
      <c r="C56" s="607"/>
      <c r="D56" s="607"/>
      <c r="E56" s="607"/>
      <c r="F56" s="607"/>
      <c r="G56" s="607"/>
      <c r="H56" s="607"/>
      <c r="I56" s="607"/>
      <c r="J56" s="620"/>
      <c r="K56" s="620"/>
      <c r="L56" s="620"/>
      <c r="M56" s="620"/>
      <c r="N56" s="607"/>
      <c r="O56" s="607"/>
      <c r="P56" s="607"/>
      <c r="Q56" s="607"/>
      <c r="R56" s="607"/>
      <c r="S56" s="607"/>
      <c r="T56" s="607"/>
      <c r="U56" s="607"/>
      <c r="V56" s="608">
        <v>487.2</v>
      </c>
      <c r="W56" s="608"/>
      <c r="X56" s="613"/>
      <c r="Y56" s="609"/>
      <c r="Z56" s="609"/>
      <c r="AA56" s="609"/>
      <c r="AB56" s="609"/>
      <c r="AC56" s="609"/>
      <c r="AD56" s="609"/>
      <c r="AE56" s="609"/>
      <c r="AF56" s="609"/>
      <c r="AG56" s="609"/>
      <c r="AH56" s="609"/>
      <c r="AI56" s="609"/>
      <c r="AJ56" s="609"/>
      <c r="AK56" s="611"/>
      <c r="AL56" s="609"/>
      <c r="AM56" s="609"/>
      <c r="AN56" s="609"/>
      <c r="AO56" s="609"/>
      <c r="AP56" s="609"/>
      <c r="AQ56" s="609"/>
      <c r="AR56" s="609"/>
      <c r="AS56" s="609"/>
      <c r="AT56" s="609"/>
      <c r="AU56" s="609"/>
      <c r="AV56" s="609"/>
      <c r="AW56" s="609"/>
      <c r="AX56" s="610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7"/>
      <c r="D58" s="156"/>
      <c r="E58" s="614"/>
      <c r="F58" s="45"/>
      <c r="G58" s="614"/>
      <c r="H58" s="127"/>
      <c r="I58" s="617"/>
      <c r="J58" s="160"/>
      <c r="K58" s="617"/>
      <c r="L58" s="163"/>
      <c r="M58" s="617"/>
      <c r="N58" s="160"/>
      <c r="O58" s="617"/>
      <c r="P58" s="160"/>
      <c r="Q58" s="614"/>
      <c r="R58" s="128"/>
      <c r="S58" s="141"/>
      <c r="T58" s="47"/>
      <c r="U58" s="128"/>
      <c r="V58" s="48"/>
      <c r="W58" s="614"/>
      <c r="X58" s="613"/>
      <c r="Y58" s="61"/>
      <c r="Z58" s="614"/>
      <c r="AA58" s="49"/>
      <c r="AB58" s="616"/>
      <c r="AC58" s="45"/>
      <c r="AD58" s="617"/>
      <c r="AE58" s="141"/>
      <c r="AF58" s="614"/>
      <c r="AG58" s="45"/>
      <c r="AH58" s="614"/>
      <c r="AI58" s="45"/>
      <c r="AJ58" s="617"/>
      <c r="AK58" s="611"/>
      <c r="AL58" s="51"/>
      <c r="AM58" s="617"/>
      <c r="AN58" s="170"/>
      <c r="AO58" s="614"/>
      <c r="AP58" s="52"/>
      <c r="AQ58" s="614"/>
      <c r="AR58" s="49"/>
      <c r="AS58" s="617"/>
      <c r="AT58" s="61"/>
      <c r="AU58" s="614"/>
      <c r="AV58" s="53"/>
      <c r="AW58" s="615"/>
      <c r="AX58" s="610"/>
      <c r="AY58" s="54"/>
      <c r="AZ58" s="617"/>
      <c r="BA58" s="177"/>
      <c r="BB58" s="614"/>
      <c r="BC58" s="55"/>
      <c r="BD58" s="619"/>
      <c r="BE58" s="55"/>
      <c r="BF58" s="617"/>
      <c r="BG58" s="177"/>
      <c r="BH58" s="614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7"/>
      <c r="D59" s="157"/>
      <c r="E59" s="614"/>
      <c r="F59" s="57"/>
      <c r="G59" s="614"/>
      <c r="H59" s="129"/>
      <c r="I59" s="617"/>
      <c r="J59" s="144"/>
      <c r="K59" s="617"/>
      <c r="L59" s="144"/>
      <c r="M59" s="617"/>
      <c r="N59" s="165"/>
      <c r="O59" s="617"/>
      <c r="P59" s="160"/>
      <c r="Q59" s="614"/>
      <c r="R59" s="128"/>
      <c r="S59" s="141"/>
      <c r="T59" s="47"/>
      <c r="U59" s="128"/>
      <c r="V59" s="48"/>
      <c r="W59" s="614"/>
      <c r="X59" s="613"/>
      <c r="Y59" s="144"/>
      <c r="Z59" s="614"/>
      <c r="AA59" s="49"/>
      <c r="AB59" s="616"/>
      <c r="AC59" s="57"/>
      <c r="AD59" s="617"/>
      <c r="AE59" s="141"/>
      <c r="AF59" s="614"/>
      <c r="AG59" s="57"/>
      <c r="AH59" s="614"/>
      <c r="AI59" s="57"/>
      <c r="AJ59" s="617"/>
      <c r="AK59" s="611"/>
      <c r="AL59" s="51"/>
      <c r="AM59" s="617"/>
      <c r="AN59" s="171"/>
      <c r="AO59" s="614"/>
      <c r="AP59" s="52"/>
      <c r="AQ59" s="614"/>
      <c r="AR59" s="58"/>
      <c r="AS59" s="617"/>
      <c r="AT59" s="171"/>
      <c r="AU59" s="614"/>
      <c r="AV59" s="59"/>
      <c r="AW59" s="616"/>
      <c r="AX59" s="610"/>
      <c r="AY59" s="60"/>
      <c r="AZ59" s="617"/>
      <c r="BA59" s="177"/>
      <c r="BB59" s="614"/>
      <c r="BC59" s="55"/>
      <c r="BD59" s="619"/>
      <c r="BE59" s="55"/>
      <c r="BF59" s="617"/>
      <c r="BG59" s="177"/>
      <c r="BH59" s="614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3"/>
      <c r="Y94" s="599"/>
      <c r="Z94" s="599"/>
      <c r="AA94" s="599"/>
      <c r="AB94" s="599"/>
      <c r="AC94" s="599"/>
      <c r="AD94" s="599"/>
      <c r="AE94" s="599"/>
      <c r="AF94" s="599"/>
      <c r="AG94" s="599"/>
      <c r="AH94" s="599"/>
      <c r="AI94" s="599"/>
      <c r="AJ94" s="599"/>
      <c r="AK94" s="599"/>
      <c r="AL94" s="599"/>
      <c r="AM94" s="599"/>
      <c r="AN94" s="599"/>
      <c r="AO94" s="599"/>
      <c r="AP94" s="600"/>
      <c r="AQ94" s="600"/>
      <c r="AR94" s="600"/>
      <c r="AS94" s="600"/>
      <c r="AT94" s="600"/>
      <c r="AU94" s="600"/>
      <c r="AV94" s="600"/>
      <c r="AW94" s="6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393656-A832-46E3-B0F1-68E2FC659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07FB85-7434-4F50-9926-8FD7FA105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78166F-531C-436B-AF9D-E722928C1F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653800</vt:r8>
  </property>
</Properties>
</file>