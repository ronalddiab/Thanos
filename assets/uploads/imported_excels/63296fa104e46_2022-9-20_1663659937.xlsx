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0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5.Energy consumption report\Hotel Energy Portal (HEP)\2022 FS Tokyo at Otemachi_HEP_Daily\"/>
    </mc:Choice>
  </mc:AlternateContent>
  <xr:revisionPtr revIDLastSave="0" documentId="13_ncr:1_{2854B4A1-935B-4EA4-92D1-8464237B4286}" xr6:coauthVersionLast="36" xr6:coauthVersionMax="47" xr10:uidLastSave="{00000000-0000-0000-0000-000000000000}"/>
  <bookViews>
    <workbookView xWindow="-120" yWindow="-120" windowWidth="29040" windowHeight="15840" tabRatio="620" xr2:uid="{00000000-000D-0000-FFFF-FFFF00000000}"/>
  </bookViews>
  <sheets>
    <sheet name="TOTAL" sheetId="117" r:id="rId1"/>
    <sheet name="Otemachi Daily" sheetId="119" r:id="rId2"/>
  </sheets>
  <externalReferences>
    <externalReference r:id="rId3"/>
  </externalReferences>
  <calcPr calcId="191029"/>
</workbook>
</file>

<file path=xl/calcChain.xml><?xml version="1.0" encoding="utf-8"?>
<calcChain xmlns="http://schemas.openxmlformats.org/spreadsheetml/2006/main">
  <c r="N35" i="119" l="1"/>
  <c r="M35" i="119"/>
  <c r="N34" i="119"/>
  <c r="M34" i="119"/>
  <c r="N33" i="119"/>
  <c r="M33" i="119"/>
  <c r="N32" i="119"/>
  <c r="M32" i="119"/>
  <c r="N31" i="119"/>
  <c r="M31" i="119"/>
  <c r="N30" i="119"/>
  <c r="M30" i="119"/>
  <c r="N29" i="119"/>
  <c r="M29" i="119"/>
  <c r="N28" i="119"/>
  <c r="M28" i="119"/>
  <c r="N27" i="119"/>
  <c r="M27" i="119"/>
  <c r="N26" i="119"/>
  <c r="M26" i="119"/>
  <c r="N25" i="119"/>
  <c r="M25" i="119"/>
  <c r="N24" i="119"/>
  <c r="M24" i="119"/>
  <c r="N23" i="119"/>
  <c r="M23" i="119"/>
  <c r="N22" i="119"/>
  <c r="M22" i="119"/>
  <c r="N21" i="119"/>
  <c r="M21" i="119"/>
  <c r="N20" i="119"/>
  <c r="M20" i="119"/>
  <c r="N19" i="119"/>
  <c r="M19" i="119"/>
  <c r="N18" i="119"/>
  <c r="M18" i="119"/>
  <c r="N17" i="119"/>
  <c r="M17" i="119"/>
  <c r="N16" i="119"/>
  <c r="M16" i="119"/>
  <c r="N15" i="119"/>
  <c r="M15" i="119"/>
  <c r="N14" i="119"/>
  <c r="M14" i="119"/>
  <c r="N13" i="119"/>
  <c r="M13" i="119"/>
  <c r="N12" i="119"/>
  <c r="M12" i="119"/>
  <c r="N11" i="119"/>
  <c r="M11" i="119"/>
  <c r="N10" i="119"/>
  <c r="M10" i="119"/>
  <c r="N9" i="119"/>
  <c r="M9" i="119"/>
  <c r="N8" i="119"/>
  <c r="M8" i="119"/>
  <c r="N7" i="119"/>
  <c r="M7" i="119"/>
  <c r="N6" i="119"/>
  <c r="M6" i="119"/>
  <c r="N5" i="119"/>
  <c r="M5" i="119"/>
  <c r="K35" i="119"/>
  <c r="I35" i="119"/>
  <c r="G35" i="119"/>
  <c r="E35" i="119"/>
  <c r="C35" i="119"/>
  <c r="K34" i="119"/>
  <c r="I34" i="119"/>
  <c r="G34" i="119"/>
  <c r="E34" i="119"/>
  <c r="C34" i="119"/>
  <c r="K33" i="119"/>
  <c r="I33" i="119"/>
  <c r="G33" i="119"/>
  <c r="E33" i="119"/>
  <c r="C33" i="119"/>
  <c r="K32" i="119"/>
  <c r="I32" i="119"/>
  <c r="G32" i="119"/>
  <c r="E32" i="119"/>
  <c r="C32" i="119"/>
  <c r="K31" i="119"/>
  <c r="I31" i="119"/>
  <c r="G31" i="119"/>
  <c r="E31" i="119"/>
  <c r="C31" i="119"/>
  <c r="K30" i="119"/>
  <c r="I30" i="119"/>
  <c r="G30" i="119"/>
  <c r="E30" i="119"/>
  <c r="C30" i="119"/>
  <c r="K29" i="119"/>
  <c r="I29" i="119"/>
  <c r="G29" i="119"/>
  <c r="E29" i="119"/>
  <c r="C29" i="119"/>
  <c r="K28" i="119"/>
  <c r="I28" i="119"/>
  <c r="G28" i="119"/>
  <c r="E28" i="119"/>
  <c r="C28" i="119"/>
  <c r="K27" i="119"/>
  <c r="I27" i="119"/>
  <c r="G27" i="119"/>
  <c r="E27" i="119"/>
  <c r="C27" i="119"/>
  <c r="K26" i="119"/>
  <c r="I26" i="119"/>
  <c r="G26" i="119"/>
  <c r="E26" i="119"/>
  <c r="C26" i="119"/>
  <c r="K25" i="119"/>
  <c r="I25" i="119"/>
  <c r="G25" i="119"/>
  <c r="E25" i="119"/>
  <c r="C25" i="119"/>
  <c r="K24" i="119"/>
  <c r="I24" i="119"/>
  <c r="G24" i="119"/>
  <c r="E24" i="119"/>
  <c r="C24" i="119"/>
  <c r="K23" i="119"/>
  <c r="I23" i="119"/>
  <c r="G23" i="119"/>
  <c r="E23" i="119"/>
  <c r="C23" i="119"/>
  <c r="K22" i="119"/>
  <c r="I22" i="119"/>
  <c r="G22" i="119"/>
  <c r="E22" i="119"/>
  <c r="C22" i="119"/>
  <c r="K21" i="119"/>
  <c r="I21" i="119"/>
  <c r="G21" i="119"/>
  <c r="E21" i="119"/>
  <c r="C21" i="119"/>
  <c r="K20" i="119"/>
  <c r="I20" i="119"/>
  <c r="G20" i="119"/>
  <c r="E20" i="119"/>
  <c r="C20" i="119"/>
  <c r="K19" i="119"/>
  <c r="I19" i="119"/>
  <c r="G19" i="119"/>
  <c r="E19" i="119"/>
  <c r="C19" i="119"/>
  <c r="K18" i="119"/>
  <c r="I18" i="119"/>
  <c r="G18" i="119"/>
  <c r="E18" i="119"/>
  <c r="C18" i="119"/>
  <c r="K17" i="119"/>
  <c r="I17" i="119"/>
  <c r="G17" i="119"/>
  <c r="E17" i="119"/>
  <c r="C17" i="119"/>
  <c r="K16" i="119"/>
  <c r="I16" i="119"/>
  <c r="G16" i="119"/>
  <c r="E16" i="119"/>
  <c r="C16" i="119"/>
  <c r="K15" i="119"/>
  <c r="I15" i="119"/>
  <c r="G15" i="119"/>
  <c r="E15" i="119"/>
  <c r="C15" i="119"/>
  <c r="K14" i="119"/>
  <c r="I14" i="119"/>
  <c r="G14" i="119"/>
  <c r="E14" i="119"/>
  <c r="C14" i="119"/>
  <c r="K13" i="119"/>
  <c r="I13" i="119"/>
  <c r="G13" i="119"/>
  <c r="E13" i="119"/>
  <c r="C13" i="119"/>
  <c r="K12" i="119"/>
  <c r="I12" i="119"/>
  <c r="G12" i="119"/>
  <c r="E12" i="119"/>
  <c r="C12" i="119"/>
  <c r="K11" i="119"/>
  <c r="I11" i="119"/>
  <c r="G11" i="119"/>
  <c r="E11" i="119"/>
  <c r="C11" i="119"/>
  <c r="K10" i="119"/>
  <c r="I10" i="119"/>
  <c r="G10" i="119"/>
  <c r="E10" i="119"/>
  <c r="C10" i="119"/>
  <c r="K9" i="119"/>
  <c r="I9" i="119"/>
  <c r="G9" i="119"/>
  <c r="E9" i="119"/>
  <c r="C9" i="119"/>
  <c r="K8" i="119"/>
  <c r="I8" i="119"/>
  <c r="G8" i="119"/>
  <c r="E8" i="119"/>
  <c r="C8" i="119"/>
  <c r="K7" i="119"/>
  <c r="I7" i="119"/>
  <c r="G7" i="119"/>
  <c r="E7" i="119"/>
  <c r="C7" i="119"/>
  <c r="K6" i="119"/>
  <c r="I6" i="119"/>
  <c r="G6" i="119"/>
  <c r="E6" i="119"/>
  <c r="C6" i="119"/>
  <c r="K5" i="119"/>
  <c r="I5" i="119"/>
  <c r="G5" i="119"/>
  <c r="E5" i="119"/>
  <c r="C5" i="119"/>
  <c r="H32" i="117"/>
  <c r="F32" i="117"/>
  <c r="H31" i="117"/>
  <c r="F31" i="117"/>
  <c r="H30" i="117"/>
  <c r="F30" i="117"/>
  <c r="H29" i="117"/>
  <c r="F29" i="117"/>
  <c r="H28" i="117"/>
  <c r="F28" i="117"/>
  <c r="H27" i="117"/>
  <c r="F27" i="117"/>
  <c r="H26" i="117"/>
  <c r="F26" i="117"/>
  <c r="H25" i="117"/>
  <c r="F25" i="117"/>
  <c r="H24" i="117"/>
  <c r="F24" i="117"/>
  <c r="H23" i="117"/>
  <c r="F23" i="117"/>
  <c r="H22" i="117"/>
  <c r="F22" i="117"/>
  <c r="H21" i="117"/>
  <c r="F21" i="117"/>
  <c r="H20" i="117"/>
  <c r="F20" i="117"/>
  <c r="H19" i="117"/>
  <c r="F19" i="117"/>
  <c r="H18" i="117"/>
  <c r="F18" i="117"/>
  <c r="H17" i="117"/>
  <c r="F17" i="117"/>
  <c r="H16" i="117"/>
  <c r="F16" i="117"/>
  <c r="H15" i="117"/>
  <c r="F15" i="117"/>
  <c r="H14" i="117"/>
  <c r="F14" i="117"/>
  <c r="H13" i="117"/>
  <c r="F13" i="117"/>
  <c r="H12" i="117"/>
  <c r="F12" i="117"/>
  <c r="H11" i="117"/>
  <c r="F11" i="117"/>
  <c r="H10" i="117"/>
  <c r="F10" i="117"/>
  <c r="H9" i="117"/>
  <c r="F9" i="117"/>
  <c r="H8" i="117"/>
  <c r="F8" i="117"/>
  <c r="H7" i="117"/>
  <c r="F7" i="117"/>
  <c r="H6" i="117"/>
  <c r="F6" i="117"/>
  <c r="H5" i="117"/>
  <c r="F5" i="117"/>
  <c r="H4" i="117"/>
  <c r="F4" i="117"/>
  <c r="H3" i="117"/>
  <c r="F3" i="117"/>
  <c r="H2" i="117"/>
  <c r="F2" i="117"/>
  <c r="P3" i="117" l="1"/>
  <c r="P4" i="117"/>
  <c r="P5" i="117"/>
  <c r="P6" i="117"/>
  <c r="P7" i="117"/>
  <c r="P8" i="117"/>
  <c r="P9" i="117"/>
  <c r="P10" i="117"/>
  <c r="P11" i="117"/>
  <c r="P12" i="117"/>
  <c r="P13" i="117"/>
  <c r="P14" i="117"/>
  <c r="P15" i="117"/>
  <c r="P16" i="117"/>
  <c r="P17" i="117"/>
  <c r="P18" i="117"/>
  <c r="P19" i="117"/>
  <c r="P20" i="117"/>
  <c r="P21" i="117"/>
  <c r="P22" i="117"/>
  <c r="P23" i="117"/>
  <c r="P24" i="117"/>
  <c r="P25" i="117"/>
  <c r="P26" i="117"/>
  <c r="P27" i="117"/>
  <c r="P28" i="117"/>
  <c r="P29" i="117"/>
  <c r="P30" i="117"/>
  <c r="P31" i="117"/>
  <c r="P32" i="117"/>
  <c r="O3" i="117"/>
  <c r="O4" i="117"/>
  <c r="O5" i="117"/>
  <c r="O6" i="117"/>
  <c r="O7" i="117"/>
  <c r="O8" i="117"/>
  <c r="O9" i="117"/>
  <c r="O10" i="117"/>
  <c r="O11" i="117"/>
  <c r="O12" i="117"/>
  <c r="O13" i="117"/>
  <c r="O14" i="117"/>
  <c r="O15" i="117"/>
  <c r="O16" i="117"/>
  <c r="O17" i="117"/>
  <c r="O18" i="117"/>
  <c r="O19" i="117"/>
  <c r="O20" i="117"/>
  <c r="O21" i="117"/>
  <c r="O22" i="117"/>
  <c r="O23" i="117"/>
  <c r="O24" i="117"/>
  <c r="O25" i="117"/>
  <c r="O26" i="117"/>
  <c r="O27" i="117"/>
  <c r="O28" i="117"/>
  <c r="O29" i="117"/>
  <c r="O30" i="117"/>
  <c r="O31" i="117"/>
  <c r="O32" i="117"/>
  <c r="P2" i="117"/>
  <c r="O2" i="117"/>
  <c r="L35" i="119" l="1"/>
  <c r="L34" i="119"/>
  <c r="L33" i="119"/>
  <c r="L32" i="119"/>
  <c r="L31" i="119"/>
  <c r="L30" i="119"/>
  <c r="L29" i="119"/>
  <c r="L28" i="119"/>
  <c r="L27" i="119"/>
  <c r="L26" i="119"/>
  <c r="L25" i="119"/>
  <c r="L24" i="119"/>
  <c r="L23" i="119"/>
  <c r="L22" i="119"/>
  <c r="L21" i="119"/>
  <c r="L20" i="119"/>
  <c r="L19" i="119"/>
  <c r="L18" i="119"/>
  <c r="L17" i="119"/>
  <c r="L16" i="119"/>
  <c r="L15" i="119"/>
  <c r="L14" i="119"/>
  <c r="L13" i="119"/>
  <c r="L12" i="119"/>
  <c r="L11" i="119"/>
  <c r="L10" i="119"/>
  <c r="L9" i="119"/>
  <c r="L8" i="119"/>
  <c r="L7" i="119"/>
  <c r="L6" i="119"/>
  <c r="L5" i="119"/>
  <c r="J35" i="119"/>
  <c r="J34" i="119"/>
  <c r="J33" i="119"/>
  <c r="J32" i="119"/>
  <c r="J31" i="119"/>
  <c r="J30" i="119"/>
  <c r="J29" i="119"/>
  <c r="J28" i="119"/>
  <c r="J27" i="119"/>
  <c r="J26" i="119"/>
  <c r="J25" i="119"/>
  <c r="J24" i="119"/>
  <c r="J23" i="119"/>
  <c r="J22" i="119"/>
  <c r="J21" i="119"/>
  <c r="J20" i="119"/>
  <c r="J19" i="119"/>
  <c r="J18" i="119"/>
  <c r="J17" i="119"/>
  <c r="J16" i="119"/>
  <c r="J15" i="119"/>
  <c r="J14" i="119"/>
  <c r="J13" i="119"/>
  <c r="J12" i="119"/>
  <c r="J11" i="119"/>
  <c r="J10" i="119"/>
  <c r="J9" i="119"/>
  <c r="J8" i="119"/>
  <c r="J7" i="119"/>
  <c r="J6" i="119"/>
  <c r="J5" i="119"/>
  <c r="H35" i="119"/>
  <c r="H34" i="119"/>
  <c r="H33" i="119"/>
  <c r="H32" i="119"/>
  <c r="H31" i="119"/>
  <c r="H30" i="119"/>
  <c r="H29" i="119"/>
  <c r="H28" i="119"/>
  <c r="H27" i="119"/>
  <c r="H26" i="119"/>
  <c r="H25" i="119"/>
  <c r="H24" i="119"/>
  <c r="H23" i="119"/>
  <c r="H22" i="119"/>
  <c r="H21" i="119"/>
  <c r="H20" i="119"/>
  <c r="H19" i="119"/>
  <c r="H18" i="119"/>
  <c r="H17" i="119"/>
  <c r="H16" i="119"/>
  <c r="H15" i="119"/>
  <c r="H14" i="119"/>
  <c r="H13" i="119"/>
  <c r="H12" i="119"/>
  <c r="H11" i="119"/>
  <c r="H10" i="119"/>
  <c r="H9" i="119"/>
  <c r="H8" i="119"/>
  <c r="H7" i="119"/>
  <c r="H6" i="119"/>
  <c r="H5" i="119"/>
  <c r="F35" i="119"/>
  <c r="F34" i="119"/>
  <c r="F33" i="119"/>
  <c r="F32" i="119"/>
  <c r="F31" i="119"/>
  <c r="F30" i="119"/>
  <c r="F29" i="119"/>
  <c r="F28" i="119"/>
  <c r="F27" i="119"/>
  <c r="F26" i="119"/>
  <c r="F25" i="119"/>
  <c r="F24" i="119"/>
  <c r="F23" i="119"/>
  <c r="F22" i="119"/>
  <c r="F21" i="119"/>
  <c r="F20" i="119"/>
  <c r="F19" i="119"/>
  <c r="F18" i="119"/>
  <c r="F17" i="119"/>
  <c r="F16" i="119"/>
  <c r="F15" i="119"/>
  <c r="F14" i="119"/>
  <c r="F13" i="119"/>
  <c r="F12" i="119"/>
  <c r="F11" i="119"/>
  <c r="F10" i="119"/>
  <c r="F9" i="119"/>
  <c r="F8" i="119"/>
  <c r="F7" i="119"/>
  <c r="F6" i="119"/>
  <c r="F5" i="119"/>
  <c r="D35" i="119"/>
  <c r="D34" i="119"/>
  <c r="D33" i="119"/>
  <c r="D32" i="119"/>
  <c r="D31" i="119"/>
  <c r="D30" i="119"/>
  <c r="D29" i="119"/>
  <c r="D28" i="119"/>
  <c r="D27" i="119"/>
  <c r="D26" i="119"/>
  <c r="D25" i="119"/>
  <c r="D24" i="119"/>
  <c r="D23" i="119"/>
  <c r="D22" i="119"/>
  <c r="D21" i="119"/>
  <c r="D20" i="119"/>
  <c r="D19" i="119"/>
  <c r="D18" i="119"/>
  <c r="D17" i="119"/>
  <c r="D16" i="119"/>
  <c r="D15" i="119"/>
  <c r="D14" i="119"/>
  <c r="D13" i="119"/>
  <c r="D12" i="119"/>
  <c r="D11" i="119"/>
  <c r="D10" i="119"/>
  <c r="D9" i="119"/>
  <c r="D8" i="119"/>
  <c r="D7" i="119"/>
  <c r="D6" i="119"/>
  <c r="D5" i="119"/>
  <c r="K3" i="117" l="1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32" i="117"/>
  <c r="K2" i="117"/>
  <c r="I3" i="117" l="1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I2" i="117"/>
  <c r="M32" i="117" l="1"/>
  <c r="G32" i="117"/>
  <c r="E32" i="117"/>
  <c r="M31" i="117"/>
  <c r="G31" i="117"/>
  <c r="E31" i="117"/>
  <c r="M30" i="117"/>
  <c r="G30" i="117"/>
  <c r="E30" i="117"/>
  <c r="M29" i="117"/>
  <c r="G29" i="117"/>
  <c r="E29" i="117"/>
  <c r="M28" i="117"/>
  <c r="G28" i="117"/>
  <c r="E28" i="117"/>
  <c r="M27" i="117"/>
  <c r="G27" i="117"/>
  <c r="E27" i="117"/>
  <c r="M26" i="117"/>
  <c r="G26" i="117"/>
  <c r="E26" i="117"/>
  <c r="M25" i="117"/>
  <c r="G25" i="117"/>
  <c r="E25" i="117"/>
  <c r="M24" i="117"/>
  <c r="G24" i="117"/>
  <c r="E24" i="117"/>
  <c r="M23" i="117"/>
  <c r="G23" i="117"/>
  <c r="E23" i="117"/>
  <c r="M22" i="117"/>
  <c r="G22" i="117"/>
  <c r="E22" i="117"/>
  <c r="M21" i="117"/>
  <c r="G21" i="117"/>
  <c r="E21" i="117"/>
  <c r="M20" i="117"/>
  <c r="G20" i="117"/>
  <c r="E20" i="117"/>
  <c r="M19" i="117"/>
  <c r="G19" i="117"/>
  <c r="E19" i="117"/>
  <c r="M18" i="117"/>
  <c r="G18" i="117"/>
  <c r="E18" i="117"/>
  <c r="M17" i="117"/>
  <c r="G17" i="117"/>
  <c r="E17" i="117"/>
  <c r="M16" i="117"/>
  <c r="G16" i="117"/>
  <c r="E16" i="117"/>
  <c r="M15" i="117"/>
  <c r="G15" i="117"/>
  <c r="E15" i="117"/>
  <c r="M14" i="117"/>
  <c r="G14" i="117"/>
  <c r="E14" i="117"/>
  <c r="M13" i="117"/>
  <c r="G13" i="117"/>
  <c r="E13" i="117"/>
  <c r="M12" i="117"/>
  <c r="G12" i="117"/>
  <c r="E12" i="117"/>
  <c r="M11" i="117"/>
  <c r="G11" i="117"/>
  <c r="E11" i="117"/>
  <c r="M10" i="117"/>
  <c r="G10" i="117"/>
  <c r="E10" i="117"/>
  <c r="M9" i="117"/>
  <c r="G9" i="117"/>
  <c r="E9" i="117"/>
  <c r="M8" i="117"/>
  <c r="G8" i="117"/>
  <c r="E8" i="117"/>
  <c r="M7" i="117"/>
  <c r="G7" i="117"/>
  <c r="E7" i="117"/>
  <c r="M6" i="117"/>
  <c r="G6" i="117"/>
  <c r="E6" i="117"/>
  <c r="M5" i="117"/>
  <c r="G5" i="117"/>
  <c r="E5" i="117"/>
  <c r="M4" i="117"/>
  <c r="G4" i="117"/>
  <c r="E4" i="117"/>
  <c r="M3" i="117"/>
  <c r="G3" i="117"/>
  <c r="E3" i="117"/>
  <c r="M2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<sst xmlns="http://schemas.openxmlformats.org/spreadsheetml/2006/main" count="66" uniqueCount="32">
  <si>
    <t>Site Name</t>
  </si>
  <si>
    <t>Day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</si>
  <si>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</si>
  <si>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</si>
  <si>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</si>
  <si>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</si>
  <si>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</si>
  <si>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</si>
  <si>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</si>
  <si>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</si>
  <si>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</si>
  <si>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</si>
  <si>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</si>
  <si>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</si>
  <si>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</si>
  <si>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</si>
  <si>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</si>
  <si>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</si>
  <si>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District Cooling (KWh)</t>
  </si>
  <si>
    <t xml:space="preserve"> Reading KWh</t>
  </si>
  <si>
    <t>Gas m3</t>
  </si>
  <si>
    <t>Natural Gas $/m3</t>
  </si>
  <si>
    <t>Tokyo at Otemachi</t>
  </si>
  <si>
    <t>District Heating (KWh)</t>
  </si>
  <si>
    <t>Total Guests</t>
  </si>
  <si>
    <t>Natual Gas (m3)</t>
    <phoneticPr fontId="14"/>
  </si>
  <si>
    <t>Total Electricity KWh</t>
  </si>
  <si>
    <t>Electricity Tariff ($/KWh)</t>
  </si>
  <si>
    <t>District Energy Cooling KWh</t>
  </si>
  <si>
    <t>District Energy Cooling $/KWh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</si>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</sst>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(&quot;$&quot;* #,##0.00_);_(&quot;$&quot;* \(#,##0.00\);_(&quot;$&quot;* &quot;-&quot;??_);_(@_)"/>
    <numFmt numFmtId="177" formatCode="_(* #,##0.00_);_(* \(#,##0.00\);_(* &quot;-&quot;??_);_(@_)"/>
    <numFmt numFmtId="178" formatCode="_-* #,##0.00_-;\-* #,##0.00_-;_-* &quot;-&quot;??_-;_-@_-"/>
  </numFmts>
  <fonts count="16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6"/>
      <name val="HGGothicE"/>
      <family val="3"/>
      <charset val="128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5">
    <xf numFmtId="0" fontId="0" fillId="0" borderId="0"/>
    <xf numFmtId="178" fontId="4" fillId="0" borderId="0" applyFont="0" applyFill="0" applyBorder="0" applyAlignment="0" applyProtection="0"/>
    <xf numFmtId="178" fontId="3" fillId="0" borderId="0" applyFont="0" applyFill="0" applyBorder="0" applyAlignment="0" applyProtection="0"/>
    <xf numFmtId="177" fontId="6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  <xf numFmtId="9" fontId="15" fillId="0" borderId="0" applyFont="0" applyFill="0" applyBorder="0" applyAlignment="0" applyProtection="0">
      <alignment vertical="center"/>
    </xf>
  </cellStyleXfs>
  <cellXfs count="47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38" fontId="2" fillId="0" borderId="1" xfId="11" applyNumberFormat="1" applyBorder="1" applyAlignment="1">
      <alignment horizontal="center"/>
    </xf>
    <xf numFmtId="0" fontId="1" fillId="0" borderId="0" xfId="11" applyFont="1"/>
    <xf numFmtId="9" fontId="2" fillId="0" borderId="0" xfId="14" applyFont="1" applyAlignment="1"/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5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  <cellStyle name="パーセント" xfId="14" builtinId="5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ENE/2022/2022.9&#12456;&#12493;&#12523;&#12462;&#12540;&#20351;&#29992;&#3732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vic date"/>
      <sheetName val="空調エネルギー (2)"/>
      <sheetName val="空調エネルギー"/>
      <sheetName val="エネルギー (SPA)"/>
      <sheetName val="水分析"/>
      <sheetName val="使用量"/>
      <sheetName val="（使用量）予測"/>
      <sheetName val="Sheet1"/>
      <sheetName val="コスト"/>
      <sheetName val="見込"/>
      <sheetName val="花屋"/>
      <sheetName val="ランドリー"/>
      <sheetName val="1日"/>
      <sheetName val="2日"/>
      <sheetName val="3日"/>
      <sheetName val="4日"/>
      <sheetName val="5日"/>
      <sheetName val="6日"/>
      <sheetName val="7日"/>
      <sheetName val="8日"/>
      <sheetName val="9日"/>
      <sheetName val="10日"/>
      <sheetName val="11日"/>
      <sheetName val="12日"/>
      <sheetName val="13日"/>
      <sheetName val="14日"/>
      <sheetName val="15日"/>
      <sheetName val="16日"/>
      <sheetName val="17日"/>
      <sheetName val="18日"/>
      <sheetName val="19日"/>
      <sheetName val="20日"/>
      <sheetName val="21日"/>
      <sheetName val="22日"/>
      <sheetName val="23日"/>
      <sheetName val="24日"/>
      <sheetName val="25日"/>
      <sheetName val="26日"/>
      <sheetName val="27日"/>
      <sheetName val="28日"/>
      <sheetName val="29日"/>
      <sheetName val="30日"/>
      <sheetName val="31日"/>
    </sheetNames>
    <sheetDataSet>
      <sheetData sheetId="0"/>
      <sheetData sheetId="1"/>
      <sheetData sheetId="2"/>
      <sheetData sheetId="3"/>
      <sheetData sheetId="4"/>
      <sheetData sheetId="5">
        <row r="387">
          <cell r="G387">
            <v>107</v>
          </cell>
          <cell r="H387">
            <v>92</v>
          </cell>
          <cell r="I387">
            <v>134</v>
          </cell>
          <cell r="J387">
            <v>101</v>
          </cell>
          <cell r="K387">
            <v>91</v>
          </cell>
          <cell r="L387">
            <v>101</v>
          </cell>
          <cell r="M387">
            <v>92</v>
          </cell>
          <cell r="N387">
            <v>110</v>
          </cell>
          <cell r="O387">
            <v>164</v>
          </cell>
          <cell r="P387">
            <v>168</v>
          </cell>
          <cell r="Q387">
            <v>138</v>
          </cell>
          <cell r="R387">
            <v>131</v>
          </cell>
          <cell r="S387">
            <v>151</v>
          </cell>
          <cell r="T387">
            <v>144</v>
          </cell>
          <cell r="U387">
            <v>130</v>
          </cell>
          <cell r="V387">
            <v>128</v>
          </cell>
          <cell r="W387">
            <v>162</v>
          </cell>
          <cell r="X387">
            <v>170</v>
          </cell>
          <cell r="Y387">
            <v>101</v>
          </cell>
          <cell r="Z387"/>
          <cell r="AA387"/>
          <cell r="AB387"/>
          <cell r="AC387"/>
          <cell r="AD387"/>
          <cell r="AE387"/>
          <cell r="AF387"/>
          <cell r="AG387"/>
          <cell r="AH387"/>
          <cell r="AI387"/>
          <cell r="AJ387"/>
          <cell r="AK387"/>
        </row>
        <row r="388">
          <cell r="G388">
            <v>173</v>
          </cell>
          <cell r="H388">
            <v>171</v>
          </cell>
          <cell r="I388">
            <v>270</v>
          </cell>
          <cell r="J388">
            <v>170</v>
          </cell>
          <cell r="K388">
            <v>144</v>
          </cell>
          <cell r="L388">
            <v>153</v>
          </cell>
          <cell r="M388">
            <v>136</v>
          </cell>
          <cell r="N388">
            <v>180</v>
          </cell>
          <cell r="O388">
            <v>316</v>
          </cell>
          <cell r="P388">
            <v>325</v>
          </cell>
          <cell r="Q388">
            <v>231</v>
          </cell>
          <cell r="R388">
            <v>206</v>
          </cell>
          <cell r="S388">
            <v>222</v>
          </cell>
          <cell r="T388">
            <v>224</v>
          </cell>
          <cell r="U388">
            <v>215</v>
          </cell>
          <cell r="V388">
            <v>246</v>
          </cell>
          <cell r="W388">
            <v>345</v>
          </cell>
          <cell r="X388">
            <v>370</v>
          </cell>
          <cell r="Y388">
            <v>176</v>
          </cell>
          <cell r="Z388"/>
          <cell r="AA388"/>
          <cell r="AB388"/>
          <cell r="AC388"/>
          <cell r="AD388"/>
          <cell r="AE388"/>
          <cell r="AF388"/>
          <cell r="AG388"/>
          <cell r="AH388"/>
          <cell r="AI388"/>
          <cell r="AJ388"/>
          <cell r="AK388"/>
        </row>
      </sheetData>
      <sheetData sheetId="6"/>
      <sheetData sheetId="7"/>
      <sheetData sheetId="8">
        <row r="23">
          <cell r="G23">
            <v>153.6</v>
          </cell>
          <cell r="H23">
            <v>184.4</v>
          </cell>
          <cell r="I23">
            <v>202.1</v>
          </cell>
          <cell r="J23">
            <v>177.2</v>
          </cell>
          <cell r="K23">
            <v>189.5</v>
          </cell>
          <cell r="L23">
            <v>180.5</v>
          </cell>
          <cell r="M23">
            <v>161.4</v>
          </cell>
          <cell r="N23">
            <v>172.1</v>
          </cell>
          <cell r="O23">
            <v>185.8</v>
          </cell>
          <cell r="P23">
            <v>200</v>
          </cell>
          <cell r="Q23">
            <v>185.4</v>
          </cell>
          <cell r="R23">
            <v>178.9</v>
          </cell>
          <cell r="S23">
            <v>176.4</v>
          </cell>
          <cell r="T23">
            <v>178.6</v>
          </cell>
          <cell r="U23">
            <v>178.5</v>
          </cell>
          <cell r="V23">
            <v>185.2</v>
          </cell>
          <cell r="W23">
            <v>184.8</v>
          </cell>
          <cell r="X23">
            <v>186.1</v>
          </cell>
          <cell r="Y23">
            <v>175.7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</row>
        <row r="41">
          <cell r="G41">
            <v>141</v>
          </cell>
          <cell r="H41">
            <v>138</v>
          </cell>
          <cell r="I41">
            <v>166</v>
          </cell>
          <cell r="J41">
            <v>181</v>
          </cell>
          <cell r="K41">
            <v>152</v>
          </cell>
          <cell r="L41">
            <v>131</v>
          </cell>
          <cell r="M41">
            <v>129</v>
          </cell>
          <cell r="N41">
            <v>144</v>
          </cell>
          <cell r="O41">
            <v>151</v>
          </cell>
          <cell r="P41">
            <v>196</v>
          </cell>
          <cell r="Q41">
            <v>187</v>
          </cell>
          <cell r="R41">
            <v>154</v>
          </cell>
          <cell r="S41">
            <v>160</v>
          </cell>
          <cell r="T41">
            <v>152</v>
          </cell>
          <cell r="U41">
            <v>164</v>
          </cell>
          <cell r="V41">
            <v>150</v>
          </cell>
          <cell r="W41">
            <v>199</v>
          </cell>
          <cell r="X41">
            <v>227</v>
          </cell>
          <cell r="Y41">
            <v>199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</row>
        <row r="91">
          <cell r="G91">
            <v>87.506999999999991</v>
          </cell>
          <cell r="H91">
            <v>892.8492</v>
          </cell>
          <cell r="I91">
            <v>472.5378</v>
          </cell>
          <cell r="J91">
            <v>250.01999999999998</v>
          </cell>
          <cell r="K91">
            <v>222.23999999999998</v>
          </cell>
          <cell r="L91">
            <v>1.6667999999999998</v>
          </cell>
          <cell r="M91">
            <v>43.892400000000002</v>
          </cell>
          <cell r="N91">
            <v>474.20459999999997</v>
          </cell>
          <cell r="O91">
            <v>312.52499999999998</v>
          </cell>
          <cell r="P91">
            <v>555.6</v>
          </cell>
          <cell r="Q91">
            <v>500.03999999999996</v>
          </cell>
          <cell r="R91">
            <v>111.11999999999999</v>
          </cell>
          <cell r="S91">
            <v>171.95820000000001</v>
          </cell>
          <cell r="T91">
            <v>175.29179999999999</v>
          </cell>
          <cell r="U91">
            <v>472.26</v>
          </cell>
          <cell r="V91">
            <v>277.8</v>
          </cell>
          <cell r="W91">
            <v>250.01999999999998</v>
          </cell>
          <cell r="X91">
            <v>611.16</v>
          </cell>
          <cell r="Y91">
            <v>111.11999999999999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</row>
        <row r="115">
          <cell r="G115">
            <v>29081.215199999999</v>
          </cell>
          <cell r="H115">
            <v>16926.353999999999</v>
          </cell>
          <cell r="I115">
            <v>18049.7772</v>
          </cell>
          <cell r="J115">
            <v>22365.678</v>
          </cell>
          <cell r="K115">
            <v>23403.260999999999</v>
          </cell>
          <cell r="L115">
            <v>28574.230199999998</v>
          </cell>
          <cell r="M115">
            <v>27865.562399999999</v>
          </cell>
          <cell r="N115">
            <v>17551.126199999999</v>
          </cell>
          <cell r="O115">
            <v>20018.8236</v>
          </cell>
          <cell r="P115">
            <v>19479.891599999999</v>
          </cell>
          <cell r="Q115">
            <v>16242.132599999999</v>
          </cell>
          <cell r="R115">
            <v>19844.643</v>
          </cell>
          <cell r="S115">
            <v>24568.909799999998</v>
          </cell>
          <cell r="T115">
            <v>25017.001199999999</v>
          </cell>
          <cell r="U115">
            <v>12687.4038</v>
          </cell>
          <cell r="V115">
            <v>16639.108799999998</v>
          </cell>
          <cell r="W115">
            <v>22904.054400000001</v>
          </cell>
          <cell r="X115">
            <v>27496.9218</v>
          </cell>
          <cell r="Y115">
            <v>31831.1574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</row>
        <row r="147">
          <cell r="G147">
            <v>16143</v>
          </cell>
          <cell r="H147">
            <v>16181</v>
          </cell>
          <cell r="I147">
            <v>16469</v>
          </cell>
          <cell r="J147">
            <v>16608</v>
          </cell>
          <cell r="K147">
            <v>16419</v>
          </cell>
          <cell r="L147">
            <v>16350</v>
          </cell>
          <cell r="M147">
            <v>15874</v>
          </cell>
          <cell r="N147">
            <v>16109</v>
          </cell>
          <cell r="O147">
            <v>16427</v>
          </cell>
          <cell r="P147">
            <v>16703</v>
          </cell>
          <cell r="Q147">
            <v>16713</v>
          </cell>
          <cell r="R147">
            <v>16383</v>
          </cell>
          <cell r="S147">
            <v>16437</v>
          </cell>
          <cell r="T147">
            <v>16674</v>
          </cell>
          <cell r="U147">
            <v>16228</v>
          </cell>
          <cell r="V147">
            <v>16225</v>
          </cell>
          <cell r="W147">
            <v>16766</v>
          </cell>
          <cell r="X147">
            <v>16957</v>
          </cell>
          <cell r="Y147">
            <v>17176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</row>
      </sheetData>
      <sheetData sheetId="9">
        <row r="3">
          <cell r="G3">
            <v>31.5</v>
          </cell>
        </row>
        <row r="23">
          <cell r="M23">
            <v>149.69061061637868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tabSelected="1" workbookViewId="0">
      <selection activeCell="S14" sqref="R13:S14"/>
    </sheetView>
  </sheetViews>
  <sheetFormatPr defaultRowHeight="12.75"/>
  <cols>
    <col min="1" max="1" width="19.7109375" bestFit="1" customWidth="1"/>
    <col min="5" max="5" width="10.7109375" customWidth="1"/>
    <col min="6" max="6" width="12.140625" customWidth="1"/>
    <col min="13" max="13" width="10.85546875" customWidth="1"/>
    <col min="14" max="14" width="11.28515625" customWidth="1"/>
  </cols>
  <sheetData>
    <row r="1" spans="1:16" ht="67.5">
      <c r="A1" s="1" t="s">
        <v>0</v>
      </c>
      <c r="B1" s="1" t="s">
        <v>1</v>
      </c>
      <c r="C1" s="2" t="s">
        <v>2</v>
      </c>
      <c r="D1" s="1" t="s">
        <v>3</v>
      </c>
      <c r="E1" s="3" t="s">
        <v>26</v>
      </c>
      <c r="F1" s="4" t="s">
        <v>27</v>
      </c>
      <c r="G1" s="3" t="s">
        <v>25</v>
      </c>
      <c r="H1" s="4" t="s">
        <v>21</v>
      </c>
      <c r="I1" s="32" t="s">
        <v>28</v>
      </c>
      <c r="J1" s="33" t="s">
        <v>29</v>
      </c>
      <c r="K1" s="32" t="s">
        <v>30</v>
      </c>
      <c r="L1" s="33" t="s">
        <v>31</v>
      </c>
      <c r="M1" s="3" t="s">
        <v>4</v>
      </c>
      <c r="N1" s="5" t="s">
        <v>5</v>
      </c>
      <c r="O1" s="3" t="s">
        <v>6</v>
      </c>
      <c r="P1" s="3" t="s">
        <v>24</v>
      </c>
    </row>
    <row r="2" spans="1:16" ht="15">
      <c r="A2" s="6" t="s">
        <v>22</v>
      </c>
      <c r="B2" s="7">
        <v>1</v>
      </c>
      <c r="C2" s="8">
        <v>9</v>
      </c>
      <c r="D2" s="7">
        <v>2022</v>
      </c>
      <c r="E2" s="9">
        <f>'Otemachi Daily'!D5</f>
        <v>16143</v>
      </c>
      <c r="F2" s="34">
        <f>[1]見込!$G$3</f>
        <v>31.5</v>
      </c>
      <c r="G2" s="9">
        <f>'Otemachi Daily'!F5</f>
        <v>153.6</v>
      </c>
      <c r="H2" s="34">
        <f>[1]見込!$M$23</f>
        <v>149.69061061637868</v>
      </c>
      <c r="I2" s="9">
        <f>'Otemachi Daily'!H5</f>
        <v>29081.215199999999</v>
      </c>
      <c r="J2" s="34">
        <v>10.79</v>
      </c>
      <c r="K2" s="9">
        <f>'Otemachi Daily'!J5</f>
        <v>87.506999999999991</v>
      </c>
      <c r="L2" s="34">
        <v>7.22</v>
      </c>
      <c r="M2" s="9">
        <f>'Otemachi Daily'!L5</f>
        <v>141</v>
      </c>
      <c r="N2" s="34">
        <v>741</v>
      </c>
      <c r="O2" s="9">
        <f>'Otemachi Daily'!M5</f>
        <v>107</v>
      </c>
      <c r="P2" s="9">
        <f>'Otemachi Daily'!N5</f>
        <v>173</v>
      </c>
    </row>
    <row r="3" spans="1:16" ht="15">
      <c r="A3" s="6" t="s">
        <v>22</v>
      </c>
      <c r="B3" s="7">
        <f>B2+1</f>
        <v>2</v>
      </c>
      <c r="C3" s="8">
        <v>9</v>
      </c>
      <c r="D3" s="7">
        <v>2022</v>
      </c>
      <c r="E3" s="9">
        <f>'Otemachi Daily'!D6</f>
        <v>16181</v>
      </c>
      <c r="F3" s="34">
        <f>[1]見込!$G$3</f>
        <v>31.5</v>
      </c>
      <c r="G3" s="9">
        <f>'Otemachi Daily'!F6</f>
        <v>184.4</v>
      </c>
      <c r="H3" s="34">
        <f>[1]見込!$M$23</f>
        <v>149.69061061637868</v>
      </c>
      <c r="I3" s="9">
        <f>'Otemachi Daily'!H6</f>
        <v>16926.353999999999</v>
      </c>
      <c r="J3" s="34">
        <v>10.79</v>
      </c>
      <c r="K3" s="9">
        <f>'Otemachi Daily'!J6</f>
        <v>892.8492</v>
      </c>
      <c r="L3" s="34">
        <v>7.22</v>
      </c>
      <c r="M3" s="9">
        <f>'Otemachi Daily'!L6</f>
        <v>138</v>
      </c>
      <c r="N3" s="34">
        <v>741</v>
      </c>
      <c r="O3" s="9">
        <f>'Otemachi Daily'!M6</f>
        <v>92</v>
      </c>
      <c r="P3" s="9">
        <f>'Otemachi Daily'!N6</f>
        <v>171</v>
      </c>
    </row>
    <row r="4" spans="1:16" ht="15">
      <c r="A4" s="6" t="s">
        <v>22</v>
      </c>
      <c r="B4" s="7">
        <f t="shared" ref="B4:B32" si="0">B3+1</f>
        <v>3</v>
      </c>
      <c r="C4" s="8">
        <v>9</v>
      </c>
      <c r="D4" s="7">
        <v>2022</v>
      </c>
      <c r="E4" s="9">
        <f>'Otemachi Daily'!D7</f>
        <v>16469</v>
      </c>
      <c r="F4" s="34">
        <f>[1]見込!$G$3</f>
        <v>31.5</v>
      </c>
      <c r="G4" s="9">
        <f>'Otemachi Daily'!F7</f>
        <v>202.1</v>
      </c>
      <c r="H4" s="34">
        <f>[1]見込!$M$23</f>
        <v>149.69061061637868</v>
      </c>
      <c r="I4" s="9">
        <f>'Otemachi Daily'!H7</f>
        <v>18049.7772</v>
      </c>
      <c r="J4" s="34">
        <v>10.79</v>
      </c>
      <c r="K4" s="9">
        <f>'Otemachi Daily'!J7</f>
        <v>472.5378</v>
      </c>
      <c r="L4" s="34">
        <v>7.22</v>
      </c>
      <c r="M4" s="9">
        <f>'Otemachi Daily'!L7</f>
        <v>166</v>
      </c>
      <c r="N4" s="34">
        <v>741</v>
      </c>
      <c r="O4" s="9">
        <f>'Otemachi Daily'!M7</f>
        <v>134</v>
      </c>
      <c r="P4" s="9">
        <f>'Otemachi Daily'!N7</f>
        <v>270</v>
      </c>
    </row>
    <row r="5" spans="1:16" ht="15">
      <c r="A5" s="6" t="s">
        <v>22</v>
      </c>
      <c r="B5" s="7">
        <f t="shared" si="0"/>
        <v>4</v>
      </c>
      <c r="C5" s="8">
        <v>9</v>
      </c>
      <c r="D5" s="7">
        <v>2022</v>
      </c>
      <c r="E5" s="9">
        <f>'Otemachi Daily'!D8</f>
        <v>16608</v>
      </c>
      <c r="F5" s="34">
        <f>[1]見込!$G$3</f>
        <v>31.5</v>
      </c>
      <c r="G5" s="9">
        <f>'Otemachi Daily'!F8</f>
        <v>177.2</v>
      </c>
      <c r="H5" s="34">
        <f>[1]見込!$M$23</f>
        <v>149.69061061637868</v>
      </c>
      <c r="I5" s="9">
        <f>'Otemachi Daily'!H8</f>
        <v>22365.678</v>
      </c>
      <c r="J5" s="34">
        <v>10.79</v>
      </c>
      <c r="K5" s="9">
        <f>'Otemachi Daily'!J8</f>
        <v>250.01999999999998</v>
      </c>
      <c r="L5" s="34">
        <v>7.22</v>
      </c>
      <c r="M5" s="9">
        <f>'Otemachi Daily'!L8</f>
        <v>181</v>
      </c>
      <c r="N5" s="34">
        <v>741</v>
      </c>
      <c r="O5" s="9">
        <f>'Otemachi Daily'!M8</f>
        <v>101</v>
      </c>
      <c r="P5" s="9">
        <f>'Otemachi Daily'!N8</f>
        <v>170</v>
      </c>
    </row>
    <row r="6" spans="1:16" ht="15">
      <c r="A6" s="6" t="s">
        <v>22</v>
      </c>
      <c r="B6" s="7">
        <f t="shared" si="0"/>
        <v>5</v>
      </c>
      <c r="C6" s="8">
        <v>9</v>
      </c>
      <c r="D6" s="7">
        <v>2022</v>
      </c>
      <c r="E6" s="9">
        <f>'Otemachi Daily'!D9</f>
        <v>16419</v>
      </c>
      <c r="F6" s="34">
        <f>[1]見込!$G$3</f>
        <v>31.5</v>
      </c>
      <c r="G6" s="9">
        <f>'Otemachi Daily'!F9</f>
        <v>189.5</v>
      </c>
      <c r="H6" s="34">
        <f>[1]見込!$M$23</f>
        <v>149.69061061637868</v>
      </c>
      <c r="I6" s="9">
        <f>'Otemachi Daily'!H9</f>
        <v>23403.260999999999</v>
      </c>
      <c r="J6" s="34">
        <v>10.79</v>
      </c>
      <c r="K6" s="9">
        <f>'Otemachi Daily'!J9</f>
        <v>222.23999999999998</v>
      </c>
      <c r="L6" s="34">
        <v>7.22</v>
      </c>
      <c r="M6" s="9">
        <f>'Otemachi Daily'!L9</f>
        <v>152</v>
      </c>
      <c r="N6" s="34">
        <v>741</v>
      </c>
      <c r="O6" s="9">
        <f>'Otemachi Daily'!M9</f>
        <v>91</v>
      </c>
      <c r="P6" s="9">
        <f>'Otemachi Daily'!N9</f>
        <v>144</v>
      </c>
    </row>
    <row r="7" spans="1:16" ht="15">
      <c r="A7" s="6" t="s">
        <v>22</v>
      </c>
      <c r="B7" s="7">
        <f t="shared" si="0"/>
        <v>6</v>
      </c>
      <c r="C7" s="8">
        <v>9</v>
      </c>
      <c r="D7" s="7">
        <v>2022</v>
      </c>
      <c r="E7" s="9">
        <f>'Otemachi Daily'!D10</f>
        <v>16350</v>
      </c>
      <c r="F7" s="34">
        <f>[1]見込!$G$3</f>
        <v>31.5</v>
      </c>
      <c r="G7" s="9">
        <f>'Otemachi Daily'!F10</f>
        <v>180.5</v>
      </c>
      <c r="H7" s="34">
        <f>[1]見込!$M$23</f>
        <v>149.69061061637868</v>
      </c>
      <c r="I7" s="9">
        <f>'Otemachi Daily'!H10</f>
        <v>28574.230199999998</v>
      </c>
      <c r="J7" s="34">
        <v>10.79</v>
      </c>
      <c r="K7" s="9">
        <f>'Otemachi Daily'!J10</f>
        <v>1.6667999999999998</v>
      </c>
      <c r="L7" s="34">
        <v>7.22</v>
      </c>
      <c r="M7" s="9">
        <f>'Otemachi Daily'!L10</f>
        <v>131</v>
      </c>
      <c r="N7" s="34">
        <v>741</v>
      </c>
      <c r="O7" s="9">
        <f>'Otemachi Daily'!M10</f>
        <v>101</v>
      </c>
      <c r="P7" s="9">
        <f>'Otemachi Daily'!N10</f>
        <v>153</v>
      </c>
    </row>
    <row r="8" spans="1:16" ht="15">
      <c r="A8" s="6" t="s">
        <v>22</v>
      </c>
      <c r="B8" s="7">
        <f t="shared" si="0"/>
        <v>7</v>
      </c>
      <c r="C8" s="8">
        <v>9</v>
      </c>
      <c r="D8" s="7">
        <v>2022</v>
      </c>
      <c r="E8" s="9">
        <f>'Otemachi Daily'!D11</f>
        <v>15874</v>
      </c>
      <c r="F8" s="34">
        <f>[1]見込!$G$3</f>
        <v>31.5</v>
      </c>
      <c r="G8" s="9">
        <f>'Otemachi Daily'!F11</f>
        <v>161.4</v>
      </c>
      <c r="H8" s="34">
        <f>[1]見込!$M$23</f>
        <v>149.69061061637868</v>
      </c>
      <c r="I8" s="9">
        <f>'Otemachi Daily'!H11</f>
        <v>27865.562399999999</v>
      </c>
      <c r="J8" s="34">
        <v>10.79</v>
      </c>
      <c r="K8" s="9">
        <f>'Otemachi Daily'!J11</f>
        <v>43.892400000000002</v>
      </c>
      <c r="L8" s="34">
        <v>7.22</v>
      </c>
      <c r="M8" s="9">
        <f>'Otemachi Daily'!L11</f>
        <v>129</v>
      </c>
      <c r="N8" s="34">
        <v>741</v>
      </c>
      <c r="O8" s="9">
        <f>'Otemachi Daily'!M11</f>
        <v>92</v>
      </c>
      <c r="P8" s="9">
        <f>'Otemachi Daily'!N11</f>
        <v>136</v>
      </c>
    </row>
    <row r="9" spans="1:16" ht="15">
      <c r="A9" s="6" t="s">
        <v>22</v>
      </c>
      <c r="B9" s="7">
        <f t="shared" si="0"/>
        <v>8</v>
      </c>
      <c r="C9" s="8">
        <v>9</v>
      </c>
      <c r="D9" s="7">
        <v>2022</v>
      </c>
      <c r="E9" s="9">
        <f>'Otemachi Daily'!D12</f>
        <v>16109</v>
      </c>
      <c r="F9" s="34">
        <f>[1]見込!$G$3</f>
        <v>31.5</v>
      </c>
      <c r="G9" s="9">
        <f>'Otemachi Daily'!F12</f>
        <v>172.1</v>
      </c>
      <c r="H9" s="34">
        <f>[1]見込!$M$23</f>
        <v>149.69061061637868</v>
      </c>
      <c r="I9" s="9">
        <f>'Otemachi Daily'!H12</f>
        <v>17551.126199999999</v>
      </c>
      <c r="J9" s="34">
        <v>10.79</v>
      </c>
      <c r="K9" s="9">
        <f>'Otemachi Daily'!J12</f>
        <v>474.20459999999997</v>
      </c>
      <c r="L9" s="34">
        <v>7.22</v>
      </c>
      <c r="M9" s="9">
        <f>'Otemachi Daily'!L12</f>
        <v>144</v>
      </c>
      <c r="N9" s="34">
        <v>741</v>
      </c>
      <c r="O9" s="9">
        <f>'Otemachi Daily'!M12</f>
        <v>110</v>
      </c>
      <c r="P9" s="9">
        <f>'Otemachi Daily'!N12</f>
        <v>180</v>
      </c>
    </row>
    <row r="10" spans="1:16" ht="15">
      <c r="A10" s="6" t="s">
        <v>22</v>
      </c>
      <c r="B10" s="7">
        <f t="shared" si="0"/>
        <v>9</v>
      </c>
      <c r="C10" s="8">
        <v>9</v>
      </c>
      <c r="D10" s="7">
        <v>2022</v>
      </c>
      <c r="E10" s="9">
        <f>'Otemachi Daily'!D13</f>
        <v>16427</v>
      </c>
      <c r="F10" s="34">
        <f>[1]見込!$G$3</f>
        <v>31.5</v>
      </c>
      <c r="G10" s="9">
        <f>'Otemachi Daily'!F13</f>
        <v>185.8</v>
      </c>
      <c r="H10" s="34">
        <f>[1]見込!$M$23</f>
        <v>149.69061061637868</v>
      </c>
      <c r="I10" s="9">
        <f>'Otemachi Daily'!H13</f>
        <v>20018.8236</v>
      </c>
      <c r="J10" s="34">
        <v>10.79</v>
      </c>
      <c r="K10" s="9">
        <f>'Otemachi Daily'!J13</f>
        <v>312.52499999999998</v>
      </c>
      <c r="L10" s="34">
        <v>7.22</v>
      </c>
      <c r="M10" s="9">
        <f>'Otemachi Daily'!L13</f>
        <v>151</v>
      </c>
      <c r="N10" s="34">
        <v>741</v>
      </c>
      <c r="O10" s="9">
        <f>'Otemachi Daily'!M13</f>
        <v>164</v>
      </c>
      <c r="P10" s="9">
        <f>'Otemachi Daily'!N13</f>
        <v>316</v>
      </c>
    </row>
    <row r="11" spans="1:16" ht="15">
      <c r="A11" s="6" t="s">
        <v>22</v>
      </c>
      <c r="B11" s="7">
        <f t="shared" si="0"/>
        <v>10</v>
      </c>
      <c r="C11" s="8">
        <v>9</v>
      </c>
      <c r="D11" s="7">
        <v>2022</v>
      </c>
      <c r="E11" s="9">
        <f>'Otemachi Daily'!D14</f>
        <v>16703</v>
      </c>
      <c r="F11" s="34">
        <f>[1]見込!$G$3</f>
        <v>31.5</v>
      </c>
      <c r="G11" s="9">
        <f>'Otemachi Daily'!F14</f>
        <v>200</v>
      </c>
      <c r="H11" s="34">
        <f>[1]見込!$M$23</f>
        <v>149.69061061637868</v>
      </c>
      <c r="I11" s="9">
        <f>'Otemachi Daily'!H14</f>
        <v>19479.891599999999</v>
      </c>
      <c r="J11" s="34">
        <v>10.79</v>
      </c>
      <c r="K11" s="9">
        <f>'Otemachi Daily'!J14</f>
        <v>555.6</v>
      </c>
      <c r="L11" s="34">
        <v>7.22</v>
      </c>
      <c r="M11" s="9">
        <f>'Otemachi Daily'!L14</f>
        <v>196</v>
      </c>
      <c r="N11" s="34">
        <v>741</v>
      </c>
      <c r="O11" s="9">
        <f>'Otemachi Daily'!M14</f>
        <v>168</v>
      </c>
      <c r="P11" s="9">
        <f>'Otemachi Daily'!N14</f>
        <v>325</v>
      </c>
    </row>
    <row r="12" spans="1:16" ht="15">
      <c r="A12" s="6" t="s">
        <v>22</v>
      </c>
      <c r="B12" s="7">
        <f t="shared" si="0"/>
        <v>11</v>
      </c>
      <c r="C12" s="8">
        <v>9</v>
      </c>
      <c r="D12" s="7">
        <v>2022</v>
      </c>
      <c r="E12" s="9">
        <f>'Otemachi Daily'!D15</f>
        <v>16713</v>
      </c>
      <c r="F12" s="34">
        <f>[1]見込!$G$3</f>
        <v>31.5</v>
      </c>
      <c r="G12" s="9">
        <f>'Otemachi Daily'!F15</f>
        <v>185.4</v>
      </c>
      <c r="H12" s="34">
        <f>[1]見込!$M$23</f>
        <v>149.69061061637868</v>
      </c>
      <c r="I12" s="9">
        <f>'Otemachi Daily'!H15</f>
        <v>16242.132599999999</v>
      </c>
      <c r="J12" s="34">
        <v>10.79</v>
      </c>
      <c r="K12" s="9">
        <f>'Otemachi Daily'!J15</f>
        <v>500.03999999999996</v>
      </c>
      <c r="L12" s="34">
        <v>7.22</v>
      </c>
      <c r="M12" s="9">
        <f>'Otemachi Daily'!L15</f>
        <v>187</v>
      </c>
      <c r="N12" s="34">
        <v>741</v>
      </c>
      <c r="O12" s="9">
        <f>'Otemachi Daily'!M15</f>
        <v>138</v>
      </c>
      <c r="P12" s="9">
        <f>'Otemachi Daily'!N15</f>
        <v>231</v>
      </c>
    </row>
    <row r="13" spans="1:16" ht="15">
      <c r="A13" s="6" t="s">
        <v>22</v>
      </c>
      <c r="B13" s="7">
        <f t="shared" si="0"/>
        <v>12</v>
      </c>
      <c r="C13" s="8">
        <v>9</v>
      </c>
      <c r="D13" s="7">
        <v>2022</v>
      </c>
      <c r="E13" s="9">
        <f>'Otemachi Daily'!D16</f>
        <v>16383</v>
      </c>
      <c r="F13" s="34">
        <f>[1]見込!$G$3</f>
        <v>31.5</v>
      </c>
      <c r="G13" s="9">
        <f>'Otemachi Daily'!F16</f>
        <v>178.9</v>
      </c>
      <c r="H13" s="34">
        <f>[1]見込!$M$23</f>
        <v>149.69061061637868</v>
      </c>
      <c r="I13" s="9">
        <f>'Otemachi Daily'!H16</f>
        <v>19844.643</v>
      </c>
      <c r="J13" s="34">
        <v>10.79</v>
      </c>
      <c r="K13" s="9">
        <f>'Otemachi Daily'!J16</f>
        <v>111.11999999999999</v>
      </c>
      <c r="L13" s="34">
        <v>7.22</v>
      </c>
      <c r="M13" s="9">
        <f>'Otemachi Daily'!L16</f>
        <v>154</v>
      </c>
      <c r="N13" s="34">
        <v>741</v>
      </c>
      <c r="O13" s="9">
        <f>'Otemachi Daily'!M16</f>
        <v>131</v>
      </c>
      <c r="P13" s="9">
        <f>'Otemachi Daily'!N16</f>
        <v>206</v>
      </c>
    </row>
    <row r="14" spans="1:16" ht="15">
      <c r="A14" s="6" t="s">
        <v>22</v>
      </c>
      <c r="B14" s="7">
        <f t="shared" si="0"/>
        <v>13</v>
      </c>
      <c r="C14" s="8">
        <v>9</v>
      </c>
      <c r="D14" s="7">
        <v>2022</v>
      </c>
      <c r="E14" s="9">
        <f>'Otemachi Daily'!D17</f>
        <v>16437</v>
      </c>
      <c r="F14" s="34">
        <f>[1]見込!$G$3</f>
        <v>31.5</v>
      </c>
      <c r="G14" s="9">
        <f>'Otemachi Daily'!F17</f>
        <v>176.4</v>
      </c>
      <c r="H14" s="34">
        <f>[1]見込!$M$23</f>
        <v>149.69061061637868</v>
      </c>
      <c r="I14" s="9">
        <f>'Otemachi Daily'!H17</f>
        <v>24568.909799999998</v>
      </c>
      <c r="J14" s="34">
        <v>10.79</v>
      </c>
      <c r="K14" s="9">
        <f>'Otemachi Daily'!J17</f>
        <v>171.95820000000001</v>
      </c>
      <c r="L14" s="34">
        <v>7.22</v>
      </c>
      <c r="M14" s="9">
        <f>'Otemachi Daily'!L17</f>
        <v>160</v>
      </c>
      <c r="N14" s="34">
        <v>741</v>
      </c>
      <c r="O14" s="9">
        <f>'Otemachi Daily'!M17</f>
        <v>151</v>
      </c>
      <c r="P14" s="9">
        <f>'Otemachi Daily'!N17</f>
        <v>222</v>
      </c>
    </row>
    <row r="15" spans="1:16" ht="15">
      <c r="A15" s="6" t="s">
        <v>22</v>
      </c>
      <c r="B15" s="7">
        <f t="shared" si="0"/>
        <v>14</v>
      </c>
      <c r="C15" s="8">
        <v>9</v>
      </c>
      <c r="D15" s="7">
        <v>2022</v>
      </c>
      <c r="E15" s="9">
        <f>'Otemachi Daily'!D18</f>
        <v>16674</v>
      </c>
      <c r="F15" s="34">
        <f>[1]見込!$G$3</f>
        <v>31.5</v>
      </c>
      <c r="G15" s="9">
        <f>'Otemachi Daily'!F18</f>
        <v>178.6</v>
      </c>
      <c r="H15" s="34">
        <f>[1]見込!$M$23</f>
        <v>149.69061061637868</v>
      </c>
      <c r="I15" s="9">
        <f>'Otemachi Daily'!H18</f>
        <v>25017.001199999999</v>
      </c>
      <c r="J15" s="34">
        <v>10.79</v>
      </c>
      <c r="K15" s="9">
        <f>'Otemachi Daily'!J18</f>
        <v>175.29179999999999</v>
      </c>
      <c r="L15" s="34">
        <v>7.22</v>
      </c>
      <c r="M15" s="9">
        <f>'Otemachi Daily'!L18</f>
        <v>152</v>
      </c>
      <c r="N15" s="34">
        <v>741</v>
      </c>
      <c r="O15" s="9">
        <f>'Otemachi Daily'!M18</f>
        <v>144</v>
      </c>
      <c r="P15" s="9">
        <f>'Otemachi Daily'!N18</f>
        <v>224</v>
      </c>
    </row>
    <row r="16" spans="1:16" ht="15">
      <c r="A16" s="6" t="s">
        <v>22</v>
      </c>
      <c r="B16" s="7">
        <f t="shared" si="0"/>
        <v>15</v>
      </c>
      <c r="C16" s="8">
        <v>9</v>
      </c>
      <c r="D16" s="7">
        <v>2022</v>
      </c>
      <c r="E16" s="9">
        <f>'Otemachi Daily'!D19</f>
        <v>16228</v>
      </c>
      <c r="F16" s="34">
        <f>[1]見込!$G$3</f>
        <v>31.5</v>
      </c>
      <c r="G16" s="9">
        <f>'Otemachi Daily'!F19</f>
        <v>178.5</v>
      </c>
      <c r="H16" s="34">
        <f>[1]見込!$M$23</f>
        <v>149.69061061637868</v>
      </c>
      <c r="I16" s="9">
        <f>'Otemachi Daily'!H19</f>
        <v>12687.4038</v>
      </c>
      <c r="J16" s="34">
        <v>10.79</v>
      </c>
      <c r="K16" s="9">
        <f>'Otemachi Daily'!J19</f>
        <v>472.26</v>
      </c>
      <c r="L16" s="34">
        <v>7.22</v>
      </c>
      <c r="M16" s="9">
        <f>'Otemachi Daily'!L19</f>
        <v>164</v>
      </c>
      <c r="N16" s="34">
        <v>741</v>
      </c>
      <c r="O16" s="9">
        <f>'Otemachi Daily'!M19</f>
        <v>130</v>
      </c>
      <c r="P16" s="9">
        <f>'Otemachi Daily'!N19</f>
        <v>215</v>
      </c>
    </row>
    <row r="17" spans="1:16" ht="15">
      <c r="A17" s="6" t="s">
        <v>22</v>
      </c>
      <c r="B17" s="7">
        <f t="shared" si="0"/>
        <v>16</v>
      </c>
      <c r="C17" s="8">
        <v>9</v>
      </c>
      <c r="D17" s="7">
        <v>2022</v>
      </c>
      <c r="E17" s="9">
        <f>'Otemachi Daily'!D20</f>
        <v>16225</v>
      </c>
      <c r="F17" s="34">
        <f>[1]見込!$G$3</f>
        <v>31.5</v>
      </c>
      <c r="G17" s="9">
        <f>'Otemachi Daily'!F20</f>
        <v>185.2</v>
      </c>
      <c r="H17" s="34">
        <f>[1]見込!$M$23</f>
        <v>149.69061061637868</v>
      </c>
      <c r="I17" s="9">
        <f>'Otemachi Daily'!H20</f>
        <v>16639.108799999998</v>
      </c>
      <c r="J17" s="34">
        <v>10.79</v>
      </c>
      <c r="K17" s="9">
        <f>'Otemachi Daily'!J20</f>
        <v>277.8</v>
      </c>
      <c r="L17" s="34">
        <v>7.22</v>
      </c>
      <c r="M17" s="9">
        <f>'Otemachi Daily'!L20</f>
        <v>150</v>
      </c>
      <c r="N17" s="34">
        <v>741</v>
      </c>
      <c r="O17" s="9">
        <f>'Otemachi Daily'!M20</f>
        <v>128</v>
      </c>
      <c r="P17" s="9">
        <f>'Otemachi Daily'!N20</f>
        <v>246</v>
      </c>
    </row>
    <row r="18" spans="1:16" ht="15">
      <c r="A18" s="6" t="s">
        <v>22</v>
      </c>
      <c r="B18" s="7">
        <f t="shared" si="0"/>
        <v>17</v>
      </c>
      <c r="C18" s="8">
        <v>9</v>
      </c>
      <c r="D18" s="7">
        <v>2022</v>
      </c>
      <c r="E18" s="9">
        <f>'Otemachi Daily'!D21</f>
        <v>16766</v>
      </c>
      <c r="F18" s="34">
        <f>[1]見込!$G$3</f>
        <v>31.5</v>
      </c>
      <c r="G18" s="9">
        <f>'Otemachi Daily'!F21</f>
        <v>184.8</v>
      </c>
      <c r="H18" s="34">
        <f>[1]見込!$M$23</f>
        <v>149.69061061637868</v>
      </c>
      <c r="I18" s="9">
        <f>'Otemachi Daily'!H21</f>
        <v>22904.054400000001</v>
      </c>
      <c r="J18" s="34">
        <v>10.79</v>
      </c>
      <c r="K18" s="9">
        <f>'Otemachi Daily'!J21</f>
        <v>250.01999999999998</v>
      </c>
      <c r="L18" s="34">
        <v>7.22</v>
      </c>
      <c r="M18" s="9">
        <f>'Otemachi Daily'!L21</f>
        <v>199</v>
      </c>
      <c r="N18" s="34">
        <v>741</v>
      </c>
      <c r="O18" s="9">
        <f>'Otemachi Daily'!M21</f>
        <v>162</v>
      </c>
      <c r="P18" s="9">
        <f>'Otemachi Daily'!N21</f>
        <v>345</v>
      </c>
    </row>
    <row r="19" spans="1:16" ht="15">
      <c r="A19" s="6" t="s">
        <v>22</v>
      </c>
      <c r="B19" s="7">
        <f t="shared" si="0"/>
        <v>18</v>
      </c>
      <c r="C19" s="8">
        <v>9</v>
      </c>
      <c r="D19" s="7">
        <v>2022</v>
      </c>
      <c r="E19" s="9">
        <f>'Otemachi Daily'!D22</f>
        <v>16957</v>
      </c>
      <c r="F19" s="34">
        <f>[1]見込!$G$3</f>
        <v>31.5</v>
      </c>
      <c r="G19" s="9">
        <f>'Otemachi Daily'!F22</f>
        <v>186.1</v>
      </c>
      <c r="H19" s="34">
        <f>[1]見込!$M$23</f>
        <v>149.69061061637868</v>
      </c>
      <c r="I19" s="9">
        <f>'Otemachi Daily'!H22</f>
        <v>27496.9218</v>
      </c>
      <c r="J19" s="34">
        <v>10.79</v>
      </c>
      <c r="K19" s="9">
        <f>'Otemachi Daily'!J22</f>
        <v>611.16</v>
      </c>
      <c r="L19" s="34">
        <v>7.22</v>
      </c>
      <c r="M19" s="9">
        <f>'Otemachi Daily'!L22</f>
        <v>227</v>
      </c>
      <c r="N19" s="34">
        <v>741</v>
      </c>
      <c r="O19" s="9">
        <f>'Otemachi Daily'!M22</f>
        <v>170</v>
      </c>
      <c r="P19" s="9">
        <f>'Otemachi Daily'!N22</f>
        <v>370</v>
      </c>
    </row>
    <row r="20" spans="1:16" ht="15">
      <c r="A20" s="6" t="s">
        <v>22</v>
      </c>
      <c r="B20" s="7">
        <f t="shared" si="0"/>
        <v>19</v>
      </c>
      <c r="C20" s="8">
        <v>9</v>
      </c>
      <c r="D20" s="7">
        <v>2022</v>
      </c>
      <c r="E20" s="9">
        <f>'Otemachi Daily'!D23</f>
        <v>17176</v>
      </c>
      <c r="F20" s="34">
        <f>[1]見込!$G$3</f>
        <v>31.5</v>
      </c>
      <c r="G20" s="9">
        <f>'Otemachi Daily'!F23</f>
        <v>175.7</v>
      </c>
      <c r="H20" s="34">
        <f>[1]見込!$M$23</f>
        <v>149.69061061637868</v>
      </c>
      <c r="I20" s="9">
        <f>'Otemachi Daily'!H23</f>
        <v>31831.1574</v>
      </c>
      <c r="J20" s="34">
        <v>10.79</v>
      </c>
      <c r="K20" s="9">
        <f>'Otemachi Daily'!J23</f>
        <v>111.11999999999999</v>
      </c>
      <c r="L20" s="34">
        <v>7.22</v>
      </c>
      <c r="M20" s="9">
        <f>'Otemachi Daily'!L23</f>
        <v>199</v>
      </c>
      <c r="N20" s="34">
        <v>741</v>
      </c>
      <c r="O20" s="9">
        <f>'Otemachi Daily'!M23</f>
        <v>101</v>
      </c>
      <c r="P20" s="9">
        <f>'Otemachi Daily'!N23</f>
        <v>176</v>
      </c>
    </row>
    <row r="21" spans="1:16" ht="15">
      <c r="A21" s="6" t="s">
        <v>22</v>
      </c>
      <c r="B21" s="7">
        <f t="shared" si="0"/>
        <v>20</v>
      </c>
      <c r="C21" s="8">
        <v>9</v>
      </c>
      <c r="D21" s="7">
        <v>2022</v>
      </c>
      <c r="E21" s="9">
        <f>'Otemachi Daily'!D24</f>
        <v>0</v>
      </c>
      <c r="F21" s="34">
        <f>[1]見込!$G$3</f>
        <v>31.5</v>
      </c>
      <c r="G21" s="9">
        <f>'Otemachi Daily'!F24</f>
        <v>0</v>
      </c>
      <c r="H21" s="34">
        <f>[1]見込!$M$23</f>
        <v>149.69061061637868</v>
      </c>
      <c r="I21" s="9">
        <f>'Otemachi Daily'!H24</f>
        <v>0</v>
      </c>
      <c r="J21" s="34">
        <v>10.79</v>
      </c>
      <c r="K21" s="9">
        <f>'Otemachi Daily'!J24</f>
        <v>0</v>
      </c>
      <c r="L21" s="34">
        <v>7.22</v>
      </c>
      <c r="M21" s="9">
        <f>'Otemachi Daily'!L24</f>
        <v>0</v>
      </c>
      <c r="N21" s="34">
        <v>741</v>
      </c>
      <c r="O21" s="9">
        <f>'Otemachi Daily'!M24</f>
        <v>0</v>
      </c>
      <c r="P21" s="9">
        <f>'Otemachi Daily'!N24</f>
        <v>0</v>
      </c>
    </row>
    <row r="22" spans="1:16" ht="15">
      <c r="A22" s="6" t="s">
        <v>22</v>
      </c>
      <c r="B22" s="7">
        <f t="shared" si="0"/>
        <v>21</v>
      </c>
      <c r="C22" s="8">
        <v>9</v>
      </c>
      <c r="D22" s="7">
        <v>2022</v>
      </c>
      <c r="E22" s="9">
        <f>'Otemachi Daily'!D25</f>
        <v>0</v>
      </c>
      <c r="F22" s="34">
        <f>[1]見込!$G$3</f>
        <v>31.5</v>
      </c>
      <c r="G22" s="9">
        <f>'Otemachi Daily'!F25</f>
        <v>0</v>
      </c>
      <c r="H22" s="34">
        <f>[1]見込!$M$23</f>
        <v>149.69061061637868</v>
      </c>
      <c r="I22" s="9">
        <f>'Otemachi Daily'!H25</f>
        <v>0</v>
      </c>
      <c r="J22" s="34">
        <v>10.79</v>
      </c>
      <c r="K22" s="9">
        <f>'Otemachi Daily'!J25</f>
        <v>0</v>
      </c>
      <c r="L22" s="34">
        <v>7.22</v>
      </c>
      <c r="M22" s="9">
        <f>'Otemachi Daily'!L25</f>
        <v>0</v>
      </c>
      <c r="N22" s="34">
        <v>741</v>
      </c>
      <c r="O22" s="9">
        <f>'Otemachi Daily'!M25</f>
        <v>0</v>
      </c>
      <c r="P22" s="9">
        <f>'Otemachi Daily'!N25</f>
        <v>0</v>
      </c>
    </row>
    <row r="23" spans="1:16" ht="15">
      <c r="A23" s="6" t="s">
        <v>22</v>
      </c>
      <c r="B23" s="7">
        <f t="shared" si="0"/>
        <v>22</v>
      </c>
      <c r="C23" s="8">
        <v>9</v>
      </c>
      <c r="D23" s="7">
        <v>2022</v>
      </c>
      <c r="E23" s="9">
        <f>'Otemachi Daily'!D26</f>
        <v>0</v>
      </c>
      <c r="F23" s="34">
        <f>[1]見込!$G$3</f>
        <v>31.5</v>
      </c>
      <c r="G23" s="9">
        <f>'Otemachi Daily'!F26</f>
        <v>0</v>
      </c>
      <c r="H23" s="34">
        <f>[1]見込!$M$23</f>
        <v>149.69061061637868</v>
      </c>
      <c r="I23" s="9">
        <f>'Otemachi Daily'!H26</f>
        <v>0</v>
      </c>
      <c r="J23" s="34">
        <v>10.79</v>
      </c>
      <c r="K23" s="9">
        <f>'Otemachi Daily'!J26</f>
        <v>0</v>
      </c>
      <c r="L23" s="34">
        <v>7.22</v>
      </c>
      <c r="M23" s="9">
        <f>'Otemachi Daily'!L26</f>
        <v>0</v>
      </c>
      <c r="N23" s="34">
        <v>741</v>
      </c>
      <c r="O23" s="9">
        <f>'Otemachi Daily'!M26</f>
        <v>0</v>
      </c>
      <c r="P23" s="9">
        <f>'Otemachi Daily'!N26</f>
        <v>0</v>
      </c>
    </row>
    <row r="24" spans="1:16" ht="15">
      <c r="A24" s="6" t="s">
        <v>22</v>
      </c>
      <c r="B24" s="7">
        <f t="shared" si="0"/>
        <v>23</v>
      </c>
      <c r="C24" s="8">
        <v>9</v>
      </c>
      <c r="D24" s="7">
        <v>2022</v>
      </c>
      <c r="E24" s="9">
        <f>'Otemachi Daily'!D27</f>
        <v>0</v>
      </c>
      <c r="F24" s="34">
        <f>[1]見込!$G$3</f>
        <v>31.5</v>
      </c>
      <c r="G24" s="9">
        <f>'Otemachi Daily'!F27</f>
        <v>0</v>
      </c>
      <c r="H24" s="34">
        <f>[1]見込!$M$23</f>
        <v>149.69061061637868</v>
      </c>
      <c r="I24" s="9">
        <f>'Otemachi Daily'!H27</f>
        <v>0</v>
      </c>
      <c r="J24" s="34">
        <v>10.79</v>
      </c>
      <c r="K24" s="9">
        <f>'Otemachi Daily'!J27</f>
        <v>0</v>
      </c>
      <c r="L24" s="34">
        <v>7.22</v>
      </c>
      <c r="M24" s="9">
        <f>'Otemachi Daily'!L27</f>
        <v>0</v>
      </c>
      <c r="N24" s="34">
        <v>741</v>
      </c>
      <c r="O24" s="9">
        <f>'Otemachi Daily'!M27</f>
        <v>0</v>
      </c>
      <c r="P24" s="9">
        <f>'Otemachi Daily'!N27</f>
        <v>0</v>
      </c>
    </row>
    <row r="25" spans="1:16" ht="15">
      <c r="A25" s="6" t="s">
        <v>22</v>
      </c>
      <c r="B25" s="7">
        <f t="shared" si="0"/>
        <v>24</v>
      </c>
      <c r="C25" s="8">
        <v>9</v>
      </c>
      <c r="D25" s="7">
        <v>2022</v>
      </c>
      <c r="E25" s="9">
        <f>'Otemachi Daily'!D28</f>
        <v>0</v>
      </c>
      <c r="F25" s="34">
        <f>[1]見込!$G$3</f>
        <v>31.5</v>
      </c>
      <c r="G25" s="9">
        <f>'Otemachi Daily'!F28</f>
        <v>0</v>
      </c>
      <c r="H25" s="34">
        <f>[1]見込!$M$23</f>
        <v>149.69061061637868</v>
      </c>
      <c r="I25" s="9">
        <f>'Otemachi Daily'!H28</f>
        <v>0</v>
      </c>
      <c r="J25" s="34">
        <v>10.79</v>
      </c>
      <c r="K25" s="9">
        <f>'Otemachi Daily'!J28</f>
        <v>0</v>
      </c>
      <c r="L25" s="34">
        <v>7.22</v>
      </c>
      <c r="M25" s="9">
        <f>'Otemachi Daily'!L28</f>
        <v>0</v>
      </c>
      <c r="N25" s="34">
        <v>741</v>
      </c>
      <c r="O25" s="9">
        <f>'Otemachi Daily'!M28</f>
        <v>0</v>
      </c>
      <c r="P25" s="9">
        <f>'Otemachi Daily'!N28</f>
        <v>0</v>
      </c>
    </row>
    <row r="26" spans="1:16" ht="15">
      <c r="A26" s="6" t="s">
        <v>22</v>
      </c>
      <c r="B26" s="7">
        <f>B25+1</f>
        <v>25</v>
      </c>
      <c r="C26" s="8">
        <v>9</v>
      </c>
      <c r="D26" s="7">
        <v>2022</v>
      </c>
      <c r="E26" s="9">
        <f>'Otemachi Daily'!D29</f>
        <v>0</v>
      </c>
      <c r="F26" s="34">
        <f>[1]見込!$G$3</f>
        <v>31.5</v>
      </c>
      <c r="G26" s="9">
        <f>'Otemachi Daily'!F29</f>
        <v>0</v>
      </c>
      <c r="H26" s="34">
        <f>[1]見込!$M$23</f>
        <v>149.69061061637868</v>
      </c>
      <c r="I26" s="9">
        <f>'Otemachi Daily'!H29</f>
        <v>0</v>
      </c>
      <c r="J26" s="34">
        <v>10.79</v>
      </c>
      <c r="K26" s="9">
        <f>'Otemachi Daily'!J29</f>
        <v>0</v>
      </c>
      <c r="L26" s="34">
        <v>7.22</v>
      </c>
      <c r="M26" s="9">
        <f>'Otemachi Daily'!L29</f>
        <v>0</v>
      </c>
      <c r="N26" s="34">
        <v>741</v>
      </c>
      <c r="O26" s="9">
        <f>'Otemachi Daily'!M29</f>
        <v>0</v>
      </c>
      <c r="P26" s="9">
        <f>'Otemachi Daily'!N29</f>
        <v>0</v>
      </c>
    </row>
    <row r="27" spans="1:16" ht="15">
      <c r="A27" s="6" t="s">
        <v>22</v>
      </c>
      <c r="B27" s="7">
        <f t="shared" si="0"/>
        <v>26</v>
      </c>
      <c r="C27" s="8">
        <v>9</v>
      </c>
      <c r="D27" s="7">
        <v>2022</v>
      </c>
      <c r="E27" s="9">
        <f>'Otemachi Daily'!D30</f>
        <v>0</v>
      </c>
      <c r="F27" s="34">
        <f>[1]見込!$G$3</f>
        <v>31.5</v>
      </c>
      <c r="G27" s="9">
        <f>'Otemachi Daily'!F30</f>
        <v>0</v>
      </c>
      <c r="H27" s="34">
        <f>[1]見込!$M$23</f>
        <v>149.69061061637868</v>
      </c>
      <c r="I27" s="9">
        <f>'Otemachi Daily'!H30</f>
        <v>0</v>
      </c>
      <c r="J27" s="34">
        <v>10.79</v>
      </c>
      <c r="K27" s="9">
        <f>'Otemachi Daily'!J30</f>
        <v>0</v>
      </c>
      <c r="L27" s="34">
        <v>7.22</v>
      </c>
      <c r="M27" s="9">
        <f>'Otemachi Daily'!L30</f>
        <v>0</v>
      </c>
      <c r="N27" s="34">
        <v>741</v>
      </c>
      <c r="O27" s="9">
        <f>'Otemachi Daily'!M30</f>
        <v>0</v>
      </c>
      <c r="P27" s="9">
        <f>'Otemachi Daily'!N30</f>
        <v>0</v>
      </c>
    </row>
    <row r="28" spans="1:16" ht="15">
      <c r="A28" s="6" t="s">
        <v>22</v>
      </c>
      <c r="B28" s="7">
        <f t="shared" si="0"/>
        <v>27</v>
      </c>
      <c r="C28" s="8">
        <v>9</v>
      </c>
      <c r="D28" s="7">
        <v>2022</v>
      </c>
      <c r="E28" s="9">
        <f>'Otemachi Daily'!D31</f>
        <v>0</v>
      </c>
      <c r="F28" s="34">
        <f>[1]見込!$G$3</f>
        <v>31.5</v>
      </c>
      <c r="G28" s="9">
        <f>'Otemachi Daily'!F31</f>
        <v>0</v>
      </c>
      <c r="H28" s="34">
        <f>[1]見込!$M$23</f>
        <v>149.69061061637868</v>
      </c>
      <c r="I28" s="9">
        <f>'Otemachi Daily'!H31</f>
        <v>0</v>
      </c>
      <c r="J28" s="34">
        <v>10.79</v>
      </c>
      <c r="K28" s="9">
        <f>'Otemachi Daily'!J31</f>
        <v>0</v>
      </c>
      <c r="L28" s="34">
        <v>7.22</v>
      </c>
      <c r="M28" s="9">
        <f>'Otemachi Daily'!L31</f>
        <v>0</v>
      </c>
      <c r="N28" s="34">
        <v>741</v>
      </c>
      <c r="O28" s="9">
        <f>'Otemachi Daily'!M31</f>
        <v>0</v>
      </c>
      <c r="P28" s="9">
        <f>'Otemachi Daily'!N31</f>
        <v>0</v>
      </c>
    </row>
    <row r="29" spans="1:16" ht="15">
      <c r="A29" s="6" t="s">
        <v>22</v>
      </c>
      <c r="B29" s="7">
        <f t="shared" si="0"/>
        <v>28</v>
      </c>
      <c r="C29" s="8">
        <v>9</v>
      </c>
      <c r="D29" s="7">
        <v>2022</v>
      </c>
      <c r="E29" s="9">
        <f>'Otemachi Daily'!D32</f>
        <v>0</v>
      </c>
      <c r="F29" s="34">
        <f>[1]見込!$G$3</f>
        <v>31.5</v>
      </c>
      <c r="G29" s="9">
        <f>'Otemachi Daily'!F32</f>
        <v>0</v>
      </c>
      <c r="H29" s="34">
        <f>[1]見込!$M$23</f>
        <v>149.69061061637868</v>
      </c>
      <c r="I29" s="9">
        <f>'Otemachi Daily'!H32</f>
        <v>0</v>
      </c>
      <c r="J29" s="34">
        <v>10.79</v>
      </c>
      <c r="K29" s="9">
        <f>'Otemachi Daily'!J32</f>
        <v>0</v>
      </c>
      <c r="L29" s="34">
        <v>7.22</v>
      </c>
      <c r="M29" s="9">
        <f>'Otemachi Daily'!L32</f>
        <v>0</v>
      </c>
      <c r="N29" s="34">
        <v>741</v>
      </c>
      <c r="O29" s="9">
        <f>'Otemachi Daily'!M32</f>
        <v>0</v>
      </c>
      <c r="P29" s="9">
        <f>'Otemachi Daily'!N32</f>
        <v>0</v>
      </c>
    </row>
    <row r="30" spans="1:16" ht="15">
      <c r="A30" s="6" t="s">
        <v>22</v>
      </c>
      <c r="B30" s="7">
        <f t="shared" si="0"/>
        <v>29</v>
      </c>
      <c r="C30" s="8">
        <v>9</v>
      </c>
      <c r="D30" s="7">
        <v>2022</v>
      </c>
      <c r="E30" s="9">
        <f>'Otemachi Daily'!D33</f>
        <v>0</v>
      </c>
      <c r="F30" s="34">
        <f>[1]見込!$G$3</f>
        <v>31.5</v>
      </c>
      <c r="G30" s="9">
        <f>'Otemachi Daily'!F33</f>
        <v>0</v>
      </c>
      <c r="H30" s="34">
        <f>[1]見込!$M$23</f>
        <v>149.69061061637868</v>
      </c>
      <c r="I30" s="9">
        <f>'Otemachi Daily'!H33</f>
        <v>0</v>
      </c>
      <c r="J30" s="34">
        <v>10.79</v>
      </c>
      <c r="K30" s="9">
        <f>'Otemachi Daily'!J33</f>
        <v>0</v>
      </c>
      <c r="L30" s="34">
        <v>7.22</v>
      </c>
      <c r="M30" s="9">
        <f>'Otemachi Daily'!L33</f>
        <v>0</v>
      </c>
      <c r="N30" s="34">
        <v>741</v>
      </c>
      <c r="O30" s="9">
        <f>'Otemachi Daily'!M33</f>
        <v>0</v>
      </c>
      <c r="P30" s="9">
        <f>'Otemachi Daily'!N33</f>
        <v>0</v>
      </c>
    </row>
    <row r="31" spans="1:16" ht="15">
      <c r="A31" s="6" t="s">
        <v>22</v>
      </c>
      <c r="B31" s="7">
        <f t="shared" si="0"/>
        <v>30</v>
      </c>
      <c r="C31" s="8">
        <v>9</v>
      </c>
      <c r="D31" s="7">
        <v>2022</v>
      </c>
      <c r="E31" s="9">
        <f>'Otemachi Daily'!D34</f>
        <v>0</v>
      </c>
      <c r="F31" s="34">
        <f>[1]見込!$G$3</f>
        <v>31.5</v>
      </c>
      <c r="G31" s="9">
        <f>'Otemachi Daily'!F34</f>
        <v>0</v>
      </c>
      <c r="H31" s="34">
        <f>[1]見込!$M$23</f>
        <v>149.69061061637868</v>
      </c>
      <c r="I31" s="9">
        <f>'Otemachi Daily'!H34</f>
        <v>0</v>
      </c>
      <c r="J31" s="34">
        <v>10.79</v>
      </c>
      <c r="K31" s="9">
        <f>'Otemachi Daily'!J34</f>
        <v>0</v>
      </c>
      <c r="L31" s="34">
        <v>7.22</v>
      </c>
      <c r="M31" s="9">
        <f>'Otemachi Daily'!L34</f>
        <v>0</v>
      </c>
      <c r="N31" s="34">
        <v>741</v>
      </c>
      <c r="O31" s="9">
        <f>'Otemachi Daily'!M34</f>
        <v>0</v>
      </c>
      <c r="P31" s="9">
        <f>'Otemachi Daily'!N34</f>
        <v>0</v>
      </c>
    </row>
    <row r="32" spans="1:16" ht="15">
      <c r="A32" s="6" t="s">
        <v>22</v>
      </c>
      <c r="B32" s="7">
        <f t="shared" si="0"/>
        <v>31</v>
      </c>
      <c r="C32" s="8">
        <v>9</v>
      </c>
      <c r="D32" s="7">
        <v>2022</v>
      </c>
      <c r="E32" s="9">
        <f>'Otemachi Daily'!D35</f>
        <v>0</v>
      </c>
      <c r="F32" s="34">
        <f>[1]見込!$G$3</f>
        <v>31.5</v>
      </c>
      <c r="G32" s="9">
        <f>'Otemachi Daily'!F35</f>
        <v>0</v>
      </c>
      <c r="H32" s="34">
        <f>[1]見込!$M$23</f>
        <v>149.69061061637868</v>
      </c>
      <c r="I32" s="9">
        <f>'Otemachi Daily'!H35</f>
        <v>0</v>
      </c>
      <c r="J32" s="34">
        <v>10.79</v>
      </c>
      <c r="K32" s="9">
        <f>'Otemachi Daily'!J35</f>
        <v>0</v>
      </c>
      <c r="L32" s="34">
        <v>7.22</v>
      </c>
      <c r="M32" s="9">
        <f>'Otemachi Daily'!L35</f>
        <v>0</v>
      </c>
      <c r="N32" s="34">
        <v>741</v>
      </c>
      <c r="O32" s="9">
        <f>'Otemachi Daily'!M35</f>
        <v>0</v>
      </c>
      <c r="P32" s="9">
        <f>'Otemachi Daily'!N35</f>
        <v>0</v>
      </c>
    </row>
  </sheetData>
  <phoneticPr fontId="1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Z37"/>
  <sheetViews>
    <sheetView topLeftCell="A18" zoomScale="60" zoomScaleNormal="60" workbookViewId="0">
      <pane xSplit="1" topLeftCell="B1" activePane="topRight" state="frozen"/>
      <selection pane="topRight" activeCell="Q32" sqref="Q32:Q33"/>
    </sheetView>
  </sheetViews>
  <sheetFormatPr defaultRowHeight="13.5"/>
  <cols>
    <col min="1" max="1" width="15" style="13" customWidth="1"/>
    <col min="2" max="2" width="2" style="13" customWidth="1"/>
    <col min="3" max="3" width="11.85546875" style="29" customWidth="1"/>
    <col min="4" max="4" width="13.5703125" style="30" customWidth="1"/>
    <col min="5" max="5" width="14.85546875" style="13" customWidth="1"/>
    <col min="6" max="10" width="14.85546875" style="29" customWidth="1"/>
    <col min="11" max="11" width="12.140625" style="13" customWidth="1"/>
    <col min="12" max="12" width="12.5703125" style="13" customWidth="1"/>
    <col min="13" max="14" width="13" style="31" customWidth="1"/>
    <col min="15" max="258" width="9.140625" style="13"/>
    <col min="259" max="259" width="14" style="13" customWidth="1"/>
    <col min="260" max="260" width="2" style="13" customWidth="1"/>
    <col min="261" max="261" width="11.85546875" style="13" customWidth="1"/>
    <col min="262" max="262" width="13.5703125" style="13" customWidth="1"/>
    <col min="263" max="264" width="13.85546875" style="13" customWidth="1"/>
    <col min="265" max="266" width="14.85546875" style="13" customWidth="1"/>
    <col min="267" max="267" width="8.85546875" style="13" customWidth="1"/>
    <col min="268" max="268" width="12.5703125" style="13" customWidth="1"/>
    <col min="269" max="270" width="13" style="13" customWidth="1"/>
    <col min="271" max="514" width="9.140625" style="13"/>
    <col min="515" max="515" width="14" style="13" customWidth="1"/>
    <col min="516" max="516" width="2" style="13" customWidth="1"/>
    <col min="517" max="517" width="11.85546875" style="13" customWidth="1"/>
    <col min="518" max="518" width="13.5703125" style="13" customWidth="1"/>
    <col min="519" max="520" width="13.85546875" style="13" customWidth="1"/>
    <col min="521" max="522" width="14.85546875" style="13" customWidth="1"/>
    <col min="523" max="523" width="8.85546875" style="13" customWidth="1"/>
    <col min="524" max="524" width="12.5703125" style="13" customWidth="1"/>
    <col min="525" max="526" width="13" style="13" customWidth="1"/>
    <col min="527" max="770" width="9.140625" style="13"/>
    <col min="771" max="771" width="14" style="13" customWidth="1"/>
    <col min="772" max="772" width="2" style="13" customWidth="1"/>
    <col min="773" max="773" width="11.85546875" style="13" customWidth="1"/>
    <col min="774" max="774" width="13.5703125" style="13" customWidth="1"/>
    <col min="775" max="776" width="13.85546875" style="13" customWidth="1"/>
    <col min="777" max="778" width="14.85546875" style="13" customWidth="1"/>
    <col min="779" max="779" width="8.85546875" style="13" customWidth="1"/>
    <col min="780" max="780" width="12.5703125" style="13" customWidth="1"/>
    <col min="781" max="782" width="13" style="13" customWidth="1"/>
    <col min="783" max="1026" width="9.140625" style="13"/>
    <col min="1027" max="1027" width="14" style="13" customWidth="1"/>
    <col min="1028" max="1028" width="2" style="13" customWidth="1"/>
    <col min="1029" max="1029" width="11.85546875" style="13" customWidth="1"/>
    <col min="1030" max="1030" width="13.5703125" style="13" customWidth="1"/>
    <col min="1031" max="1032" width="13.85546875" style="13" customWidth="1"/>
    <col min="1033" max="1034" width="14.85546875" style="13" customWidth="1"/>
    <col min="1035" max="1035" width="8.85546875" style="13" customWidth="1"/>
    <col min="1036" max="1036" width="12.5703125" style="13" customWidth="1"/>
    <col min="1037" max="1038" width="13" style="13" customWidth="1"/>
    <col min="1039" max="1282" width="9.140625" style="13"/>
    <col min="1283" max="1283" width="14" style="13" customWidth="1"/>
    <col min="1284" max="1284" width="2" style="13" customWidth="1"/>
    <col min="1285" max="1285" width="11.85546875" style="13" customWidth="1"/>
    <col min="1286" max="1286" width="13.5703125" style="13" customWidth="1"/>
    <col min="1287" max="1288" width="13.85546875" style="13" customWidth="1"/>
    <col min="1289" max="1290" width="14.85546875" style="13" customWidth="1"/>
    <col min="1291" max="1291" width="8.85546875" style="13" customWidth="1"/>
    <col min="1292" max="1292" width="12.5703125" style="13" customWidth="1"/>
    <col min="1293" max="1294" width="13" style="13" customWidth="1"/>
    <col min="1295" max="1538" width="9.140625" style="13"/>
    <col min="1539" max="1539" width="14" style="13" customWidth="1"/>
    <col min="1540" max="1540" width="2" style="13" customWidth="1"/>
    <col min="1541" max="1541" width="11.85546875" style="13" customWidth="1"/>
    <col min="1542" max="1542" width="13.5703125" style="13" customWidth="1"/>
    <col min="1543" max="1544" width="13.85546875" style="13" customWidth="1"/>
    <col min="1545" max="1546" width="14.85546875" style="13" customWidth="1"/>
    <col min="1547" max="1547" width="8.85546875" style="13" customWidth="1"/>
    <col min="1548" max="1548" width="12.5703125" style="13" customWidth="1"/>
    <col min="1549" max="1550" width="13" style="13" customWidth="1"/>
    <col min="1551" max="1794" width="9.140625" style="13"/>
    <col min="1795" max="1795" width="14" style="13" customWidth="1"/>
    <col min="1796" max="1796" width="2" style="13" customWidth="1"/>
    <col min="1797" max="1797" width="11.85546875" style="13" customWidth="1"/>
    <col min="1798" max="1798" width="13.5703125" style="13" customWidth="1"/>
    <col min="1799" max="1800" width="13.85546875" style="13" customWidth="1"/>
    <col min="1801" max="1802" width="14.85546875" style="13" customWidth="1"/>
    <col min="1803" max="1803" width="8.85546875" style="13" customWidth="1"/>
    <col min="1804" max="1804" width="12.5703125" style="13" customWidth="1"/>
    <col min="1805" max="1806" width="13" style="13" customWidth="1"/>
    <col min="1807" max="2050" width="9.140625" style="13"/>
    <col min="2051" max="2051" width="14" style="13" customWidth="1"/>
    <col min="2052" max="2052" width="2" style="13" customWidth="1"/>
    <col min="2053" max="2053" width="11.85546875" style="13" customWidth="1"/>
    <col min="2054" max="2054" width="13.5703125" style="13" customWidth="1"/>
    <col min="2055" max="2056" width="13.85546875" style="13" customWidth="1"/>
    <col min="2057" max="2058" width="14.85546875" style="13" customWidth="1"/>
    <col min="2059" max="2059" width="8.85546875" style="13" customWidth="1"/>
    <col min="2060" max="2060" width="12.5703125" style="13" customWidth="1"/>
    <col min="2061" max="2062" width="13" style="13" customWidth="1"/>
    <col min="2063" max="2306" width="9.140625" style="13"/>
    <col min="2307" max="2307" width="14" style="13" customWidth="1"/>
    <col min="2308" max="2308" width="2" style="13" customWidth="1"/>
    <col min="2309" max="2309" width="11.85546875" style="13" customWidth="1"/>
    <col min="2310" max="2310" width="13.5703125" style="13" customWidth="1"/>
    <col min="2311" max="2312" width="13.85546875" style="13" customWidth="1"/>
    <col min="2313" max="2314" width="14.85546875" style="13" customWidth="1"/>
    <col min="2315" max="2315" width="8.85546875" style="13" customWidth="1"/>
    <col min="2316" max="2316" width="12.5703125" style="13" customWidth="1"/>
    <col min="2317" max="2318" width="13" style="13" customWidth="1"/>
    <col min="2319" max="2562" width="9.140625" style="13"/>
    <col min="2563" max="2563" width="14" style="13" customWidth="1"/>
    <col min="2564" max="2564" width="2" style="13" customWidth="1"/>
    <col min="2565" max="2565" width="11.85546875" style="13" customWidth="1"/>
    <col min="2566" max="2566" width="13.5703125" style="13" customWidth="1"/>
    <col min="2567" max="2568" width="13.85546875" style="13" customWidth="1"/>
    <col min="2569" max="2570" width="14.85546875" style="13" customWidth="1"/>
    <col min="2571" max="2571" width="8.85546875" style="13" customWidth="1"/>
    <col min="2572" max="2572" width="12.5703125" style="13" customWidth="1"/>
    <col min="2573" max="2574" width="13" style="13" customWidth="1"/>
    <col min="2575" max="2818" width="9.140625" style="13"/>
    <col min="2819" max="2819" width="14" style="13" customWidth="1"/>
    <col min="2820" max="2820" width="2" style="13" customWidth="1"/>
    <col min="2821" max="2821" width="11.85546875" style="13" customWidth="1"/>
    <col min="2822" max="2822" width="13.5703125" style="13" customWidth="1"/>
    <col min="2823" max="2824" width="13.85546875" style="13" customWidth="1"/>
    <col min="2825" max="2826" width="14.85546875" style="13" customWidth="1"/>
    <col min="2827" max="2827" width="8.85546875" style="13" customWidth="1"/>
    <col min="2828" max="2828" width="12.5703125" style="13" customWidth="1"/>
    <col min="2829" max="2830" width="13" style="13" customWidth="1"/>
    <col min="2831" max="3074" width="9.140625" style="13"/>
    <col min="3075" max="3075" width="14" style="13" customWidth="1"/>
    <col min="3076" max="3076" width="2" style="13" customWidth="1"/>
    <col min="3077" max="3077" width="11.85546875" style="13" customWidth="1"/>
    <col min="3078" max="3078" width="13.5703125" style="13" customWidth="1"/>
    <col min="3079" max="3080" width="13.85546875" style="13" customWidth="1"/>
    <col min="3081" max="3082" width="14.85546875" style="13" customWidth="1"/>
    <col min="3083" max="3083" width="8.85546875" style="13" customWidth="1"/>
    <col min="3084" max="3084" width="12.5703125" style="13" customWidth="1"/>
    <col min="3085" max="3086" width="13" style="13" customWidth="1"/>
    <col min="3087" max="3330" width="9.140625" style="13"/>
    <col min="3331" max="3331" width="14" style="13" customWidth="1"/>
    <col min="3332" max="3332" width="2" style="13" customWidth="1"/>
    <col min="3333" max="3333" width="11.85546875" style="13" customWidth="1"/>
    <col min="3334" max="3334" width="13.5703125" style="13" customWidth="1"/>
    <col min="3335" max="3336" width="13.85546875" style="13" customWidth="1"/>
    <col min="3337" max="3338" width="14.85546875" style="13" customWidth="1"/>
    <col min="3339" max="3339" width="8.85546875" style="13" customWidth="1"/>
    <col min="3340" max="3340" width="12.5703125" style="13" customWidth="1"/>
    <col min="3341" max="3342" width="13" style="13" customWidth="1"/>
    <col min="3343" max="3586" width="9.140625" style="13"/>
    <col min="3587" max="3587" width="14" style="13" customWidth="1"/>
    <col min="3588" max="3588" width="2" style="13" customWidth="1"/>
    <col min="3589" max="3589" width="11.85546875" style="13" customWidth="1"/>
    <col min="3590" max="3590" width="13.5703125" style="13" customWidth="1"/>
    <col min="3591" max="3592" width="13.85546875" style="13" customWidth="1"/>
    <col min="3593" max="3594" width="14.85546875" style="13" customWidth="1"/>
    <col min="3595" max="3595" width="8.85546875" style="13" customWidth="1"/>
    <col min="3596" max="3596" width="12.5703125" style="13" customWidth="1"/>
    <col min="3597" max="3598" width="13" style="13" customWidth="1"/>
    <col min="3599" max="3842" width="9.140625" style="13"/>
    <col min="3843" max="3843" width="14" style="13" customWidth="1"/>
    <col min="3844" max="3844" width="2" style="13" customWidth="1"/>
    <col min="3845" max="3845" width="11.85546875" style="13" customWidth="1"/>
    <col min="3846" max="3846" width="13.5703125" style="13" customWidth="1"/>
    <col min="3847" max="3848" width="13.85546875" style="13" customWidth="1"/>
    <col min="3849" max="3850" width="14.85546875" style="13" customWidth="1"/>
    <col min="3851" max="3851" width="8.85546875" style="13" customWidth="1"/>
    <col min="3852" max="3852" width="12.5703125" style="13" customWidth="1"/>
    <col min="3853" max="3854" width="13" style="13" customWidth="1"/>
    <col min="3855" max="4098" width="9.140625" style="13"/>
    <col min="4099" max="4099" width="14" style="13" customWidth="1"/>
    <col min="4100" max="4100" width="2" style="13" customWidth="1"/>
    <col min="4101" max="4101" width="11.85546875" style="13" customWidth="1"/>
    <col min="4102" max="4102" width="13.5703125" style="13" customWidth="1"/>
    <col min="4103" max="4104" width="13.85546875" style="13" customWidth="1"/>
    <col min="4105" max="4106" width="14.85546875" style="13" customWidth="1"/>
    <col min="4107" max="4107" width="8.85546875" style="13" customWidth="1"/>
    <col min="4108" max="4108" width="12.5703125" style="13" customWidth="1"/>
    <col min="4109" max="4110" width="13" style="13" customWidth="1"/>
    <col min="4111" max="4354" width="9.140625" style="13"/>
    <col min="4355" max="4355" width="14" style="13" customWidth="1"/>
    <col min="4356" max="4356" width="2" style="13" customWidth="1"/>
    <col min="4357" max="4357" width="11.85546875" style="13" customWidth="1"/>
    <col min="4358" max="4358" width="13.5703125" style="13" customWidth="1"/>
    <col min="4359" max="4360" width="13.85546875" style="13" customWidth="1"/>
    <col min="4361" max="4362" width="14.85546875" style="13" customWidth="1"/>
    <col min="4363" max="4363" width="8.85546875" style="13" customWidth="1"/>
    <col min="4364" max="4364" width="12.5703125" style="13" customWidth="1"/>
    <col min="4365" max="4366" width="13" style="13" customWidth="1"/>
    <col min="4367" max="4610" width="9.140625" style="13"/>
    <col min="4611" max="4611" width="14" style="13" customWidth="1"/>
    <col min="4612" max="4612" width="2" style="13" customWidth="1"/>
    <col min="4613" max="4613" width="11.85546875" style="13" customWidth="1"/>
    <col min="4614" max="4614" width="13.5703125" style="13" customWidth="1"/>
    <col min="4615" max="4616" width="13.85546875" style="13" customWidth="1"/>
    <col min="4617" max="4618" width="14.85546875" style="13" customWidth="1"/>
    <col min="4619" max="4619" width="8.85546875" style="13" customWidth="1"/>
    <col min="4620" max="4620" width="12.5703125" style="13" customWidth="1"/>
    <col min="4621" max="4622" width="13" style="13" customWidth="1"/>
    <col min="4623" max="4866" width="9.140625" style="13"/>
    <col min="4867" max="4867" width="14" style="13" customWidth="1"/>
    <col min="4868" max="4868" width="2" style="13" customWidth="1"/>
    <col min="4869" max="4869" width="11.85546875" style="13" customWidth="1"/>
    <col min="4870" max="4870" width="13.5703125" style="13" customWidth="1"/>
    <col min="4871" max="4872" width="13.85546875" style="13" customWidth="1"/>
    <col min="4873" max="4874" width="14.85546875" style="13" customWidth="1"/>
    <col min="4875" max="4875" width="8.85546875" style="13" customWidth="1"/>
    <col min="4876" max="4876" width="12.5703125" style="13" customWidth="1"/>
    <col min="4877" max="4878" width="13" style="13" customWidth="1"/>
    <col min="4879" max="5122" width="9.140625" style="13"/>
    <col min="5123" max="5123" width="14" style="13" customWidth="1"/>
    <col min="5124" max="5124" width="2" style="13" customWidth="1"/>
    <col min="5125" max="5125" width="11.85546875" style="13" customWidth="1"/>
    <col min="5126" max="5126" width="13.5703125" style="13" customWidth="1"/>
    <col min="5127" max="5128" width="13.85546875" style="13" customWidth="1"/>
    <col min="5129" max="5130" width="14.85546875" style="13" customWidth="1"/>
    <col min="5131" max="5131" width="8.85546875" style="13" customWidth="1"/>
    <col min="5132" max="5132" width="12.5703125" style="13" customWidth="1"/>
    <col min="5133" max="5134" width="13" style="13" customWidth="1"/>
    <col min="5135" max="5378" width="9.140625" style="13"/>
    <col min="5379" max="5379" width="14" style="13" customWidth="1"/>
    <col min="5380" max="5380" width="2" style="13" customWidth="1"/>
    <col min="5381" max="5381" width="11.85546875" style="13" customWidth="1"/>
    <col min="5382" max="5382" width="13.5703125" style="13" customWidth="1"/>
    <col min="5383" max="5384" width="13.85546875" style="13" customWidth="1"/>
    <col min="5385" max="5386" width="14.85546875" style="13" customWidth="1"/>
    <col min="5387" max="5387" width="8.85546875" style="13" customWidth="1"/>
    <col min="5388" max="5388" width="12.5703125" style="13" customWidth="1"/>
    <col min="5389" max="5390" width="13" style="13" customWidth="1"/>
    <col min="5391" max="5634" width="9.140625" style="13"/>
    <col min="5635" max="5635" width="14" style="13" customWidth="1"/>
    <col min="5636" max="5636" width="2" style="13" customWidth="1"/>
    <col min="5637" max="5637" width="11.85546875" style="13" customWidth="1"/>
    <col min="5638" max="5638" width="13.5703125" style="13" customWidth="1"/>
    <col min="5639" max="5640" width="13.85546875" style="13" customWidth="1"/>
    <col min="5641" max="5642" width="14.85546875" style="13" customWidth="1"/>
    <col min="5643" max="5643" width="8.85546875" style="13" customWidth="1"/>
    <col min="5644" max="5644" width="12.5703125" style="13" customWidth="1"/>
    <col min="5645" max="5646" width="13" style="13" customWidth="1"/>
    <col min="5647" max="5890" width="9.140625" style="13"/>
    <col min="5891" max="5891" width="14" style="13" customWidth="1"/>
    <col min="5892" max="5892" width="2" style="13" customWidth="1"/>
    <col min="5893" max="5893" width="11.85546875" style="13" customWidth="1"/>
    <col min="5894" max="5894" width="13.5703125" style="13" customWidth="1"/>
    <col min="5895" max="5896" width="13.85546875" style="13" customWidth="1"/>
    <col min="5897" max="5898" width="14.85546875" style="13" customWidth="1"/>
    <col min="5899" max="5899" width="8.85546875" style="13" customWidth="1"/>
    <col min="5900" max="5900" width="12.5703125" style="13" customWidth="1"/>
    <col min="5901" max="5902" width="13" style="13" customWidth="1"/>
    <col min="5903" max="6146" width="9.140625" style="13"/>
    <col min="6147" max="6147" width="14" style="13" customWidth="1"/>
    <col min="6148" max="6148" width="2" style="13" customWidth="1"/>
    <col min="6149" max="6149" width="11.85546875" style="13" customWidth="1"/>
    <col min="6150" max="6150" width="13.5703125" style="13" customWidth="1"/>
    <col min="6151" max="6152" width="13.85546875" style="13" customWidth="1"/>
    <col min="6153" max="6154" width="14.85546875" style="13" customWidth="1"/>
    <col min="6155" max="6155" width="8.85546875" style="13" customWidth="1"/>
    <col min="6156" max="6156" width="12.5703125" style="13" customWidth="1"/>
    <col min="6157" max="6158" width="13" style="13" customWidth="1"/>
    <col min="6159" max="6402" width="9.140625" style="13"/>
    <col min="6403" max="6403" width="14" style="13" customWidth="1"/>
    <col min="6404" max="6404" width="2" style="13" customWidth="1"/>
    <col min="6405" max="6405" width="11.85546875" style="13" customWidth="1"/>
    <col min="6406" max="6406" width="13.5703125" style="13" customWidth="1"/>
    <col min="6407" max="6408" width="13.85546875" style="13" customWidth="1"/>
    <col min="6409" max="6410" width="14.85546875" style="13" customWidth="1"/>
    <col min="6411" max="6411" width="8.85546875" style="13" customWidth="1"/>
    <col min="6412" max="6412" width="12.5703125" style="13" customWidth="1"/>
    <col min="6413" max="6414" width="13" style="13" customWidth="1"/>
    <col min="6415" max="6658" width="9.140625" style="13"/>
    <col min="6659" max="6659" width="14" style="13" customWidth="1"/>
    <col min="6660" max="6660" width="2" style="13" customWidth="1"/>
    <col min="6661" max="6661" width="11.85546875" style="13" customWidth="1"/>
    <col min="6662" max="6662" width="13.5703125" style="13" customWidth="1"/>
    <col min="6663" max="6664" width="13.85546875" style="13" customWidth="1"/>
    <col min="6665" max="6666" width="14.85546875" style="13" customWidth="1"/>
    <col min="6667" max="6667" width="8.85546875" style="13" customWidth="1"/>
    <col min="6668" max="6668" width="12.5703125" style="13" customWidth="1"/>
    <col min="6669" max="6670" width="13" style="13" customWidth="1"/>
    <col min="6671" max="6914" width="9.140625" style="13"/>
    <col min="6915" max="6915" width="14" style="13" customWidth="1"/>
    <col min="6916" max="6916" width="2" style="13" customWidth="1"/>
    <col min="6917" max="6917" width="11.85546875" style="13" customWidth="1"/>
    <col min="6918" max="6918" width="13.5703125" style="13" customWidth="1"/>
    <col min="6919" max="6920" width="13.85546875" style="13" customWidth="1"/>
    <col min="6921" max="6922" width="14.85546875" style="13" customWidth="1"/>
    <col min="6923" max="6923" width="8.85546875" style="13" customWidth="1"/>
    <col min="6924" max="6924" width="12.5703125" style="13" customWidth="1"/>
    <col min="6925" max="6926" width="13" style="13" customWidth="1"/>
    <col min="6927" max="7170" width="9.140625" style="13"/>
    <col min="7171" max="7171" width="14" style="13" customWidth="1"/>
    <col min="7172" max="7172" width="2" style="13" customWidth="1"/>
    <col min="7173" max="7173" width="11.85546875" style="13" customWidth="1"/>
    <col min="7174" max="7174" width="13.5703125" style="13" customWidth="1"/>
    <col min="7175" max="7176" width="13.85546875" style="13" customWidth="1"/>
    <col min="7177" max="7178" width="14.85546875" style="13" customWidth="1"/>
    <col min="7179" max="7179" width="8.85546875" style="13" customWidth="1"/>
    <col min="7180" max="7180" width="12.5703125" style="13" customWidth="1"/>
    <col min="7181" max="7182" width="13" style="13" customWidth="1"/>
    <col min="7183" max="7426" width="9.140625" style="13"/>
    <col min="7427" max="7427" width="14" style="13" customWidth="1"/>
    <col min="7428" max="7428" width="2" style="13" customWidth="1"/>
    <col min="7429" max="7429" width="11.85546875" style="13" customWidth="1"/>
    <col min="7430" max="7430" width="13.5703125" style="13" customWidth="1"/>
    <col min="7431" max="7432" width="13.85546875" style="13" customWidth="1"/>
    <col min="7433" max="7434" width="14.85546875" style="13" customWidth="1"/>
    <col min="7435" max="7435" width="8.85546875" style="13" customWidth="1"/>
    <col min="7436" max="7436" width="12.5703125" style="13" customWidth="1"/>
    <col min="7437" max="7438" width="13" style="13" customWidth="1"/>
    <col min="7439" max="7682" width="9.140625" style="13"/>
    <col min="7683" max="7683" width="14" style="13" customWidth="1"/>
    <col min="7684" max="7684" width="2" style="13" customWidth="1"/>
    <col min="7685" max="7685" width="11.85546875" style="13" customWidth="1"/>
    <col min="7686" max="7686" width="13.5703125" style="13" customWidth="1"/>
    <col min="7687" max="7688" width="13.85546875" style="13" customWidth="1"/>
    <col min="7689" max="7690" width="14.85546875" style="13" customWidth="1"/>
    <col min="7691" max="7691" width="8.85546875" style="13" customWidth="1"/>
    <col min="7692" max="7692" width="12.5703125" style="13" customWidth="1"/>
    <col min="7693" max="7694" width="13" style="13" customWidth="1"/>
    <col min="7695" max="7938" width="9.140625" style="13"/>
    <col min="7939" max="7939" width="14" style="13" customWidth="1"/>
    <col min="7940" max="7940" width="2" style="13" customWidth="1"/>
    <col min="7941" max="7941" width="11.85546875" style="13" customWidth="1"/>
    <col min="7942" max="7942" width="13.5703125" style="13" customWidth="1"/>
    <col min="7943" max="7944" width="13.85546875" style="13" customWidth="1"/>
    <col min="7945" max="7946" width="14.85546875" style="13" customWidth="1"/>
    <col min="7947" max="7947" width="8.85546875" style="13" customWidth="1"/>
    <col min="7948" max="7948" width="12.5703125" style="13" customWidth="1"/>
    <col min="7949" max="7950" width="13" style="13" customWidth="1"/>
    <col min="7951" max="8194" width="9.140625" style="13"/>
    <col min="8195" max="8195" width="14" style="13" customWidth="1"/>
    <col min="8196" max="8196" width="2" style="13" customWidth="1"/>
    <col min="8197" max="8197" width="11.85546875" style="13" customWidth="1"/>
    <col min="8198" max="8198" width="13.5703125" style="13" customWidth="1"/>
    <col min="8199" max="8200" width="13.85546875" style="13" customWidth="1"/>
    <col min="8201" max="8202" width="14.85546875" style="13" customWidth="1"/>
    <col min="8203" max="8203" width="8.85546875" style="13" customWidth="1"/>
    <col min="8204" max="8204" width="12.5703125" style="13" customWidth="1"/>
    <col min="8205" max="8206" width="13" style="13" customWidth="1"/>
    <col min="8207" max="8450" width="9.140625" style="13"/>
    <col min="8451" max="8451" width="14" style="13" customWidth="1"/>
    <col min="8452" max="8452" width="2" style="13" customWidth="1"/>
    <col min="8453" max="8453" width="11.85546875" style="13" customWidth="1"/>
    <col min="8454" max="8454" width="13.5703125" style="13" customWidth="1"/>
    <col min="8455" max="8456" width="13.85546875" style="13" customWidth="1"/>
    <col min="8457" max="8458" width="14.85546875" style="13" customWidth="1"/>
    <col min="8459" max="8459" width="8.85546875" style="13" customWidth="1"/>
    <col min="8460" max="8460" width="12.5703125" style="13" customWidth="1"/>
    <col min="8461" max="8462" width="13" style="13" customWidth="1"/>
    <col min="8463" max="8706" width="9.140625" style="13"/>
    <col min="8707" max="8707" width="14" style="13" customWidth="1"/>
    <col min="8708" max="8708" width="2" style="13" customWidth="1"/>
    <col min="8709" max="8709" width="11.85546875" style="13" customWidth="1"/>
    <col min="8710" max="8710" width="13.5703125" style="13" customWidth="1"/>
    <col min="8711" max="8712" width="13.85546875" style="13" customWidth="1"/>
    <col min="8713" max="8714" width="14.85546875" style="13" customWidth="1"/>
    <col min="8715" max="8715" width="8.85546875" style="13" customWidth="1"/>
    <col min="8716" max="8716" width="12.5703125" style="13" customWidth="1"/>
    <col min="8717" max="8718" width="13" style="13" customWidth="1"/>
    <col min="8719" max="8962" width="9.140625" style="13"/>
    <col min="8963" max="8963" width="14" style="13" customWidth="1"/>
    <col min="8964" max="8964" width="2" style="13" customWidth="1"/>
    <col min="8965" max="8965" width="11.85546875" style="13" customWidth="1"/>
    <col min="8966" max="8966" width="13.5703125" style="13" customWidth="1"/>
    <col min="8967" max="8968" width="13.85546875" style="13" customWidth="1"/>
    <col min="8969" max="8970" width="14.85546875" style="13" customWidth="1"/>
    <col min="8971" max="8971" width="8.85546875" style="13" customWidth="1"/>
    <col min="8972" max="8972" width="12.5703125" style="13" customWidth="1"/>
    <col min="8973" max="8974" width="13" style="13" customWidth="1"/>
    <col min="8975" max="9218" width="9.140625" style="13"/>
    <col min="9219" max="9219" width="14" style="13" customWidth="1"/>
    <col min="9220" max="9220" width="2" style="13" customWidth="1"/>
    <col min="9221" max="9221" width="11.85546875" style="13" customWidth="1"/>
    <col min="9222" max="9222" width="13.5703125" style="13" customWidth="1"/>
    <col min="9223" max="9224" width="13.85546875" style="13" customWidth="1"/>
    <col min="9225" max="9226" width="14.85546875" style="13" customWidth="1"/>
    <col min="9227" max="9227" width="8.85546875" style="13" customWidth="1"/>
    <col min="9228" max="9228" width="12.5703125" style="13" customWidth="1"/>
    <col min="9229" max="9230" width="13" style="13" customWidth="1"/>
    <col min="9231" max="9474" width="9.140625" style="13"/>
    <col min="9475" max="9475" width="14" style="13" customWidth="1"/>
    <col min="9476" max="9476" width="2" style="13" customWidth="1"/>
    <col min="9477" max="9477" width="11.85546875" style="13" customWidth="1"/>
    <col min="9478" max="9478" width="13.5703125" style="13" customWidth="1"/>
    <col min="9479" max="9480" width="13.85546875" style="13" customWidth="1"/>
    <col min="9481" max="9482" width="14.85546875" style="13" customWidth="1"/>
    <col min="9483" max="9483" width="8.85546875" style="13" customWidth="1"/>
    <col min="9484" max="9484" width="12.5703125" style="13" customWidth="1"/>
    <col min="9485" max="9486" width="13" style="13" customWidth="1"/>
    <col min="9487" max="9730" width="9.140625" style="13"/>
    <col min="9731" max="9731" width="14" style="13" customWidth="1"/>
    <col min="9732" max="9732" width="2" style="13" customWidth="1"/>
    <col min="9733" max="9733" width="11.85546875" style="13" customWidth="1"/>
    <col min="9734" max="9734" width="13.5703125" style="13" customWidth="1"/>
    <col min="9735" max="9736" width="13.85546875" style="13" customWidth="1"/>
    <col min="9737" max="9738" width="14.85546875" style="13" customWidth="1"/>
    <col min="9739" max="9739" width="8.85546875" style="13" customWidth="1"/>
    <col min="9740" max="9740" width="12.5703125" style="13" customWidth="1"/>
    <col min="9741" max="9742" width="13" style="13" customWidth="1"/>
    <col min="9743" max="9986" width="9.140625" style="13"/>
    <col min="9987" max="9987" width="14" style="13" customWidth="1"/>
    <col min="9988" max="9988" width="2" style="13" customWidth="1"/>
    <col min="9989" max="9989" width="11.85546875" style="13" customWidth="1"/>
    <col min="9990" max="9990" width="13.5703125" style="13" customWidth="1"/>
    <col min="9991" max="9992" width="13.85546875" style="13" customWidth="1"/>
    <col min="9993" max="9994" width="14.85546875" style="13" customWidth="1"/>
    <col min="9995" max="9995" width="8.85546875" style="13" customWidth="1"/>
    <col min="9996" max="9996" width="12.5703125" style="13" customWidth="1"/>
    <col min="9997" max="9998" width="13" style="13" customWidth="1"/>
    <col min="9999" max="10242" width="9.140625" style="13"/>
    <col min="10243" max="10243" width="14" style="13" customWidth="1"/>
    <col min="10244" max="10244" width="2" style="13" customWidth="1"/>
    <col min="10245" max="10245" width="11.85546875" style="13" customWidth="1"/>
    <col min="10246" max="10246" width="13.5703125" style="13" customWidth="1"/>
    <col min="10247" max="10248" width="13.85546875" style="13" customWidth="1"/>
    <col min="10249" max="10250" width="14.85546875" style="13" customWidth="1"/>
    <col min="10251" max="10251" width="8.85546875" style="13" customWidth="1"/>
    <col min="10252" max="10252" width="12.5703125" style="13" customWidth="1"/>
    <col min="10253" max="10254" width="13" style="13" customWidth="1"/>
    <col min="10255" max="10498" width="9.140625" style="13"/>
    <col min="10499" max="10499" width="14" style="13" customWidth="1"/>
    <col min="10500" max="10500" width="2" style="13" customWidth="1"/>
    <col min="10501" max="10501" width="11.85546875" style="13" customWidth="1"/>
    <col min="10502" max="10502" width="13.5703125" style="13" customWidth="1"/>
    <col min="10503" max="10504" width="13.85546875" style="13" customWidth="1"/>
    <col min="10505" max="10506" width="14.85546875" style="13" customWidth="1"/>
    <col min="10507" max="10507" width="8.85546875" style="13" customWidth="1"/>
    <col min="10508" max="10508" width="12.5703125" style="13" customWidth="1"/>
    <col min="10509" max="10510" width="13" style="13" customWidth="1"/>
    <col min="10511" max="10754" width="9.140625" style="13"/>
    <col min="10755" max="10755" width="14" style="13" customWidth="1"/>
    <col min="10756" max="10756" width="2" style="13" customWidth="1"/>
    <col min="10757" max="10757" width="11.85546875" style="13" customWidth="1"/>
    <col min="10758" max="10758" width="13.5703125" style="13" customWidth="1"/>
    <col min="10759" max="10760" width="13.85546875" style="13" customWidth="1"/>
    <col min="10761" max="10762" width="14.85546875" style="13" customWidth="1"/>
    <col min="10763" max="10763" width="8.85546875" style="13" customWidth="1"/>
    <col min="10764" max="10764" width="12.5703125" style="13" customWidth="1"/>
    <col min="10765" max="10766" width="13" style="13" customWidth="1"/>
    <col min="10767" max="11010" width="9.140625" style="13"/>
    <col min="11011" max="11011" width="14" style="13" customWidth="1"/>
    <col min="11012" max="11012" width="2" style="13" customWidth="1"/>
    <col min="11013" max="11013" width="11.85546875" style="13" customWidth="1"/>
    <col min="11014" max="11014" width="13.5703125" style="13" customWidth="1"/>
    <col min="11015" max="11016" width="13.85546875" style="13" customWidth="1"/>
    <col min="11017" max="11018" width="14.85546875" style="13" customWidth="1"/>
    <col min="11019" max="11019" width="8.85546875" style="13" customWidth="1"/>
    <col min="11020" max="11020" width="12.5703125" style="13" customWidth="1"/>
    <col min="11021" max="11022" width="13" style="13" customWidth="1"/>
    <col min="11023" max="11266" width="9.140625" style="13"/>
    <col min="11267" max="11267" width="14" style="13" customWidth="1"/>
    <col min="11268" max="11268" width="2" style="13" customWidth="1"/>
    <col min="11269" max="11269" width="11.85546875" style="13" customWidth="1"/>
    <col min="11270" max="11270" width="13.5703125" style="13" customWidth="1"/>
    <col min="11271" max="11272" width="13.85546875" style="13" customWidth="1"/>
    <col min="11273" max="11274" width="14.85546875" style="13" customWidth="1"/>
    <col min="11275" max="11275" width="8.85546875" style="13" customWidth="1"/>
    <col min="11276" max="11276" width="12.5703125" style="13" customWidth="1"/>
    <col min="11277" max="11278" width="13" style="13" customWidth="1"/>
    <col min="11279" max="11522" width="9.140625" style="13"/>
    <col min="11523" max="11523" width="14" style="13" customWidth="1"/>
    <col min="11524" max="11524" width="2" style="13" customWidth="1"/>
    <col min="11525" max="11525" width="11.85546875" style="13" customWidth="1"/>
    <col min="11526" max="11526" width="13.5703125" style="13" customWidth="1"/>
    <col min="11527" max="11528" width="13.85546875" style="13" customWidth="1"/>
    <col min="11529" max="11530" width="14.85546875" style="13" customWidth="1"/>
    <col min="11531" max="11531" width="8.85546875" style="13" customWidth="1"/>
    <col min="11532" max="11532" width="12.5703125" style="13" customWidth="1"/>
    <col min="11533" max="11534" width="13" style="13" customWidth="1"/>
    <col min="11535" max="11778" width="9.140625" style="13"/>
    <col min="11779" max="11779" width="14" style="13" customWidth="1"/>
    <col min="11780" max="11780" width="2" style="13" customWidth="1"/>
    <col min="11781" max="11781" width="11.85546875" style="13" customWidth="1"/>
    <col min="11782" max="11782" width="13.5703125" style="13" customWidth="1"/>
    <col min="11783" max="11784" width="13.85546875" style="13" customWidth="1"/>
    <col min="11785" max="11786" width="14.85546875" style="13" customWidth="1"/>
    <col min="11787" max="11787" width="8.85546875" style="13" customWidth="1"/>
    <col min="11788" max="11788" width="12.5703125" style="13" customWidth="1"/>
    <col min="11789" max="11790" width="13" style="13" customWidth="1"/>
    <col min="11791" max="12034" width="9.140625" style="13"/>
    <col min="12035" max="12035" width="14" style="13" customWidth="1"/>
    <col min="12036" max="12036" width="2" style="13" customWidth="1"/>
    <col min="12037" max="12037" width="11.85546875" style="13" customWidth="1"/>
    <col min="12038" max="12038" width="13.5703125" style="13" customWidth="1"/>
    <col min="12039" max="12040" width="13.85546875" style="13" customWidth="1"/>
    <col min="12041" max="12042" width="14.85546875" style="13" customWidth="1"/>
    <col min="12043" max="12043" width="8.85546875" style="13" customWidth="1"/>
    <col min="12044" max="12044" width="12.5703125" style="13" customWidth="1"/>
    <col min="12045" max="12046" width="13" style="13" customWidth="1"/>
    <col min="12047" max="12290" width="9.140625" style="13"/>
    <col min="12291" max="12291" width="14" style="13" customWidth="1"/>
    <col min="12292" max="12292" width="2" style="13" customWidth="1"/>
    <col min="12293" max="12293" width="11.85546875" style="13" customWidth="1"/>
    <col min="12294" max="12294" width="13.5703125" style="13" customWidth="1"/>
    <col min="12295" max="12296" width="13.85546875" style="13" customWidth="1"/>
    <col min="12297" max="12298" width="14.85546875" style="13" customWidth="1"/>
    <col min="12299" max="12299" width="8.85546875" style="13" customWidth="1"/>
    <col min="12300" max="12300" width="12.5703125" style="13" customWidth="1"/>
    <col min="12301" max="12302" width="13" style="13" customWidth="1"/>
    <col min="12303" max="12546" width="9.140625" style="13"/>
    <col min="12547" max="12547" width="14" style="13" customWidth="1"/>
    <col min="12548" max="12548" width="2" style="13" customWidth="1"/>
    <col min="12549" max="12549" width="11.85546875" style="13" customWidth="1"/>
    <col min="12550" max="12550" width="13.5703125" style="13" customWidth="1"/>
    <col min="12551" max="12552" width="13.85546875" style="13" customWidth="1"/>
    <col min="12553" max="12554" width="14.85546875" style="13" customWidth="1"/>
    <col min="12555" max="12555" width="8.85546875" style="13" customWidth="1"/>
    <col min="12556" max="12556" width="12.5703125" style="13" customWidth="1"/>
    <col min="12557" max="12558" width="13" style="13" customWidth="1"/>
    <col min="12559" max="12802" width="9.140625" style="13"/>
    <col min="12803" max="12803" width="14" style="13" customWidth="1"/>
    <col min="12804" max="12804" width="2" style="13" customWidth="1"/>
    <col min="12805" max="12805" width="11.85546875" style="13" customWidth="1"/>
    <col min="12806" max="12806" width="13.5703125" style="13" customWidth="1"/>
    <col min="12807" max="12808" width="13.85546875" style="13" customWidth="1"/>
    <col min="12809" max="12810" width="14.85546875" style="13" customWidth="1"/>
    <col min="12811" max="12811" width="8.85546875" style="13" customWidth="1"/>
    <col min="12812" max="12812" width="12.5703125" style="13" customWidth="1"/>
    <col min="12813" max="12814" width="13" style="13" customWidth="1"/>
    <col min="12815" max="13058" width="9.140625" style="13"/>
    <col min="13059" max="13059" width="14" style="13" customWidth="1"/>
    <col min="13060" max="13060" width="2" style="13" customWidth="1"/>
    <col min="13061" max="13061" width="11.85546875" style="13" customWidth="1"/>
    <col min="13062" max="13062" width="13.5703125" style="13" customWidth="1"/>
    <col min="13063" max="13064" width="13.85546875" style="13" customWidth="1"/>
    <col min="13065" max="13066" width="14.85546875" style="13" customWidth="1"/>
    <col min="13067" max="13067" width="8.85546875" style="13" customWidth="1"/>
    <col min="13068" max="13068" width="12.5703125" style="13" customWidth="1"/>
    <col min="13069" max="13070" width="13" style="13" customWidth="1"/>
    <col min="13071" max="13314" width="9.140625" style="13"/>
    <col min="13315" max="13315" width="14" style="13" customWidth="1"/>
    <col min="13316" max="13316" width="2" style="13" customWidth="1"/>
    <col min="13317" max="13317" width="11.85546875" style="13" customWidth="1"/>
    <col min="13318" max="13318" width="13.5703125" style="13" customWidth="1"/>
    <col min="13319" max="13320" width="13.85546875" style="13" customWidth="1"/>
    <col min="13321" max="13322" width="14.85546875" style="13" customWidth="1"/>
    <col min="13323" max="13323" width="8.85546875" style="13" customWidth="1"/>
    <col min="13324" max="13324" width="12.5703125" style="13" customWidth="1"/>
    <col min="13325" max="13326" width="13" style="13" customWidth="1"/>
    <col min="13327" max="13570" width="9.140625" style="13"/>
    <col min="13571" max="13571" width="14" style="13" customWidth="1"/>
    <col min="13572" max="13572" width="2" style="13" customWidth="1"/>
    <col min="13573" max="13573" width="11.85546875" style="13" customWidth="1"/>
    <col min="13574" max="13574" width="13.5703125" style="13" customWidth="1"/>
    <col min="13575" max="13576" width="13.85546875" style="13" customWidth="1"/>
    <col min="13577" max="13578" width="14.85546875" style="13" customWidth="1"/>
    <col min="13579" max="13579" width="8.85546875" style="13" customWidth="1"/>
    <col min="13580" max="13580" width="12.5703125" style="13" customWidth="1"/>
    <col min="13581" max="13582" width="13" style="13" customWidth="1"/>
    <col min="13583" max="13826" width="9.140625" style="13"/>
    <col min="13827" max="13827" width="14" style="13" customWidth="1"/>
    <col min="13828" max="13828" width="2" style="13" customWidth="1"/>
    <col min="13829" max="13829" width="11.85546875" style="13" customWidth="1"/>
    <col min="13830" max="13830" width="13.5703125" style="13" customWidth="1"/>
    <col min="13831" max="13832" width="13.85546875" style="13" customWidth="1"/>
    <col min="13833" max="13834" width="14.85546875" style="13" customWidth="1"/>
    <col min="13835" max="13835" width="8.85546875" style="13" customWidth="1"/>
    <col min="13836" max="13836" width="12.5703125" style="13" customWidth="1"/>
    <col min="13837" max="13838" width="13" style="13" customWidth="1"/>
    <col min="13839" max="14082" width="9.140625" style="13"/>
    <col min="14083" max="14083" width="14" style="13" customWidth="1"/>
    <col min="14084" max="14084" width="2" style="13" customWidth="1"/>
    <col min="14085" max="14085" width="11.85546875" style="13" customWidth="1"/>
    <col min="14086" max="14086" width="13.5703125" style="13" customWidth="1"/>
    <col min="14087" max="14088" width="13.85546875" style="13" customWidth="1"/>
    <col min="14089" max="14090" width="14.85546875" style="13" customWidth="1"/>
    <col min="14091" max="14091" width="8.85546875" style="13" customWidth="1"/>
    <col min="14092" max="14092" width="12.5703125" style="13" customWidth="1"/>
    <col min="14093" max="14094" width="13" style="13" customWidth="1"/>
    <col min="14095" max="14338" width="9.140625" style="13"/>
    <col min="14339" max="14339" width="14" style="13" customWidth="1"/>
    <col min="14340" max="14340" width="2" style="13" customWidth="1"/>
    <col min="14341" max="14341" width="11.85546875" style="13" customWidth="1"/>
    <col min="14342" max="14342" width="13.5703125" style="13" customWidth="1"/>
    <col min="14343" max="14344" width="13.85546875" style="13" customWidth="1"/>
    <col min="14345" max="14346" width="14.85546875" style="13" customWidth="1"/>
    <col min="14347" max="14347" width="8.85546875" style="13" customWidth="1"/>
    <col min="14348" max="14348" width="12.5703125" style="13" customWidth="1"/>
    <col min="14349" max="14350" width="13" style="13" customWidth="1"/>
    <col min="14351" max="14594" width="9.140625" style="13"/>
    <col min="14595" max="14595" width="14" style="13" customWidth="1"/>
    <col min="14596" max="14596" width="2" style="13" customWidth="1"/>
    <col min="14597" max="14597" width="11.85546875" style="13" customWidth="1"/>
    <col min="14598" max="14598" width="13.5703125" style="13" customWidth="1"/>
    <col min="14599" max="14600" width="13.85546875" style="13" customWidth="1"/>
    <col min="14601" max="14602" width="14.85546875" style="13" customWidth="1"/>
    <col min="14603" max="14603" width="8.85546875" style="13" customWidth="1"/>
    <col min="14604" max="14604" width="12.5703125" style="13" customWidth="1"/>
    <col min="14605" max="14606" width="13" style="13" customWidth="1"/>
    <col min="14607" max="14850" width="9.140625" style="13"/>
    <col min="14851" max="14851" width="14" style="13" customWidth="1"/>
    <col min="14852" max="14852" width="2" style="13" customWidth="1"/>
    <col min="14853" max="14853" width="11.85546875" style="13" customWidth="1"/>
    <col min="14854" max="14854" width="13.5703125" style="13" customWidth="1"/>
    <col min="14855" max="14856" width="13.85546875" style="13" customWidth="1"/>
    <col min="14857" max="14858" width="14.85546875" style="13" customWidth="1"/>
    <col min="14859" max="14859" width="8.85546875" style="13" customWidth="1"/>
    <col min="14860" max="14860" width="12.5703125" style="13" customWidth="1"/>
    <col min="14861" max="14862" width="13" style="13" customWidth="1"/>
    <col min="14863" max="15106" width="9.140625" style="13"/>
    <col min="15107" max="15107" width="14" style="13" customWidth="1"/>
    <col min="15108" max="15108" width="2" style="13" customWidth="1"/>
    <col min="15109" max="15109" width="11.85546875" style="13" customWidth="1"/>
    <col min="15110" max="15110" width="13.5703125" style="13" customWidth="1"/>
    <col min="15111" max="15112" width="13.85546875" style="13" customWidth="1"/>
    <col min="15113" max="15114" width="14.85546875" style="13" customWidth="1"/>
    <col min="15115" max="15115" width="8.85546875" style="13" customWidth="1"/>
    <col min="15116" max="15116" width="12.5703125" style="13" customWidth="1"/>
    <col min="15117" max="15118" width="13" style="13" customWidth="1"/>
    <col min="15119" max="15362" width="9.140625" style="13"/>
    <col min="15363" max="15363" width="14" style="13" customWidth="1"/>
    <col min="15364" max="15364" width="2" style="13" customWidth="1"/>
    <col min="15365" max="15365" width="11.85546875" style="13" customWidth="1"/>
    <col min="15366" max="15366" width="13.5703125" style="13" customWidth="1"/>
    <col min="15367" max="15368" width="13.85546875" style="13" customWidth="1"/>
    <col min="15369" max="15370" width="14.85546875" style="13" customWidth="1"/>
    <col min="15371" max="15371" width="8.85546875" style="13" customWidth="1"/>
    <col min="15372" max="15372" width="12.5703125" style="13" customWidth="1"/>
    <col min="15373" max="15374" width="13" style="13" customWidth="1"/>
    <col min="15375" max="15618" width="9.140625" style="13"/>
    <col min="15619" max="15619" width="14" style="13" customWidth="1"/>
    <col min="15620" max="15620" width="2" style="13" customWidth="1"/>
    <col min="15621" max="15621" width="11.85546875" style="13" customWidth="1"/>
    <col min="15622" max="15622" width="13.5703125" style="13" customWidth="1"/>
    <col min="15623" max="15624" width="13.85546875" style="13" customWidth="1"/>
    <col min="15625" max="15626" width="14.85546875" style="13" customWidth="1"/>
    <col min="15627" max="15627" width="8.85546875" style="13" customWidth="1"/>
    <col min="15628" max="15628" width="12.5703125" style="13" customWidth="1"/>
    <col min="15629" max="15630" width="13" style="13" customWidth="1"/>
    <col min="15631" max="15874" width="9.140625" style="13"/>
    <col min="15875" max="15875" width="14" style="13" customWidth="1"/>
    <col min="15876" max="15876" width="2" style="13" customWidth="1"/>
    <col min="15877" max="15877" width="11.85546875" style="13" customWidth="1"/>
    <col min="15878" max="15878" width="13.5703125" style="13" customWidth="1"/>
    <col min="15879" max="15880" width="13.85546875" style="13" customWidth="1"/>
    <col min="15881" max="15882" width="14.85546875" style="13" customWidth="1"/>
    <col min="15883" max="15883" width="8.85546875" style="13" customWidth="1"/>
    <col min="15884" max="15884" width="12.5703125" style="13" customWidth="1"/>
    <col min="15885" max="15886" width="13" style="13" customWidth="1"/>
    <col min="15887" max="16130" width="9.140625" style="13"/>
    <col min="16131" max="16131" width="14" style="13" customWidth="1"/>
    <col min="16132" max="16132" width="2" style="13" customWidth="1"/>
    <col min="16133" max="16133" width="11.85546875" style="13" customWidth="1"/>
    <col min="16134" max="16134" width="13.5703125" style="13" customWidth="1"/>
    <col min="16135" max="16136" width="13.85546875" style="13" customWidth="1"/>
    <col min="16137" max="16138" width="14.85546875" style="13" customWidth="1"/>
    <col min="16139" max="16139" width="8.85546875" style="13" customWidth="1"/>
    <col min="16140" max="16140" width="12.5703125" style="13" customWidth="1"/>
    <col min="16141" max="16142" width="13" style="13" customWidth="1"/>
    <col min="16143" max="16384" width="9.140625" style="13"/>
  </cols>
  <sheetData>
    <row r="1" spans="1:17" ht="10.5" customHeight="1" thickBot="1">
      <c r="A1" s="10"/>
      <c r="B1" s="38"/>
      <c r="C1" s="10"/>
      <c r="D1" s="11"/>
      <c r="E1" s="10"/>
      <c r="F1" s="10"/>
      <c r="G1" s="10"/>
      <c r="H1" s="10"/>
      <c r="I1" s="10"/>
      <c r="J1" s="10"/>
      <c r="K1" s="39"/>
      <c r="L1" s="39"/>
      <c r="M1" s="12"/>
      <c r="N1" s="12"/>
    </row>
    <row r="2" spans="1:17" ht="35.25" customHeight="1" thickBot="1">
      <c r="A2" s="14" t="s">
        <v>7</v>
      </c>
      <c r="B2" s="38"/>
      <c r="C2" s="40" t="s">
        <v>17</v>
      </c>
      <c r="D2" s="41"/>
      <c r="E2" s="42" t="s">
        <v>20</v>
      </c>
      <c r="F2" s="42"/>
      <c r="G2" s="45" t="s">
        <v>18</v>
      </c>
      <c r="H2" s="46"/>
      <c r="I2" s="45" t="s">
        <v>23</v>
      </c>
      <c r="J2" s="46"/>
      <c r="K2" s="43" t="s">
        <v>8</v>
      </c>
      <c r="L2" s="44"/>
      <c r="M2" s="15"/>
      <c r="N2" s="15"/>
    </row>
    <row r="3" spans="1:17" ht="44.25" customHeight="1">
      <c r="A3" s="16" t="s">
        <v>9</v>
      </c>
      <c r="B3" s="38"/>
      <c r="C3" s="17" t="s">
        <v>10</v>
      </c>
      <c r="D3" s="18" t="s">
        <v>11</v>
      </c>
      <c r="E3" s="19" t="s">
        <v>12</v>
      </c>
      <c r="F3" s="19" t="s">
        <v>11</v>
      </c>
      <c r="G3" s="19" t="s">
        <v>19</v>
      </c>
      <c r="H3" s="19" t="s">
        <v>11</v>
      </c>
      <c r="I3" s="19" t="s">
        <v>19</v>
      </c>
      <c r="J3" s="19" t="s">
        <v>11</v>
      </c>
      <c r="K3" s="19" t="s">
        <v>13</v>
      </c>
      <c r="L3" s="20" t="s">
        <v>14</v>
      </c>
      <c r="M3" s="21" t="s">
        <v>15</v>
      </c>
      <c r="N3" s="21" t="s">
        <v>16</v>
      </c>
    </row>
    <row r="4" spans="1:17" s="26" customFormat="1" ht="35.25" customHeight="1">
      <c r="A4" s="22"/>
      <c r="B4" s="38"/>
      <c r="C4" s="23"/>
      <c r="D4" s="24"/>
      <c r="E4" s="23"/>
      <c r="F4" s="25"/>
      <c r="G4" s="23"/>
      <c r="H4" s="25"/>
      <c r="I4" s="23"/>
      <c r="J4" s="25"/>
      <c r="K4" s="23"/>
      <c r="M4" s="27"/>
      <c r="N4" s="27"/>
    </row>
    <row r="5" spans="1:17" ht="33" customHeight="1">
      <c r="A5" s="28">
        <v>44805</v>
      </c>
      <c r="B5" s="38"/>
      <c r="C5" s="35">
        <f>[1]コスト!$G$147</f>
        <v>16143</v>
      </c>
      <c r="D5" s="35">
        <f>C5</f>
        <v>16143</v>
      </c>
      <c r="E5" s="35">
        <f>[1]コスト!$G$23</f>
        <v>153.6</v>
      </c>
      <c r="F5" s="35">
        <f>E5</f>
        <v>153.6</v>
      </c>
      <c r="G5" s="35">
        <f>[1]コスト!$G$115</f>
        <v>29081.215199999999</v>
      </c>
      <c r="H5" s="35">
        <f>G5</f>
        <v>29081.215199999999</v>
      </c>
      <c r="I5" s="35">
        <f>[1]コスト!$G$91</f>
        <v>87.506999999999991</v>
      </c>
      <c r="J5" s="35">
        <f>I5</f>
        <v>87.506999999999991</v>
      </c>
      <c r="K5" s="35">
        <f>[1]コスト!$G$41</f>
        <v>141</v>
      </c>
      <c r="L5" s="35">
        <f>K5</f>
        <v>141</v>
      </c>
      <c r="M5" s="35">
        <f>[1]使用量!$G$387</f>
        <v>107</v>
      </c>
      <c r="N5" s="35">
        <f>[1]使用量!$G$388</f>
        <v>173</v>
      </c>
      <c r="O5" s="26"/>
      <c r="P5" s="37"/>
      <c r="Q5" s="37"/>
    </row>
    <row r="6" spans="1:17" ht="45" customHeight="1">
      <c r="A6" s="28">
        <v>44806</v>
      </c>
      <c r="B6" s="38"/>
      <c r="C6" s="35">
        <f>[1]コスト!$H$147</f>
        <v>16181</v>
      </c>
      <c r="D6" s="35">
        <f t="shared" ref="D6:F35" si="0">C6</f>
        <v>16181</v>
      </c>
      <c r="E6" s="35">
        <f>[1]コスト!$H$23</f>
        <v>184.4</v>
      </c>
      <c r="F6" s="35">
        <f t="shared" si="0"/>
        <v>184.4</v>
      </c>
      <c r="G6" s="35">
        <f>[1]コスト!$H$115</f>
        <v>16926.353999999999</v>
      </c>
      <c r="H6" s="35">
        <f t="shared" ref="H6" si="1">G6</f>
        <v>16926.353999999999</v>
      </c>
      <c r="I6" s="35">
        <f>[1]コスト!$H$91</f>
        <v>892.8492</v>
      </c>
      <c r="J6" s="35">
        <f t="shared" ref="J6" si="2">I6</f>
        <v>892.8492</v>
      </c>
      <c r="K6" s="35">
        <f>[1]コスト!$H$41</f>
        <v>138</v>
      </c>
      <c r="L6" s="35">
        <f t="shared" ref="L6" si="3">K6</f>
        <v>138</v>
      </c>
      <c r="M6" s="35">
        <f>[1]使用量!$H$387</f>
        <v>92</v>
      </c>
      <c r="N6" s="35">
        <f>[1]使用量!$H$388</f>
        <v>171</v>
      </c>
      <c r="O6" s="26"/>
      <c r="P6" s="37"/>
      <c r="Q6" s="37"/>
    </row>
    <row r="7" spans="1:17" ht="45" customHeight="1">
      <c r="A7" s="28">
        <v>44807</v>
      </c>
      <c r="B7" s="38"/>
      <c r="C7" s="35">
        <f>[1]コスト!$I$147</f>
        <v>16469</v>
      </c>
      <c r="D7" s="35">
        <f t="shared" si="0"/>
        <v>16469</v>
      </c>
      <c r="E7" s="35">
        <f>[1]コスト!$I$23</f>
        <v>202.1</v>
      </c>
      <c r="F7" s="35">
        <f t="shared" si="0"/>
        <v>202.1</v>
      </c>
      <c r="G7" s="35">
        <f>[1]コスト!$I$115</f>
        <v>18049.7772</v>
      </c>
      <c r="H7" s="35">
        <f t="shared" ref="H7" si="4">G7</f>
        <v>18049.7772</v>
      </c>
      <c r="I7" s="35">
        <f>[1]コスト!$I$91</f>
        <v>472.5378</v>
      </c>
      <c r="J7" s="35">
        <f t="shared" ref="J7" si="5">I7</f>
        <v>472.5378</v>
      </c>
      <c r="K7" s="35">
        <f>[1]コスト!$I$41</f>
        <v>166</v>
      </c>
      <c r="L7" s="35">
        <f t="shared" ref="L7" si="6">K7</f>
        <v>166</v>
      </c>
      <c r="M7" s="35">
        <f>[1]使用量!$I$387</f>
        <v>134</v>
      </c>
      <c r="N7" s="35">
        <f>[1]使用量!$I$388</f>
        <v>270</v>
      </c>
      <c r="P7" s="37"/>
      <c r="Q7" s="37"/>
    </row>
    <row r="8" spans="1:17" ht="45" customHeight="1">
      <c r="A8" s="28">
        <v>44808</v>
      </c>
      <c r="B8" s="38"/>
      <c r="C8" s="35">
        <f>[1]コスト!$J$147</f>
        <v>16608</v>
      </c>
      <c r="D8" s="35">
        <f t="shared" si="0"/>
        <v>16608</v>
      </c>
      <c r="E8" s="35">
        <f>[1]コスト!$J$23</f>
        <v>177.2</v>
      </c>
      <c r="F8" s="35">
        <f t="shared" si="0"/>
        <v>177.2</v>
      </c>
      <c r="G8" s="35">
        <f>[1]コスト!$J$115</f>
        <v>22365.678</v>
      </c>
      <c r="H8" s="35">
        <f t="shared" ref="H8" si="7">G8</f>
        <v>22365.678</v>
      </c>
      <c r="I8" s="35">
        <f>[1]コスト!$J$91</f>
        <v>250.01999999999998</v>
      </c>
      <c r="J8" s="35">
        <f t="shared" ref="J8" si="8">I8</f>
        <v>250.01999999999998</v>
      </c>
      <c r="K8" s="35">
        <f>[1]コスト!$J$41</f>
        <v>181</v>
      </c>
      <c r="L8" s="35">
        <f t="shared" ref="L8" si="9">K8</f>
        <v>181</v>
      </c>
      <c r="M8" s="35">
        <f>[1]使用量!$J$387</f>
        <v>101</v>
      </c>
      <c r="N8" s="35">
        <f>[1]使用量!$J$388</f>
        <v>170</v>
      </c>
      <c r="P8" s="37"/>
      <c r="Q8" s="37"/>
    </row>
    <row r="9" spans="1:17" ht="45" customHeight="1">
      <c r="A9" s="28">
        <v>44809</v>
      </c>
      <c r="B9" s="38"/>
      <c r="C9" s="35">
        <f>[1]コスト!$K$147</f>
        <v>16419</v>
      </c>
      <c r="D9" s="35">
        <f t="shared" si="0"/>
        <v>16419</v>
      </c>
      <c r="E9" s="35">
        <f>[1]コスト!$K$23</f>
        <v>189.5</v>
      </c>
      <c r="F9" s="35">
        <f t="shared" si="0"/>
        <v>189.5</v>
      </c>
      <c r="G9" s="35">
        <f>[1]コスト!$K$115</f>
        <v>23403.260999999999</v>
      </c>
      <c r="H9" s="35">
        <f t="shared" ref="H9" si="10">G9</f>
        <v>23403.260999999999</v>
      </c>
      <c r="I9" s="35">
        <f>[1]コスト!$K$91</f>
        <v>222.23999999999998</v>
      </c>
      <c r="J9" s="35">
        <f t="shared" ref="J9" si="11">I9</f>
        <v>222.23999999999998</v>
      </c>
      <c r="K9" s="35">
        <f>[1]コスト!$K$41</f>
        <v>152</v>
      </c>
      <c r="L9" s="35">
        <f t="shared" ref="L9" si="12">K9</f>
        <v>152</v>
      </c>
      <c r="M9" s="35">
        <f>[1]使用量!$K$387</f>
        <v>91</v>
      </c>
      <c r="N9" s="35">
        <f>[1]使用量!$K$388</f>
        <v>144</v>
      </c>
      <c r="P9" s="37"/>
      <c r="Q9" s="37"/>
    </row>
    <row r="10" spans="1:17" ht="45" customHeight="1">
      <c r="A10" s="28">
        <v>44810</v>
      </c>
      <c r="B10" s="38"/>
      <c r="C10" s="35">
        <f>[1]コスト!$L$147</f>
        <v>16350</v>
      </c>
      <c r="D10" s="35">
        <f t="shared" si="0"/>
        <v>16350</v>
      </c>
      <c r="E10" s="35">
        <f>[1]コスト!$L$23</f>
        <v>180.5</v>
      </c>
      <c r="F10" s="35">
        <f t="shared" si="0"/>
        <v>180.5</v>
      </c>
      <c r="G10" s="35">
        <f>[1]コスト!$L$115</f>
        <v>28574.230199999998</v>
      </c>
      <c r="H10" s="35">
        <f t="shared" ref="H10" si="13">G10</f>
        <v>28574.230199999998</v>
      </c>
      <c r="I10" s="35">
        <f>[1]コスト!$L$91</f>
        <v>1.6667999999999998</v>
      </c>
      <c r="J10" s="35">
        <f t="shared" ref="J10" si="14">I10</f>
        <v>1.6667999999999998</v>
      </c>
      <c r="K10" s="35">
        <f>[1]コスト!$L$41</f>
        <v>131</v>
      </c>
      <c r="L10" s="35">
        <f t="shared" ref="L10" si="15">K10</f>
        <v>131</v>
      </c>
      <c r="M10" s="35">
        <f>[1]使用量!$L$387</f>
        <v>101</v>
      </c>
      <c r="N10" s="35">
        <f>[1]使用量!$L$388</f>
        <v>153</v>
      </c>
      <c r="P10" s="37"/>
      <c r="Q10" s="37"/>
    </row>
    <row r="11" spans="1:17" ht="45" customHeight="1">
      <c r="A11" s="28">
        <v>44811</v>
      </c>
      <c r="B11" s="38"/>
      <c r="C11" s="35">
        <f>[1]コスト!$M$147</f>
        <v>15874</v>
      </c>
      <c r="D11" s="35">
        <f t="shared" si="0"/>
        <v>15874</v>
      </c>
      <c r="E11" s="35">
        <f>[1]コスト!$M$23</f>
        <v>161.4</v>
      </c>
      <c r="F11" s="35">
        <f t="shared" si="0"/>
        <v>161.4</v>
      </c>
      <c r="G11" s="35">
        <f>[1]コスト!$M$115</f>
        <v>27865.562399999999</v>
      </c>
      <c r="H11" s="35">
        <f t="shared" ref="H11" si="16">G11</f>
        <v>27865.562399999999</v>
      </c>
      <c r="I11" s="35">
        <f>[1]コスト!$M$91</f>
        <v>43.892400000000002</v>
      </c>
      <c r="J11" s="35">
        <f t="shared" ref="J11" si="17">I11</f>
        <v>43.892400000000002</v>
      </c>
      <c r="K11" s="35">
        <f>[1]コスト!$M$41</f>
        <v>129</v>
      </c>
      <c r="L11" s="35">
        <f t="shared" ref="L11" si="18">K11</f>
        <v>129</v>
      </c>
      <c r="M11" s="35">
        <f>[1]使用量!$M$387</f>
        <v>92</v>
      </c>
      <c r="N11" s="35">
        <f>[1]使用量!$M$388</f>
        <v>136</v>
      </c>
      <c r="P11" s="37"/>
      <c r="Q11" s="37"/>
    </row>
    <row r="12" spans="1:17" ht="45" customHeight="1">
      <c r="A12" s="28">
        <v>44812</v>
      </c>
      <c r="B12" s="38"/>
      <c r="C12" s="35">
        <f>[1]コスト!$N$147</f>
        <v>16109</v>
      </c>
      <c r="D12" s="35">
        <f t="shared" si="0"/>
        <v>16109</v>
      </c>
      <c r="E12" s="35">
        <f>[1]コスト!$N$23</f>
        <v>172.1</v>
      </c>
      <c r="F12" s="35">
        <f t="shared" si="0"/>
        <v>172.1</v>
      </c>
      <c r="G12" s="35">
        <f>[1]コスト!$N$115</f>
        <v>17551.126199999999</v>
      </c>
      <c r="H12" s="35">
        <f t="shared" ref="H12" si="19">G12</f>
        <v>17551.126199999999</v>
      </c>
      <c r="I12" s="35">
        <f>[1]コスト!$N$91</f>
        <v>474.20459999999997</v>
      </c>
      <c r="J12" s="35">
        <f t="shared" ref="J12" si="20">I12</f>
        <v>474.20459999999997</v>
      </c>
      <c r="K12" s="35">
        <f>[1]コスト!$N$41</f>
        <v>144</v>
      </c>
      <c r="L12" s="35">
        <f t="shared" ref="L12" si="21">K12</f>
        <v>144</v>
      </c>
      <c r="M12" s="35">
        <f>[1]使用量!$N$387</f>
        <v>110</v>
      </c>
      <c r="N12" s="35">
        <f>[1]使用量!$N$388</f>
        <v>180</v>
      </c>
      <c r="P12" s="37"/>
      <c r="Q12" s="37"/>
    </row>
    <row r="13" spans="1:17" ht="45" customHeight="1">
      <c r="A13" s="28">
        <v>44813</v>
      </c>
      <c r="B13" s="38"/>
      <c r="C13" s="35">
        <f>[1]コスト!$O$147</f>
        <v>16427</v>
      </c>
      <c r="D13" s="35">
        <f t="shared" si="0"/>
        <v>16427</v>
      </c>
      <c r="E13" s="35">
        <f>[1]コスト!$O$23</f>
        <v>185.8</v>
      </c>
      <c r="F13" s="35">
        <f t="shared" si="0"/>
        <v>185.8</v>
      </c>
      <c r="G13" s="35">
        <f>[1]コスト!$O$115</f>
        <v>20018.8236</v>
      </c>
      <c r="H13" s="35">
        <f t="shared" ref="H13" si="22">G13</f>
        <v>20018.8236</v>
      </c>
      <c r="I13" s="35">
        <f>[1]コスト!$O$91</f>
        <v>312.52499999999998</v>
      </c>
      <c r="J13" s="35">
        <f t="shared" ref="J13" si="23">I13</f>
        <v>312.52499999999998</v>
      </c>
      <c r="K13" s="35">
        <f>[1]コスト!$O$41</f>
        <v>151</v>
      </c>
      <c r="L13" s="35">
        <f t="shared" ref="L13" si="24">K13</f>
        <v>151</v>
      </c>
      <c r="M13" s="35">
        <f>[1]使用量!$O$387</f>
        <v>164</v>
      </c>
      <c r="N13" s="35">
        <f>[1]使用量!$O$388</f>
        <v>316</v>
      </c>
      <c r="P13" s="37"/>
      <c r="Q13" s="37"/>
    </row>
    <row r="14" spans="1:17" ht="45" customHeight="1">
      <c r="A14" s="28">
        <v>44814</v>
      </c>
      <c r="B14" s="38"/>
      <c r="C14" s="35">
        <f>[1]コスト!$P$147</f>
        <v>16703</v>
      </c>
      <c r="D14" s="35">
        <f t="shared" si="0"/>
        <v>16703</v>
      </c>
      <c r="E14" s="35">
        <f>[1]コスト!$P$23</f>
        <v>200</v>
      </c>
      <c r="F14" s="35">
        <f t="shared" si="0"/>
        <v>200</v>
      </c>
      <c r="G14" s="35">
        <f>[1]コスト!$P$115</f>
        <v>19479.891599999999</v>
      </c>
      <c r="H14" s="35">
        <f t="shared" ref="H14" si="25">G14</f>
        <v>19479.891599999999</v>
      </c>
      <c r="I14" s="35">
        <f>[1]コスト!$P$91</f>
        <v>555.6</v>
      </c>
      <c r="J14" s="35">
        <f t="shared" ref="J14" si="26">I14</f>
        <v>555.6</v>
      </c>
      <c r="K14" s="35">
        <f>[1]コスト!$P$41</f>
        <v>196</v>
      </c>
      <c r="L14" s="35">
        <f t="shared" ref="L14" si="27">K14</f>
        <v>196</v>
      </c>
      <c r="M14" s="35">
        <f>[1]使用量!$P$387</f>
        <v>168</v>
      </c>
      <c r="N14" s="35">
        <f>[1]使用量!$P$388</f>
        <v>325</v>
      </c>
      <c r="P14" s="37"/>
      <c r="Q14" s="37"/>
    </row>
    <row r="15" spans="1:17" ht="45" customHeight="1">
      <c r="A15" s="28">
        <v>44815</v>
      </c>
      <c r="B15" s="38"/>
      <c r="C15" s="35">
        <f>[1]コスト!$Q$147</f>
        <v>16713</v>
      </c>
      <c r="D15" s="35">
        <f t="shared" si="0"/>
        <v>16713</v>
      </c>
      <c r="E15" s="35">
        <f>[1]コスト!$Q$23</f>
        <v>185.4</v>
      </c>
      <c r="F15" s="35">
        <f t="shared" si="0"/>
        <v>185.4</v>
      </c>
      <c r="G15" s="35">
        <f>[1]コスト!$Q$115</f>
        <v>16242.132599999999</v>
      </c>
      <c r="H15" s="35">
        <f t="shared" ref="H15" si="28">G15</f>
        <v>16242.132599999999</v>
      </c>
      <c r="I15" s="35">
        <f>[1]コスト!$Q$91</f>
        <v>500.03999999999996</v>
      </c>
      <c r="J15" s="35">
        <f t="shared" ref="J15" si="29">I15</f>
        <v>500.03999999999996</v>
      </c>
      <c r="K15" s="35">
        <f>[1]コスト!$Q$41</f>
        <v>187</v>
      </c>
      <c r="L15" s="35">
        <f t="shared" ref="L15" si="30">K15</f>
        <v>187</v>
      </c>
      <c r="M15" s="35">
        <f>[1]使用量!$Q$387</f>
        <v>138</v>
      </c>
      <c r="N15" s="35">
        <f>[1]使用量!$Q$388</f>
        <v>231</v>
      </c>
      <c r="P15" s="37"/>
      <c r="Q15" s="37"/>
    </row>
    <row r="16" spans="1:17" ht="45" customHeight="1">
      <c r="A16" s="28">
        <v>44816</v>
      </c>
      <c r="B16" s="38"/>
      <c r="C16" s="35">
        <f>[1]コスト!$R$147</f>
        <v>16383</v>
      </c>
      <c r="D16" s="35">
        <f t="shared" si="0"/>
        <v>16383</v>
      </c>
      <c r="E16" s="35">
        <f>[1]コスト!$R$23</f>
        <v>178.9</v>
      </c>
      <c r="F16" s="35">
        <f t="shared" si="0"/>
        <v>178.9</v>
      </c>
      <c r="G16" s="35">
        <f>[1]コスト!$R$115</f>
        <v>19844.643</v>
      </c>
      <c r="H16" s="35">
        <f t="shared" ref="H16" si="31">G16</f>
        <v>19844.643</v>
      </c>
      <c r="I16" s="35">
        <f>[1]コスト!$R$91</f>
        <v>111.11999999999999</v>
      </c>
      <c r="J16" s="35">
        <f t="shared" ref="J16" si="32">I16</f>
        <v>111.11999999999999</v>
      </c>
      <c r="K16" s="35">
        <f>[1]コスト!$R$41</f>
        <v>154</v>
      </c>
      <c r="L16" s="35">
        <f t="shared" ref="L16" si="33">K16</f>
        <v>154</v>
      </c>
      <c r="M16" s="35">
        <f>[1]使用量!$R$387</f>
        <v>131</v>
      </c>
      <c r="N16" s="35">
        <f>[1]使用量!$R$388</f>
        <v>206</v>
      </c>
      <c r="P16" s="37"/>
      <c r="Q16" s="37"/>
    </row>
    <row r="17" spans="1:26" ht="45" customHeight="1">
      <c r="A17" s="28">
        <v>44817</v>
      </c>
      <c r="B17" s="38"/>
      <c r="C17" s="35">
        <f>[1]コスト!$S$147</f>
        <v>16437</v>
      </c>
      <c r="D17" s="35">
        <f t="shared" si="0"/>
        <v>16437</v>
      </c>
      <c r="E17" s="35">
        <f>[1]コスト!$S$23</f>
        <v>176.4</v>
      </c>
      <c r="F17" s="35">
        <f t="shared" si="0"/>
        <v>176.4</v>
      </c>
      <c r="G17" s="35">
        <f>[1]コスト!$S$115</f>
        <v>24568.909799999998</v>
      </c>
      <c r="H17" s="35">
        <f t="shared" ref="H17" si="34">G17</f>
        <v>24568.909799999998</v>
      </c>
      <c r="I17" s="35">
        <f>[1]コスト!$S$91</f>
        <v>171.95820000000001</v>
      </c>
      <c r="J17" s="35">
        <f t="shared" ref="J17" si="35">I17</f>
        <v>171.95820000000001</v>
      </c>
      <c r="K17" s="35">
        <f>[1]コスト!$S$41</f>
        <v>160</v>
      </c>
      <c r="L17" s="35">
        <f t="shared" ref="L17" si="36">K17</f>
        <v>160</v>
      </c>
      <c r="M17" s="35">
        <f>[1]使用量!$S$387</f>
        <v>151</v>
      </c>
      <c r="N17" s="35">
        <f>[1]使用量!$S$388</f>
        <v>222</v>
      </c>
      <c r="P17" s="37"/>
      <c r="Q17" s="37"/>
    </row>
    <row r="18" spans="1:26" ht="45" customHeight="1">
      <c r="A18" s="28">
        <v>44818</v>
      </c>
      <c r="B18" s="38"/>
      <c r="C18" s="35">
        <f>[1]コスト!$T$147</f>
        <v>16674</v>
      </c>
      <c r="D18" s="35">
        <f t="shared" si="0"/>
        <v>16674</v>
      </c>
      <c r="E18" s="35">
        <f>[1]コスト!$T$23</f>
        <v>178.6</v>
      </c>
      <c r="F18" s="35">
        <f t="shared" si="0"/>
        <v>178.6</v>
      </c>
      <c r="G18" s="35">
        <f>[1]コスト!$T$115</f>
        <v>25017.001199999999</v>
      </c>
      <c r="H18" s="35">
        <f t="shared" ref="H18" si="37">G18</f>
        <v>25017.001199999999</v>
      </c>
      <c r="I18" s="35">
        <f>[1]コスト!$T$91</f>
        <v>175.29179999999999</v>
      </c>
      <c r="J18" s="35">
        <f t="shared" ref="J18" si="38">I18</f>
        <v>175.29179999999999</v>
      </c>
      <c r="K18" s="35">
        <f>[1]コスト!$T$41</f>
        <v>152</v>
      </c>
      <c r="L18" s="35">
        <f t="shared" ref="L18" si="39">K18</f>
        <v>152</v>
      </c>
      <c r="M18" s="35">
        <f>[1]使用量!$T$387</f>
        <v>144</v>
      </c>
      <c r="N18" s="35">
        <f>[1]使用量!$T$388</f>
        <v>224</v>
      </c>
      <c r="P18" s="37"/>
      <c r="Q18" s="37"/>
      <c r="Z18" s="36"/>
    </row>
    <row r="19" spans="1:26" ht="45" customHeight="1">
      <c r="A19" s="28">
        <v>44819</v>
      </c>
      <c r="B19" s="38"/>
      <c r="C19" s="35">
        <f>[1]コスト!$U$147</f>
        <v>16228</v>
      </c>
      <c r="D19" s="35">
        <f t="shared" si="0"/>
        <v>16228</v>
      </c>
      <c r="E19" s="35">
        <f>[1]コスト!$U$23</f>
        <v>178.5</v>
      </c>
      <c r="F19" s="35">
        <f t="shared" si="0"/>
        <v>178.5</v>
      </c>
      <c r="G19" s="35">
        <f>[1]コスト!$U$115</f>
        <v>12687.4038</v>
      </c>
      <c r="H19" s="35">
        <f t="shared" ref="H19" si="40">G19</f>
        <v>12687.4038</v>
      </c>
      <c r="I19" s="35">
        <f>[1]コスト!$U$91</f>
        <v>472.26</v>
      </c>
      <c r="J19" s="35">
        <f t="shared" ref="J19" si="41">I19</f>
        <v>472.26</v>
      </c>
      <c r="K19" s="35">
        <f>[1]コスト!$U$41</f>
        <v>164</v>
      </c>
      <c r="L19" s="35">
        <f t="shared" ref="L19" si="42">K19</f>
        <v>164</v>
      </c>
      <c r="M19" s="35">
        <f>[1]使用量!$U$387</f>
        <v>130</v>
      </c>
      <c r="N19" s="35">
        <f>[1]使用量!$U$388</f>
        <v>215</v>
      </c>
      <c r="P19" s="37"/>
      <c r="Q19" s="37"/>
    </row>
    <row r="20" spans="1:26" ht="45" customHeight="1">
      <c r="A20" s="28">
        <v>44820</v>
      </c>
      <c r="B20" s="38"/>
      <c r="C20" s="35">
        <f>[1]コスト!$V$147</f>
        <v>16225</v>
      </c>
      <c r="D20" s="35">
        <f t="shared" si="0"/>
        <v>16225</v>
      </c>
      <c r="E20" s="35">
        <f>[1]コスト!$V$23</f>
        <v>185.2</v>
      </c>
      <c r="F20" s="35">
        <f t="shared" si="0"/>
        <v>185.2</v>
      </c>
      <c r="G20" s="35">
        <f>[1]コスト!$V$115</f>
        <v>16639.108799999998</v>
      </c>
      <c r="H20" s="35">
        <f t="shared" ref="H20" si="43">G20</f>
        <v>16639.108799999998</v>
      </c>
      <c r="I20" s="35">
        <f>[1]コスト!$V$91</f>
        <v>277.8</v>
      </c>
      <c r="J20" s="35">
        <f t="shared" ref="J20" si="44">I20</f>
        <v>277.8</v>
      </c>
      <c r="K20" s="35">
        <f>[1]コスト!$V$41</f>
        <v>150</v>
      </c>
      <c r="L20" s="35">
        <f t="shared" ref="L20" si="45">K20</f>
        <v>150</v>
      </c>
      <c r="M20" s="35">
        <f>[1]使用量!$V$387</f>
        <v>128</v>
      </c>
      <c r="N20" s="35">
        <f>[1]使用量!$V$388</f>
        <v>246</v>
      </c>
      <c r="P20" s="37"/>
      <c r="Q20" s="37"/>
    </row>
    <row r="21" spans="1:26" ht="45" customHeight="1">
      <c r="A21" s="28">
        <v>44821</v>
      </c>
      <c r="B21" s="38"/>
      <c r="C21" s="35">
        <f>[1]コスト!$W$147</f>
        <v>16766</v>
      </c>
      <c r="D21" s="35">
        <f t="shared" si="0"/>
        <v>16766</v>
      </c>
      <c r="E21" s="35">
        <f>[1]コスト!$W$23</f>
        <v>184.8</v>
      </c>
      <c r="F21" s="35">
        <f t="shared" si="0"/>
        <v>184.8</v>
      </c>
      <c r="G21" s="35">
        <f>[1]コスト!$W$115</f>
        <v>22904.054400000001</v>
      </c>
      <c r="H21" s="35">
        <f t="shared" ref="H21" si="46">G21</f>
        <v>22904.054400000001</v>
      </c>
      <c r="I21" s="35">
        <f>[1]コスト!$W$91</f>
        <v>250.01999999999998</v>
      </c>
      <c r="J21" s="35">
        <f t="shared" ref="J21" si="47">I21</f>
        <v>250.01999999999998</v>
      </c>
      <c r="K21" s="35">
        <f>[1]コスト!$W$41</f>
        <v>199</v>
      </c>
      <c r="L21" s="35">
        <f t="shared" ref="L21" si="48">K21</f>
        <v>199</v>
      </c>
      <c r="M21" s="35">
        <f>[1]使用量!$W$387</f>
        <v>162</v>
      </c>
      <c r="N21" s="35">
        <f>[1]使用量!$W$388</f>
        <v>345</v>
      </c>
      <c r="P21" s="37"/>
      <c r="Q21" s="37"/>
    </row>
    <row r="22" spans="1:26" ht="45" customHeight="1">
      <c r="A22" s="28">
        <v>44822</v>
      </c>
      <c r="B22" s="38"/>
      <c r="C22" s="35">
        <f>[1]コスト!$X$147</f>
        <v>16957</v>
      </c>
      <c r="D22" s="35">
        <f t="shared" si="0"/>
        <v>16957</v>
      </c>
      <c r="E22" s="35">
        <f>[1]コスト!$X$23</f>
        <v>186.1</v>
      </c>
      <c r="F22" s="35">
        <f t="shared" si="0"/>
        <v>186.1</v>
      </c>
      <c r="G22" s="35">
        <f>[1]コスト!$X$115</f>
        <v>27496.9218</v>
      </c>
      <c r="H22" s="35">
        <f t="shared" ref="H22" si="49">G22</f>
        <v>27496.9218</v>
      </c>
      <c r="I22" s="35">
        <f>[1]コスト!$X$91</f>
        <v>611.16</v>
      </c>
      <c r="J22" s="35">
        <f t="shared" ref="J22" si="50">I22</f>
        <v>611.16</v>
      </c>
      <c r="K22" s="35">
        <f>[1]コスト!$X$41</f>
        <v>227</v>
      </c>
      <c r="L22" s="35">
        <f t="shared" ref="L22" si="51">K22</f>
        <v>227</v>
      </c>
      <c r="M22" s="35">
        <f>[1]使用量!$X$387</f>
        <v>170</v>
      </c>
      <c r="N22" s="35">
        <f>[1]使用量!$X$388</f>
        <v>370</v>
      </c>
      <c r="P22" s="37"/>
      <c r="Q22" s="37"/>
    </row>
    <row r="23" spans="1:26" ht="45" customHeight="1">
      <c r="A23" s="28">
        <v>44823</v>
      </c>
      <c r="B23" s="38"/>
      <c r="C23" s="35">
        <f>[1]コスト!$Y$147</f>
        <v>17176</v>
      </c>
      <c r="D23" s="35">
        <f t="shared" si="0"/>
        <v>17176</v>
      </c>
      <c r="E23" s="35">
        <f>[1]コスト!$Y$23</f>
        <v>175.7</v>
      </c>
      <c r="F23" s="35">
        <f t="shared" si="0"/>
        <v>175.7</v>
      </c>
      <c r="G23" s="35">
        <f>[1]コスト!$Y$115</f>
        <v>31831.1574</v>
      </c>
      <c r="H23" s="35">
        <f t="shared" ref="H23" si="52">G23</f>
        <v>31831.1574</v>
      </c>
      <c r="I23" s="35">
        <f>[1]コスト!$Y$91</f>
        <v>111.11999999999999</v>
      </c>
      <c r="J23" s="35">
        <f t="shared" ref="J23" si="53">I23</f>
        <v>111.11999999999999</v>
      </c>
      <c r="K23" s="35">
        <f>[1]コスト!$Y$41</f>
        <v>199</v>
      </c>
      <c r="L23" s="35">
        <f t="shared" ref="L23" si="54">K23</f>
        <v>199</v>
      </c>
      <c r="M23" s="35">
        <f>[1]使用量!$Y$387</f>
        <v>101</v>
      </c>
      <c r="N23" s="35">
        <f>[1]使用量!$Y$388</f>
        <v>176</v>
      </c>
      <c r="P23" s="37"/>
      <c r="Q23" s="37"/>
    </row>
    <row r="24" spans="1:26" ht="45" customHeight="1">
      <c r="A24" s="28">
        <v>44824</v>
      </c>
      <c r="B24" s="38"/>
      <c r="C24" s="35">
        <f>[1]コスト!$Z$147</f>
        <v>0</v>
      </c>
      <c r="D24" s="35">
        <f t="shared" si="0"/>
        <v>0</v>
      </c>
      <c r="E24" s="35">
        <f>[1]コスト!$Z$23</f>
        <v>0</v>
      </c>
      <c r="F24" s="35">
        <f t="shared" si="0"/>
        <v>0</v>
      </c>
      <c r="G24" s="35">
        <f>[1]コスト!$Z$115</f>
        <v>0</v>
      </c>
      <c r="H24" s="35">
        <f t="shared" ref="H24" si="55">G24</f>
        <v>0</v>
      </c>
      <c r="I24" s="35">
        <f>[1]コスト!$Z$91</f>
        <v>0</v>
      </c>
      <c r="J24" s="35">
        <f t="shared" ref="J24" si="56">I24</f>
        <v>0</v>
      </c>
      <c r="K24" s="35">
        <f>[1]コスト!$Z$41</f>
        <v>0</v>
      </c>
      <c r="L24" s="35">
        <f t="shared" ref="L24" si="57">K24</f>
        <v>0</v>
      </c>
      <c r="M24" s="35">
        <f>[1]使用量!$Z$387</f>
        <v>0</v>
      </c>
      <c r="N24" s="35">
        <f>[1]使用量!$Z$388</f>
        <v>0</v>
      </c>
      <c r="P24" s="37"/>
      <c r="Q24" s="37"/>
    </row>
    <row r="25" spans="1:26" ht="45" customHeight="1">
      <c r="A25" s="28">
        <v>44825</v>
      </c>
      <c r="B25" s="38"/>
      <c r="C25" s="35">
        <f>[1]コスト!$AA$147</f>
        <v>0</v>
      </c>
      <c r="D25" s="35">
        <f t="shared" si="0"/>
        <v>0</v>
      </c>
      <c r="E25" s="35">
        <f>[1]コスト!$AA$23</f>
        <v>0</v>
      </c>
      <c r="F25" s="35">
        <f t="shared" si="0"/>
        <v>0</v>
      </c>
      <c r="G25" s="35">
        <f>[1]コスト!$AA$115</f>
        <v>0</v>
      </c>
      <c r="H25" s="35">
        <f t="shared" ref="H25" si="58">G25</f>
        <v>0</v>
      </c>
      <c r="I25" s="35">
        <f>[1]コスト!$AA$91</f>
        <v>0</v>
      </c>
      <c r="J25" s="35">
        <f t="shared" ref="J25" si="59">I25</f>
        <v>0</v>
      </c>
      <c r="K25" s="35">
        <f>[1]コスト!$AA$41</f>
        <v>0</v>
      </c>
      <c r="L25" s="35">
        <f t="shared" ref="L25" si="60">K25</f>
        <v>0</v>
      </c>
      <c r="M25" s="35">
        <f>[1]使用量!$AA$387</f>
        <v>0</v>
      </c>
      <c r="N25" s="35">
        <f>[1]使用量!$AA$388</f>
        <v>0</v>
      </c>
      <c r="P25" s="37"/>
      <c r="Q25" s="37"/>
    </row>
    <row r="26" spans="1:26" ht="45" customHeight="1">
      <c r="A26" s="28">
        <v>44826</v>
      </c>
      <c r="B26" s="38"/>
      <c r="C26" s="35">
        <f>[1]コスト!$AB$147</f>
        <v>0</v>
      </c>
      <c r="D26" s="35">
        <f t="shared" si="0"/>
        <v>0</v>
      </c>
      <c r="E26" s="35">
        <f>[1]コスト!$AB$23</f>
        <v>0</v>
      </c>
      <c r="F26" s="35">
        <f t="shared" si="0"/>
        <v>0</v>
      </c>
      <c r="G26" s="35">
        <f>[1]コスト!$AB$115</f>
        <v>0</v>
      </c>
      <c r="H26" s="35">
        <f t="shared" ref="H26" si="61">G26</f>
        <v>0</v>
      </c>
      <c r="I26" s="35">
        <f>[1]コスト!$AB$91</f>
        <v>0</v>
      </c>
      <c r="J26" s="35">
        <f t="shared" ref="J26" si="62">I26</f>
        <v>0</v>
      </c>
      <c r="K26" s="35">
        <f>[1]コスト!$AB$41</f>
        <v>0</v>
      </c>
      <c r="L26" s="35">
        <f t="shared" ref="L26" si="63">K26</f>
        <v>0</v>
      </c>
      <c r="M26" s="35">
        <f>[1]使用量!$AB$387</f>
        <v>0</v>
      </c>
      <c r="N26" s="35">
        <f>[1]使用量!$AB$388</f>
        <v>0</v>
      </c>
      <c r="P26" s="37"/>
      <c r="Q26" s="37"/>
    </row>
    <row r="27" spans="1:26" ht="45" customHeight="1">
      <c r="A27" s="28">
        <v>44827</v>
      </c>
      <c r="B27" s="38"/>
      <c r="C27" s="35">
        <f>[1]コスト!$AC$147</f>
        <v>0</v>
      </c>
      <c r="D27" s="35">
        <f t="shared" si="0"/>
        <v>0</v>
      </c>
      <c r="E27" s="35">
        <f>[1]コスト!$AC$23</f>
        <v>0</v>
      </c>
      <c r="F27" s="35">
        <f t="shared" si="0"/>
        <v>0</v>
      </c>
      <c r="G27" s="35">
        <f>[1]コスト!$AC$115</f>
        <v>0</v>
      </c>
      <c r="H27" s="35">
        <f t="shared" ref="H27" si="64">G27</f>
        <v>0</v>
      </c>
      <c r="I27" s="35">
        <f>[1]コスト!$AC$91</f>
        <v>0</v>
      </c>
      <c r="J27" s="35">
        <f t="shared" ref="J27" si="65">I27</f>
        <v>0</v>
      </c>
      <c r="K27" s="35">
        <f>[1]コスト!$AC$41</f>
        <v>0</v>
      </c>
      <c r="L27" s="35">
        <f t="shared" ref="L27" si="66">K27</f>
        <v>0</v>
      </c>
      <c r="M27" s="35">
        <f>[1]使用量!$AC$387</f>
        <v>0</v>
      </c>
      <c r="N27" s="35">
        <f>[1]使用量!$AC$388</f>
        <v>0</v>
      </c>
      <c r="P27" s="37"/>
      <c r="Q27" s="37"/>
    </row>
    <row r="28" spans="1:26" ht="45" customHeight="1">
      <c r="A28" s="28">
        <v>44828</v>
      </c>
      <c r="B28" s="38"/>
      <c r="C28" s="35">
        <f>[1]コスト!$AD$147</f>
        <v>0</v>
      </c>
      <c r="D28" s="35">
        <f t="shared" si="0"/>
        <v>0</v>
      </c>
      <c r="E28" s="35">
        <f>[1]コスト!$AD$23</f>
        <v>0</v>
      </c>
      <c r="F28" s="35">
        <f t="shared" si="0"/>
        <v>0</v>
      </c>
      <c r="G28" s="35">
        <f>[1]コスト!$AD$115</f>
        <v>0</v>
      </c>
      <c r="H28" s="35">
        <f t="shared" ref="H28" si="67">G28</f>
        <v>0</v>
      </c>
      <c r="I28" s="35">
        <f>[1]コスト!$AD$91</f>
        <v>0</v>
      </c>
      <c r="J28" s="35">
        <f t="shared" ref="J28" si="68">I28</f>
        <v>0</v>
      </c>
      <c r="K28" s="35">
        <f>[1]コスト!$AD$41</f>
        <v>0</v>
      </c>
      <c r="L28" s="35">
        <f t="shared" ref="L28" si="69">K28</f>
        <v>0</v>
      </c>
      <c r="M28" s="35">
        <f>[1]使用量!$AD$387</f>
        <v>0</v>
      </c>
      <c r="N28" s="35">
        <f>[1]使用量!$AD$388</f>
        <v>0</v>
      </c>
      <c r="P28" s="37"/>
      <c r="Q28" s="37"/>
    </row>
    <row r="29" spans="1:26" ht="45" customHeight="1">
      <c r="A29" s="28">
        <v>44829</v>
      </c>
      <c r="B29" s="38"/>
      <c r="C29" s="35">
        <f>[1]コスト!$AE$147</f>
        <v>0</v>
      </c>
      <c r="D29" s="35">
        <f t="shared" si="0"/>
        <v>0</v>
      </c>
      <c r="E29" s="35">
        <f>[1]コスト!$AE$23</f>
        <v>0</v>
      </c>
      <c r="F29" s="35">
        <f t="shared" si="0"/>
        <v>0</v>
      </c>
      <c r="G29" s="35">
        <f>[1]コスト!$AE$115</f>
        <v>0</v>
      </c>
      <c r="H29" s="35">
        <f t="shared" ref="H29" si="70">G29</f>
        <v>0</v>
      </c>
      <c r="I29" s="35">
        <f>[1]コスト!$AE$91</f>
        <v>0</v>
      </c>
      <c r="J29" s="35">
        <f t="shared" ref="J29" si="71">I29</f>
        <v>0</v>
      </c>
      <c r="K29" s="35">
        <f>[1]コスト!$AE$41</f>
        <v>0</v>
      </c>
      <c r="L29" s="35">
        <f t="shared" ref="L29" si="72">K29</f>
        <v>0</v>
      </c>
      <c r="M29" s="35">
        <f>[1]使用量!$AE$387</f>
        <v>0</v>
      </c>
      <c r="N29" s="35">
        <f>[1]使用量!$AE$388</f>
        <v>0</v>
      </c>
      <c r="P29" s="37"/>
      <c r="Q29" s="37"/>
    </row>
    <row r="30" spans="1:26" ht="45" customHeight="1">
      <c r="A30" s="28">
        <v>44830</v>
      </c>
      <c r="B30" s="38"/>
      <c r="C30" s="35">
        <f>[1]コスト!$AF$147</f>
        <v>0</v>
      </c>
      <c r="D30" s="35">
        <f t="shared" si="0"/>
        <v>0</v>
      </c>
      <c r="E30" s="35">
        <f>[1]コスト!$AF$23</f>
        <v>0</v>
      </c>
      <c r="F30" s="35">
        <f t="shared" si="0"/>
        <v>0</v>
      </c>
      <c r="G30" s="35">
        <f>[1]コスト!$AF$115</f>
        <v>0</v>
      </c>
      <c r="H30" s="35">
        <f t="shared" ref="H30" si="73">G30</f>
        <v>0</v>
      </c>
      <c r="I30" s="35">
        <f>[1]コスト!$AF$91</f>
        <v>0</v>
      </c>
      <c r="J30" s="35">
        <f t="shared" ref="J30" si="74">I30</f>
        <v>0</v>
      </c>
      <c r="K30" s="35">
        <f>[1]コスト!$AF$41</f>
        <v>0</v>
      </c>
      <c r="L30" s="35">
        <f t="shared" ref="L30" si="75">K30</f>
        <v>0</v>
      </c>
      <c r="M30" s="35">
        <f>[1]使用量!$AF$387</f>
        <v>0</v>
      </c>
      <c r="N30" s="35">
        <f>[1]使用量!$AF$388</f>
        <v>0</v>
      </c>
      <c r="P30" s="37"/>
      <c r="Q30" s="37"/>
    </row>
    <row r="31" spans="1:26" ht="45" customHeight="1">
      <c r="A31" s="28">
        <v>44831</v>
      </c>
      <c r="B31" s="38"/>
      <c r="C31" s="35">
        <f>[1]コスト!$AG$147</f>
        <v>0</v>
      </c>
      <c r="D31" s="35">
        <f t="shared" si="0"/>
        <v>0</v>
      </c>
      <c r="E31" s="35">
        <f>[1]コスト!$AG$23</f>
        <v>0</v>
      </c>
      <c r="F31" s="35">
        <f t="shared" si="0"/>
        <v>0</v>
      </c>
      <c r="G31" s="35">
        <f>[1]コスト!$AG$115</f>
        <v>0</v>
      </c>
      <c r="H31" s="35">
        <f t="shared" ref="H31" si="76">G31</f>
        <v>0</v>
      </c>
      <c r="I31" s="35">
        <f>[1]コスト!$AG$91</f>
        <v>0</v>
      </c>
      <c r="J31" s="35">
        <f t="shared" ref="J31" si="77">I31</f>
        <v>0</v>
      </c>
      <c r="K31" s="35">
        <f>[1]コスト!$AG$41</f>
        <v>0</v>
      </c>
      <c r="L31" s="35">
        <f t="shared" ref="L31" si="78">K31</f>
        <v>0</v>
      </c>
      <c r="M31" s="35">
        <f>[1]使用量!$AG$387</f>
        <v>0</v>
      </c>
      <c r="N31" s="35">
        <f>[1]使用量!$AG$388</f>
        <v>0</v>
      </c>
      <c r="P31" s="37"/>
      <c r="Q31" s="37"/>
    </row>
    <row r="32" spans="1:26" ht="45" customHeight="1">
      <c r="A32" s="28">
        <v>44832</v>
      </c>
      <c r="B32" s="38"/>
      <c r="C32" s="35">
        <f>[1]コスト!$AH$147</f>
        <v>0</v>
      </c>
      <c r="D32" s="35">
        <f t="shared" si="0"/>
        <v>0</v>
      </c>
      <c r="E32" s="35">
        <f>[1]コスト!$AH$23</f>
        <v>0</v>
      </c>
      <c r="F32" s="35">
        <f t="shared" si="0"/>
        <v>0</v>
      </c>
      <c r="G32" s="35">
        <f>[1]コスト!$AH$115</f>
        <v>0</v>
      </c>
      <c r="H32" s="35">
        <f t="shared" ref="H32" si="79">G32</f>
        <v>0</v>
      </c>
      <c r="I32" s="35">
        <f>[1]コスト!$AH$91</f>
        <v>0</v>
      </c>
      <c r="J32" s="35">
        <f t="shared" ref="J32" si="80">I32</f>
        <v>0</v>
      </c>
      <c r="K32" s="35">
        <f>[1]コスト!$AH$41</f>
        <v>0</v>
      </c>
      <c r="L32" s="35">
        <f t="shared" ref="L32" si="81">K32</f>
        <v>0</v>
      </c>
      <c r="M32" s="35">
        <f>[1]使用量!$AH$387</f>
        <v>0</v>
      </c>
      <c r="N32" s="35">
        <f>[1]使用量!$AH$388</f>
        <v>0</v>
      </c>
      <c r="P32" s="37"/>
      <c r="Q32" s="37"/>
    </row>
    <row r="33" spans="1:17" ht="36" customHeight="1">
      <c r="A33" s="28">
        <v>44833</v>
      </c>
      <c r="C33" s="35">
        <f>[1]コスト!$AI$147</f>
        <v>0</v>
      </c>
      <c r="D33" s="35">
        <f t="shared" si="0"/>
        <v>0</v>
      </c>
      <c r="E33" s="35">
        <f>[1]コスト!$AI$23</f>
        <v>0</v>
      </c>
      <c r="F33" s="35">
        <f t="shared" si="0"/>
        <v>0</v>
      </c>
      <c r="G33" s="35">
        <f>[1]コスト!$AI$115</f>
        <v>0</v>
      </c>
      <c r="H33" s="35">
        <f t="shared" ref="H33" si="82">G33</f>
        <v>0</v>
      </c>
      <c r="I33" s="35">
        <f>[1]コスト!$AI$91</f>
        <v>0</v>
      </c>
      <c r="J33" s="35">
        <f t="shared" ref="J33" si="83">I33</f>
        <v>0</v>
      </c>
      <c r="K33" s="35">
        <f>[1]コスト!$AI$41</f>
        <v>0</v>
      </c>
      <c r="L33" s="35">
        <f t="shared" ref="L33" si="84">K33</f>
        <v>0</v>
      </c>
      <c r="M33" s="35">
        <f>[1]使用量!$AI$387</f>
        <v>0</v>
      </c>
      <c r="N33" s="35">
        <f>[1]使用量!$AI$388</f>
        <v>0</v>
      </c>
      <c r="P33" s="37"/>
      <c r="Q33" s="37"/>
    </row>
    <row r="34" spans="1:17" ht="45.6" customHeight="1">
      <c r="A34" s="28">
        <v>44834</v>
      </c>
      <c r="C34" s="35">
        <f>[1]コスト!$AJ$147</f>
        <v>0</v>
      </c>
      <c r="D34" s="35">
        <f t="shared" si="0"/>
        <v>0</v>
      </c>
      <c r="E34" s="35">
        <f>[1]コスト!$AJ$23</f>
        <v>0</v>
      </c>
      <c r="F34" s="35">
        <f t="shared" si="0"/>
        <v>0</v>
      </c>
      <c r="G34" s="35">
        <f>[1]コスト!$AJ$115</f>
        <v>0</v>
      </c>
      <c r="H34" s="35">
        <f t="shared" ref="H34" si="85">G34</f>
        <v>0</v>
      </c>
      <c r="I34" s="35">
        <f>[1]コスト!$AJ$91</f>
        <v>0</v>
      </c>
      <c r="J34" s="35">
        <f t="shared" ref="J34" si="86">I34</f>
        <v>0</v>
      </c>
      <c r="K34" s="35">
        <f>[1]コスト!$AJ$41</f>
        <v>0</v>
      </c>
      <c r="L34" s="35">
        <f t="shared" ref="L34" si="87">K34</f>
        <v>0</v>
      </c>
      <c r="M34" s="35">
        <f>[1]使用量!$AJ$387</f>
        <v>0</v>
      </c>
      <c r="N34" s="35">
        <f>[1]使用量!$AJ$388</f>
        <v>0</v>
      </c>
      <c r="P34" s="37"/>
      <c r="Q34" s="37"/>
    </row>
    <row r="35" spans="1:17" ht="47.45" customHeight="1">
      <c r="A35" s="28"/>
      <c r="C35" s="35">
        <f>[1]コスト!$AK$147</f>
        <v>0</v>
      </c>
      <c r="D35" s="35">
        <f t="shared" si="0"/>
        <v>0</v>
      </c>
      <c r="E35" s="35">
        <f>[1]コスト!$AK$23</f>
        <v>0</v>
      </c>
      <c r="F35" s="35">
        <f t="shared" si="0"/>
        <v>0</v>
      </c>
      <c r="G35" s="35">
        <f>[1]コスト!$AK$115</f>
        <v>0</v>
      </c>
      <c r="H35" s="35">
        <f t="shared" ref="H35" si="88">G35</f>
        <v>0</v>
      </c>
      <c r="I35" s="35">
        <f>[1]コスト!$AK$91</f>
        <v>0</v>
      </c>
      <c r="J35" s="35">
        <f t="shared" ref="J35" si="89">I35</f>
        <v>0</v>
      </c>
      <c r="K35" s="35">
        <f>[1]コスト!$AK$41</f>
        <v>0</v>
      </c>
      <c r="L35" s="35">
        <f t="shared" ref="L35" si="90">K35</f>
        <v>0</v>
      </c>
      <c r="M35" s="35">
        <f>[1]使用量!$AK$387</f>
        <v>0</v>
      </c>
      <c r="N35" s="35">
        <f>[1]使用量!$AK$388</f>
        <v>0</v>
      </c>
      <c r="P35" s="37"/>
      <c r="Q35" s="37"/>
    </row>
    <row r="36" spans="1:17">
      <c r="D36" s="29"/>
    </row>
    <row r="37" spans="1:17">
      <c r="D37" s="29"/>
    </row>
  </sheetData>
  <mergeCells count="7">
    <mergeCell ref="B1:B32"/>
    <mergeCell ref="K1:L1"/>
    <mergeCell ref="C2:D2"/>
    <mergeCell ref="E2:F2"/>
    <mergeCell ref="K2:L2"/>
    <mergeCell ref="G2:H2"/>
    <mergeCell ref="I2:J2"/>
  </mergeCells>
  <phoneticPr fontId="1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TOTAL</vt:lpstr>
      <vt:lpstr>Otemachi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Mitsuyoshi Yuki</cp:lastModifiedBy>
  <cp:lastPrinted>2020-10-01T03:34:29Z</cp:lastPrinted>
  <dcterms:created xsi:type="dcterms:W3CDTF">2009-02-11T09:03:59Z</dcterms:created>
  <dcterms:modified xsi:type="dcterms:W3CDTF">2022-09-20T00:25:50Z</dcterms:modified>
</cp:coreProperties>
</file>