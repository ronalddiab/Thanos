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1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23"/>
  <c r="B19"/>
  <c r="B20"/>
  <c r="B21"/>
  <c r="B22"/>
  <c r="B23"/>
  <c r="B24"/>
  <c r="B25"/>
  <c r="B26"/>
  <c r="B27"/>
  <c r="B28"/>
  <c r="B29"/>
  <c r="B30"/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4"/>
  <c r="B5"/>
  <c r="B6"/>
  <c r="B7"/>
  <c r="B8"/>
  <c r="B9"/>
  <c r="B10"/>
  <c r="B11"/>
  <c r="B12"/>
  <c r="B13"/>
  <c r="B14"/>
  <c r="B15"/>
  <c r="B16"/>
  <c r="B17"/>
  <c r="B18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B2" i="8" s="1"/>
  <c r="G11" i="15"/>
  <c r="B3" i="8" s="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B19" i="7" s="1"/>
  <c r="AK28" i="1"/>
  <c r="U29"/>
  <c r="AK29"/>
  <c r="AS29" s="1"/>
  <c r="AT29" s="1"/>
  <c r="U30"/>
  <c r="AK30"/>
  <c r="U31"/>
  <c r="AK31"/>
  <c r="U32"/>
  <c r="AK32"/>
  <c r="U33"/>
  <c r="AK33"/>
  <c r="U34"/>
  <c r="AK34"/>
  <c r="U35"/>
  <c r="B26" i="7" s="1"/>
  <c r="AK35" i="1"/>
  <c r="U36"/>
  <c r="B27" i="7" s="1"/>
  <c r="AK36" i="1"/>
  <c r="AS36" s="1"/>
  <c r="U37"/>
  <c r="AK37"/>
  <c r="U38"/>
  <c r="AK38"/>
  <c r="U39"/>
  <c r="B30" i="7" s="1"/>
  <c r="AK39" i="1"/>
  <c r="U40"/>
  <c r="B31" i="7" s="1"/>
  <c r="AK40" i="1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38" l="1"/>
  <c r="B29" i="7"/>
  <c r="V37" i="1"/>
  <c r="B28" i="7"/>
  <c r="V34" i="1"/>
  <c r="B25" i="7"/>
  <c r="V33" i="1"/>
  <c r="B24" i="7"/>
  <c r="V32" i="1"/>
  <c r="B23" i="7"/>
  <c r="V31" i="1"/>
  <c r="B22" i="7"/>
  <c r="V30" i="1"/>
  <c r="B21" i="7"/>
  <c r="V29" i="1"/>
  <c r="B20" i="7"/>
  <c r="V27" i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B21" i="8" s="1"/>
  <c r="G30" i="15"/>
  <c r="B22" i="8" s="1"/>
  <c r="G31" i="15"/>
  <c r="B23" i="8" s="1"/>
  <c r="G32" i="15"/>
  <c r="B24" i="8" s="1"/>
  <c r="G33" i="15"/>
  <c r="B25" i="8" s="1"/>
  <c r="G34" i="15"/>
  <c r="B26" i="8" s="1"/>
  <c r="G35" i="15"/>
  <c r="B27" i="8" s="1"/>
  <c r="G36" i="15"/>
  <c r="B28" i="8" s="1"/>
  <c r="G37" i="15"/>
  <c r="B29" i="8" s="1"/>
  <c r="G38" i="15"/>
  <c r="B30" i="8" s="1"/>
  <c r="G39" i="15"/>
  <c r="B31" i="8" s="1"/>
  <c r="G40" i="15"/>
  <c r="B32" i="8" s="1"/>
  <c r="J27" i="15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37" i="12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35" l="1"/>
  <c r="B32" i="9"/>
  <c r="F34" i="23"/>
  <c r="B31" i="9"/>
  <c r="F33" i="23"/>
  <c r="B30" i="9"/>
  <c r="F32" i="23"/>
  <c r="B29" i="9"/>
  <c r="F31" i="23"/>
  <c r="B28" i="9"/>
  <c r="F30" i="23"/>
  <c r="B27" i="9"/>
  <c r="F29" i="23"/>
  <c r="B26" i="9"/>
  <c r="F28" i="23"/>
  <c r="B25" i="9"/>
  <c r="F27" i="23"/>
  <c r="B24" i="9"/>
  <c r="F26" i="23"/>
  <c r="B23" i="9"/>
  <c r="F25" i="23"/>
  <c r="B22" i="9"/>
  <c r="F24" i="23"/>
  <c r="B21" i="9"/>
  <c r="F23" i="23"/>
  <c r="B20" i="9"/>
  <c r="F21" i="23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comments1.xml><?xml version="1.0" encoding="utf-8"?>
<comments xmlns="http://schemas.openxmlformats.org/spreadsheetml/2006/main">
  <authors>
    <author>Josephat.Mnganya</author>
  </authors>
  <commentList>
    <comment ref="AJ31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Used by Tanapa greda</t>
        </r>
      </text>
    </comment>
    <comment ref="AJ32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Used by Tanapa greda</t>
        </r>
      </text>
    </comment>
    <comment ref="AJ34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Used by Tanapa greda</t>
        </r>
      </text>
    </comment>
    <comment ref="AJ35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Used by Tanapa greda</t>
        </r>
      </text>
    </comment>
    <comment ref="AJ38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Used by Tanapa greda</t>
        </r>
      </text>
    </comment>
  </commentList>
</comments>
</file>

<file path=xl/sharedStrings.xml><?xml version="1.0" encoding="utf-8"?>
<sst xmlns="http://schemas.openxmlformats.org/spreadsheetml/2006/main" count="524" uniqueCount="309">
  <si>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</si>
  <si>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</si>
  <si>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</si>
  <si>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</si>
  <si>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</si>
  <si>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</si>
  <si>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</si>
  <si>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</si>
  <si>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</si>
  <si>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</si>
  <si>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</si>
  <si>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</si>
  <si>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</si>
  <si>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</si>
  <si>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</si>
  <si>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</si>
  <si>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</si>
  <si>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</si>
  <si>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</si>
  <si>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</si>
  <si>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</si>
  <si>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</si>
  <si>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</si>
  <si>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</si>
  <si>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</si>
  <si>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</si>
  <si>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</si>
  <si>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</si>
  <si>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</si>
  <si>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</si>
  <si>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</si>
  <si>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</si>
  <si>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</si>
  <si>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</si>
  <si>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</si>
  <si>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</si>
  <si>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</si>
  <si>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</si>
  <si>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</si>
  <si>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</si>
  <si>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</si>
  <si>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</si>
  <si>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</si>
  <si>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</si>
  <si>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</si>
  <si>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</si>
  <si>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</si>
  <si>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</si>
  <si>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</si>
  <si>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</si>
  <si>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</si>
  <si>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</si>
  <si>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</si>
  <si>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</si>
  <si>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</si>
  <si>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</si>
  <si>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</si>
  <si>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</si>
  <si>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</si>
  <si>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</si>
  <si>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</si>
  <si>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</si>
  <si>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</si>
  <si>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</si>
  <si>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</si>
  <si>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</si>
  <si>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</si>
  <si>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</si>
  <si>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</si>
  <si>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</si>
  <si>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</si>
  <si>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</si>
  <si>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</si>
  <si>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</si>
  <si>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</si>
  <si>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</si>
  <si>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</si>
  <si>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</si>
  <si>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</si>
  <si>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</si>
  <si>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</si>
  <si>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</si>
  <si>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</si>
  <si>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</si>
  <si>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</si>
  <si>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</si>
  <si>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</si>
  <si>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</si>
  <si>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</si>
  <si>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</si>
  <si>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</si>
  <si>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</si>
  <si>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</si>
  <si>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</si>
  <si>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</si>
  <si>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</si>
  <si>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</si>
  <si>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</si>
  <si>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</si>
  <si>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</si>
  <si>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</si>
  <si>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</si>
  <si>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</si>
  <si>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</si>
  <si>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</si>
  <si>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</si>
  <si>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</si>
  <si>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</si>
  <si>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</si>
  <si>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</si>
  <si>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</si>
  <si>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</si>
  <si>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</si>
  <si>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</si>
  <si>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</si>
  <si>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</si>
  <si>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</si>
  <si>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</si>
  <si>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</si>
  <si>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</si>
  <si>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</si>
  <si>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</si>
  <si>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</si>
  <si>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</si>
  <si>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</si>
  <si>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</si>
  <si>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</si>
  <si>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</si>
  <si>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</si>
  <si>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</si>
  <si>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</si>
  <si>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</si>
  <si>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</si>
  <si>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</si>
  <si>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</si>
  <si>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</si>
  <si>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</si>
  <si>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</si>
  <si>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</si>
  <si>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</si>
  <si>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</si>
  <si>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</si>
  <si>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</si>
  <si>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</si>
  <si>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</si>
  <si>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</si>
  <si>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</si>
  <si>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</si>
  <si>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</si>
  <si>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</si>
  <si>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</si>
  <si>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</si>
  <si>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</si>
  <si>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</si>
  <si>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</si>
  <si>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</si>
  <si>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</si>
  <si>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</si>
  <si>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</si>
  <si>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</si>
  <si>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</si>
  <si>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</si>
  <si>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</si>
  <si>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</si>
  <si>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</si>
  <si>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</si>
  <si>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</si>
  <si>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</si>
  <si>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</si>
  <si>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</si>
  <si>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</si>
  <si>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</si>
  <si>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</si>
  <si>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</si>
  <si>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</si>
  <si>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</si>
  <si>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</si>
  <si>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</si>
  <si>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</si>
  <si>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</si>
  <si>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</si>
  <si>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</si>
  <si>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</si>
  <si>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</si>
  <si>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</si>
  <si>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</si>
  <si>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</si>
  <si>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</si>
  <si>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</si>
  <si>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</si>
  <si>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</si>
  <si>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</si>
  <si>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</si>
  <si>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</si>
  <si>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</si>
  <si>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</si>
  <si>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</si>
  <si>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</si>
  <si>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</si>
  <si>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</si>
  <si>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</si>
  <si>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</si>
  <si>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</si>
  <si>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</si>
  <si>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</si>
  <si>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</si>
  <si>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</si>
  <si>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</si>
  <si>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</si>
  <si>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</si>
  <si>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</si>
  <si>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</si>
  <si>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</si>
  <si>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</si>
  <si>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</si>
  <si>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</si>
  <si>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</si>
  <si>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</si>
  <si>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</si>
  <si>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</si>
  <si>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</si>
  <si>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</si>
  <si>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</si>
  <si>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</si>
  <si>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</si>
  <si>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</si>
  <si>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</si>
  <si>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</si>
  <si>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</si>
  <si>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</si>
  <si>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</si>
  <si>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</si>
  <si>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</si>
  <si>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</si>
  <si>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</si>
  <si>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</si>
  <si>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</si>
  <si>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</si>
  <si>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</si>
  <si>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</si>
  <si>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</si>
  <si>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</si>
  <si>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</si>
  <si>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</si>
  <si>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</si>
  <si>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</si>
  <si>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</si>
  <si>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</si>
  <si>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</si>
  <si>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</si>
  <si>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</si>
  <si>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</si>
  <si>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</si>
  <si>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</si>
  <si>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</si>
  <si>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</si>
  <si>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</si>
  <si>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</si>
  <si>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</si>
  <si>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</si>
  <si>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</si>
  <si>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</si>
  <si>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</si>
  <si>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</si>
  <si>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</si>
  <si>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</si>
  <si>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</si>
  <si>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</si>
  <si>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</si>
  <si>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</si>
  <si>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</si>
  <si>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</si>
  <si>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</si>
  <si>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</si>
  <si>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</si>
  <si>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</si>
  <si>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</si>
  <si>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</si>
  <si>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</si>
  <si>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</si>
  <si>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</si>
  <si>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</si>
  <si>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</si>
  <si>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</si>
  <si>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</si>
  <si>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</si>
  <si>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</si>
  <si>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</si>
  <si>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</si>
  <si>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</si>
  <si>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</si>
  <si>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</si>
  <si>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</si>
  <si>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</si>
  <si>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</si>
  <si>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</si>
  <si>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</si>
  <si>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</si>
  <si>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</si>
  <si>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</si>
  <si>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</si>
  <si>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</si>
  <si>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</si>
  <si>
    <t>SU35656</t>
  </si>
  <si>
    <t>Kenedi</t>
  </si>
  <si>
    <t>vedastus</t>
  </si>
  <si>
    <t>road repair</t>
  </si>
  <si>
    <t>SU35657</t>
  </si>
  <si>
    <t>SU35658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</si>
</sst>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5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2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69" xfId="0" applyFont="1" applyBorder="1"/>
    <xf numFmtId="0" fontId="26" fillId="0" borderId="69" xfId="0" applyFont="1" applyBorder="1"/>
    <xf numFmtId="0" fontId="25" fillId="0" borderId="0" xfId="0" applyFont="1" applyBorder="1"/>
    <xf numFmtId="18" fontId="25" fillId="0" borderId="69" xfId="0" applyNumberFormat="1" applyFont="1" applyBorder="1"/>
    <xf numFmtId="0" fontId="0" fillId="0" borderId="70" xfId="0" applyBorder="1"/>
    <xf numFmtId="173" fontId="0" fillId="0" borderId="0" xfId="0" applyNumberFormat="1"/>
    <xf numFmtId="174" fontId="0" fillId="0" borderId="0" xfId="0" applyNumberFormat="1"/>
    <xf numFmtId="0" fontId="25" fillId="0" borderId="71" xfId="0" applyFont="1" applyBorder="1"/>
    <xf numFmtId="0" fontId="25" fillId="0" borderId="72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3" xfId="0" applyFont="1" applyFill="1" applyBorder="1" applyAlignment="1">
      <alignment horizontal="center" vertical="center" wrapText="1"/>
    </xf>
    <xf numFmtId="0" fontId="25" fillId="0" borderId="74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5" xfId="0" applyFont="1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2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3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3" xfId="0" applyNumberFormat="1" applyBorder="1" applyAlignment="1">
      <alignment horizontal="center"/>
    </xf>
    <xf numFmtId="14" fontId="0" fillId="0" borderId="85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0" fontId="10" fillId="11" borderId="37" xfId="0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0" fontId="26" fillId="0" borderId="97" xfId="0" applyFont="1" applyBorder="1" applyAlignment="1">
      <alignment horizontal="center"/>
    </xf>
    <xf numFmtId="3" fontId="1" fillId="0" borderId="71" xfId="0" applyNumberFormat="1" applyFont="1" applyBorder="1"/>
    <xf numFmtId="0" fontId="25" fillId="0" borderId="98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1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9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0" xfId="0" applyFont="1" applyBorder="1"/>
    <xf numFmtId="0" fontId="26" fillId="0" borderId="101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8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14" fontId="0" fillId="0" borderId="86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0" fontId="4" fillId="7" borderId="88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0" fillId="3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1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85" xfId="0" applyFont="1" applyBorder="1" applyAlignment="1">
      <alignment horizontal="center"/>
    </xf>
    <xf numFmtId="165" fontId="16" fillId="16" borderId="59" xfId="1" applyFont="1" applyFill="1" applyBorder="1" applyAlignment="1">
      <alignment horizontal="center"/>
    </xf>
    <xf numFmtId="165" fontId="16" fillId="16" borderId="61" xfId="1" applyFont="1" applyFill="1" applyBorder="1" applyAlignment="1">
      <alignment horizontal="center"/>
    </xf>
    <xf numFmtId="165" fontId="16" fillId="16" borderId="60" xfId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6" borderId="8" xfId="1" applyNumberFormat="1" applyFont="1" applyFill="1" applyBorder="1" applyAlignment="1">
      <alignment horizontal="center"/>
    </xf>
    <xf numFmtId="165" fontId="16" fillId="16" borderId="18" xfId="1" applyFont="1" applyFill="1" applyBorder="1" applyAlignment="1">
      <alignment horizontal="center"/>
    </xf>
    <xf numFmtId="165" fontId="16" fillId="16" borderId="19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9" xfId="1" applyNumberFormat="1" applyFont="1" applyFill="1" applyBorder="1" applyAlignment="1">
      <alignment horizontal="center"/>
    </xf>
    <xf numFmtId="0" fontId="10" fillId="8" borderId="31" xfId="0" applyNumberFormat="1" applyFont="1" applyFill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11" fillId="0" borderId="12" xfId="1" applyNumberFormat="1" applyFont="1" applyBorder="1" applyAlignment="1">
      <alignment horizontal="center"/>
    </xf>
    <xf numFmtId="0" fontId="11" fillId="2" borderId="22" xfId="1" applyNumberFormat="1" applyFont="1" applyFill="1" applyBorder="1" applyAlignment="1">
      <alignment horizontal="center"/>
    </xf>
    <xf numFmtId="165" fontId="15" fillId="11" borderId="44" xfId="1" applyNumberFormat="1" applyFont="1" applyFill="1" applyBorder="1" applyAlignment="1">
      <alignment horizontal="center"/>
    </xf>
    <xf numFmtId="165" fontId="15" fillId="11" borderId="3" xfId="1" applyNumberFormat="1" applyFont="1" applyFill="1" applyBorder="1" applyAlignment="1">
      <alignment horizontal="center"/>
    </xf>
    <xf numFmtId="165" fontId="15" fillId="11" borderId="42" xfId="1" applyNumberFormat="1" applyFont="1" applyFill="1" applyBorder="1" applyAlignment="1">
      <alignment horizontal="center"/>
    </xf>
    <xf numFmtId="0" fontId="11" fillId="9" borderId="44" xfId="0" applyNumberFormat="1" applyFont="1" applyFill="1" applyBorder="1" applyAlignment="1">
      <alignment horizontal="center" wrapText="1"/>
    </xf>
    <xf numFmtId="0" fontId="11" fillId="0" borderId="5" xfId="1" applyNumberFormat="1" applyFont="1" applyFill="1" applyBorder="1" applyAlignment="1">
      <alignment horizontal="center"/>
    </xf>
    <xf numFmtId="0" fontId="11" fillId="0" borderId="11" xfId="1" applyNumberFormat="1" applyFont="1" applyBorder="1" applyAlignment="1">
      <alignment horizontal="center"/>
    </xf>
    <xf numFmtId="0" fontId="11" fillId="0" borderId="23" xfId="1" applyNumberFormat="1" applyFont="1" applyBorder="1" applyAlignment="1">
      <alignment horizontal="center"/>
    </xf>
    <xf numFmtId="0" fontId="11" fillId="2" borderId="5" xfId="1" applyNumberFormat="1" applyFont="1" applyFill="1" applyBorder="1" applyAlignment="1">
      <alignment horizontal="center"/>
    </xf>
    <xf numFmtId="0" fontId="11" fillId="8" borderId="88" xfId="1" applyNumberFormat="1" applyFont="1" applyFill="1" applyBorder="1" applyAlignment="1">
      <alignment horizontal="center"/>
    </xf>
    <xf numFmtId="0" fontId="11" fillId="3" borderId="44" xfId="0" applyNumberFormat="1" applyFont="1" applyFill="1" applyBorder="1" applyAlignment="1">
      <alignment horizontal="center" wrapText="1"/>
    </xf>
    <xf numFmtId="165" fontId="11" fillId="9" borderId="86" xfId="1" applyNumberFormat="1" applyFont="1" applyFill="1" applyBorder="1" applyAlignment="1">
      <alignment horizontal="center"/>
    </xf>
    <xf numFmtId="165" fontId="11" fillId="9" borderId="64" xfId="1" applyNumberFormat="1" applyFont="1" applyFill="1" applyBorder="1" applyAlignment="1">
      <alignment horizontal="center"/>
    </xf>
    <xf numFmtId="0" fontId="11" fillId="3" borderId="41" xfId="0" applyNumberFormat="1" applyFont="1" applyFill="1" applyBorder="1" applyAlignment="1">
      <alignment horizontal="center"/>
    </xf>
    <xf numFmtId="165" fontId="34" fillId="7" borderId="56" xfId="0" applyNumberFormat="1" applyFont="1" applyFill="1" applyBorder="1" applyAlignment="1">
      <alignment horizontal="center"/>
    </xf>
    <xf numFmtId="0" fontId="32" fillId="9" borderId="3" xfId="0" applyNumberFormat="1" applyFont="1" applyFill="1" applyBorder="1" applyAlignment="1">
      <alignment horizontal="center"/>
    </xf>
    <xf numFmtId="0" fontId="11" fillId="9" borderId="42" xfId="1" applyNumberFormat="1" applyFont="1" applyFill="1" applyBorder="1" applyAlignment="1">
      <alignment horizontal="center"/>
    </xf>
    <xf numFmtId="1" fontId="11" fillId="17" borderId="42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6" fontId="16" fillId="7" borderId="56" xfId="1" applyNumberFormat="1" applyFont="1" applyFill="1" applyBorder="1" applyAlignment="1">
      <alignment horizontal="center"/>
    </xf>
    <xf numFmtId="165" fontId="16" fillId="11" borderId="56" xfId="1" applyFont="1" applyFill="1" applyBorder="1" applyAlignment="1">
      <alignment horizontal="center"/>
    </xf>
    <xf numFmtId="166" fontId="16" fillId="0" borderId="56" xfId="1" applyNumberFormat="1" applyFont="1" applyBorder="1" applyAlignment="1">
      <alignment horizontal="center"/>
    </xf>
    <xf numFmtId="165" fontId="10" fillId="8" borderId="31" xfId="0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18" xfId="0" applyNumberFormat="1" applyFont="1" applyFill="1" applyBorder="1" applyAlignment="1">
      <alignment horizontal="center"/>
    </xf>
    <xf numFmtId="165" fontId="16" fillId="10" borderId="19" xfId="1" applyFont="1" applyFill="1" applyBorder="1" applyAlignment="1">
      <alignment horizontal="center"/>
    </xf>
    <xf numFmtId="165" fontId="11" fillId="11" borderId="18" xfId="1" applyNumberFormat="1" applyFont="1" applyFill="1" applyBorder="1" applyAlignment="1">
      <alignment horizontal="center"/>
    </xf>
    <xf numFmtId="165" fontId="11" fillId="8" borderId="37" xfId="1" applyNumberFormat="1" applyFont="1" applyFill="1" applyBorder="1" applyAlignment="1">
      <alignment horizontal="center"/>
    </xf>
    <xf numFmtId="165" fontId="15" fillId="11" borderId="45" xfId="1" applyNumberFormat="1" applyFont="1" applyFill="1" applyBorder="1" applyAlignment="1">
      <alignment horizontal="center"/>
    </xf>
    <xf numFmtId="0" fontId="10" fillId="8" borderId="37" xfId="0" applyNumberFormat="1" applyFont="1" applyFill="1" applyBorder="1" applyAlignment="1">
      <alignment horizontal="center"/>
    </xf>
    <xf numFmtId="1" fontId="11" fillId="9" borderId="85" xfId="1" applyNumberFormat="1" applyFont="1" applyFill="1" applyBorder="1" applyAlignment="1">
      <alignment horizontal="center"/>
    </xf>
    <xf numFmtId="1" fontId="11" fillId="8" borderId="37" xfId="1" applyNumberFormat="1" applyFont="1" applyFill="1" applyBorder="1" applyAlignment="1">
      <alignment horizontal="center"/>
    </xf>
    <xf numFmtId="1" fontId="11" fillId="17" borderId="45" xfId="1" applyNumberFormat="1" applyFont="1" applyFill="1" applyBorder="1" applyAlignment="1">
      <alignment horizontal="center"/>
    </xf>
    <xf numFmtId="1" fontId="34" fillId="8" borderId="37" xfId="0" applyNumberFormat="1" applyFont="1" applyFill="1" applyBorder="1" applyAlignment="1">
      <alignment horizontal="center"/>
    </xf>
    <xf numFmtId="0" fontId="34" fillId="7" borderId="95" xfId="0" applyNumberFormat="1" applyFont="1" applyFill="1" applyBorder="1" applyAlignment="1">
      <alignment horizontal="center"/>
    </xf>
    <xf numFmtId="0" fontId="10" fillId="8" borderId="37" xfId="0" applyFont="1" applyFill="1" applyBorder="1"/>
    <xf numFmtId="165" fontId="10" fillId="8" borderId="52" xfId="0" applyNumberFormat="1" applyFont="1" applyFill="1" applyBorder="1" applyAlignment="1">
      <alignment horizontal="center"/>
    </xf>
    <xf numFmtId="0" fontId="10" fillId="8" borderId="37" xfId="0" applyFont="1" applyFill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8" borderId="37" xfId="0" applyFont="1" applyFill="1" applyBorder="1" applyAlignment="1">
      <alignment horizontal="center"/>
    </xf>
    <xf numFmtId="0" fontId="10" fillId="8" borderId="52" xfId="0" applyFont="1" applyFill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65" fontId="4" fillId="0" borderId="6" xfId="1" applyFont="1" applyBorder="1" applyAlignment="1">
      <alignment horizontal="center"/>
    </xf>
    <xf numFmtId="14" fontId="4" fillId="0" borderId="7" xfId="0" applyNumberFormat="1" applyFont="1" applyBorder="1" applyAlignment="1"/>
    <xf numFmtId="14" fontId="4" fillId="0" borderId="48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14" fontId="4" fillId="0" borderId="48" xfId="0" applyNumberFormat="1" applyFont="1" applyBorder="1" applyAlignment="1">
      <alignment horizontal="center"/>
    </xf>
    <xf numFmtId="0" fontId="4" fillId="34" borderId="32" xfId="0" applyNumberFormat="1" applyFont="1" applyFill="1" applyBorder="1" applyAlignment="1">
      <alignment horizontal="center"/>
    </xf>
    <xf numFmtId="0" fontId="4" fillId="34" borderId="33" xfId="0" applyNumberFormat="1" applyFont="1" applyFill="1" applyBorder="1" applyAlignment="1">
      <alignment horizontal="center"/>
    </xf>
    <xf numFmtId="0" fontId="4" fillId="34" borderId="33" xfId="0" applyNumberFormat="1" applyFont="1" applyFill="1" applyBorder="1" applyAlignment="1">
      <alignment horizontal="center" wrapText="1"/>
    </xf>
    <xf numFmtId="0" fontId="4" fillId="34" borderId="62" xfId="0" applyNumberFormat="1" applyFont="1" applyFill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102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102" xfId="0" applyFont="1" applyFill="1" applyBorder="1" applyAlignment="1">
      <alignment horizontal="center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2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6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2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20" xfId="0" applyNumberFormat="1" applyFont="1" applyFill="1" applyBorder="1" applyAlignment="1">
      <alignment horizontal="center"/>
    </xf>
    <xf numFmtId="0" fontId="4" fillId="32" borderId="35" xfId="0" applyNumberFormat="1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9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5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6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6" xfId="0" applyFont="1" applyFill="1" applyBorder="1" applyAlignment="1">
      <alignment horizontal="center" vertical="center"/>
    </xf>
    <xf numFmtId="0" fontId="19" fillId="14" borderId="85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744.22</c:v>
                </c:pt>
                <c:pt idx="17">
                  <c:v>740.05</c:v>
                </c:pt>
                <c:pt idx="18">
                  <c:v>731.47</c:v>
                </c:pt>
                <c:pt idx="19">
                  <c:v>747.27</c:v>
                </c:pt>
                <c:pt idx="20">
                  <c:v>709.13</c:v>
                </c:pt>
                <c:pt idx="21">
                  <c:v>670.85</c:v>
                </c:pt>
                <c:pt idx="22">
                  <c:v>734.77</c:v>
                </c:pt>
                <c:pt idx="23">
                  <c:v>708.25</c:v>
                </c:pt>
                <c:pt idx="24">
                  <c:v>707.94</c:v>
                </c:pt>
                <c:pt idx="25">
                  <c:v>716.78</c:v>
                </c:pt>
                <c:pt idx="26">
                  <c:v>690.55</c:v>
                </c:pt>
                <c:pt idx="27">
                  <c:v>691.09</c:v>
                </c:pt>
                <c:pt idx="28">
                  <c:v>660.76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7027712"/>
        <c:axId val="870292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7030784"/>
        <c:axId val="87032576"/>
      </c:lineChart>
      <c:catAx>
        <c:axId val="8702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29248"/>
        <c:crosses val="autoZero"/>
        <c:auto val="1"/>
        <c:lblAlgn val="ctr"/>
        <c:lblOffset val="100"/>
      </c:catAx>
      <c:valAx>
        <c:axId val="8702924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27712"/>
        <c:crosses val="autoZero"/>
        <c:crossBetween val="between"/>
        <c:majorUnit val="200"/>
      </c:valAx>
      <c:catAx>
        <c:axId val="87030784"/>
        <c:scaling>
          <c:orientation val="minMax"/>
        </c:scaling>
        <c:delete val="1"/>
        <c:axPos val="b"/>
        <c:tickLblPos val="none"/>
        <c:crossAx val="87032576"/>
        <c:crosses val="autoZero"/>
        <c:auto val="1"/>
        <c:lblAlgn val="ctr"/>
        <c:lblOffset val="100"/>
      </c:catAx>
      <c:valAx>
        <c:axId val="87032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0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7058304"/>
        <c:axId val="870598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7065728"/>
        <c:axId val="87067264"/>
      </c:lineChart>
      <c:catAx>
        <c:axId val="8705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9840"/>
        <c:crosses val="autoZero"/>
        <c:auto val="1"/>
        <c:lblAlgn val="ctr"/>
        <c:lblOffset val="100"/>
      </c:catAx>
      <c:valAx>
        <c:axId val="8705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8304"/>
        <c:crosses val="autoZero"/>
        <c:crossBetween val="between"/>
        <c:majorUnit val="200"/>
      </c:valAx>
      <c:catAx>
        <c:axId val="87065728"/>
        <c:scaling>
          <c:orientation val="minMax"/>
        </c:scaling>
        <c:delete val="1"/>
        <c:axPos val="b"/>
        <c:tickLblPos val="none"/>
        <c:crossAx val="87067264"/>
        <c:crosses val="autoZero"/>
        <c:auto val="1"/>
        <c:lblAlgn val="ctr"/>
        <c:lblOffset val="100"/>
      </c:catAx>
      <c:valAx>
        <c:axId val="870672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657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833.97</c:v>
                </c:pt>
                <c:pt idx="19">
                  <c:v>744.22</c:v>
                </c:pt>
                <c:pt idx="20">
                  <c:v>920.05</c:v>
                </c:pt>
                <c:pt idx="21">
                  <c:v>854.98</c:v>
                </c:pt>
                <c:pt idx="22">
                  <c:v>747.27</c:v>
                </c:pt>
                <c:pt idx="23">
                  <c:v>963.28</c:v>
                </c:pt>
                <c:pt idx="24">
                  <c:v>803.87</c:v>
                </c:pt>
                <c:pt idx="25">
                  <c:v>787.03</c:v>
                </c:pt>
                <c:pt idx="26">
                  <c:v>715.63</c:v>
                </c:pt>
                <c:pt idx="27">
                  <c:v>807.94</c:v>
                </c:pt>
                <c:pt idx="28">
                  <c:v>754.89</c:v>
                </c:pt>
                <c:pt idx="29">
                  <c:v>690.55</c:v>
                </c:pt>
                <c:pt idx="30">
                  <c:v>691.09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03419264"/>
        <c:axId val="103101568"/>
      </c:lineChart>
      <c:catAx>
        <c:axId val="10341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01568"/>
        <c:crosses val="autoZero"/>
        <c:auto val="1"/>
        <c:lblAlgn val="ctr"/>
        <c:lblOffset val="200"/>
        <c:tickLblSkip val="1"/>
      </c:catAx>
      <c:valAx>
        <c:axId val="1031015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1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03130240"/>
        <c:axId val="103131776"/>
      </c:lineChart>
      <c:catAx>
        <c:axId val="10313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31776"/>
        <c:crosses val="autoZero"/>
        <c:auto val="1"/>
        <c:lblAlgn val="ctr"/>
        <c:lblOffset val="100"/>
      </c:catAx>
      <c:valAx>
        <c:axId val="103131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3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1756</c:v>
                </c:pt>
                <c:pt idx="20">
                  <c:v>1728</c:v>
                </c:pt>
                <c:pt idx="21">
                  <c:v>1693</c:v>
                </c:pt>
                <c:pt idx="22">
                  <c:v>1727</c:v>
                </c:pt>
                <c:pt idx="23">
                  <c:v>1720</c:v>
                </c:pt>
                <c:pt idx="24">
                  <c:v>1554</c:v>
                </c:pt>
                <c:pt idx="25">
                  <c:v>1722</c:v>
                </c:pt>
                <c:pt idx="26">
                  <c:v>1712</c:v>
                </c:pt>
                <c:pt idx="27">
                  <c:v>1680</c:v>
                </c:pt>
                <c:pt idx="28">
                  <c:v>1721</c:v>
                </c:pt>
                <c:pt idx="29">
                  <c:v>1637</c:v>
                </c:pt>
                <c:pt idx="30">
                  <c:v>1644</c:v>
                </c:pt>
                <c:pt idx="31">
                  <c:v>1564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03836288"/>
        <c:axId val="103846656"/>
      </c:lineChart>
      <c:catAx>
        <c:axId val="103836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46656"/>
        <c:crosses val="autoZero"/>
        <c:auto val="1"/>
        <c:lblAlgn val="ctr"/>
        <c:lblOffset val="100"/>
      </c:catAx>
      <c:valAx>
        <c:axId val="103846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36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29</c:v>
                </c:pt>
                <c:pt idx="29">
                  <c:v>29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09786240"/>
        <c:axId val="109788160"/>
      </c:lineChart>
      <c:catAx>
        <c:axId val="109786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88160"/>
        <c:crosses val="autoZero"/>
        <c:auto val="1"/>
        <c:lblAlgn val="ctr"/>
        <c:lblOffset val="100"/>
      </c:catAx>
      <c:valAx>
        <c:axId val="1097881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86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61.600000000000009</c:v>
                </c:pt>
                <c:pt idx="1">
                  <c:v>66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40.920000000012806</c:v>
                </c:pt>
                <c:pt idx="29">
                  <c:v>17.423999999964146</c:v>
                </c:pt>
                <c:pt idx="30">
                  <c:v>27.852000000007685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09817216"/>
        <c:axId val="109827200"/>
      </c:lineChart>
      <c:catAx>
        <c:axId val="1098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27200"/>
        <c:crosses val="autoZero"/>
        <c:auto val="1"/>
        <c:lblAlgn val="ctr"/>
        <c:lblOffset val="100"/>
      </c:catAx>
      <c:valAx>
        <c:axId val="109827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1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03778176"/>
        <c:axId val="103779712"/>
      </c:lineChart>
      <c:catAx>
        <c:axId val="1037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79712"/>
        <c:crosses val="autoZero"/>
        <c:auto val="1"/>
        <c:lblAlgn val="ctr"/>
        <c:lblOffset val="100"/>
      </c:catAx>
      <c:valAx>
        <c:axId val="10377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744.22</c:v>
                </c:pt>
                <c:pt idx="20">
                  <c:v>740.05</c:v>
                </c:pt>
                <c:pt idx="21">
                  <c:v>731.47</c:v>
                </c:pt>
                <c:pt idx="22">
                  <c:v>747.27</c:v>
                </c:pt>
                <c:pt idx="23">
                  <c:v>709.13</c:v>
                </c:pt>
                <c:pt idx="24">
                  <c:v>670.85</c:v>
                </c:pt>
                <c:pt idx="25">
                  <c:v>734.77</c:v>
                </c:pt>
                <c:pt idx="26">
                  <c:v>708.25</c:v>
                </c:pt>
                <c:pt idx="27">
                  <c:v>707.94</c:v>
                </c:pt>
                <c:pt idx="28">
                  <c:v>716.78</c:v>
                </c:pt>
                <c:pt idx="29">
                  <c:v>690.55</c:v>
                </c:pt>
                <c:pt idx="30">
                  <c:v>691.09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3799808"/>
        <c:axId val="110498560"/>
      </c:lineChart>
      <c:catAx>
        <c:axId val="10379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98560"/>
        <c:crosses val="autoZero"/>
        <c:auto val="1"/>
        <c:lblAlgn val="ctr"/>
        <c:lblOffset val="100"/>
      </c:catAx>
      <c:valAx>
        <c:axId val="11049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9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09"/>
          <c:y val="7.471324705110811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10543616"/>
        <c:axId val="110545152"/>
      </c:lineChart>
      <c:catAx>
        <c:axId val="11054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45152"/>
        <c:crosses val="autoZero"/>
        <c:auto val="1"/>
        <c:lblAlgn val="ctr"/>
        <c:lblOffset val="200"/>
        <c:tickLblSkip val="1"/>
      </c:catAx>
      <c:valAx>
        <c:axId val="110545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4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12797952"/>
        <c:axId val="112824320"/>
      </c:lineChart>
      <c:catAx>
        <c:axId val="11279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24320"/>
        <c:crosses val="autoZero"/>
        <c:auto val="1"/>
        <c:lblAlgn val="ctr"/>
        <c:lblOffset val="100"/>
      </c:catAx>
      <c:valAx>
        <c:axId val="11282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9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15421184"/>
        <c:axId val="115423104"/>
      </c:lineChart>
      <c:catAx>
        <c:axId val="115421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23104"/>
        <c:crosses val="autoZero"/>
        <c:auto val="1"/>
        <c:lblAlgn val="ctr"/>
        <c:lblOffset val="100"/>
      </c:catAx>
      <c:valAx>
        <c:axId val="115423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21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15464448"/>
        <c:axId val="115470720"/>
      </c:lineChart>
      <c:catAx>
        <c:axId val="115464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0720"/>
        <c:crosses val="autoZero"/>
        <c:auto val="1"/>
        <c:lblAlgn val="ctr"/>
        <c:lblOffset val="100"/>
      </c:catAx>
      <c:valAx>
        <c:axId val="115470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64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15704576"/>
        <c:axId val="115706112"/>
      </c:lineChart>
      <c:catAx>
        <c:axId val="11570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6112"/>
        <c:crosses val="autoZero"/>
        <c:auto val="1"/>
        <c:lblAlgn val="ctr"/>
        <c:lblOffset val="100"/>
      </c:catAx>
      <c:valAx>
        <c:axId val="11570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15870720"/>
        <c:axId val="115876608"/>
      </c:lineChart>
      <c:catAx>
        <c:axId val="11587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76608"/>
        <c:crosses val="autoZero"/>
        <c:auto val="1"/>
        <c:lblAlgn val="ctr"/>
        <c:lblOffset val="100"/>
      </c:catAx>
      <c:valAx>
        <c:axId val="11587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7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15921280"/>
        <c:axId val="115922816"/>
      </c:lineChart>
      <c:catAx>
        <c:axId val="11592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22816"/>
        <c:crosses val="autoZero"/>
        <c:auto val="1"/>
        <c:lblAlgn val="ctr"/>
        <c:lblOffset val="100"/>
      </c:catAx>
      <c:valAx>
        <c:axId val="11592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2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208"/>
          <c:y val="7.471324705110850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1756</c:v>
                </c:pt>
                <c:pt idx="18">
                  <c:v>1728</c:v>
                </c:pt>
                <c:pt idx="19">
                  <c:v>1693</c:v>
                </c:pt>
                <c:pt idx="20">
                  <c:v>1727</c:v>
                </c:pt>
                <c:pt idx="21">
                  <c:v>1720</c:v>
                </c:pt>
                <c:pt idx="22">
                  <c:v>1554</c:v>
                </c:pt>
                <c:pt idx="23">
                  <c:v>1722</c:v>
                </c:pt>
                <c:pt idx="24">
                  <c:v>1712</c:v>
                </c:pt>
                <c:pt idx="25">
                  <c:v>1680</c:v>
                </c:pt>
                <c:pt idx="26">
                  <c:v>1721</c:v>
                </c:pt>
                <c:pt idx="27">
                  <c:v>1637</c:v>
                </c:pt>
                <c:pt idx="28">
                  <c:v>1644</c:v>
                </c:pt>
                <c:pt idx="29">
                  <c:v>1564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16619520"/>
        <c:axId val="11662950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16631040"/>
        <c:axId val="116632576"/>
      </c:lineChart>
      <c:catAx>
        <c:axId val="1166195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29504"/>
        <c:crosses val="autoZero"/>
        <c:lblAlgn val="ctr"/>
        <c:lblOffset val="100"/>
        <c:tickMarkSkip val="1"/>
      </c:catAx>
      <c:valAx>
        <c:axId val="1166295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19520"/>
        <c:crosses val="autoZero"/>
        <c:crossBetween val="between"/>
      </c:valAx>
      <c:catAx>
        <c:axId val="116631040"/>
        <c:scaling>
          <c:orientation val="minMax"/>
        </c:scaling>
        <c:delete val="1"/>
        <c:axPos val="b"/>
        <c:numFmt formatCode="[$-409]d\-mmm\-yy;@" sourceLinked="1"/>
        <c:tickLblPos val="none"/>
        <c:crossAx val="116632576"/>
        <c:crosses val="autoZero"/>
        <c:lblAlgn val="ctr"/>
        <c:lblOffset val="100"/>
      </c:catAx>
      <c:valAx>
        <c:axId val="11663257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31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17312128"/>
        <c:axId val="117322112"/>
      </c:lineChart>
      <c:catAx>
        <c:axId val="1173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22112"/>
        <c:crosses val="autoZero"/>
        <c:auto val="1"/>
        <c:lblAlgn val="ctr"/>
        <c:lblOffset val="100"/>
      </c:catAx>
      <c:valAx>
        <c:axId val="1173221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1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17371264"/>
        <c:axId val="117372800"/>
      </c:lineChart>
      <c:catAx>
        <c:axId val="11737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72800"/>
        <c:crosses val="autoZero"/>
        <c:auto val="1"/>
        <c:lblAlgn val="ctr"/>
        <c:lblOffset val="100"/>
      </c:catAx>
      <c:valAx>
        <c:axId val="1173728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7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7150976"/>
        <c:axId val="87152512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7154048"/>
        <c:axId val="121308288"/>
      </c:lineChart>
      <c:catAx>
        <c:axId val="87150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2512"/>
        <c:crosses val="autoZero"/>
        <c:lblAlgn val="ctr"/>
        <c:lblOffset val="100"/>
        <c:tickMarkSkip val="1"/>
      </c:catAx>
      <c:valAx>
        <c:axId val="8715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0976"/>
        <c:crosses val="autoZero"/>
        <c:crossBetween val="between"/>
      </c:valAx>
      <c:catAx>
        <c:axId val="87154048"/>
        <c:scaling>
          <c:orientation val="minMax"/>
        </c:scaling>
        <c:delete val="1"/>
        <c:axPos val="b"/>
        <c:numFmt formatCode="General" sourceLinked="1"/>
        <c:tickLblPos val="none"/>
        <c:crossAx val="121308288"/>
        <c:crosses val="autoZero"/>
        <c:lblAlgn val="ctr"/>
        <c:lblOffset val="100"/>
      </c:catAx>
      <c:valAx>
        <c:axId val="1213082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4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1345152"/>
        <c:axId val="121346688"/>
      </c:lineChart>
      <c:catAx>
        <c:axId val="12134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46688"/>
        <c:crosses val="autoZero"/>
        <c:auto val="1"/>
        <c:lblAlgn val="ctr"/>
        <c:lblOffset val="100"/>
      </c:catAx>
      <c:valAx>
        <c:axId val="12134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4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6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1371264"/>
        <c:axId val="121835904"/>
      </c:lineChart>
      <c:catAx>
        <c:axId val="12137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35904"/>
        <c:crosses val="autoZero"/>
        <c:auto val="1"/>
        <c:lblAlgn val="ctr"/>
        <c:lblOffset val="100"/>
      </c:catAx>
      <c:valAx>
        <c:axId val="12183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61.600000000000009</c:v>
                </c:pt>
                <c:pt idx="1">
                  <c:v>66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40.920000000012806</c:v>
                </c:pt>
                <c:pt idx="29">
                  <c:v>17.423999999964146</c:v>
                </c:pt>
                <c:pt idx="30">
                  <c:v>27.852000000007685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48708736"/>
        <c:axId val="14871052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48712064"/>
        <c:axId val="148713856"/>
      </c:lineChart>
      <c:catAx>
        <c:axId val="1487087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10528"/>
        <c:crosses val="autoZero"/>
        <c:lblAlgn val="ctr"/>
        <c:lblOffset val="100"/>
        <c:tickMarkSkip val="1"/>
      </c:catAx>
      <c:valAx>
        <c:axId val="1487105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08736"/>
        <c:crosses val="autoZero"/>
        <c:crossBetween val="between"/>
      </c:valAx>
      <c:catAx>
        <c:axId val="148712064"/>
        <c:scaling>
          <c:orientation val="minMax"/>
        </c:scaling>
        <c:delete val="1"/>
        <c:axPos val="b"/>
        <c:numFmt formatCode="[$-409]d\-mmm\-yy;@" sourceLinked="1"/>
        <c:tickLblPos val="none"/>
        <c:crossAx val="148713856"/>
        <c:crosses val="autoZero"/>
        <c:lblAlgn val="ctr"/>
        <c:lblOffset val="100"/>
      </c:catAx>
      <c:valAx>
        <c:axId val="1487138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12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48748160"/>
        <c:axId val="148749696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49947520"/>
        <c:axId val="149949056"/>
      </c:lineChart>
      <c:catAx>
        <c:axId val="148748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49696"/>
        <c:crosses val="autoZero"/>
        <c:lblAlgn val="ctr"/>
        <c:lblOffset val="100"/>
        <c:tickMarkSkip val="1"/>
      </c:catAx>
      <c:valAx>
        <c:axId val="14874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48160"/>
        <c:crosses val="autoZero"/>
        <c:crossBetween val="between"/>
      </c:valAx>
      <c:catAx>
        <c:axId val="149947520"/>
        <c:scaling>
          <c:orientation val="minMax"/>
        </c:scaling>
        <c:delete val="1"/>
        <c:axPos val="b"/>
        <c:numFmt formatCode="General" sourceLinked="1"/>
        <c:tickLblPos val="none"/>
        <c:crossAx val="149949056"/>
        <c:crosses val="autoZero"/>
        <c:lblAlgn val="ctr"/>
        <c:lblOffset val="100"/>
      </c:catAx>
      <c:valAx>
        <c:axId val="1499490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47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29</c:v>
                </c:pt>
                <c:pt idx="29">
                  <c:v>29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0168704"/>
        <c:axId val="1501702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0180224"/>
        <c:axId val="150181760"/>
      </c:lineChart>
      <c:catAx>
        <c:axId val="150168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0240"/>
        <c:crosses val="autoZero"/>
        <c:lblAlgn val="ctr"/>
        <c:lblOffset val="100"/>
        <c:tickMarkSkip val="1"/>
      </c:catAx>
      <c:valAx>
        <c:axId val="150170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68704"/>
        <c:crosses val="autoZero"/>
        <c:crossBetween val="between"/>
      </c:valAx>
      <c:catAx>
        <c:axId val="150180224"/>
        <c:scaling>
          <c:orientation val="minMax"/>
        </c:scaling>
        <c:delete val="1"/>
        <c:axPos val="b"/>
        <c:numFmt formatCode="[$-409]d\-mmm\-yy;@" sourceLinked="1"/>
        <c:tickLblPos val="none"/>
        <c:crossAx val="150181760"/>
        <c:crosses val="autoZero"/>
        <c:lblAlgn val="ctr"/>
        <c:lblOffset val="100"/>
      </c:catAx>
      <c:valAx>
        <c:axId val="1501817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80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0203776"/>
        <c:axId val="123020416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3021952"/>
        <c:axId val="123027840"/>
      </c:lineChart>
      <c:catAx>
        <c:axId val="1502037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20416"/>
        <c:crosses val="autoZero"/>
        <c:lblAlgn val="ctr"/>
        <c:lblOffset val="100"/>
        <c:tickMarkSkip val="1"/>
      </c:catAx>
      <c:valAx>
        <c:axId val="12302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03776"/>
        <c:crosses val="autoZero"/>
        <c:crossBetween val="between"/>
      </c:valAx>
      <c:catAx>
        <c:axId val="123021952"/>
        <c:scaling>
          <c:orientation val="minMax"/>
        </c:scaling>
        <c:delete val="1"/>
        <c:axPos val="b"/>
        <c:numFmt formatCode="General" sourceLinked="1"/>
        <c:tickLblPos val="none"/>
        <c:crossAx val="123027840"/>
        <c:crosses val="autoZero"/>
        <c:lblAlgn val="ctr"/>
        <c:lblOffset val="100"/>
      </c:catAx>
      <c:valAx>
        <c:axId val="123027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21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K34" sqref="K34"/>
    </sheetView>
  </sheetViews>
  <sheetFormatPr defaultColWidth="11.5703125" defaultRowHeight="12.75"/>
  <cols>
    <col min="1" max="1" width="12.42578125" style="12" customWidth="1"/>
    <col min="2" max="3" width="11.5703125" style="469"/>
    <col min="4" max="4" width="13.42578125" style="470" customWidth="1"/>
    <col min="5" max="5" width="12.5703125" style="471" customWidth="1"/>
    <col min="6" max="6" width="12.5703125" style="12" customWidth="1"/>
    <col min="7" max="7" width="11.5703125" style="12"/>
    <col min="8" max="8" width="11.5703125" style="481"/>
    <col min="9" max="9" width="11.5703125" style="12"/>
    <col min="10" max="10" width="11.5703125" style="481"/>
    <col min="11" max="11" width="11.5703125" style="471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67" customFormat="1" ht="60.75" thickBot="1">
      <c r="A1" s="461" t="s">
        <v>253</v>
      </c>
      <c r="B1" s="462" t="s">
        <v>254</v>
      </c>
      <c r="C1" s="462" t="s">
        <v>255</v>
      </c>
      <c r="D1" s="463" t="s">
        <v>256</v>
      </c>
      <c r="E1" s="464" t="s">
        <v>257</v>
      </c>
      <c r="F1" s="465" t="s">
        <v>258</v>
      </c>
      <c r="G1" s="465" t="s">
        <v>259</v>
      </c>
      <c r="H1" s="479" t="s">
        <v>260</v>
      </c>
      <c r="I1" s="465" t="s">
        <v>261</v>
      </c>
      <c r="J1" s="479" t="s">
        <v>262</v>
      </c>
      <c r="K1" s="464" t="s">
        <v>263</v>
      </c>
      <c r="L1" s="466" t="s">
        <v>264</v>
      </c>
    </row>
    <row r="2" spans="1:12">
      <c r="A2" s="468" t="s">
        <v>265</v>
      </c>
      <c r="B2" s="469">
        <v>1</v>
      </c>
      <c r="C2" s="469">
        <v>4</v>
      </c>
      <c r="D2" s="470">
        <v>2020</v>
      </c>
      <c r="E2" s="471">
        <f>'UTILITY REPORT 1'!F3</f>
        <v>2051</v>
      </c>
      <c r="F2" s="472">
        <f>('UTILITY REPORT 1'!E3*'UTILITY REPORT 1'!D3)/'UTILITY REPORT 1'!F3</f>
        <v>0.41490004875670405</v>
      </c>
      <c r="G2" s="472">
        <f>IF('Utility summery'!M6&lt;0,"0",'Utility summery'!M6)</f>
        <v>61.600000000000009</v>
      </c>
      <c r="H2" s="480">
        <v>0</v>
      </c>
      <c r="I2" s="472">
        <f>IF('UTILITY REPORT 1'!G3&lt;0,"0",'UTILITY REPORT 1'!G3)</f>
        <v>38</v>
      </c>
      <c r="J2" s="480">
        <v>0</v>
      </c>
      <c r="K2" s="471">
        <f>'UTILITY REPORT 1'!C3</f>
        <v>0</v>
      </c>
      <c r="L2" s="473" t="e">
        <f>E2*F2+G2*H2+#REF!*#REF!+I2*J2</f>
        <v>#REF!</v>
      </c>
    </row>
    <row r="3" spans="1:12">
      <c r="A3" s="468" t="s">
        <v>265</v>
      </c>
      <c r="B3" s="469">
        <f>B2+1</f>
        <v>2</v>
      </c>
      <c r="C3" s="469">
        <v>4</v>
      </c>
      <c r="D3" s="470">
        <v>2020</v>
      </c>
      <c r="E3" s="471">
        <f>'UTILITY REPORT 1'!F4</f>
        <v>2088</v>
      </c>
      <c r="F3" s="472">
        <f>('UTILITY REPORT 1'!E4*'UTILITY REPORT 1'!D4)/'UTILITY REPORT 1'!F4</f>
        <v>0.41487068965517243</v>
      </c>
      <c r="G3" s="472">
        <f>IF('Utility summery'!M7&lt;0,"0",'Utility summery'!M7)</f>
        <v>66</v>
      </c>
      <c r="H3" s="480">
        <v>0</v>
      </c>
      <c r="I3" s="472">
        <f>IF('UTILITY REPORT 1'!G4&lt;0,"0",'UTILITY REPORT 1'!G4)</f>
        <v>52</v>
      </c>
      <c r="J3" s="480">
        <v>0</v>
      </c>
      <c r="K3" s="471">
        <f>'UTILITY REPORT 1'!C4</f>
        <v>0</v>
      </c>
      <c r="L3" s="473" t="e">
        <f>E3*F3+G3*H3+#REF!*#REF!+I3*J3</f>
        <v>#REF!</v>
      </c>
    </row>
    <row r="4" spans="1:12">
      <c r="A4" s="468" t="s">
        <v>265</v>
      </c>
      <c r="B4" s="469">
        <f t="shared" ref="B4:B30" si="0">B3+1</f>
        <v>3</v>
      </c>
      <c r="C4" s="469">
        <v>4</v>
      </c>
      <c r="D4" s="470">
        <v>2020</v>
      </c>
      <c r="E4" s="471">
        <f>'UTILITY REPORT 1'!F5</f>
        <v>1898</v>
      </c>
      <c r="F4" s="472">
        <f>('UTILITY REPORT 1'!E5*'UTILITY REPORT 1'!D5)/'UTILITY REPORT 1'!F5</f>
        <v>0.438840885142255</v>
      </c>
      <c r="G4" s="472">
        <f>IF('Utility summery'!M8&lt;0,"0",'Utility summery'!M8)</f>
        <v>37.531999999994881</v>
      </c>
      <c r="H4" s="480">
        <v>0</v>
      </c>
      <c r="I4" s="472">
        <f>IF('UTILITY REPORT 1'!G5&lt;0,"0",'UTILITY REPORT 1'!G5)</f>
        <v>26</v>
      </c>
      <c r="J4" s="480">
        <v>0</v>
      </c>
      <c r="K4" s="471">
        <f>'UTILITY REPORT 1'!C5</f>
        <v>0</v>
      </c>
      <c r="L4" s="473" t="e">
        <f>E4*F4+G4*H4+#REF!*#REF!+I4*J4</f>
        <v>#REF!</v>
      </c>
    </row>
    <row r="5" spans="1:12">
      <c r="A5" s="468" t="s">
        <v>265</v>
      </c>
      <c r="B5" s="469">
        <f t="shared" si="0"/>
        <v>4</v>
      </c>
      <c r="C5" s="469">
        <v>4</v>
      </c>
      <c r="D5" s="470">
        <v>2020</v>
      </c>
      <c r="E5" s="471">
        <f>'UTILITY REPORT 1'!F6</f>
        <v>1815</v>
      </c>
      <c r="F5" s="472">
        <f>('UTILITY REPORT 1'!E6*'UTILITY REPORT 1'!D6)/'UTILITY REPORT 1'!F6</f>
        <v>0.43501377410468317</v>
      </c>
      <c r="G5" s="472">
        <f>IF('Utility summery'!M9&lt;0,"0",'Utility summery'!M9)</f>
        <v>31.459999999974393</v>
      </c>
      <c r="H5" s="480">
        <v>0</v>
      </c>
      <c r="I5" s="472">
        <f>IF('UTILITY REPORT 1'!G6&lt;0,"0",'UTILITY REPORT 1'!G6)</f>
        <v>34</v>
      </c>
      <c r="J5" s="480">
        <v>0</v>
      </c>
      <c r="K5" s="471">
        <f>'UTILITY REPORT 1'!C6</f>
        <v>0</v>
      </c>
      <c r="L5" s="473" t="e">
        <f>E5*F5+G5*H5+#REF!*#REF!+I5*J5</f>
        <v>#REF!</v>
      </c>
    </row>
    <row r="6" spans="1:12">
      <c r="A6" s="468" t="s">
        <v>265</v>
      </c>
      <c r="B6" s="469">
        <f t="shared" si="0"/>
        <v>5</v>
      </c>
      <c r="C6" s="469">
        <v>4</v>
      </c>
      <c r="D6" s="470">
        <v>2020</v>
      </c>
      <c r="E6" s="471">
        <f>'UTILITY REPORT 1'!F7</f>
        <v>1841</v>
      </c>
      <c r="F6" s="472">
        <f>('UTILITY REPORT 1'!E7*'UTILITY REPORT 1'!D7)/'UTILITY REPORT 1'!F7</f>
        <v>0.44179250407387294</v>
      </c>
      <c r="G6" s="472">
        <f>IF('Utility summery'!M10&lt;0,"0",'Utility summery'!M10)</f>
        <v>27.808000000030734</v>
      </c>
      <c r="H6" s="480">
        <v>0</v>
      </c>
      <c r="I6" s="472">
        <f>IF('UTILITY REPORT 1'!G7&lt;0,"0",'UTILITY REPORT 1'!G7)</f>
        <v>42</v>
      </c>
      <c r="J6" s="480">
        <v>0</v>
      </c>
      <c r="K6" s="471">
        <f>'UTILITY REPORT 1'!C7</f>
        <v>0</v>
      </c>
      <c r="L6" s="473" t="e">
        <f>E6*F6+G6*H6+#REF!*#REF!+I6*J6</f>
        <v>#REF!</v>
      </c>
    </row>
    <row r="7" spans="1:12">
      <c r="A7" s="468" t="s">
        <v>265</v>
      </c>
      <c r="B7" s="469">
        <f t="shared" si="0"/>
        <v>6</v>
      </c>
      <c r="C7" s="469">
        <v>4</v>
      </c>
      <c r="D7" s="470">
        <v>2020</v>
      </c>
      <c r="E7" s="471">
        <f>'UTILITY REPORT 1'!F8</f>
        <v>1789</v>
      </c>
      <c r="F7" s="472">
        <f>('UTILITY REPORT 1'!E8*'UTILITY REPORT 1'!D8)/'UTILITY REPORT 1'!F8</f>
        <v>0.42343767467859139</v>
      </c>
      <c r="G7" s="472">
        <f>IF('Utility summery'!M11&lt;0,"0",'Utility summery'!M11)</f>
        <v>14.608000000030735</v>
      </c>
      <c r="H7" s="480">
        <v>0</v>
      </c>
      <c r="I7" s="472">
        <f>IF('UTILITY REPORT 1'!G8&lt;0,"0",'UTILITY REPORT 1'!G8)</f>
        <v>41</v>
      </c>
      <c r="J7" s="480">
        <v>0</v>
      </c>
      <c r="K7" s="471">
        <f>'UTILITY REPORT 1'!C8</f>
        <v>0</v>
      </c>
      <c r="L7" s="473" t="e">
        <f>E7*F7+G7*H7+#REF!*#REF!+I7*J7</f>
        <v>#REF!</v>
      </c>
    </row>
    <row r="8" spans="1:12">
      <c r="A8" s="468" t="s">
        <v>265</v>
      </c>
      <c r="B8" s="469">
        <f t="shared" si="0"/>
        <v>7</v>
      </c>
      <c r="C8" s="469">
        <v>4</v>
      </c>
      <c r="D8" s="470">
        <v>2020</v>
      </c>
      <c r="E8" s="471">
        <f>'UTILITY REPORT 1'!F9</f>
        <v>1867</v>
      </c>
      <c r="F8" s="472">
        <f>('UTILITY REPORT 1'!E9*'UTILITY REPORT 1'!D9)/'UTILITY REPORT 1'!F9</f>
        <v>0.41968398500267806</v>
      </c>
      <c r="G8" s="472">
        <f>IF('Utility summery'!M12&lt;0,"0",'Utility summery'!M12)</f>
        <v>25.211999999982073</v>
      </c>
      <c r="H8" s="480">
        <v>0</v>
      </c>
      <c r="I8" s="472">
        <f>IF('UTILITY REPORT 1'!G9&lt;0,"0",'UTILITY REPORT 1'!G9)</f>
        <v>47</v>
      </c>
      <c r="J8" s="480">
        <v>0</v>
      </c>
      <c r="K8" s="471">
        <f>'UTILITY REPORT 1'!C9</f>
        <v>0</v>
      </c>
      <c r="L8" s="473" t="e">
        <f>E8*F8+G8*H8+#REF!*#REF!+I8*J8</f>
        <v>#REF!</v>
      </c>
    </row>
    <row r="9" spans="1:12">
      <c r="A9" s="468" t="s">
        <v>265</v>
      </c>
      <c r="B9" s="469">
        <f t="shared" si="0"/>
        <v>8</v>
      </c>
      <c r="C9" s="469">
        <v>4</v>
      </c>
      <c r="D9" s="470">
        <v>2020</v>
      </c>
      <c r="E9" s="471">
        <f>'UTILITY REPORT 1'!F10</f>
        <v>1940</v>
      </c>
      <c r="F9" s="472">
        <f>('UTILITY REPORT 1'!E10*'UTILITY REPORT 1'!D10)/'UTILITY REPORT 1'!F10</f>
        <v>0.4284896907216495</v>
      </c>
      <c r="G9" s="472">
        <f>IF('Utility summery'!M13&lt;0,"0",'Utility summery'!M13)</f>
        <v>36.300000000000004</v>
      </c>
      <c r="H9" s="480">
        <v>0</v>
      </c>
      <c r="I9" s="472">
        <f>IF('UTILITY REPORT 1'!G10&lt;0,"0",'UTILITY REPORT 1'!G10)</f>
        <v>36</v>
      </c>
      <c r="J9" s="480">
        <v>0</v>
      </c>
      <c r="K9" s="471">
        <f>'UTILITY REPORT 1'!C10</f>
        <v>0</v>
      </c>
      <c r="L9" s="473" t="e">
        <f>E9*F9+G9*H9+#REF!*#REF!+I9*J9</f>
        <v>#REF!</v>
      </c>
    </row>
    <row r="10" spans="1:12">
      <c r="A10" s="468" t="s">
        <v>265</v>
      </c>
      <c r="B10" s="469">
        <f t="shared" si="0"/>
        <v>9</v>
      </c>
      <c r="C10" s="469">
        <v>4</v>
      </c>
      <c r="D10" s="470">
        <v>2020</v>
      </c>
      <c r="E10" s="471">
        <f>'UTILITY REPORT 1'!F11</f>
        <v>1882</v>
      </c>
      <c r="F10" s="472">
        <f>('UTILITY REPORT 1'!E11*'UTILITY REPORT 1'!D11)/'UTILITY REPORT 1'!F11</f>
        <v>0.42843783209351749</v>
      </c>
      <c r="G10" s="472">
        <f>IF('Utility summery'!M14&lt;0,"0",'Utility summery'!M14)</f>
        <v>25.915999999997442</v>
      </c>
      <c r="H10" s="480">
        <v>0</v>
      </c>
      <c r="I10" s="472">
        <f>IF('UTILITY REPORT 1'!G11&lt;0,"0",'UTILITY REPORT 1'!G11)</f>
        <v>33</v>
      </c>
      <c r="J10" s="480">
        <v>0</v>
      </c>
      <c r="K10" s="471">
        <f>'UTILITY REPORT 1'!C11</f>
        <v>0</v>
      </c>
      <c r="L10" s="473" t="e">
        <f>E10*F10+G10*H10+#REF!*#REF!+I10*J10</f>
        <v>#REF!</v>
      </c>
    </row>
    <row r="11" spans="1:12">
      <c r="A11" s="468" t="s">
        <v>265</v>
      </c>
      <c r="B11" s="469">
        <f t="shared" si="0"/>
        <v>10</v>
      </c>
      <c r="C11" s="469">
        <v>4</v>
      </c>
      <c r="D11" s="470">
        <v>2020</v>
      </c>
      <c r="E11" s="471">
        <f>'UTILITY REPORT 1'!F12</f>
        <v>1935</v>
      </c>
      <c r="F11" s="472">
        <f>('UTILITY REPORT 1'!E12*'UTILITY REPORT 1'!D12)/'UTILITY REPORT 1'!F12</f>
        <v>0.42571059431524549</v>
      </c>
      <c r="G11" s="472">
        <f>IF('Utility summery'!M15&lt;0,"0",'Utility summery'!M15)</f>
        <v>34.539999999961587</v>
      </c>
      <c r="H11" s="480">
        <v>0</v>
      </c>
      <c r="I11" s="472">
        <f>IF('UTILITY REPORT 1'!G12&lt;0,"0",'UTILITY REPORT 1'!G12)</f>
        <v>55</v>
      </c>
      <c r="J11" s="480">
        <v>0</v>
      </c>
      <c r="K11" s="471">
        <f>'UTILITY REPORT 1'!C12</f>
        <v>0</v>
      </c>
      <c r="L11" s="473" t="e">
        <f>E11*F11+G11*H11+#REF!*#REF!+I11*J11</f>
        <v>#REF!</v>
      </c>
    </row>
    <row r="12" spans="1:12">
      <c r="A12" s="468" t="s">
        <v>265</v>
      </c>
      <c r="B12" s="469">
        <f t="shared" si="0"/>
        <v>11</v>
      </c>
      <c r="C12" s="469">
        <v>4</v>
      </c>
      <c r="D12" s="470">
        <v>2020</v>
      </c>
      <c r="E12" s="471">
        <f>'UTILITY REPORT 1'!F13</f>
        <v>1883</v>
      </c>
      <c r="F12" s="472">
        <f>('UTILITY REPORT 1'!E13*'UTILITY REPORT 1'!D13)/'UTILITY REPORT 1'!F13</f>
        <v>0.41565055762081782</v>
      </c>
      <c r="G12" s="472">
        <f>IF('Utility summery'!M16&lt;0,"0",'Utility summery'!M16)</f>
        <v>38.412000000046106</v>
      </c>
      <c r="H12" s="480">
        <v>0</v>
      </c>
      <c r="I12" s="472">
        <f>IF('UTILITY REPORT 1'!G13&lt;0,"0",'UTILITY REPORT 1'!G13)</f>
        <v>56</v>
      </c>
      <c r="J12" s="480">
        <v>0</v>
      </c>
      <c r="K12" s="471">
        <f>'UTILITY REPORT 1'!C13</f>
        <v>0</v>
      </c>
      <c r="L12" s="473" t="e">
        <f>E12*F12+G12*H12+#REF!*#REF!+I12*J12</f>
        <v>#REF!</v>
      </c>
    </row>
    <row r="13" spans="1:12">
      <c r="A13" s="468" t="s">
        <v>265</v>
      </c>
      <c r="B13" s="469">
        <f t="shared" si="0"/>
        <v>12</v>
      </c>
      <c r="C13" s="469">
        <v>4</v>
      </c>
      <c r="D13" s="470">
        <v>2020</v>
      </c>
      <c r="E13" s="471">
        <f>'UTILITY REPORT 1'!F14</f>
        <v>1877</v>
      </c>
      <c r="F13" s="472">
        <f>('UTILITY REPORT 1'!E14*'UTILITY REPORT 1'!D14)/'UTILITY REPORT 1'!F14</f>
        <v>0.41385189131592964</v>
      </c>
      <c r="G13" s="472">
        <f>IF('Utility summery'!M17&lt;0,"0",'Utility summery'!M17)</f>
        <v>35.200000000000003</v>
      </c>
      <c r="H13" s="480">
        <v>0</v>
      </c>
      <c r="I13" s="472">
        <f>IF('UTILITY REPORT 1'!G14&lt;0,"0",'UTILITY REPORT 1'!G14)</f>
        <v>41</v>
      </c>
      <c r="J13" s="480">
        <v>0</v>
      </c>
      <c r="K13" s="471">
        <f>'UTILITY REPORT 1'!C14</f>
        <v>0</v>
      </c>
      <c r="L13" s="473" t="e">
        <f>E13*F13+G13*H13+#REF!*#REF!+I13*J13</f>
        <v>#REF!</v>
      </c>
    </row>
    <row r="14" spans="1:12">
      <c r="A14" s="468" t="s">
        <v>265</v>
      </c>
      <c r="B14" s="469">
        <f t="shared" si="0"/>
        <v>13</v>
      </c>
      <c r="C14" s="469">
        <v>4</v>
      </c>
      <c r="D14" s="470">
        <v>2020</v>
      </c>
      <c r="E14" s="471">
        <f>'UTILITY REPORT 1'!F15</f>
        <v>1796</v>
      </c>
      <c r="F14" s="472">
        <f>('UTILITY REPORT 1'!E15*'UTILITY REPORT 1'!D15)/'UTILITY REPORT 1'!F15</f>
        <v>0.42968819599109132</v>
      </c>
      <c r="G14" s="472">
        <f>IF('Utility summery'!M18&lt;0,"0",'Utility summery'!M18)</f>
        <v>36.036000000010247</v>
      </c>
      <c r="H14" s="480">
        <v>0</v>
      </c>
      <c r="I14" s="472">
        <f>IF('UTILITY REPORT 1'!G15&lt;0,"0",'UTILITY REPORT 1'!G15)</f>
        <v>45</v>
      </c>
      <c r="J14" s="480">
        <v>0</v>
      </c>
      <c r="K14" s="471">
        <f>'UTILITY REPORT 1'!C15</f>
        <v>0</v>
      </c>
      <c r="L14" s="473" t="e">
        <f>E14*F14+G14*H14+#REF!*#REF!+I14*J14</f>
        <v>#REF!</v>
      </c>
    </row>
    <row r="15" spans="1:12">
      <c r="A15" s="468" t="s">
        <v>265</v>
      </c>
      <c r="B15" s="469">
        <f t="shared" si="0"/>
        <v>14</v>
      </c>
      <c r="C15" s="469">
        <v>4</v>
      </c>
      <c r="D15" s="470">
        <v>2020</v>
      </c>
      <c r="E15" s="471">
        <f>'UTILITY REPORT 1'!F16</f>
        <v>1789</v>
      </c>
      <c r="F15" s="472">
        <f>('UTILITY REPORT 1'!E16*'UTILITY REPORT 1'!D16)/'UTILITY REPORT 1'!F16</f>
        <v>0.4251648965902739</v>
      </c>
      <c r="G15" s="472">
        <f>IF('Utility summery'!M19&lt;0,"0",'Utility summery'!M19)</f>
        <v>35.375999999971832</v>
      </c>
      <c r="H15" s="480">
        <v>0</v>
      </c>
      <c r="I15" s="472">
        <f>IF('UTILITY REPORT 1'!G16&lt;0,"0",'UTILITY REPORT 1'!G16)</f>
        <v>51</v>
      </c>
      <c r="J15" s="480">
        <v>0</v>
      </c>
      <c r="K15" s="471">
        <f>'UTILITY REPORT 1'!C16</f>
        <v>0</v>
      </c>
      <c r="L15" s="473" t="e">
        <f>E15*F15+G15*H15+#REF!*#REF!+I15*J15</f>
        <v>#REF!</v>
      </c>
    </row>
    <row r="16" spans="1:12">
      <c r="A16" s="468" t="s">
        <v>265</v>
      </c>
      <c r="B16" s="469">
        <f t="shared" si="0"/>
        <v>15</v>
      </c>
      <c r="C16" s="469">
        <v>4</v>
      </c>
      <c r="D16" s="470">
        <v>2020</v>
      </c>
      <c r="E16" s="471">
        <f>'UTILITY REPORT 1'!F17</f>
        <v>1823</v>
      </c>
      <c r="F16" s="472">
        <f>('UTILITY REPORT 1'!E17*'UTILITY REPORT 1'!D17)/'UTILITY REPORT 1'!F17</f>
        <v>0.43126165660998356</v>
      </c>
      <c r="G16" s="472">
        <f>IF('Utility summery'!M20&lt;0,"0",'Utility summery'!M20)</f>
        <v>35.595999999984635</v>
      </c>
      <c r="H16" s="480">
        <v>0</v>
      </c>
      <c r="I16" s="472">
        <f>IF('UTILITY REPORT 1'!G17&lt;0,"0",'UTILITY REPORT 1'!G17)</f>
        <v>54</v>
      </c>
      <c r="J16" s="480">
        <v>0</v>
      </c>
      <c r="K16" s="471">
        <f>'UTILITY REPORT 1'!C17</f>
        <v>0</v>
      </c>
      <c r="L16" s="473" t="e">
        <f>E16*F16+G16*H16+#REF!*#REF!+I16*J16</f>
        <v>#REF!</v>
      </c>
    </row>
    <row r="17" spans="1:12">
      <c r="A17" s="468" t="s">
        <v>265</v>
      </c>
      <c r="B17" s="469">
        <f t="shared" si="0"/>
        <v>16</v>
      </c>
      <c r="C17" s="469">
        <v>4</v>
      </c>
      <c r="D17" s="470">
        <v>2020</v>
      </c>
      <c r="E17" s="471">
        <f>'UTILITY REPORT 1'!F18</f>
        <v>1782</v>
      </c>
      <c r="F17" s="472">
        <f>('UTILITY REPORT 1'!E18*'UTILITY REPORT 1'!D18)/'UTILITY REPORT 1'!F18</f>
        <v>0.4232716049382716</v>
      </c>
      <c r="G17" s="472">
        <f>IF('Utility summery'!M21&lt;0,"0",'Utility summery'!M21)</f>
        <v>30.536000000010247</v>
      </c>
      <c r="H17" s="480">
        <v>0</v>
      </c>
      <c r="I17" s="472">
        <f>IF('UTILITY REPORT 1'!G18&lt;0,"0",'UTILITY REPORT 1'!G18)</f>
        <v>54</v>
      </c>
      <c r="J17" s="480">
        <v>0</v>
      </c>
      <c r="K17" s="471">
        <f>'UTILITY REPORT 1'!C18</f>
        <v>0</v>
      </c>
      <c r="L17" s="473" t="e">
        <f>E17*F17+G17*H17+#REF!*#REF!+I17*J17</f>
        <v>#REF!</v>
      </c>
    </row>
    <row r="18" spans="1:12">
      <c r="A18" s="468" t="s">
        <v>265</v>
      </c>
      <c r="B18" s="469">
        <f t="shared" si="0"/>
        <v>17</v>
      </c>
      <c r="C18" s="469">
        <v>4</v>
      </c>
      <c r="D18" s="470">
        <v>2020</v>
      </c>
      <c r="E18" s="471">
        <f>'UTILITY REPORT 1'!F19</f>
        <v>1857</v>
      </c>
      <c r="F18" s="472">
        <f>('UTILITY REPORT 1'!E19*'UTILITY REPORT 1'!D19)/'UTILITY REPORT 1'!F19</f>
        <v>0.42107162089391498</v>
      </c>
      <c r="G18" s="472">
        <f>IF('Utility summery'!M22&lt;0,"0",'Utility summery'!M22)</f>
        <v>31.063999999989758</v>
      </c>
      <c r="H18" s="480">
        <v>0</v>
      </c>
      <c r="I18" s="472">
        <f>IF('UTILITY REPORT 1'!G19&lt;0,"0",'UTILITY REPORT 1'!G19)</f>
        <v>42</v>
      </c>
      <c r="J18" s="480">
        <v>0</v>
      </c>
      <c r="K18" s="471">
        <f>'UTILITY REPORT 1'!C19</f>
        <v>0</v>
      </c>
      <c r="L18" s="473" t="e">
        <f>E18*F18+G18*H18+#REF!*#REF!+I18*J18</f>
        <v>#REF!</v>
      </c>
    </row>
    <row r="19" spans="1:12">
      <c r="A19" s="468" t="s">
        <v>265</v>
      </c>
      <c r="B19" s="469">
        <f t="shared" si="0"/>
        <v>18</v>
      </c>
      <c r="C19" s="469">
        <v>4</v>
      </c>
      <c r="D19" s="470">
        <v>2020</v>
      </c>
      <c r="E19" s="471">
        <f>'UTILITY REPORT 1'!F20</f>
        <v>1756</v>
      </c>
      <c r="F19" s="472">
        <f>('UTILITY REPORT 1'!E20*'UTILITY REPORT 1'!D20)/'UTILITY REPORT 1'!F20</f>
        <v>0.42381548974943056</v>
      </c>
      <c r="G19" s="472">
        <f>IF('Utility summery'!M23&lt;0,"0",'Utility summery'!M23)</f>
        <v>32.604000000015368</v>
      </c>
      <c r="H19" s="480">
        <v>0</v>
      </c>
      <c r="I19" s="472">
        <f>IF('UTILITY REPORT 1'!G20&lt;0,"0",'UTILITY REPORT 1'!G20)</f>
        <v>30</v>
      </c>
      <c r="J19" s="480">
        <v>0</v>
      </c>
      <c r="K19" s="471">
        <f>'UTILITY REPORT 1'!C20</f>
        <v>0</v>
      </c>
      <c r="L19" s="473" t="e">
        <f>E19*F19+G19*H19+#REF!*#REF!+I19*J19</f>
        <v>#REF!</v>
      </c>
    </row>
    <row r="20" spans="1:12">
      <c r="A20" s="468" t="s">
        <v>265</v>
      </c>
      <c r="B20" s="469">
        <f t="shared" si="0"/>
        <v>19</v>
      </c>
      <c r="C20" s="469">
        <v>4</v>
      </c>
      <c r="D20" s="470">
        <v>2020</v>
      </c>
      <c r="E20" s="471">
        <f>'UTILITY REPORT 1'!F21</f>
        <v>1728</v>
      </c>
      <c r="F20" s="472">
        <f>('UTILITY REPORT 1'!E21*'UTILITY REPORT 1'!D21)/'UTILITY REPORT 1'!F21</f>
        <v>0.42826967592592591</v>
      </c>
      <c r="G20" s="472">
        <f>IF('Utility summery'!M24&lt;0,"0",'Utility summery'!M24)</f>
        <v>31.108000000030735</v>
      </c>
      <c r="H20" s="480">
        <v>0</v>
      </c>
      <c r="I20" s="472">
        <f>IF('UTILITY REPORT 1'!G21&lt;0,"0",'UTILITY REPORT 1'!G21)</f>
        <v>51</v>
      </c>
      <c r="J20" s="480">
        <v>0</v>
      </c>
      <c r="K20" s="471">
        <f>'UTILITY REPORT 1'!C21</f>
        <v>0</v>
      </c>
      <c r="L20" s="473" t="e">
        <f>E20*F20+G20*H20+#REF!*#REF!+I20*J20</f>
        <v>#REF!</v>
      </c>
    </row>
    <row r="21" spans="1:12">
      <c r="A21" s="468" t="s">
        <v>265</v>
      </c>
      <c r="B21" s="469">
        <f t="shared" si="0"/>
        <v>20</v>
      </c>
      <c r="C21" s="469">
        <v>4</v>
      </c>
      <c r="D21" s="470">
        <v>2020</v>
      </c>
      <c r="E21" s="471">
        <f>'UTILITY REPORT 1'!F22</f>
        <v>1693</v>
      </c>
      <c r="F21" s="472">
        <f>('UTILITY REPORT 1'!E22*'UTILITY REPORT 1'!D22)/'UTILITY REPORT 1'!F22</f>
        <v>0.43205552274069703</v>
      </c>
      <c r="G21" s="472">
        <f>IF('Utility summery'!M25&lt;0,"0",'Utility summery'!M25)</f>
        <v>29.21599999999744</v>
      </c>
      <c r="H21" s="480">
        <v>0</v>
      </c>
      <c r="I21" s="472">
        <f>IF('UTILITY REPORT 1'!G22&lt;0,"0",'UTILITY REPORT 1'!G22)</f>
        <v>35</v>
      </c>
      <c r="J21" s="480">
        <v>0</v>
      </c>
      <c r="K21" s="471">
        <f>'UTILITY REPORT 1'!C22</f>
        <v>0</v>
      </c>
      <c r="L21" s="473" t="e">
        <f>E21*F21+G21*H21+#REF!*#REF!+I21*J21</f>
        <v>#REF!</v>
      </c>
    </row>
    <row r="22" spans="1:12">
      <c r="A22" s="468" t="s">
        <v>265</v>
      </c>
      <c r="B22" s="469">
        <f t="shared" si="0"/>
        <v>21</v>
      </c>
      <c r="C22" s="469">
        <v>4</v>
      </c>
      <c r="D22" s="470">
        <v>2020</v>
      </c>
      <c r="E22" s="471">
        <f>'UTILITY REPORT 1'!F23</f>
        <v>1727</v>
      </c>
      <c r="F22" s="472">
        <f>('UTILITY REPORT 1'!E23*'UTILITY REPORT 1'!D23)/'UTILITY REPORT 1'!F23</f>
        <v>0.43269832078749276</v>
      </c>
      <c r="G22" s="472">
        <f>IF('Utility summery'!M26&lt;0,"0",'Utility summery'!M26)</f>
        <v>33.439999999961586</v>
      </c>
      <c r="H22" s="480">
        <v>0</v>
      </c>
      <c r="I22" s="472">
        <f>IF('UTILITY REPORT 1'!G23&lt;0,"0",'UTILITY REPORT 1'!G23)</f>
        <v>27</v>
      </c>
      <c r="J22" s="480">
        <v>0</v>
      </c>
      <c r="K22" s="471">
        <f>'UTILITY REPORT 1'!C23</f>
        <v>0</v>
      </c>
      <c r="L22" s="473" t="e">
        <f>E22*F22+G22*H22+#REF!*#REF!+I22*J22</f>
        <v>#REF!</v>
      </c>
    </row>
    <row r="23" spans="1:12">
      <c r="A23" s="468" t="s">
        <v>265</v>
      </c>
      <c r="B23" s="469">
        <f t="shared" si="0"/>
        <v>22</v>
      </c>
      <c r="C23" s="469">
        <v>4</v>
      </c>
      <c r="D23" s="470">
        <v>2020</v>
      </c>
      <c r="E23" s="471">
        <f>'UTILITY REPORT 1'!F24</f>
        <v>1720</v>
      </c>
      <c r="F23" s="472">
        <f>('UTILITY REPORT 1'!E24*'UTILITY REPORT 1'!D24)/'UTILITY REPORT 1'!F24</f>
        <v>0.41228488372093025</v>
      </c>
      <c r="G23" s="472">
        <f>IF('Utility summery'!M27&lt;0,"0",'Utility summery'!M27)</f>
        <v>28.379999999987195</v>
      </c>
      <c r="H23" s="480">
        <v>0</v>
      </c>
      <c r="I23" s="472">
        <f>IF('UTILITY REPORT 1'!G24&lt;0,"0",'UTILITY REPORT 1'!G24)</f>
        <v>28</v>
      </c>
      <c r="J23" s="480">
        <v>0</v>
      </c>
      <c r="K23" s="471">
        <f>'UTILITY REPORT 1'!C24</f>
        <v>0</v>
      </c>
      <c r="L23" s="473" t="e">
        <f>E23*F23+G23*H23+#REF!*#REF!+I23*J23</f>
        <v>#REF!</v>
      </c>
    </row>
    <row r="24" spans="1:12">
      <c r="A24" s="468" t="s">
        <v>265</v>
      </c>
      <c r="B24" s="469">
        <f t="shared" si="0"/>
        <v>23</v>
      </c>
      <c r="C24" s="469">
        <v>4</v>
      </c>
      <c r="D24" s="470">
        <v>2020</v>
      </c>
      <c r="E24" s="471">
        <f>'UTILITY REPORT 1'!F25</f>
        <v>1554</v>
      </c>
      <c r="F24" s="472">
        <f>('UTILITY REPORT 1'!E25*'UTILITY REPORT 1'!D25)/'UTILITY REPORT 1'!F25</f>
        <v>0.43169240669240672</v>
      </c>
      <c r="G24" s="472">
        <f>IF('Utility summery'!M28&lt;0,"0",'Utility summery'!M28)</f>
        <v>35.200000000000003</v>
      </c>
      <c r="H24" s="480">
        <v>0</v>
      </c>
      <c r="I24" s="472">
        <f>IF('UTILITY REPORT 1'!G25&lt;0,"0",'UTILITY REPORT 1'!G25)</f>
        <v>29</v>
      </c>
      <c r="J24" s="480">
        <v>0</v>
      </c>
      <c r="K24" s="471">
        <f>'UTILITY REPORT 1'!C25</f>
        <v>0</v>
      </c>
      <c r="L24" s="473" t="e">
        <f>E24*F24+G24*H24+#REF!*#REF!+I24*J24</f>
        <v>#REF!</v>
      </c>
    </row>
    <row r="25" spans="1:12">
      <c r="A25" s="468" t="s">
        <v>265</v>
      </c>
      <c r="B25" s="469">
        <f t="shared" si="0"/>
        <v>24</v>
      </c>
      <c r="C25" s="469">
        <v>4</v>
      </c>
      <c r="D25" s="470">
        <v>2020</v>
      </c>
      <c r="E25" s="471">
        <f>'UTILITY REPORT 1'!F26</f>
        <v>1722</v>
      </c>
      <c r="F25" s="472">
        <f>('UTILITY REPORT 1'!E26*'UTILITY REPORT 1'!D26)/'UTILITY REPORT 1'!F26</f>
        <v>0.4266957026713124</v>
      </c>
      <c r="G25" s="472">
        <f>IF('Utility summery'!M29&lt;0,"0",'Utility summery'!M29)</f>
        <v>38.104000000015368</v>
      </c>
      <c r="H25" s="480">
        <v>0</v>
      </c>
      <c r="I25" s="472">
        <f>IF('UTILITY REPORT 1'!G26&lt;0,"0",'UTILITY REPORT 1'!G26)</f>
        <v>31</v>
      </c>
      <c r="J25" s="480">
        <v>0</v>
      </c>
      <c r="K25" s="471">
        <f>'UTILITY REPORT 1'!C26</f>
        <v>0</v>
      </c>
      <c r="L25" s="473" t="e">
        <f>E25*F25+G25*H25+#REF!*#REF!+I25*J25</f>
        <v>#REF!</v>
      </c>
    </row>
    <row r="26" spans="1:12">
      <c r="A26" s="468" t="s">
        <v>265</v>
      </c>
      <c r="B26" s="469">
        <f>B25+1</f>
        <v>25</v>
      </c>
      <c r="C26" s="469">
        <v>4</v>
      </c>
      <c r="D26" s="470">
        <v>2020</v>
      </c>
      <c r="E26" s="471">
        <f>'UTILITY REPORT 1'!F27</f>
        <v>1712</v>
      </c>
      <c r="F26" s="472">
        <f>('UTILITY REPORT 1'!E27*'UTILITY REPORT 1'!D27)/'UTILITY REPORT 1'!F27</f>
        <v>0.41369742990654207</v>
      </c>
      <c r="G26" s="472">
        <f>IF('Utility summery'!M30&lt;0,"0",'Utility summery'!M30)</f>
        <v>28.336000000010248</v>
      </c>
      <c r="H26" s="480">
        <v>0</v>
      </c>
      <c r="I26" s="472">
        <f>IF('UTILITY REPORT 1'!G27&lt;0,"0",'UTILITY REPORT 1'!G27)</f>
        <v>32</v>
      </c>
      <c r="J26" s="480">
        <v>0</v>
      </c>
      <c r="K26" s="471">
        <f>'UTILITY REPORT 1'!C27</f>
        <v>0</v>
      </c>
      <c r="L26" s="473" t="e">
        <f>E26*F26+G26*H26+#REF!*#REF!+I26*J26</f>
        <v>#REF!</v>
      </c>
    </row>
    <row r="27" spans="1:12">
      <c r="A27" s="468" t="s">
        <v>265</v>
      </c>
      <c r="B27" s="469">
        <f t="shared" si="0"/>
        <v>26</v>
      </c>
      <c r="C27" s="469">
        <v>4</v>
      </c>
      <c r="D27" s="470">
        <v>2020</v>
      </c>
      <c r="E27" s="471">
        <f>'UTILITY REPORT 1'!F28</f>
        <v>1680</v>
      </c>
      <c r="F27" s="472">
        <f>('UTILITY REPORT 1'!E28*'UTILITY REPORT 1'!D28)/'UTILITY REPORT 1'!F28</f>
        <v>0.42139285714285718</v>
      </c>
      <c r="G27" s="472">
        <f>IF('Utility summery'!M31&lt;0,"0",'Utility summery'!M31)</f>
        <v>32.691999999969269</v>
      </c>
      <c r="H27" s="480">
        <v>0</v>
      </c>
      <c r="I27" s="472">
        <f>IF('UTILITY REPORT 1'!G28&lt;0,"0",'UTILITY REPORT 1'!G28)</f>
        <v>31</v>
      </c>
      <c r="J27" s="480">
        <v>0</v>
      </c>
      <c r="K27" s="471">
        <f>'UTILITY REPORT 1'!C28</f>
        <v>0</v>
      </c>
      <c r="L27" s="473" t="e">
        <f>E27*F27+G27*H27+#REF!*#REF!+I27*J27</f>
        <v>#REF!</v>
      </c>
    </row>
    <row r="28" spans="1:12">
      <c r="A28" s="468" t="s">
        <v>265</v>
      </c>
      <c r="B28" s="469">
        <f t="shared" si="0"/>
        <v>27</v>
      </c>
      <c r="C28" s="469">
        <v>4</v>
      </c>
      <c r="D28" s="470">
        <v>2020</v>
      </c>
      <c r="E28" s="471">
        <f>'UTILITY REPORT 1'!F29</f>
        <v>1721</v>
      </c>
      <c r="F28" s="472">
        <f>('UTILITY REPORT 1'!E29*'UTILITY REPORT 1'!D29)/'UTILITY REPORT 1'!F29</f>
        <v>0.41649041255084251</v>
      </c>
      <c r="G28" s="472">
        <f>IF('Utility summery'!M32&lt;0,"0",'Utility summery'!M32)</f>
        <v>28.6</v>
      </c>
      <c r="H28" s="480">
        <v>0</v>
      </c>
      <c r="I28" s="472">
        <f>IF('UTILITY REPORT 1'!G29&lt;0,"0",'UTILITY REPORT 1'!G29)</f>
        <v>30</v>
      </c>
      <c r="J28" s="480">
        <v>0</v>
      </c>
      <c r="K28" s="471">
        <f>'UTILITY REPORT 1'!C29</f>
        <v>0</v>
      </c>
      <c r="L28" s="473" t="e">
        <f>E28*F28+G28*H28+#REF!*#REF!+I28*J28</f>
        <v>#REF!</v>
      </c>
    </row>
    <row r="29" spans="1:12">
      <c r="A29" s="468" t="s">
        <v>265</v>
      </c>
      <c r="B29" s="469">
        <f t="shared" si="0"/>
        <v>28</v>
      </c>
      <c r="C29" s="469">
        <v>4</v>
      </c>
      <c r="D29" s="470">
        <v>2020</v>
      </c>
      <c r="E29" s="471">
        <f>'UTILITY REPORT 1'!F30</f>
        <v>1637</v>
      </c>
      <c r="F29" s="472">
        <f>('UTILITY REPORT 1'!E30*'UTILITY REPORT 1'!D30)/'UTILITY REPORT 1'!F30</f>
        <v>0.4218387293830177</v>
      </c>
      <c r="G29" s="472">
        <f>IF('Utility summery'!M33&lt;0,"0",'Utility summery'!M33)</f>
        <v>31.240000000025614</v>
      </c>
      <c r="H29" s="480">
        <v>0</v>
      </c>
      <c r="I29" s="472">
        <f>IF('UTILITY REPORT 1'!G30&lt;0,"0",'UTILITY REPORT 1'!G30)</f>
        <v>31</v>
      </c>
      <c r="J29" s="480">
        <v>0</v>
      </c>
      <c r="K29" s="471">
        <f>'UTILITY REPORT 1'!C30</f>
        <v>0</v>
      </c>
      <c r="L29" s="473" t="e">
        <f>E29*F29+G29*H29+#REF!*#REF!+I29*J29</f>
        <v>#REF!</v>
      </c>
    </row>
    <row r="30" spans="1:12">
      <c r="A30" s="468" t="s">
        <v>265</v>
      </c>
      <c r="B30" s="469">
        <f t="shared" si="0"/>
        <v>29</v>
      </c>
      <c r="C30" s="469">
        <v>4</v>
      </c>
      <c r="D30" s="470">
        <v>2020</v>
      </c>
      <c r="E30" s="471">
        <f>'UTILITY REPORT 1'!F31</f>
        <v>1644</v>
      </c>
      <c r="F30" s="472">
        <f>('UTILITY REPORT 1'!E31*'UTILITY REPORT 1'!D31)/'UTILITY REPORT 1'!F31</f>
        <v>0.42037104622871047</v>
      </c>
      <c r="G30" s="472">
        <f>IF('Utility summery'!M34&lt;0,"0",'Utility summery'!M34)</f>
        <v>40.920000000012806</v>
      </c>
      <c r="H30" s="480">
        <v>0</v>
      </c>
      <c r="I30" s="472">
        <f>IF('UTILITY REPORT 1'!G31&lt;0,"0",'UTILITY REPORT 1'!G31)</f>
        <v>29</v>
      </c>
      <c r="J30" s="480">
        <v>0</v>
      </c>
      <c r="K30" s="471">
        <f>'UTILITY REPORT 1'!C31</f>
        <v>0</v>
      </c>
      <c r="L30" s="473" t="e">
        <f>E30*F30+G30*H30+#REF!*#REF!+I30*J30</f>
        <v>#REF!</v>
      </c>
    </row>
    <row r="31" spans="1:12">
      <c r="A31" s="468" t="s">
        <v>265</v>
      </c>
      <c r="B31" s="469">
        <v>30</v>
      </c>
      <c r="C31" s="469">
        <v>4</v>
      </c>
      <c r="D31" s="470">
        <v>2020</v>
      </c>
      <c r="E31" s="471">
        <f>'UTILITY REPORT 1'!F32</f>
        <v>1564</v>
      </c>
      <c r="F31" s="472">
        <f>('UTILITY REPORT 1'!E32*'UTILITY REPORT 1'!D32)/'UTILITY REPORT 1'!F32</f>
        <v>0.42248081841432222</v>
      </c>
      <c r="G31" s="472">
        <f>IF('Utility summery'!M35&lt;0,"0",'Utility summery'!M35)</f>
        <v>17.423999999964146</v>
      </c>
      <c r="H31" s="480">
        <v>0</v>
      </c>
      <c r="I31" s="472">
        <f>IF('UTILITY REPORT 1'!G32&lt;0,"0",'UTILITY REPORT 1'!G32)</f>
        <v>29</v>
      </c>
      <c r="J31" s="480">
        <v>0</v>
      </c>
      <c r="K31" s="471">
        <f>'UTILITY REPORT 1'!C32</f>
        <v>0</v>
      </c>
      <c r="L31" s="473" t="e">
        <f>E31*F31+G31*H31+#REF!*#REF!+I31*J31</f>
        <v>#REF!</v>
      </c>
    </row>
    <row r="32" spans="1:12">
      <c r="A32" s="468" t="s">
        <v>265</v>
      </c>
      <c r="B32" s="469">
        <v>31</v>
      </c>
      <c r="C32" s="469">
        <v>4</v>
      </c>
      <c r="D32" s="470">
        <v>2020</v>
      </c>
      <c r="E32" s="471">
        <f>'UTILITY REPORT 1'!F33</f>
        <v>0</v>
      </c>
      <c r="F32" s="472" t="e">
        <f>('UTILITY REPORT 1'!E33*'UTILITY REPORT 1'!D33)/'UTILITY REPORT 1'!F33</f>
        <v>#DIV/0!</v>
      </c>
      <c r="G32" s="472">
        <f>IF('Utility summery'!M36&lt;0,"0",'Utility summery'!M36)</f>
        <v>27.852000000007685</v>
      </c>
      <c r="H32" s="480">
        <v>0</v>
      </c>
      <c r="I32" s="472" t="str">
        <f>IF('UTILITY REPORT 1'!G33&lt;0,"0",'UTILITY REPORT 1'!G33)</f>
        <v>0</v>
      </c>
      <c r="J32" s="480">
        <v>0</v>
      </c>
      <c r="K32" s="471">
        <f>'UTILITY REPORT 1'!C33</f>
        <v>0</v>
      </c>
    </row>
    <row r="33" spans="6:10">
      <c r="F33" s="472"/>
      <c r="G33" s="472"/>
      <c r="H33" s="480"/>
      <c r="I33" s="472" t="s">
        <v>235</v>
      </c>
      <c r="J33" s="480"/>
    </row>
    <row r="34" spans="6:10">
      <c r="F34" s="472"/>
      <c r="G34" s="472"/>
      <c r="H34" s="480"/>
      <c r="I34" s="472"/>
      <c r="J34" s="480"/>
    </row>
    <row r="35" spans="6:10">
      <c r="F35" s="472"/>
      <c r="G35" s="472"/>
      <c r="H35" s="480"/>
      <c r="I35" s="472"/>
      <c r="J35" s="480"/>
    </row>
    <row r="36" spans="6:10">
      <c r="F36" s="472"/>
      <c r="G36" s="472"/>
      <c r="H36" s="480"/>
      <c r="I36" s="472"/>
      <c r="J36" s="480"/>
    </row>
    <row r="37" spans="6:10">
      <c r="F37" s="472"/>
      <c r="G37" s="472"/>
      <c r="H37" s="480"/>
      <c r="I37" s="472"/>
      <c r="J37" s="480"/>
    </row>
    <row r="38" spans="6:10">
      <c r="F38" s="472"/>
      <c r="G38" s="472"/>
      <c r="H38" s="480"/>
      <c r="I38" s="472"/>
      <c r="J38" s="480"/>
    </row>
    <row r="39" spans="6:10">
      <c r="F39" s="472"/>
      <c r="G39" s="472"/>
      <c r="H39" s="480"/>
      <c r="I39" s="472"/>
      <c r="J39" s="4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36" sqref="H36"/>
    </sheetView>
  </sheetViews>
  <sheetFormatPr defaultColWidth="11.5703125" defaultRowHeight="12.75"/>
  <cols>
    <col min="1" max="1" width="12.42578125" style="12" customWidth="1"/>
    <col min="2" max="3" width="11.5703125" style="469"/>
    <col min="4" max="4" width="13.42578125" style="470" customWidth="1"/>
    <col min="5" max="6" width="12.5703125" style="12" customWidth="1"/>
    <col min="7" max="7" width="12.5703125" style="471" customWidth="1"/>
    <col min="8" max="10" width="11.5703125" style="12"/>
    <col min="11" max="11" width="12.5703125" style="471" customWidth="1"/>
    <col min="12" max="12" width="11.5703125" style="12"/>
    <col min="13" max="14" width="11.5703125" style="471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67" customFormat="1" ht="60.75" thickBot="1">
      <c r="A1" s="534" t="s">
        <v>253</v>
      </c>
      <c r="B1" s="535" t="s">
        <v>254</v>
      </c>
      <c r="C1" s="535" t="s">
        <v>255</v>
      </c>
      <c r="D1" s="536" t="s">
        <v>256</v>
      </c>
      <c r="E1" s="537" t="s">
        <v>269</v>
      </c>
      <c r="F1" s="537" t="s">
        <v>268</v>
      </c>
      <c r="G1" s="538" t="s">
        <v>257</v>
      </c>
      <c r="H1" s="537" t="s">
        <v>266</v>
      </c>
      <c r="I1" s="537" t="s">
        <v>267</v>
      </c>
      <c r="J1" s="537" t="s">
        <v>270</v>
      </c>
      <c r="K1" s="538" t="s">
        <v>248</v>
      </c>
      <c r="L1" s="537" t="s">
        <v>271</v>
      </c>
      <c r="M1" s="538" t="s">
        <v>272</v>
      </c>
      <c r="N1" s="538" t="s">
        <v>273</v>
      </c>
      <c r="O1" s="538" t="s">
        <v>273</v>
      </c>
      <c r="P1" s="538" t="s">
        <v>286</v>
      </c>
      <c r="Q1" s="538" t="s">
        <v>274</v>
      </c>
      <c r="R1" s="538" t="s">
        <v>275</v>
      </c>
      <c r="S1" s="538" t="s">
        <v>276</v>
      </c>
      <c r="T1" s="538" t="s">
        <v>277</v>
      </c>
      <c r="U1" s="538" t="s">
        <v>278</v>
      </c>
      <c r="V1" s="538" t="s">
        <v>279</v>
      </c>
      <c r="W1" s="541" t="s">
        <v>287</v>
      </c>
      <c r="X1" s="542" t="s">
        <v>263</v>
      </c>
    </row>
    <row r="2" spans="1:24">
      <c r="A2" s="529" t="s">
        <v>265</v>
      </c>
      <c r="B2" s="530">
        <v>1</v>
      </c>
      <c r="C2" s="530">
        <v>4</v>
      </c>
      <c r="D2" s="531">
        <v>2020</v>
      </c>
      <c r="E2" s="532">
        <f>'UTILITY REPORT 1'!I3</f>
        <v>49.37</v>
      </c>
      <c r="F2" s="532">
        <f>'UTILITY REPORT 1'!E3</f>
        <v>850.96</v>
      </c>
      <c r="G2" s="533">
        <f>'UTILITY REPORT 1'!F3</f>
        <v>2051</v>
      </c>
      <c r="H2" s="532">
        <f>IF('Kit report'!F4&lt;0,"0",'Kit report'!F4)</f>
        <v>155.99999999991269</v>
      </c>
      <c r="I2" s="532">
        <f>IF('Kit report'!X4&lt;0,"0",'Kit report'!X4)</f>
        <v>20.00000000007276</v>
      </c>
      <c r="J2" s="532">
        <f>IF('Utility summery'!H6&lt;0,"0",'Utility summery'!H6)</f>
        <v>28</v>
      </c>
      <c r="K2" s="533">
        <f>IF('UTILITY REPORT 1'!H3&lt;0,"0",'UTILITY REPORT 1'!H3)</f>
        <v>0</v>
      </c>
      <c r="L2" s="532">
        <f>'Water-Meter'!K6</f>
        <v>1</v>
      </c>
      <c r="M2" s="533">
        <f>'Water-Meter'!H6</f>
        <v>0</v>
      </c>
      <c r="N2" s="533">
        <f>'Water-Meter'!Q6</f>
        <v>1</v>
      </c>
      <c r="O2" s="532" t="e">
        <f>K2*E2+H2*I2+#REF!*#REF!+J2*L2</f>
        <v>#REF!</v>
      </c>
      <c r="P2" s="532">
        <f>'Water-Meter'!E6</f>
        <v>38</v>
      </c>
      <c r="Q2" s="459">
        <f>IF('Water-Meter'!U6&lt;0,"0",'Water-Meter'!U6)</f>
        <v>75</v>
      </c>
      <c r="R2" s="459">
        <f>IF('Water-Meter'!X6&lt;0,"0",'Water-Meter'!X6)</f>
        <v>0</v>
      </c>
      <c r="S2" s="459">
        <f>IF('Water-Meter'!AA6&lt;0,"0",'Water-Meter'!AA6)</f>
        <v>0</v>
      </c>
      <c r="T2" s="459">
        <f>IF('Water-Meter'!AD6&lt;0,"0",'Water-Meter'!AD6)</f>
        <v>0</v>
      </c>
      <c r="U2" s="459">
        <f>IF('Water-Meter'!AG6&lt;0,"0",'Water-Meter'!AG6)</f>
        <v>24</v>
      </c>
      <c r="V2" s="459">
        <f>IF('Water-Meter'!AJ6&lt;0,"0",'Water-Meter'!AJ6)</f>
        <v>0</v>
      </c>
      <c r="W2" s="31">
        <f>'Water-Meter'!AN6</f>
        <v>99</v>
      </c>
      <c r="X2" s="543">
        <f>Total!K2</f>
        <v>0</v>
      </c>
    </row>
    <row r="3" spans="1:24">
      <c r="A3" s="527" t="s">
        <v>265</v>
      </c>
      <c r="B3" s="524">
        <f>B2+1</f>
        <v>2</v>
      </c>
      <c r="C3" s="530">
        <v>4</v>
      </c>
      <c r="D3" s="531">
        <v>2020</v>
      </c>
      <c r="E3" s="525">
        <f>'UTILITY REPORT 1'!I4</f>
        <v>9.39</v>
      </c>
      <c r="F3" s="525">
        <f>'UTILITY REPORT 1'!E4</f>
        <v>866.25</v>
      </c>
      <c r="G3" s="526">
        <f>'UTILITY REPORT 1'!F4</f>
        <v>2088</v>
      </c>
      <c r="H3" s="525">
        <f>IF('Kit report'!F5&lt;0,"0",'Kit report'!F5)</f>
        <v>132.00000000004366</v>
      </c>
      <c r="I3" s="525">
        <f>IF('Kit report'!X5&lt;0,"0",'Kit report'!X5)</f>
        <v>19.999999999890861</v>
      </c>
      <c r="J3" s="525">
        <f>IF('Utility summery'!H7&lt;0,"0",'Utility summery'!H7)</f>
        <v>29</v>
      </c>
      <c r="K3" s="526">
        <f>IF('UTILITY REPORT 1'!H4&lt;0,"0",'UTILITY REPORT 1'!H4)</f>
        <v>48</v>
      </c>
      <c r="L3" s="525">
        <f>'Water-Meter'!K7</f>
        <v>1</v>
      </c>
      <c r="M3" s="526">
        <f>'Water-Meter'!H7</f>
        <v>0</v>
      </c>
      <c r="N3" s="526">
        <f>'Water-Meter'!Q7</f>
        <v>2</v>
      </c>
      <c r="O3" s="525" t="e">
        <f>K3*E3+H3*I3+#REF!*#REF!+J3*L3</f>
        <v>#REF!</v>
      </c>
      <c r="P3" s="532">
        <f>'Water-Meter'!E7</f>
        <v>52</v>
      </c>
      <c r="Q3" s="280">
        <f>IF('Water-Meter'!U7&lt;0,"0",'Water-Meter'!U7)</f>
        <v>65</v>
      </c>
      <c r="R3" s="280">
        <f>IF('Water-Meter'!X7&lt;0,"0",'Water-Meter'!X7)</f>
        <v>0</v>
      </c>
      <c r="S3" s="280">
        <f>IF('Water-Meter'!AA7&lt;0,"0",'Water-Meter'!AA7)</f>
        <v>0</v>
      </c>
      <c r="T3" s="280">
        <f>IF('Water-Meter'!AD7&lt;0,"0",'Water-Meter'!AD7)</f>
        <v>0</v>
      </c>
      <c r="U3" s="280">
        <f>IF('Water-Meter'!AG7&lt;0,"0",'Water-Meter'!AG7)</f>
        <v>24</v>
      </c>
      <c r="V3" s="280">
        <f>IF('Water-Meter'!AJ7&lt;0,"0",'Water-Meter'!AJ7)</f>
        <v>0</v>
      </c>
      <c r="W3" s="31">
        <f>'Water-Meter'!AN7</f>
        <v>89</v>
      </c>
      <c r="X3" s="543">
        <f>Total!K3</f>
        <v>0</v>
      </c>
    </row>
    <row r="4" spans="1:24">
      <c r="A4" s="527" t="s">
        <v>265</v>
      </c>
      <c r="B4" s="524">
        <f t="shared" ref="B4:B30" si="0">B3+1</f>
        <v>3</v>
      </c>
      <c r="C4" s="530">
        <v>4</v>
      </c>
      <c r="D4" s="531">
        <v>2020</v>
      </c>
      <c r="E4" s="525">
        <f>'UTILITY REPORT 1'!I5</f>
        <v>18.02</v>
      </c>
      <c r="F4" s="525">
        <f>'UTILITY REPORT 1'!E5</f>
        <v>832.92</v>
      </c>
      <c r="G4" s="526">
        <f>'UTILITY REPORT 1'!F5</f>
        <v>1898</v>
      </c>
      <c r="H4" s="525">
        <f>IF('Kit report'!F6&lt;0,"0",'Kit report'!F6)</f>
        <v>144.00000000008731</v>
      </c>
      <c r="I4" s="525">
        <f>IF('Kit report'!X6&lt;0,"0",'Kit report'!X6)</f>
        <v>40.000000000145519</v>
      </c>
      <c r="J4" s="525">
        <f>IF('Utility summery'!H8&lt;0,"0",'Utility summery'!H8)</f>
        <v>19</v>
      </c>
      <c r="K4" s="526">
        <f>IF('UTILITY REPORT 1'!H5&lt;0,"0",'UTILITY REPORT 1'!H5)</f>
        <v>59</v>
      </c>
      <c r="L4" s="525">
        <f>'Water-Meter'!K8</f>
        <v>1</v>
      </c>
      <c r="M4" s="526">
        <f>'Water-Meter'!H8</f>
        <v>0</v>
      </c>
      <c r="N4" s="526">
        <f>'Water-Meter'!Q8</f>
        <v>1</v>
      </c>
      <c r="O4" s="525" t="e">
        <f>K4*E4+H4*I4+#REF!*#REF!+J4*L4</f>
        <v>#REF!</v>
      </c>
      <c r="P4" s="532">
        <f>'Water-Meter'!E8</f>
        <v>26</v>
      </c>
      <c r="Q4" s="280">
        <f>IF('Water-Meter'!U8&lt;0,"0",'Water-Meter'!U8)</f>
        <v>60</v>
      </c>
      <c r="R4" s="280">
        <f>IF('Water-Meter'!X8&lt;0,"0",'Water-Meter'!X8)</f>
        <v>0</v>
      </c>
      <c r="S4" s="280">
        <f>IF('Water-Meter'!AA8&lt;0,"0",'Water-Meter'!AA8)</f>
        <v>0</v>
      </c>
      <c r="T4" s="280">
        <f>IF('Water-Meter'!AD8&lt;0,"0",'Water-Meter'!AD8)</f>
        <v>0</v>
      </c>
      <c r="U4" s="280">
        <f>IF('Water-Meter'!AG8&lt;0,"0",'Water-Meter'!AG8)</f>
        <v>24</v>
      </c>
      <c r="V4" s="280">
        <f>IF('Water-Meter'!AJ8&lt;0,"0",'Water-Meter'!AJ8)</f>
        <v>0</v>
      </c>
      <c r="W4" s="31">
        <f>'Water-Meter'!AN8</f>
        <v>84</v>
      </c>
      <c r="X4" s="543">
        <f>Total!K4</f>
        <v>0</v>
      </c>
    </row>
    <row r="5" spans="1:24">
      <c r="A5" s="527" t="s">
        <v>265</v>
      </c>
      <c r="B5" s="524">
        <f t="shared" si="0"/>
        <v>4</v>
      </c>
      <c r="C5" s="530">
        <v>4</v>
      </c>
      <c r="D5" s="531">
        <v>2020</v>
      </c>
      <c r="E5" s="525">
        <f>'UTILITY REPORT 1'!I6</f>
        <v>660.37</v>
      </c>
      <c r="F5" s="525">
        <f>'UTILITY REPORT 1'!E6</f>
        <v>789.55</v>
      </c>
      <c r="G5" s="526">
        <f>'UTILITY REPORT 1'!F6</f>
        <v>1815</v>
      </c>
      <c r="H5" s="525">
        <f>IF('Kit report'!F7&lt;0,"0",'Kit report'!F7)</f>
        <v>131.99999999982538</v>
      </c>
      <c r="I5" s="525">
        <f>IF('Kit report'!X7&lt;0,"0",'Kit report'!X7)</f>
        <v>39.99999999996362</v>
      </c>
      <c r="J5" s="525">
        <f>IF('Utility summery'!H9&lt;0,"0",'Utility summery'!H9)</f>
        <v>0</v>
      </c>
      <c r="K5" s="526">
        <f>IF('UTILITY REPORT 1'!H6&lt;0,"0",'UTILITY REPORT 1'!H6)</f>
        <v>57</v>
      </c>
      <c r="L5" s="525">
        <f>'Water-Meter'!K9</f>
        <v>1</v>
      </c>
      <c r="M5" s="526">
        <f>'Water-Meter'!H9</f>
        <v>0</v>
      </c>
      <c r="N5" s="526">
        <f>'Water-Meter'!Q9</f>
        <v>2</v>
      </c>
      <c r="O5" s="525" t="e">
        <f>K5*E5+H5*I5+#REF!*#REF!+J5*L5</f>
        <v>#REF!</v>
      </c>
      <c r="P5" s="532">
        <f>'Water-Meter'!E9</f>
        <v>34</v>
      </c>
      <c r="Q5" s="280">
        <f>IF('Water-Meter'!U9&lt;0,"0",'Water-Meter'!U9)</f>
        <v>52</v>
      </c>
      <c r="R5" s="280">
        <f>IF('Water-Meter'!X9&lt;0,"0",'Water-Meter'!X9)</f>
        <v>0</v>
      </c>
      <c r="S5" s="280">
        <f>IF('Water-Meter'!AA9&lt;0,"0",'Water-Meter'!AA9)</f>
        <v>0</v>
      </c>
      <c r="T5" s="280">
        <f>IF('Water-Meter'!AD9&lt;0,"0",'Water-Meter'!AD9)</f>
        <v>0</v>
      </c>
      <c r="U5" s="280">
        <f>IF('Water-Meter'!AG9&lt;0,"0",'Water-Meter'!AG9)</f>
        <v>24</v>
      </c>
      <c r="V5" s="280">
        <f>IF('Water-Meter'!AJ9&lt;0,"0",'Water-Meter'!AJ9)</f>
        <v>0</v>
      </c>
      <c r="W5" s="31">
        <f>'Water-Meter'!AN9</f>
        <v>76</v>
      </c>
      <c r="X5" s="543">
        <f>Total!K5</f>
        <v>0</v>
      </c>
    </row>
    <row r="6" spans="1:24">
      <c r="A6" s="527" t="s">
        <v>265</v>
      </c>
      <c r="B6" s="524">
        <f t="shared" si="0"/>
        <v>5</v>
      </c>
      <c r="C6" s="530">
        <v>4</v>
      </c>
      <c r="D6" s="531">
        <v>2020</v>
      </c>
      <c r="E6" s="525">
        <f>'UTILITY REPORT 1'!I7</f>
        <v>34.28</v>
      </c>
      <c r="F6" s="525">
        <f>'UTILITY REPORT 1'!E7</f>
        <v>813.34</v>
      </c>
      <c r="G6" s="526">
        <f>'UTILITY REPORT 1'!F7</f>
        <v>1841</v>
      </c>
      <c r="H6" s="525">
        <f>IF('Kit report'!F8&lt;0,"0",'Kit report'!F8)</f>
        <v>108.00000000017462</v>
      </c>
      <c r="I6" s="525">
        <f>IF('Kit report'!X8&lt;0,"0",'Kit report'!X8)</f>
        <v>39.99999999996362</v>
      </c>
      <c r="J6" s="525">
        <f>IF('Utility summery'!H10&lt;0,"0",'Utility summery'!H10)</f>
        <v>48</v>
      </c>
      <c r="K6" s="526">
        <f>IF('UTILITY REPORT 1'!H7&lt;0,"0",'UTILITY REPORT 1'!H7)</f>
        <v>57</v>
      </c>
      <c r="L6" s="525">
        <f>'Water-Meter'!K10</f>
        <v>0</v>
      </c>
      <c r="M6" s="526">
        <f>'Water-Meter'!H10</f>
        <v>0</v>
      </c>
      <c r="N6" s="526">
        <f>'Water-Meter'!Q10</f>
        <v>1</v>
      </c>
      <c r="O6" s="525" t="e">
        <f>K6*E6+H6*I6+#REF!*#REF!+J6*L6</f>
        <v>#REF!</v>
      </c>
      <c r="P6" s="532">
        <f>'Water-Meter'!E10</f>
        <v>42</v>
      </c>
      <c r="Q6" s="280">
        <f>IF('Water-Meter'!U10&lt;0,"0",'Water-Meter'!U10)</f>
        <v>82</v>
      </c>
      <c r="R6" s="280">
        <f>IF('Water-Meter'!X10&lt;0,"0",'Water-Meter'!X10)</f>
        <v>0</v>
      </c>
      <c r="S6" s="280">
        <f>IF('Water-Meter'!AA10&lt;0,"0",'Water-Meter'!AA10)</f>
        <v>0</v>
      </c>
      <c r="T6" s="280">
        <f>IF('Water-Meter'!AD10&lt;0,"0",'Water-Meter'!AD10)</f>
        <v>11</v>
      </c>
      <c r="U6" s="280" t="str">
        <f>IF('Water-Meter'!AG10&lt;0,"0",'Water-Meter'!AG10)</f>
        <v>0</v>
      </c>
      <c r="V6" s="280">
        <f>IF('Water-Meter'!AJ10&lt;0,"0",'Water-Meter'!AJ10)</f>
        <v>0</v>
      </c>
      <c r="W6" s="31">
        <f>'Water-Meter'!AN10</f>
        <v>93</v>
      </c>
      <c r="X6" s="543">
        <f>Total!K6</f>
        <v>0</v>
      </c>
    </row>
    <row r="7" spans="1:24">
      <c r="A7" s="527" t="s">
        <v>265</v>
      </c>
      <c r="B7" s="524">
        <f t="shared" si="0"/>
        <v>6</v>
      </c>
      <c r="C7" s="530">
        <v>4</v>
      </c>
      <c r="D7" s="531">
        <v>2020</v>
      </c>
      <c r="E7" s="525">
        <f>'UTILITY REPORT 1'!I8</f>
        <v>0</v>
      </c>
      <c r="F7" s="525">
        <f>'UTILITY REPORT 1'!E8</f>
        <v>757.53</v>
      </c>
      <c r="G7" s="526">
        <f>'UTILITY REPORT 1'!F8</f>
        <v>1789</v>
      </c>
      <c r="H7" s="525">
        <f>IF('Kit report'!F9&lt;0,"0",'Kit report'!F9)</f>
        <v>131.99999999982538</v>
      </c>
      <c r="I7" s="525">
        <f>IF('Kit report'!X9&lt;0,"0",'Kit report'!X9)</f>
        <v>39.99999999996362</v>
      </c>
      <c r="J7" s="525">
        <f>IF('Utility summery'!H11&lt;0,"0",'Utility summery'!H11)</f>
        <v>18</v>
      </c>
      <c r="K7" s="526">
        <f>IF('UTILITY REPORT 1'!H8&lt;0,"0",'UTILITY REPORT 1'!H8)</f>
        <v>38</v>
      </c>
      <c r="L7" s="525">
        <f>'Water-Meter'!K11</f>
        <v>0</v>
      </c>
      <c r="M7" s="526">
        <f>'Water-Meter'!H11</f>
        <v>0</v>
      </c>
      <c r="N7" s="526">
        <f>'Water-Meter'!Q11</f>
        <v>1</v>
      </c>
      <c r="O7" s="525" t="e">
        <f>K7*E7+H7*I7+#REF!*#REF!+J7*L7</f>
        <v>#REF!</v>
      </c>
      <c r="P7" s="532">
        <f>'Water-Meter'!E11</f>
        <v>41</v>
      </c>
      <c r="Q7" s="280">
        <f>IF('Water-Meter'!U11&lt;0,"0",'Water-Meter'!U11)</f>
        <v>65</v>
      </c>
      <c r="R7" s="280">
        <f>IF('Water-Meter'!X11&lt;0,"0",'Water-Meter'!X11)</f>
        <v>0</v>
      </c>
      <c r="S7" s="280">
        <f>IF('Water-Meter'!AA11&lt;0,"0",'Water-Meter'!AA11)</f>
        <v>0</v>
      </c>
      <c r="T7" s="280">
        <f>IF('Water-Meter'!AD11&lt;0,"0",'Water-Meter'!AD11)</f>
        <v>11</v>
      </c>
      <c r="U7" s="280">
        <f>IF('Water-Meter'!AG11&lt;0,"0",'Water-Meter'!AG11)</f>
        <v>0</v>
      </c>
      <c r="V7" s="280">
        <f>IF('Water-Meter'!AJ11&lt;0,"0",'Water-Meter'!AJ11)</f>
        <v>0</v>
      </c>
      <c r="W7" s="31">
        <f>'Water-Meter'!AN11</f>
        <v>76</v>
      </c>
      <c r="X7" s="543">
        <f>Total!K7</f>
        <v>0</v>
      </c>
    </row>
    <row r="8" spans="1:24">
      <c r="A8" s="527" t="s">
        <v>265</v>
      </c>
      <c r="B8" s="524">
        <f t="shared" si="0"/>
        <v>7</v>
      </c>
      <c r="C8" s="530">
        <v>4</v>
      </c>
      <c r="D8" s="531">
        <v>2020</v>
      </c>
      <c r="E8" s="525">
        <f>'UTILITY REPORT 1'!I9</f>
        <v>108.2</v>
      </c>
      <c r="F8" s="525">
        <f>'UTILITY REPORT 1'!E9</f>
        <v>783.55</v>
      </c>
      <c r="G8" s="526">
        <f>'UTILITY REPORT 1'!F9</f>
        <v>1867</v>
      </c>
      <c r="H8" s="525">
        <f>IF('Kit report'!F10&lt;0,"0",'Kit report'!F10)</f>
        <v>108.00000000017462</v>
      </c>
      <c r="I8" s="525">
        <f>IF('Kit report'!X10&lt;0,"0",'Kit report'!X10)</f>
        <v>39.99999999996362</v>
      </c>
      <c r="J8" s="525">
        <f>IF('Utility summery'!H12&lt;0,"0",'Utility summery'!H12)</f>
        <v>32</v>
      </c>
      <c r="K8" s="526">
        <f>IF('UTILITY REPORT 1'!H9&lt;0,"0",'UTILITY REPORT 1'!H9)</f>
        <v>53</v>
      </c>
      <c r="L8" s="525">
        <f>'Water-Meter'!K12</f>
        <v>0</v>
      </c>
      <c r="M8" s="526">
        <f>'Water-Meter'!H12</f>
        <v>0</v>
      </c>
      <c r="N8" s="526">
        <f>'Water-Meter'!Q12</f>
        <v>2</v>
      </c>
      <c r="O8" s="525" t="e">
        <f>K8*E8+H8*I8+#REF!*#REF!+J8*L8</f>
        <v>#REF!</v>
      </c>
      <c r="P8" s="532">
        <f>'Water-Meter'!E12</f>
        <v>47</v>
      </c>
      <c r="Q8" s="280">
        <f>IF('Water-Meter'!U12&lt;0,"0",'Water-Meter'!U12)</f>
        <v>49</v>
      </c>
      <c r="R8" s="280">
        <f>IF('Water-Meter'!X12&lt;0,"0",'Water-Meter'!X12)</f>
        <v>0</v>
      </c>
      <c r="S8" s="280">
        <f>IF('Water-Meter'!AA12&lt;0,"0",'Water-Meter'!AA12)</f>
        <v>44</v>
      </c>
      <c r="T8" s="280">
        <f>IF('Water-Meter'!AD12&lt;0,"0",'Water-Meter'!AD12)</f>
        <v>10</v>
      </c>
      <c r="U8" s="280">
        <f>IF('Water-Meter'!AG12&lt;0,"0",'Water-Meter'!AG12)</f>
        <v>0</v>
      </c>
      <c r="V8" s="280">
        <f>IF('Water-Meter'!AJ12&lt;0,"0",'Water-Meter'!AJ12)</f>
        <v>0</v>
      </c>
      <c r="W8" s="31">
        <f>'Water-Meter'!AN12</f>
        <v>103</v>
      </c>
      <c r="X8" s="543">
        <f>Total!K8</f>
        <v>0</v>
      </c>
    </row>
    <row r="9" spans="1:24">
      <c r="A9" s="527" t="s">
        <v>265</v>
      </c>
      <c r="B9" s="524">
        <f t="shared" si="0"/>
        <v>8</v>
      </c>
      <c r="C9" s="530">
        <v>4</v>
      </c>
      <c r="D9" s="531">
        <v>2020</v>
      </c>
      <c r="E9" s="525">
        <f>'UTILITY REPORT 1'!I10</f>
        <v>0</v>
      </c>
      <c r="F9" s="525">
        <f>'UTILITY REPORT 1'!E10</f>
        <v>831.27</v>
      </c>
      <c r="G9" s="526">
        <f>'UTILITY REPORT 1'!F10</f>
        <v>1940</v>
      </c>
      <c r="H9" s="525">
        <f>IF('Kit report'!F11&lt;0,"0",'Kit report'!F11)</f>
        <v>120</v>
      </c>
      <c r="I9" s="525">
        <f>IF('Kit report'!X11&lt;0,"0",'Kit report'!X11)</f>
        <v>40.000000000145519</v>
      </c>
      <c r="J9" s="525">
        <f>IF('Utility summery'!H13&lt;0,"0",'Utility summery'!H13)</f>
        <v>28</v>
      </c>
      <c r="K9" s="526">
        <f>IF('UTILITY REPORT 1'!H10&lt;0,"0",'UTILITY REPORT 1'!H10)</f>
        <v>50</v>
      </c>
      <c r="L9" s="525">
        <f>'Water-Meter'!K13</f>
        <v>0</v>
      </c>
      <c r="M9" s="526">
        <f>'Water-Meter'!H13</f>
        <v>0</v>
      </c>
      <c r="N9" s="526">
        <f>'Water-Meter'!Q13</f>
        <v>1</v>
      </c>
      <c r="O9" s="525" t="e">
        <f>K9*E9+H9*I9+#REF!*#REF!+J9*L9</f>
        <v>#REF!</v>
      </c>
      <c r="P9" s="532">
        <f>'Water-Meter'!E13</f>
        <v>36</v>
      </c>
      <c r="Q9" s="280">
        <f>IF('Water-Meter'!U13&lt;0,"0",'Water-Meter'!U13)</f>
        <v>66</v>
      </c>
      <c r="R9" s="280">
        <f>IF('Water-Meter'!X13&lt;0,"0",'Water-Meter'!X13)</f>
        <v>0</v>
      </c>
      <c r="S9" s="280">
        <f>IF('Water-Meter'!AA13&lt;0,"0",'Water-Meter'!AA13)</f>
        <v>52</v>
      </c>
      <c r="T9" s="280">
        <f>IF('Water-Meter'!AD13&lt;0,"0",'Water-Meter'!AD13)</f>
        <v>11</v>
      </c>
      <c r="U9" s="280">
        <f>IF('Water-Meter'!AG13&lt;0,"0",'Water-Meter'!AG13)</f>
        <v>0</v>
      </c>
      <c r="V9" s="280">
        <f>IF('Water-Meter'!AJ13&lt;0,"0",'Water-Meter'!AJ13)</f>
        <v>0</v>
      </c>
      <c r="W9" s="31">
        <f>'Water-Meter'!AN13</f>
        <v>129</v>
      </c>
      <c r="X9" s="543">
        <f>Total!K9</f>
        <v>0</v>
      </c>
    </row>
    <row r="10" spans="1:24">
      <c r="A10" s="527" t="s">
        <v>265</v>
      </c>
      <c r="B10" s="524">
        <f t="shared" si="0"/>
        <v>9</v>
      </c>
      <c r="C10" s="530">
        <v>4</v>
      </c>
      <c r="D10" s="531">
        <v>2020</v>
      </c>
      <c r="E10" s="525">
        <f>'UTILITY REPORT 1'!I11</f>
        <v>0</v>
      </c>
      <c r="F10" s="525">
        <f>'UTILITY REPORT 1'!E11</f>
        <v>806.31999999999994</v>
      </c>
      <c r="G10" s="526">
        <f>'UTILITY REPORT 1'!F11</f>
        <v>1882</v>
      </c>
      <c r="H10" s="525">
        <f>IF('Kit report'!F12&lt;0,"0",'Kit report'!F12)</f>
        <v>120</v>
      </c>
      <c r="I10" s="525">
        <f>IF('Kit report'!X12&lt;0,"0",'Kit report'!X12)</f>
        <v>19.999999999890861</v>
      </c>
      <c r="J10" s="525">
        <f>IF('Utility summery'!H14&lt;0,"0",'Utility summery'!H14)</f>
        <v>26</v>
      </c>
      <c r="K10" s="526">
        <f>IF('UTILITY REPORT 1'!H11&lt;0,"0",'UTILITY REPORT 1'!H11)</f>
        <v>7</v>
      </c>
      <c r="L10" s="525">
        <f>'Water-Meter'!K14</f>
        <v>0</v>
      </c>
      <c r="M10" s="526">
        <f>'Water-Meter'!H14</f>
        <v>0</v>
      </c>
      <c r="N10" s="526">
        <f>'Water-Meter'!Q14</f>
        <v>1</v>
      </c>
      <c r="O10" s="525" t="e">
        <f>K10*E10+H10*I10+#REF!*#REF!+J10*L10</f>
        <v>#REF!</v>
      </c>
      <c r="P10" s="532">
        <f>'Water-Meter'!E14</f>
        <v>33</v>
      </c>
      <c r="Q10" s="280">
        <f>IF('Water-Meter'!U14&lt;0,"0",'Water-Meter'!U14)</f>
        <v>65</v>
      </c>
      <c r="R10" s="280">
        <f>IF('Water-Meter'!X14&lt;0,"0",'Water-Meter'!X14)</f>
        <v>0</v>
      </c>
      <c r="S10" s="280">
        <f>IF('Water-Meter'!AA14&lt;0,"0",'Water-Meter'!AA14)</f>
        <v>53</v>
      </c>
      <c r="T10" s="280">
        <f>IF('Water-Meter'!AD14&lt;0,"0",'Water-Meter'!AD14)</f>
        <v>17</v>
      </c>
      <c r="U10" s="280">
        <f>IF('Water-Meter'!AG14&lt;0,"0",'Water-Meter'!AG14)</f>
        <v>0</v>
      </c>
      <c r="V10" s="280">
        <f>IF('Water-Meter'!AJ14&lt;0,"0",'Water-Meter'!AJ14)</f>
        <v>0</v>
      </c>
      <c r="W10" s="31">
        <f>'Water-Meter'!AN14</f>
        <v>135</v>
      </c>
      <c r="X10" s="543">
        <f>Total!K10</f>
        <v>0</v>
      </c>
    </row>
    <row r="11" spans="1:24">
      <c r="A11" s="527" t="s">
        <v>265</v>
      </c>
      <c r="B11" s="524">
        <f t="shared" si="0"/>
        <v>10</v>
      </c>
      <c r="C11" s="530">
        <v>4</v>
      </c>
      <c r="D11" s="531">
        <v>2020</v>
      </c>
      <c r="E11" s="525">
        <f>'UTILITY REPORT 1'!I12</f>
        <v>0</v>
      </c>
      <c r="F11" s="525">
        <f>'UTILITY REPORT 1'!E12</f>
        <v>823.75</v>
      </c>
      <c r="G11" s="526">
        <f>'UTILITY REPORT 1'!F12</f>
        <v>1935</v>
      </c>
      <c r="H11" s="525">
        <f>IF('Kit report'!F13&lt;0,"0",'Kit report'!F13)</f>
        <v>107.99999999995634</v>
      </c>
      <c r="I11" s="525">
        <f>IF('Kit report'!X13&lt;0,"0",'Kit report'!X13)</f>
        <v>60.00000000003638</v>
      </c>
      <c r="J11" s="525">
        <f>IF('Utility summery'!H15&lt;0,"0",'Utility summery'!H15)</f>
        <v>26</v>
      </c>
      <c r="K11" s="526">
        <f>IF('UTILITY REPORT 1'!H12&lt;0,"0",'UTILITY REPORT 1'!H12)</f>
        <v>44</v>
      </c>
      <c r="L11" s="525">
        <f>'Water-Meter'!K15</f>
        <v>0</v>
      </c>
      <c r="M11" s="526">
        <f>'Water-Meter'!H15</f>
        <v>0</v>
      </c>
      <c r="N11" s="526">
        <f>'Water-Meter'!Q15</f>
        <v>2</v>
      </c>
      <c r="O11" s="525" t="e">
        <f>K11*E11+H11*I11+#REF!*#REF!+J11*L11</f>
        <v>#REF!</v>
      </c>
      <c r="P11" s="532">
        <f>'Water-Meter'!E15</f>
        <v>55</v>
      </c>
      <c r="Q11" s="280">
        <f>IF('Water-Meter'!U15&lt;0,"0",'Water-Meter'!U15)</f>
        <v>1</v>
      </c>
      <c r="R11" s="280">
        <f>IF('Water-Meter'!X15&lt;0,"0",'Water-Meter'!X15)</f>
        <v>0</v>
      </c>
      <c r="S11" s="280">
        <f>IF('Water-Meter'!AA15&lt;0,"0",'Water-Meter'!AA15)</f>
        <v>53</v>
      </c>
      <c r="T11" s="280">
        <f>IF('Water-Meter'!AD15&lt;0,"0",'Water-Meter'!AD15)</f>
        <v>17</v>
      </c>
      <c r="U11" s="280">
        <f>IF('Water-Meter'!AG15&lt;0,"0",'Water-Meter'!AG15)</f>
        <v>20</v>
      </c>
      <c r="V11" s="280">
        <f>IF('Water-Meter'!AJ15&lt;0,"0",'Water-Meter'!AJ15)</f>
        <v>0</v>
      </c>
      <c r="W11" s="31">
        <f>'Water-Meter'!AN15</f>
        <v>91</v>
      </c>
      <c r="X11" s="543">
        <f>Total!K11</f>
        <v>0</v>
      </c>
    </row>
    <row r="12" spans="1:24">
      <c r="A12" s="527" t="s">
        <v>265</v>
      </c>
      <c r="B12" s="524">
        <f t="shared" si="0"/>
        <v>11</v>
      </c>
      <c r="C12" s="530">
        <v>4</v>
      </c>
      <c r="D12" s="531">
        <v>2020</v>
      </c>
      <c r="E12" s="525">
        <f>'UTILITY REPORT 1'!I13</f>
        <v>0</v>
      </c>
      <c r="F12" s="525">
        <f>'UTILITY REPORT 1'!E13</f>
        <v>782.67</v>
      </c>
      <c r="G12" s="526">
        <f>'UTILITY REPORT 1'!F13</f>
        <v>1883</v>
      </c>
      <c r="H12" s="525">
        <f>IF('Kit report'!F14&lt;0,"0",'Kit report'!F14)</f>
        <v>132.00000000004366</v>
      </c>
      <c r="I12" s="525">
        <f>IF('Kit report'!X14&lt;0,"0",'Kit report'!X14)</f>
        <v>20.00000000007276</v>
      </c>
      <c r="J12" s="525">
        <f>IF('Utility summery'!H16&lt;0,"0",'Utility summery'!H16)</f>
        <v>28</v>
      </c>
      <c r="K12" s="526">
        <f>IF('UTILITY REPORT 1'!H13&lt;0,"0",'UTILITY REPORT 1'!H13)</f>
        <v>75</v>
      </c>
      <c r="L12" s="525">
        <f>'Water-Meter'!K16</f>
        <v>0</v>
      </c>
      <c r="M12" s="526">
        <f>'Water-Meter'!H16</f>
        <v>0</v>
      </c>
      <c r="N12" s="526">
        <f>'Water-Meter'!Q16</f>
        <v>1</v>
      </c>
      <c r="O12" s="525" t="e">
        <f>K12*E12+H12*I12+#REF!*#REF!+J12*L12</f>
        <v>#REF!</v>
      </c>
      <c r="P12" s="532">
        <f>'Water-Meter'!E16</f>
        <v>56</v>
      </c>
      <c r="Q12" s="280">
        <f>IF('Water-Meter'!U16&lt;0,"0",'Water-Meter'!U16)</f>
        <v>0</v>
      </c>
      <c r="R12" s="280">
        <f>IF('Water-Meter'!X16&lt;0,"0",'Water-Meter'!X16)</f>
        <v>0</v>
      </c>
      <c r="S12" s="280">
        <f>IF('Water-Meter'!AA16&lt;0,"0",'Water-Meter'!AA16)</f>
        <v>4</v>
      </c>
      <c r="T12" s="280">
        <f>IF('Water-Meter'!AD16&lt;0,"0",'Water-Meter'!AD16)</f>
        <v>17</v>
      </c>
      <c r="U12" s="280">
        <f>IF('Water-Meter'!AG16&lt;0,"0",'Water-Meter'!AG16)</f>
        <v>25</v>
      </c>
      <c r="V12" s="280">
        <f>IF('Water-Meter'!AJ16&lt;0,"0",'Water-Meter'!AJ16)</f>
        <v>0</v>
      </c>
      <c r="W12" s="31">
        <f>'Water-Meter'!AN16</f>
        <v>46</v>
      </c>
      <c r="X12" s="543">
        <f>Total!K12</f>
        <v>0</v>
      </c>
    </row>
    <row r="13" spans="1:24">
      <c r="A13" s="527" t="s">
        <v>265</v>
      </c>
      <c r="B13" s="524">
        <f t="shared" si="0"/>
        <v>12</v>
      </c>
      <c r="C13" s="530">
        <v>4</v>
      </c>
      <c r="D13" s="531">
        <v>2020</v>
      </c>
      <c r="E13" s="525">
        <f>'UTILITY REPORT 1'!I14</f>
        <v>0</v>
      </c>
      <c r="F13" s="525">
        <f>'UTILITY REPORT 1'!E14</f>
        <v>776.8</v>
      </c>
      <c r="G13" s="526">
        <f>'UTILITY REPORT 1'!F14</f>
        <v>1877</v>
      </c>
      <c r="H13" s="525">
        <f>IF('Kit report'!F15&lt;0,"0",'Kit report'!F15)</f>
        <v>131.99999999982538</v>
      </c>
      <c r="I13" s="525">
        <f>IF('Kit report'!X15&lt;0,"0",'Kit report'!X15)</f>
        <v>19.999999999890861</v>
      </c>
      <c r="J13" s="525">
        <f>IF('Utility summery'!H17&lt;0,"0",'Utility summery'!H17)</f>
        <v>24</v>
      </c>
      <c r="K13" s="526">
        <f>IF('UTILITY REPORT 1'!H14&lt;0,"0",'UTILITY REPORT 1'!H14)</f>
        <v>49</v>
      </c>
      <c r="L13" s="525">
        <f>'Water-Meter'!K17</f>
        <v>1</v>
      </c>
      <c r="M13" s="526">
        <f>'Water-Meter'!H17</f>
        <v>0</v>
      </c>
      <c r="N13" s="526">
        <f>'Water-Meter'!Q17</f>
        <v>1</v>
      </c>
      <c r="O13" s="525" t="e">
        <f>K13*E13+H13*I13+#REF!*#REF!+J13*L13</f>
        <v>#REF!</v>
      </c>
      <c r="P13" s="532">
        <f>'Water-Meter'!E17</f>
        <v>41</v>
      </c>
      <c r="Q13" s="280">
        <f>IF('Water-Meter'!U17&lt;0,"0",'Water-Meter'!U17)</f>
        <v>0</v>
      </c>
      <c r="R13" s="280">
        <f>IF('Water-Meter'!X17&lt;0,"0",'Water-Meter'!X17)</f>
        <v>0</v>
      </c>
      <c r="S13" s="280">
        <f>IF('Water-Meter'!AA17&lt;0,"0",'Water-Meter'!AA17)</f>
        <v>0</v>
      </c>
      <c r="T13" s="280">
        <f>IF('Water-Meter'!AD17&lt;0,"0",'Water-Meter'!AD17)</f>
        <v>16</v>
      </c>
      <c r="U13" s="280">
        <f>IF('Water-Meter'!AG17&lt;0,"0",'Water-Meter'!AG17)</f>
        <v>25</v>
      </c>
      <c r="V13" s="280">
        <f>IF('Water-Meter'!AJ17&lt;0,"0",'Water-Meter'!AJ17)</f>
        <v>0</v>
      </c>
      <c r="W13" s="31">
        <f>'Water-Meter'!AN17</f>
        <v>41</v>
      </c>
      <c r="X13" s="543">
        <f>Total!K13</f>
        <v>0</v>
      </c>
    </row>
    <row r="14" spans="1:24">
      <c r="A14" s="527" t="s">
        <v>265</v>
      </c>
      <c r="B14" s="524">
        <f t="shared" si="0"/>
        <v>13</v>
      </c>
      <c r="C14" s="530">
        <v>4</v>
      </c>
      <c r="D14" s="531">
        <v>2020</v>
      </c>
      <c r="E14" s="525">
        <f>'UTILITY REPORT 1'!I15</f>
        <v>19.86</v>
      </c>
      <c r="F14" s="525">
        <f>'UTILITY REPORT 1'!E15</f>
        <v>771.72</v>
      </c>
      <c r="G14" s="526">
        <f>'UTILITY REPORT 1'!F15</f>
        <v>1796</v>
      </c>
      <c r="H14" s="525">
        <f>IF('Kit report'!F16&lt;0,"0",'Kit report'!F16)</f>
        <v>132.00000000004366</v>
      </c>
      <c r="I14" s="525">
        <f>IF('Kit report'!X16&lt;0,"0",'Kit report'!X16)</f>
        <v>20.00000000007276</v>
      </c>
      <c r="J14" s="525">
        <f>IF('Utility summery'!H18&lt;0,"0",'Utility summery'!H18)</f>
        <v>31</v>
      </c>
      <c r="K14" s="526">
        <f>IF('UTILITY REPORT 1'!H15&lt;0,"0",'UTILITY REPORT 1'!H15)</f>
        <v>50</v>
      </c>
      <c r="L14" s="525">
        <f>'Water-Meter'!K18</f>
        <v>0</v>
      </c>
      <c r="M14" s="526">
        <f>'Water-Meter'!H18</f>
        <v>0</v>
      </c>
      <c r="N14" s="526">
        <f>'Water-Meter'!Q18</f>
        <v>1</v>
      </c>
      <c r="O14" s="525" t="e">
        <f>K14*E14+H14*I14+#REF!*#REF!+J14*L14</f>
        <v>#REF!</v>
      </c>
      <c r="P14" s="532">
        <f>'Water-Meter'!E18</f>
        <v>45</v>
      </c>
      <c r="Q14" s="280">
        <f>IF('Water-Meter'!U18&lt;0,"0",'Water-Meter'!U18)</f>
        <v>0</v>
      </c>
      <c r="R14" s="280">
        <f>IF('Water-Meter'!X18&lt;0,"0",'Water-Meter'!X18)</f>
        <v>0</v>
      </c>
      <c r="S14" s="280">
        <f>IF('Water-Meter'!AA18&lt;0,"0",'Water-Meter'!AA18)</f>
        <v>0</v>
      </c>
      <c r="T14" s="280">
        <f>IF('Water-Meter'!AD18&lt;0,"0",'Water-Meter'!AD18)</f>
        <v>16</v>
      </c>
      <c r="U14" s="280">
        <f>IF('Water-Meter'!AG18&lt;0,"0",'Water-Meter'!AG18)</f>
        <v>25</v>
      </c>
      <c r="V14" s="280">
        <f>IF('Water-Meter'!AJ18&lt;0,"0",'Water-Meter'!AJ18)</f>
        <v>0</v>
      </c>
      <c r="W14" s="31">
        <f>'Water-Meter'!AN18</f>
        <v>41</v>
      </c>
      <c r="X14" s="543">
        <f>Total!K14</f>
        <v>0</v>
      </c>
    </row>
    <row r="15" spans="1:24">
      <c r="A15" s="527" t="s">
        <v>265</v>
      </c>
      <c r="B15" s="524">
        <f t="shared" si="0"/>
        <v>14</v>
      </c>
      <c r="C15" s="530">
        <v>4</v>
      </c>
      <c r="D15" s="531">
        <v>2020</v>
      </c>
      <c r="E15" s="525">
        <f>'UTILITY REPORT 1'!I16</f>
        <v>0</v>
      </c>
      <c r="F15" s="525">
        <f>'UTILITY REPORT 1'!E16</f>
        <v>760.62</v>
      </c>
      <c r="G15" s="526">
        <f>'UTILITY REPORT 1'!F16</f>
        <v>1789</v>
      </c>
      <c r="H15" s="525">
        <f>IF('Kit report'!F17&lt;0,"0",'Kit report'!F17)</f>
        <v>120</v>
      </c>
      <c r="I15" s="525">
        <f>IF('Kit report'!X17&lt;0,"0",'Kit report'!X17)</f>
        <v>39.99999999996362</v>
      </c>
      <c r="J15" s="525">
        <f>IF('Utility summery'!H19&lt;0,"0",'Utility summery'!H19)</f>
        <v>26</v>
      </c>
      <c r="K15" s="526">
        <f>IF('UTILITY REPORT 1'!H16&lt;0,"0",'UTILITY REPORT 1'!H16)</f>
        <v>35</v>
      </c>
      <c r="L15" s="525">
        <f>'Water-Meter'!K19</f>
        <v>1</v>
      </c>
      <c r="M15" s="526">
        <f>'Water-Meter'!H19</f>
        <v>0</v>
      </c>
      <c r="N15" s="526">
        <f>'Water-Meter'!Q19</f>
        <v>1</v>
      </c>
      <c r="O15" s="525" t="e">
        <f>K15*E15+H15*I15+#REF!*#REF!+J15*L15</f>
        <v>#REF!</v>
      </c>
      <c r="P15" s="532">
        <f>'Water-Meter'!E19</f>
        <v>51</v>
      </c>
      <c r="Q15" s="280">
        <f>IF('Water-Meter'!U19&lt;0,"0",'Water-Meter'!U19)</f>
        <v>0</v>
      </c>
      <c r="R15" s="280">
        <f>IF('Water-Meter'!X19&lt;0,"0",'Water-Meter'!X19)</f>
        <v>0</v>
      </c>
      <c r="S15" s="280">
        <f>IF('Water-Meter'!AA19&lt;0,"0",'Water-Meter'!AA19)</f>
        <v>0</v>
      </c>
      <c r="T15" s="280">
        <f>IF('Water-Meter'!AD19&lt;0,"0",'Water-Meter'!AD19)</f>
        <v>17</v>
      </c>
      <c r="U15" s="280">
        <f>IF('Water-Meter'!AG19&lt;0,"0",'Water-Meter'!AG19)</f>
        <v>24</v>
      </c>
      <c r="V15" s="280">
        <f>IF('Water-Meter'!AJ19&lt;0,"0",'Water-Meter'!AJ19)</f>
        <v>0</v>
      </c>
      <c r="W15" s="31">
        <f>'Water-Meter'!AN19</f>
        <v>41</v>
      </c>
      <c r="X15" s="543">
        <f>Total!K15</f>
        <v>0</v>
      </c>
    </row>
    <row r="16" spans="1:24">
      <c r="A16" s="527" t="s">
        <v>265</v>
      </c>
      <c r="B16" s="524">
        <f t="shared" si="0"/>
        <v>15</v>
      </c>
      <c r="C16" s="530">
        <v>4</v>
      </c>
      <c r="D16" s="531">
        <v>2020</v>
      </c>
      <c r="E16" s="525">
        <f>'UTILITY REPORT 1'!I17</f>
        <v>0</v>
      </c>
      <c r="F16" s="525">
        <f>'UTILITY REPORT 1'!E17</f>
        <v>786.19</v>
      </c>
      <c r="G16" s="526">
        <f>'UTILITY REPORT 1'!F17</f>
        <v>1823</v>
      </c>
      <c r="H16" s="525">
        <f>IF('Kit report'!F18&lt;0,"0",'Kit report'!F18)</f>
        <v>120</v>
      </c>
      <c r="I16" s="525">
        <f>IF('Kit report'!X18&lt;0,"0",'Kit report'!X18)</f>
        <v>20.00000000007276</v>
      </c>
      <c r="J16" s="525">
        <f>IF('Utility summery'!H20&lt;0,"0",'Utility summery'!H20)</f>
        <v>44</v>
      </c>
      <c r="K16" s="526">
        <f>IF('UTILITY REPORT 1'!H17&lt;0,"0",'UTILITY REPORT 1'!H17)</f>
        <v>57</v>
      </c>
      <c r="L16" s="525">
        <f>'Water-Meter'!K20</f>
        <v>0</v>
      </c>
      <c r="M16" s="526">
        <f>'Water-Meter'!H20</f>
        <v>0</v>
      </c>
      <c r="N16" s="526">
        <f>'Water-Meter'!Q20</f>
        <v>1</v>
      </c>
      <c r="O16" s="525" t="e">
        <f>K16*E16+H16*I16+#REF!*#REF!+J16*L16</f>
        <v>#REF!</v>
      </c>
      <c r="P16" s="532">
        <f>'Water-Meter'!E20</f>
        <v>54</v>
      </c>
      <c r="Q16" s="280">
        <f>IF('Water-Meter'!U20&lt;0,"0",'Water-Meter'!U20)</f>
        <v>0</v>
      </c>
      <c r="R16" s="280">
        <f>IF('Water-Meter'!X20&lt;0,"0",'Water-Meter'!X20)</f>
        <v>0</v>
      </c>
      <c r="S16" s="280">
        <f>IF('Water-Meter'!AA20&lt;0,"0",'Water-Meter'!AA20)</f>
        <v>0</v>
      </c>
      <c r="T16" s="280">
        <f>IF('Water-Meter'!AD20&lt;0,"0",'Water-Meter'!AD20)</f>
        <v>17</v>
      </c>
      <c r="U16" s="280">
        <f>IF('Water-Meter'!AG20&lt;0,"0",'Water-Meter'!AG20)</f>
        <v>25</v>
      </c>
      <c r="V16" s="280">
        <f>IF('Water-Meter'!AJ20&lt;0,"0",'Water-Meter'!AJ20)</f>
        <v>0</v>
      </c>
      <c r="W16" s="31">
        <f>'Water-Meter'!AN20</f>
        <v>42</v>
      </c>
      <c r="X16" s="543">
        <f>Total!K16</f>
        <v>0</v>
      </c>
    </row>
    <row r="17" spans="1:24">
      <c r="A17" s="527" t="s">
        <v>265</v>
      </c>
      <c r="B17" s="524">
        <f t="shared" si="0"/>
        <v>16</v>
      </c>
      <c r="C17" s="530">
        <v>4</v>
      </c>
      <c r="D17" s="531">
        <v>2020</v>
      </c>
      <c r="E17" s="525">
        <f>'UTILITY REPORT 1'!I18</f>
        <v>0</v>
      </c>
      <c r="F17" s="525">
        <f>'UTILITY REPORT 1'!E18</f>
        <v>754.27</v>
      </c>
      <c r="G17" s="526">
        <f>'UTILITY REPORT 1'!F18</f>
        <v>1782</v>
      </c>
      <c r="H17" s="525">
        <f>IF('Kit report'!F19&lt;0,"0",'Kit report'!F19)</f>
        <v>120</v>
      </c>
      <c r="I17" s="525">
        <f>IF('Kit report'!X19&lt;0,"0",'Kit report'!X19)</f>
        <v>19.999999999890861</v>
      </c>
      <c r="J17" s="525">
        <f>IF('Utility summery'!H21&lt;0,"0",'Utility summery'!H21)</f>
        <v>28</v>
      </c>
      <c r="K17" s="526">
        <f>IF('UTILITY REPORT 1'!H18&lt;0,"0",'UTILITY REPORT 1'!H18)</f>
        <v>44</v>
      </c>
      <c r="L17" s="525">
        <f>'Water-Meter'!K21</f>
        <v>1</v>
      </c>
      <c r="M17" s="526">
        <f>'Water-Meter'!H21</f>
        <v>0</v>
      </c>
      <c r="N17" s="526">
        <f>'Water-Meter'!Q21</f>
        <v>0</v>
      </c>
      <c r="O17" s="525" t="e">
        <f>K17*E17+H17*I17+#REF!*#REF!+J17*L17</f>
        <v>#REF!</v>
      </c>
      <c r="P17" s="532">
        <f>'Water-Meter'!E21</f>
        <v>54</v>
      </c>
      <c r="Q17" s="280">
        <f>IF('Water-Meter'!U21&lt;0,"0",'Water-Meter'!U21)</f>
        <v>0</v>
      </c>
      <c r="R17" s="280">
        <f>IF('Water-Meter'!X21&lt;0,"0",'Water-Meter'!X21)</f>
        <v>0</v>
      </c>
      <c r="S17" s="280">
        <f>IF('Water-Meter'!AA21&lt;0,"0",'Water-Meter'!AA21)</f>
        <v>0</v>
      </c>
      <c r="T17" s="280">
        <f>IF('Water-Meter'!AD21&lt;0,"0",'Water-Meter'!AD21)</f>
        <v>17</v>
      </c>
      <c r="U17" s="280">
        <f>IF('Water-Meter'!AG21&lt;0,"0",'Water-Meter'!AG21)</f>
        <v>24</v>
      </c>
      <c r="V17" s="280">
        <f>IF('Water-Meter'!AJ21&lt;0,"0",'Water-Meter'!AJ21)</f>
        <v>0</v>
      </c>
      <c r="W17" s="31">
        <f>'Water-Meter'!AN21</f>
        <v>41</v>
      </c>
      <c r="X17" s="543">
        <f>Total!K17</f>
        <v>0</v>
      </c>
    </row>
    <row r="18" spans="1:24">
      <c r="A18" s="527" t="s">
        <v>265</v>
      </c>
      <c r="B18" s="524">
        <f t="shared" si="0"/>
        <v>17</v>
      </c>
      <c r="C18" s="530">
        <v>4</v>
      </c>
      <c r="D18" s="531">
        <v>2020</v>
      </c>
      <c r="E18" s="525">
        <f>'UTILITY REPORT 1'!I19</f>
        <v>18.45</v>
      </c>
      <c r="F18" s="525">
        <f>'UTILITY REPORT 1'!E19</f>
        <v>781.93000000000006</v>
      </c>
      <c r="G18" s="526">
        <f>'UTILITY REPORT 1'!F19</f>
        <v>1857</v>
      </c>
      <c r="H18" s="525">
        <f>IF('Kit report'!F20&lt;0,"0",'Kit report'!F20)</f>
        <v>120</v>
      </c>
      <c r="I18" s="525">
        <f>IF('Kit report'!X20&lt;0,"0",'Kit report'!X20)</f>
        <v>39.99999999996362</v>
      </c>
      <c r="J18" s="525">
        <f>IF('Utility summery'!H22&lt;0,"0",'Utility summery'!H22)</f>
        <v>39</v>
      </c>
      <c r="K18" s="526">
        <f>IF('UTILITY REPORT 1'!H19&lt;0,"0",'UTILITY REPORT 1'!H19)</f>
        <v>68</v>
      </c>
      <c r="L18" s="525">
        <f>'Water-Meter'!K22</f>
        <v>0</v>
      </c>
      <c r="M18" s="526">
        <f>'Water-Meter'!H22</f>
        <v>0</v>
      </c>
      <c r="N18" s="526">
        <f>'Water-Meter'!Q22</f>
        <v>2</v>
      </c>
      <c r="O18" s="525" t="e">
        <f>K18*E18+H18*I18+#REF!*#REF!+J18*L18</f>
        <v>#REF!</v>
      </c>
      <c r="P18" s="532">
        <f>'Water-Meter'!E22</f>
        <v>42</v>
      </c>
      <c r="Q18" s="280">
        <f>IF('Water-Meter'!U22&lt;0,"0",'Water-Meter'!U22)</f>
        <v>0</v>
      </c>
      <c r="R18" s="280">
        <f>IF('Water-Meter'!X22&lt;0,"0",'Water-Meter'!X22)</f>
        <v>0</v>
      </c>
      <c r="S18" s="280">
        <f>IF('Water-Meter'!AA22&lt;0,"0",'Water-Meter'!AA22)</f>
        <v>0</v>
      </c>
      <c r="T18" s="280">
        <f>IF('Water-Meter'!AD22&lt;0,"0",'Water-Meter'!AD22)</f>
        <v>16</v>
      </c>
      <c r="U18" s="280">
        <f>IF('Water-Meter'!AG22&lt;0,"0",'Water-Meter'!AG22)</f>
        <v>24</v>
      </c>
      <c r="V18" s="280">
        <f>IF('Water-Meter'!AJ22&lt;0,"0",'Water-Meter'!AJ22)</f>
        <v>0</v>
      </c>
      <c r="W18" s="31">
        <f>'Water-Meter'!AN22</f>
        <v>40</v>
      </c>
      <c r="X18" s="543">
        <f>Total!K18</f>
        <v>0</v>
      </c>
    </row>
    <row r="19" spans="1:24">
      <c r="A19" s="527" t="s">
        <v>265</v>
      </c>
      <c r="B19" s="524">
        <f t="shared" si="0"/>
        <v>18</v>
      </c>
      <c r="C19" s="530">
        <v>4</v>
      </c>
      <c r="D19" s="531">
        <v>2020</v>
      </c>
      <c r="E19" s="525">
        <f>'UTILITY REPORT 1'!I20</f>
        <v>0</v>
      </c>
      <c r="F19" s="525">
        <f>'UTILITY REPORT 1'!E20</f>
        <v>744.22</v>
      </c>
      <c r="G19" s="526">
        <f>'UTILITY REPORT 1'!F20</f>
        <v>1756</v>
      </c>
      <c r="H19" s="525">
        <f>IF('Kit report'!F21&lt;0,"0",'Kit report'!F21)</f>
        <v>96.000000000130967</v>
      </c>
      <c r="I19" s="525">
        <f>IF('Kit report'!X21&lt;0,"0",'Kit report'!X21)</f>
        <v>20.00000000007276</v>
      </c>
      <c r="J19" s="525">
        <f>IF('Utility summery'!H23&lt;0,"0",'Utility summery'!H23)</f>
        <v>62</v>
      </c>
      <c r="K19" s="526">
        <f>IF('UTILITY REPORT 1'!H20&lt;0,"0",'UTILITY REPORT 1'!H20)</f>
        <v>47</v>
      </c>
      <c r="L19" s="525">
        <f>'Water-Meter'!K23</f>
        <v>1</v>
      </c>
      <c r="M19" s="526">
        <f>'Water-Meter'!H23</f>
        <v>0</v>
      </c>
      <c r="N19" s="526">
        <f>'Water-Meter'!Q23</f>
        <v>1</v>
      </c>
      <c r="O19" s="525" t="e">
        <f>K19*E19+H19*I19+#REF!*#REF!+J19*L19</f>
        <v>#REF!</v>
      </c>
      <c r="P19" s="532">
        <f>'Water-Meter'!E23</f>
        <v>30</v>
      </c>
      <c r="Q19" s="280">
        <f>IF('Water-Meter'!U23&lt;0,"0",'Water-Meter'!U23)</f>
        <v>0</v>
      </c>
      <c r="R19" s="280">
        <f>IF('Water-Meter'!X23&lt;0,"0",'Water-Meter'!X23)</f>
        <v>0</v>
      </c>
      <c r="S19" s="280">
        <f>IF('Water-Meter'!AA23&lt;0,"0",'Water-Meter'!AA23)</f>
        <v>0</v>
      </c>
      <c r="T19" s="280">
        <f>IF('Water-Meter'!AD23&lt;0,"0",'Water-Meter'!AD23)</f>
        <v>16</v>
      </c>
      <c r="U19" s="280">
        <f>IF('Water-Meter'!AG23&lt;0,"0",'Water-Meter'!AG23)</f>
        <v>25</v>
      </c>
      <c r="V19" s="280">
        <f>IF('Water-Meter'!AJ23&lt;0,"0",'Water-Meter'!AJ23)</f>
        <v>0</v>
      </c>
      <c r="W19" s="31">
        <f>'Water-Meter'!AN23</f>
        <v>41</v>
      </c>
      <c r="X19" s="543">
        <f>Total!K19</f>
        <v>0</v>
      </c>
    </row>
    <row r="20" spans="1:24">
      <c r="A20" s="527" t="s">
        <v>265</v>
      </c>
      <c r="B20" s="524">
        <f t="shared" si="0"/>
        <v>19</v>
      </c>
      <c r="C20" s="530">
        <v>4</v>
      </c>
      <c r="D20" s="531">
        <v>2020</v>
      </c>
      <c r="E20" s="525">
        <f>'UTILITY REPORT 1'!I21</f>
        <v>52.039999999999992</v>
      </c>
      <c r="F20" s="525">
        <f>'UTILITY REPORT 1'!E21</f>
        <v>740.05</v>
      </c>
      <c r="G20" s="526">
        <f>'UTILITY REPORT 1'!F21</f>
        <v>1728</v>
      </c>
      <c r="H20" s="525">
        <f>IF('Kit report'!F22&lt;0,"0",'Kit report'!F22)</f>
        <v>107.99999999995634</v>
      </c>
      <c r="I20" s="525">
        <f>IF('Kit report'!X22&lt;0,"0",'Kit report'!X22)</f>
        <v>20.00000000007276</v>
      </c>
      <c r="J20" s="525">
        <f>IF('Utility summery'!H24&lt;0,"0",'Utility summery'!H24)</f>
        <v>69</v>
      </c>
      <c r="K20" s="526">
        <f>IF('UTILITY REPORT 1'!H21&lt;0,"0",'UTILITY REPORT 1'!H21)</f>
        <v>0</v>
      </c>
      <c r="L20" s="525">
        <f>'Water-Meter'!K24</f>
        <v>0</v>
      </c>
      <c r="M20" s="526">
        <f>'Water-Meter'!H24</f>
        <v>0</v>
      </c>
      <c r="N20" s="526">
        <f>'Water-Meter'!Q24</f>
        <v>1</v>
      </c>
      <c r="O20" s="525" t="e">
        <f>K20*E20+H20*I20+#REF!*#REF!+J20*L20</f>
        <v>#REF!</v>
      </c>
      <c r="P20" s="532">
        <f>'Water-Meter'!E24</f>
        <v>51</v>
      </c>
      <c r="Q20" s="280">
        <f>IF('Water-Meter'!U24&lt;0,"0",'Water-Meter'!U24)</f>
        <v>0</v>
      </c>
      <c r="R20" s="280">
        <f>IF('Water-Meter'!X24&lt;0,"0",'Water-Meter'!X24)</f>
        <v>0</v>
      </c>
      <c r="S20" s="280">
        <f>IF('Water-Meter'!AA24&lt;0,"0",'Water-Meter'!AA24)</f>
        <v>0</v>
      </c>
      <c r="T20" s="280">
        <f>IF('Water-Meter'!AD24&lt;0,"0",'Water-Meter'!AD24)</f>
        <v>19</v>
      </c>
      <c r="U20" s="280">
        <f>IF('Water-Meter'!AG24&lt;0,"0",'Water-Meter'!AG24)</f>
        <v>24</v>
      </c>
      <c r="V20" s="280">
        <f>IF('Water-Meter'!AJ24&lt;0,"0",'Water-Meter'!AJ24)</f>
        <v>0</v>
      </c>
      <c r="W20" s="31">
        <f>'Water-Meter'!AN24</f>
        <v>43</v>
      </c>
      <c r="X20" s="543">
        <f>Total!K20</f>
        <v>0</v>
      </c>
    </row>
    <row r="21" spans="1:24">
      <c r="A21" s="527" t="s">
        <v>265</v>
      </c>
      <c r="B21" s="524">
        <f t="shared" si="0"/>
        <v>20</v>
      </c>
      <c r="C21" s="530">
        <v>4</v>
      </c>
      <c r="D21" s="531">
        <v>2020</v>
      </c>
      <c r="E21" s="525">
        <f>'UTILITY REPORT 1'!I22</f>
        <v>0</v>
      </c>
      <c r="F21" s="525">
        <f>'UTILITY REPORT 1'!E22</f>
        <v>731.47</v>
      </c>
      <c r="G21" s="526">
        <f>'UTILITY REPORT 1'!F22</f>
        <v>1693</v>
      </c>
      <c r="H21" s="525">
        <f>IF('Kit report'!F23&lt;0,"0",'Kit report'!F23)</f>
        <v>107.99999999995634</v>
      </c>
      <c r="I21" s="525">
        <f>IF('Kit report'!X23&lt;0,"0",'Kit report'!X23)</f>
        <v>19.999999999890861</v>
      </c>
      <c r="J21" s="525">
        <f>IF('Utility summery'!H25&lt;0,"0",'Utility summery'!H25)</f>
        <v>51</v>
      </c>
      <c r="K21" s="526">
        <f>IF('UTILITY REPORT 1'!H22&lt;0,"0",'UTILITY REPORT 1'!H22)</f>
        <v>46</v>
      </c>
      <c r="L21" s="525">
        <f>'Water-Meter'!K25</f>
        <v>1</v>
      </c>
      <c r="M21" s="526">
        <f>'Water-Meter'!H25</f>
        <v>0</v>
      </c>
      <c r="N21" s="526">
        <f>'Water-Meter'!Q25</f>
        <v>0</v>
      </c>
      <c r="O21" s="525" t="e">
        <f>K21*E21+H21*I21+#REF!*#REF!+J21*L21</f>
        <v>#REF!</v>
      </c>
      <c r="P21" s="532">
        <f>'Water-Meter'!E25</f>
        <v>35</v>
      </c>
      <c r="Q21" s="280">
        <f>IF('Water-Meter'!U25&lt;0,"0",'Water-Meter'!U25)</f>
        <v>0</v>
      </c>
      <c r="R21" s="280">
        <f>IF('Water-Meter'!X25&lt;0,"0",'Water-Meter'!X25)</f>
        <v>0</v>
      </c>
      <c r="S21" s="280">
        <f>IF('Water-Meter'!AA25&lt;0,"0",'Water-Meter'!AA25)</f>
        <v>0</v>
      </c>
      <c r="T21" s="280">
        <f>IF('Water-Meter'!AD25&lt;0,"0",'Water-Meter'!AD25)</f>
        <v>17</v>
      </c>
      <c r="U21" s="280">
        <f>IF('Water-Meter'!AG25&lt;0,"0",'Water-Meter'!AG25)</f>
        <v>25</v>
      </c>
      <c r="V21" s="280">
        <f>IF('Water-Meter'!AJ25&lt;0,"0",'Water-Meter'!AJ25)</f>
        <v>0</v>
      </c>
      <c r="W21" s="31">
        <f>'Water-Meter'!AN25</f>
        <v>42</v>
      </c>
      <c r="X21" s="543">
        <f>Total!K21</f>
        <v>0</v>
      </c>
    </row>
    <row r="22" spans="1:24">
      <c r="A22" s="527" t="s">
        <v>265</v>
      </c>
      <c r="B22" s="524">
        <f t="shared" si="0"/>
        <v>21</v>
      </c>
      <c r="C22" s="530">
        <v>4</v>
      </c>
      <c r="D22" s="531">
        <v>2020</v>
      </c>
      <c r="E22" s="525">
        <f>'UTILITY REPORT 1'!I23</f>
        <v>180</v>
      </c>
      <c r="F22" s="525">
        <f>'UTILITY REPORT 1'!E23</f>
        <v>747.27</v>
      </c>
      <c r="G22" s="526">
        <f>'UTILITY REPORT 1'!F23</f>
        <v>1727</v>
      </c>
      <c r="H22" s="525">
        <f>IF('Kit report'!F24&lt;0,"0",'Kit report'!F24)</f>
        <v>107.99999999995634</v>
      </c>
      <c r="I22" s="525">
        <f>IF('Kit report'!X24&lt;0,"0",'Kit report'!X24)</f>
        <v>20.00000000007276</v>
      </c>
      <c r="J22" s="525">
        <f>IF('Utility summery'!H26&lt;0,"0",'Utility summery'!H26)</f>
        <v>41</v>
      </c>
      <c r="K22" s="526">
        <f>IF('UTILITY REPORT 1'!H23&lt;0,"0",'UTILITY REPORT 1'!H23)</f>
        <v>49</v>
      </c>
      <c r="L22" s="525">
        <f>'Water-Meter'!K26</f>
        <v>0</v>
      </c>
      <c r="M22" s="526">
        <f>'Water-Meter'!H26</f>
        <v>0</v>
      </c>
      <c r="N22" s="526">
        <f>'Water-Meter'!Q26</f>
        <v>1</v>
      </c>
      <c r="O22" s="525" t="e">
        <f>K22*E22+H22*I22+#REF!*#REF!+J22*L22</f>
        <v>#REF!</v>
      </c>
      <c r="P22" s="532">
        <f>'Water-Meter'!E26</f>
        <v>27</v>
      </c>
      <c r="Q22" s="280">
        <f>IF('Water-Meter'!U26&lt;0,"0",'Water-Meter'!U26)</f>
        <v>0</v>
      </c>
      <c r="R22" s="280">
        <f>IF('Water-Meter'!X26&lt;0,"0",'Water-Meter'!X26)</f>
        <v>0</v>
      </c>
      <c r="S22" s="280">
        <f>IF('Water-Meter'!AA26&lt;0,"0",'Water-Meter'!AA26)</f>
        <v>0</v>
      </c>
      <c r="T22" s="280">
        <f>IF('Water-Meter'!AD26&lt;0,"0",'Water-Meter'!AD26)</f>
        <v>18</v>
      </c>
      <c r="U22" s="280">
        <f>IF('Water-Meter'!AG26&lt;0,"0",'Water-Meter'!AG26)</f>
        <v>24</v>
      </c>
      <c r="V22" s="280">
        <f>IF('Water-Meter'!AJ26&lt;0,"0",'Water-Meter'!AJ26)</f>
        <v>0</v>
      </c>
      <c r="W22" s="31">
        <f>'Water-Meter'!AN26</f>
        <v>42</v>
      </c>
      <c r="X22" s="543">
        <f>Total!K22</f>
        <v>0</v>
      </c>
    </row>
    <row r="23" spans="1:24">
      <c r="A23" s="527" t="s">
        <v>265</v>
      </c>
      <c r="B23" s="524">
        <f t="shared" si="0"/>
        <v>22</v>
      </c>
      <c r="C23" s="530">
        <v>4</v>
      </c>
      <c r="D23" s="531">
        <v>2020</v>
      </c>
      <c r="E23" s="525">
        <f>'UTILITY REPORT 1'!I24</f>
        <v>123.51</v>
      </c>
      <c r="F23" s="525">
        <f>'UTILITY REPORT 1'!E24</f>
        <v>709.13</v>
      </c>
      <c r="G23" s="526">
        <f>'UTILITY REPORT 1'!F24</f>
        <v>1720</v>
      </c>
      <c r="H23" s="525">
        <f>IF('Kit report'!F25&lt;0,"0",'Kit report'!F25)</f>
        <v>96.000000000130967</v>
      </c>
      <c r="I23" s="525">
        <f>IF('Kit report'!X25&lt;0,"0",'Kit report'!X25)</f>
        <v>19.999999999890861</v>
      </c>
      <c r="J23" s="525">
        <f>IF('Utility summery'!H27&lt;0,"0",'Utility summery'!H27)</f>
        <v>41</v>
      </c>
      <c r="K23" s="526">
        <f>IF('UTILITY REPORT 1'!H24&lt;0,"0",'UTILITY REPORT 1'!H24)</f>
        <v>65</v>
      </c>
      <c r="L23" s="525">
        <f>'Water-Meter'!K27</f>
        <v>0</v>
      </c>
      <c r="M23" s="526">
        <f>'Water-Meter'!H27</f>
        <v>0</v>
      </c>
      <c r="N23" s="526">
        <f>'Water-Meter'!Q27</f>
        <v>1</v>
      </c>
      <c r="O23" s="525" t="e">
        <f>K23*E23+H23*I23+#REF!*#REF!+J23*L23</f>
        <v>#REF!</v>
      </c>
      <c r="P23" s="532">
        <f>'Water-Meter'!E27</f>
        <v>28</v>
      </c>
      <c r="Q23" s="280">
        <f>IF('Water-Meter'!U27&lt;0,"0",'Water-Meter'!U27)</f>
        <v>0</v>
      </c>
      <c r="R23" s="280">
        <f>IF('Water-Meter'!X27&lt;0,"0",'Water-Meter'!X27)</f>
        <v>0</v>
      </c>
      <c r="S23" s="280">
        <f>IF('Water-Meter'!AA27&lt;0,"0",'Water-Meter'!AA27)</f>
        <v>0</v>
      </c>
      <c r="T23" s="280">
        <f>IF('Water-Meter'!AD27&lt;0,"0",'Water-Meter'!AD27)</f>
        <v>17</v>
      </c>
      <c r="U23" s="280">
        <f>IF('Water-Meter'!AG27&lt;0,"0",'Water-Meter'!AG27)</f>
        <v>25</v>
      </c>
      <c r="V23" s="280">
        <f>IF('Water-Meter'!AJ27&lt;0,"0",'Water-Meter'!AJ27)</f>
        <v>0</v>
      </c>
      <c r="W23" s="31">
        <f>'Water-Meter'!AN27</f>
        <v>42</v>
      </c>
      <c r="X23" s="543">
        <f>Total!K23</f>
        <v>0</v>
      </c>
    </row>
    <row r="24" spans="1:24">
      <c r="A24" s="527" t="s">
        <v>265</v>
      </c>
      <c r="B24" s="524">
        <f t="shared" si="0"/>
        <v>23</v>
      </c>
      <c r="C24" s="530">
        <v>4</v>
      </c>
      <c r="D24" s="531">
        <v>2020</v>
      </c>
      <c r="E24" s="525">
        <f>'UTILITY REPORT 1'!I25</f>
        <v>0</v>
      </c>
      <c r="F24" s="525">
        <f>'UTILITY REPORT 1'!E25</f>
        <v>670.85</v>
      </c>
      <c r="G24" s="526">
        <f>'UTILITY REPORT 1'!F25</f>
        <v>1554</v>
      </c>
      <c r="H24" s="525">
        <f>IF('Kit report'!F26&lt;0,"0",'Kit report'!F26)</f>
        <v>107.99999999995634</v>
      </c>
      <c r="I24" s="525">
        <f>IF('Kit report'!X26&lt;0,"0",'Kit report'!X26)</f>
        <v>20.00000000007276</v>
      </c>
      <c r="J24" s="525">
        <f>IF('Utility summery'!H28&lt;0,"0",'Utility summery'!H28)</f>
        <v>90</v>
      </c>
      <c r="K24" s="526">
        <f>IF('UTILITY REPORT 1'!H25&lt;0,"0",'UTILITY REPORT 1'!H25)</f>
        <v>0</v>
      </c>
      <c r="L24" s="525">
        <f>'Water-Meter'!K28</f>
        <v>0</v>
      </c>
      <c r="M24" s="526">
        <f>'Water-Meter'!H28</f>
        <v>0</v>
      </c>
      <c r="N24" s="526">
        <f>'Water-Meter'!Q28</f>
        <v>0</v>
      </c>
      <c r="O24" s="525" t="e">
        <f>K24*E24+H24*I24+#REF!*#REF!+J24*L24</f>
        <v>#REF!</v>
      </c>
      <c r="P24" s="532">
        <f>'Water-Meter'!E28</f>
        <v>29</v>
      </c>
      <c r="Q24" s="280">
        <f>IF('Water-Meter'!U28&lt;0,"0",'Water-Meter'!U28)</f>
        <v>0</v>
      </c>
      <c r="R24" s="280">
        <f>IF('Water-Meter'!X28&lt;0,"0",'Water-Meter'!X28)</f>
        <v>0</v>
      </c>
      <c r="S24" s="280">
        <f>IF('Water-Meter'!AA28&lt;0,"0",'Water-Meter'!AA28)</f>
        <v>0</v>
      </c>
      <c r="T24" s="280">
        <f>IF('Water-Meter'!AD28&lt;0,"0",'Water-Meter'!AD28)</f>
        <v>19</v>
      </c>
      <c r="U24" s="280">
        <f>IF('Water-Meter'!AG28&lt;0,"0",'Water-Meter'!AG28)</f>
        <v>25</v>
      </c>
      <c r="V24" s="280">
        <f>IF('Water-Meter'!AJ28&lt;0,"0",'Water-Meter'!AJ28)</f>
        <v>0</v>
      </c>
      <c r="W24" s="31">
        <f>'Water-Meter'!AN28</f>
        <v>44</v>
      </c>
      <c r="X24" s="543">
        <f>Total!K24</f>
        <v>0</v>
      </c>
    </row>
    <row r="25" spans="1:24">
      <c r="A25" s="527" t="s">
        <v>265</v>
      </c>
      <c r="B25" s="524">
        <f t="shared" si="0"/>
        <v>24</v>
      </c>
      <c r="C25" s="530">
        <v>4</v>
      </c>
      <c r="D25" s="531">
        <v>2020</v>
      </c>
      <c r="E25" s="525">
        <f>'UTILITY REPORT 1'!I26</f>
        <v>254.15</v>
      </c>
      <c r="F25" s="525">
        <f>'UTILITY REPORT 1'!E26</f>
        <v>734.77</v>
      </c>
      <c r="G25" s="526">
        <f>'UTILITY REPORT 1'!F26</f>
        <v>1722</v>
      </c>
      <c r="H25" s="525">
        <f>IF('Kit report'!F27&lt;0,"0",'Kit report'!F27)</f>
        <v>120</v>
      </c>
      <c r="I25" s="525">
        <f>IF('Kit report'!X27&lt;0,"0",'Kit report'!X27)</f>
        <v>0</v>
      </c>
      <c r="J25" s="525">
        <f>IF('Utility summery'!H29&lt;0,"0",'Utility summery'!H29)</f>
        <v>90</v>
      </c>
      <c r="K25" s="526">
        <f>IF('UTILITY REPORT 1'!H26&lt;0,"0",'UTILITY REPORT 1'!H26)</f>
        <v>89</v>
      </c>
      <c r="L25" s="525">
        <f>'Water-Meter'!K29</f>
        <v>1</v>
      </c>
      <c r="M25" s="526">
        <f>'Water-Meter'!H29</f>
        <v>0</v>
      </c>
      <c r="N25" s="526">
        <f>'Water-Meter'!Q29</f>
        <v>1</v>
      </c>
      <c r="O25" s="525" t="e">
        <f>K25*E25+H25*I25+#REF!*#REF!+J25*L25</f>
        <v>#REF!</v>
      </c>
      <c r="P25" s="532">
        <f>'Water-Meter'!E29</f>
        <v>31</v>
      </c>
      <c r="Q25" s="280">
        <f>IF('Water-Meter'!U29&lt;0,"0",'Water-Meter'!U29)</f>
        <v>0</v>
      </c>
      <c r="R25" s="280">
        <f>IF('Water-Meter'!X29&lt;0,"0",'Water-Meter'!X29)</f>
        <v>0</v>
      </c>
      <c r="S25" s="280">
        <f>IF('Water-Meter'!AA29&lt;0,"0",'Water-Meter'!AA29)</f>
        <v>0</v>
      </c>
      <c r="T25" s="280">
        <f>IF('Water-Meter'!AD29&lt;0,"0",'Water-Meter'!AD29)</f>
        <v>19</v>
      </c>
      <c r="U25" s="280">
        <f>IF('Water-Meter'!AG29&lt;0,"0",'Water-Meter'!AG29)</f>
        <v>25</v>
      </c>
      <c r="V25" s="280">
        <f>IF('Water-Meter'!AJ29&lt;0,"0",'Water-Meter'!AJ29)</f>
        <v>0</v>
      </c>
      <c r="W25" s="31">
        <f>'Water-Meter'!AN29</f>
        <v>44</v>
      </c>
      <c r="X25" s="543">
        <f>Total!K25</f>
        <v>0</v>
      </c>
    </row>
    <row r="26" spans="1:24">
      <c r="A26" s="527" t="s">
        <v>265</v>
      </c>
      <c r="B26" s="524">
        <f>B25+1</f>
        <v>25</v>
      </c>
      <c r="C26" s="530">
        <v>4</v>
      </c>
      <c r="D26" s="531">
        <v>2020</v>
      </c>
      <c r="E26" s="525">
        <f>'UTILITY REPORT 1'!I27</f>
        <v>133.02000000000001</v>
      </c>
      <c r="F26" s="525">
        <f>'UTILITY REPORT 1'!E27</f>
        <v>708.25</v>
      </c>
      <c r="G26" s="526">
        <f>'UTILITY REPORT 1'!F27</f>
        <v>1712</v>
      </c>
      <c r="H26" s="525">
        <f>IF('Kit report'!F28&lt;0,"0",'Kit report'!F28)</f>
        <v>107.99999999995634</v>
      </c>
      <c r="I26" s="525">
        <f>IF('Kit report'!X28&lt;0,"0",'Kit report'!X28)</f>
        <v>20.00000000007276</v>
      </c>
      <c r="J26" s="525">
        <f>IF('Utility summery'!H30&lt;0,"0",'Utility summery'!H30)</f>
        <v>83</v>
      </c>
      <c r="K26" s="526">
        <f>IF('UTILITY REPORT 1'!H27&lt;0,"0",'UTILITY REPORT 1'!H27)</f>
        <v>52</v>
      </c>
      <c r="L26" s="525">
        <f>'Water-Meter'!K30</f>
        <v>0</v>
      </c>
      <c r="M26" s="526">
        <f>'Water-Meter'!H30</f>
        <v>0</v>
      </c>
      <c r="N26" s="526">
        <f>'Water-Meter'!Q30</f>
        <v>1</v>
      </c>
      <c r="O26" s="525" t="e">
        <f>K26*E26+H26*I26+#REF!*#REF!+J26*L26</f>
        <v>#REF!</v>
      </c>
      <c r="P26" s="532">
        <f>'Water-Meter'!E30</f>
        <v>32</v>
      </c>
      <c r="Q26" s="280">
        <f>IF('Water-Meter'!U30&lt;0,"0",'Water-Meter'!U30)</f>
        <v>0</v>
      </c>
      <c r="R26" s="280">
        <f>IF('Water-Meter'!X30&lt;0,"0",'Water-Meter'!X30)</f>
        <v>0</v>
      </c>
      <c r="S26" s="280">
        <f>IF('Water-Meter'!AA30&lt;0,"0",'Water-Meter'!AA30)</f>
        <v>0</v>
      </c>
      <c r="T26" s="280">
        <f>IF('Water-Meter'!AD30&lt;0,"0",'Water-Meter'!AD30)</f>
        <v>20</v>
      </c>
      <c r="U26" s="280">
        <f>IF('Water-Meter'!AG30&lt;0,"0",'Water-Meter'!AG30)</f>
        <v>22</v>
      </c>
      <c r="V26" s="280">
        <f>IF('Water-Meter'!AJ30&lt;0,"0",'Water-Meter'!AJ30)</f>
        <v>0</v>
      </c>
      <c r="W26" s="31">
        <f>'Water-Meter'!AN30</f>
        <v>42</v>
      </c>
      <c r="X26" s="543">
        <f>Total!K26</f>
        <v>0</v>
      </c>
    </row>
    <row r="27" spans="1:24">
      <c r="A27" s="527" t="s">
        <v>265</v>
      </c>
      <c r="B27" s="524">
        <f t="shared" si="0"/>
        <v>26</v>
      </c>
      <c r="C27" s="530">
        <v>4</v>
      </c>
      <c r="D27" s="531">
        <v>2020</v>
      </c>
      <c r="E27" s="525">
        <f>'UTILITY REPORT 1'!I28</f>
        <v>52.26</v>
      </c>
      <c r="F27" s="525">
        <f>'UTILITY REPORT 1'!E28</f>
        <v>707.94</v>
      </c>
      <c r="G27" s="526">
        <f>'UTILITY REPORT 1'!F28</f>
        <v>1680</v>
      </c>
      <c r="H27" s="525">
        <f>IF('Kit report'!F29&lt;0,"0",'Kit report'!F29)</f>
        <v>107.99999999995634</v>
      </c>
      <c r="I27" s="525">
        <f>IF('Kit report'!X29&lt;0,"0",'Kit report'!X29)</f>
        <v>19.999999999890861</v>
      </c>
      <c r="J27" s="525">
        <f>IF('Utility summery'!H31&lt;0,"0",'Utility summery'!H31)</f>
        <v>61</v>
      </c>
      <c r="K27" s="526">
        <f>IF('UTILITY REPORT 1'!H28&lt;0,"0",'UTILITY REPORT 1'!H28)</f>
        <v>5</v>
      </c>
      <c r="L27" s="525">
        <f>'Water-Meter'!K31</f>
        <v>1</v>
      </c>
      <c r="M27" s="526">
        <f>'Water-Meter'!H31</f>
        <v>0</v>
      </c>
      <c r="N27" s="526">
        <f>'Water-Meter'!Q31</f>
        <v>1</v>
      </c>
      <c r="O27" s="525" t="e">
        <f>K27*E27+H27*I27+#REF!*#REF!+J27*L27</f>
        <v>#REF!</v>
      </c>
      <c r="P27" s="532">
        <f>'Water-Meter'!E31</f>
        <v>31</v>
      </c>
      <c r="Q27" s="280">
        <f>IF('Water-Meter'!U31&lt;0,"0",'Water-Meter'!U31)</f>
        <v>78</v>
      </c>
      <c r="R27" s="280">
        <f>IF('Water-Meter'!X31&lt;0,"0",'Water-Meter'!X31)</f>
        <v>0</v>
      </c>
      <c r="S27" s="280">
        <f>IF('Water-Meter'!AA31&lt;0,"0",'Water-Meter'!AA31)</f>
        <v>0</v>
      </c>
      <c r="T27" s="280">
        <f>IF('Water-Meter'!AD31&lt;0,"0",'Water-Meter'!AD31)</f>
        <v>25</v>
      </c>
      <c r="U27" s="280">
        <f>IF('Water-Meter'!AG31&lt;0,"0",'Water-Meter'!AG31)</f>
        <v>28</v>
      </c>
      <c r="V27" s="280">
        <f>IF('Water-Meter'!AJ31&lt;0,"0",'Water-Meter'!AJ31)</f>
        <v>0</v>
      </c>
      <c r="W27" s="31">
        <f>'Water-Meter'!AN31</f>
        <v>131</v>
      </c>
      <c r="X27" s="543">
        <f>Total!K27</f>
        <v>0</v>
      </c>
    </row>
    <row r="28" spans="1:24">
      <c r="A28" s="527" t="s">
        <v>265</v>
      </c>
      <c r="B28" s="524">
        <f t="shared" si="0"/>
        <v>27</v>
      </c>
      <c r="C28" s="530">
        <v>4</v>
      </c>
      <c r="D28" s="531">
        <v>2020</v>
      </c>
      <c r="E28" s="525">
        <f>'UTILITY REPORT 1'!I29</f>
        <v>7.38</v>
      </c>
      <c r="F28" s="525">
        <f>'UTILITY REPORT 1'!E29</f>
        <v>716.78</v>
      </c>
      <c r="G28" s="526">
        <f>'UTILITY REPORT 1'!F29</f>
        <v>1721</v>
      </c>
      <c r="H28" s="525">
        <f>IF('Kit report'!F30&lt;0,"0",'Kit report'!F30)</f>
        <v>132.00000000004366</v>
      </c>
      <c r="I28" s="525">
        <f>IF('Kit report'!X30&lt;0,"0",'Kit report'!X30)</f>
        <v>20.00000000007276</v>
      </c>
      <c r="J28" s="525">
        <f>IF('Utility summery'!H32&lt;0,"0",'Utility summery'!H32)</f>
        <v>52</v>
      </c>
      <c r="K28" s="526">
        <f>IF('UTILITY REPORT 1'!H29&lt;0,"0",'UTILITY REPORT 1'!H29)</f>
        <v>58</v>
      </c>
      <c r="L28" s="525">
        <f>'Water-Meter'!K32</f>
        <v>1</v>
      </c>
      <c r="M28" s="526">
        <f>'Water-Meter'!H32</f>
        <v>0</v>
      </c>
      <c r="N28" s="526">
        <f>'Water-Meter'!Q32</f>
        <v>1</v>
      </c>
      <c r="O28" s="525" t="e">
        <f>K28*E28+H28*I28+#REF!*#REF!+J28*L28</f>
        <v>#REF!</v>
      </c>
      <c r="P28" s="532">
        <f>'Water-Meter'!E32</f>
        <v>30</v>
      </c>
      <c r="Q28" s="280">
        <f>IF('Water-Meter'!U32&lt;0,"0",'Water-Meter'!U32)</f>
        <v>77</v>
      </c>
      <c r="R28" s="280">
        <f>IF('Water-Meter'!X32&lt;0,"0",'Water-Meter'!X32)</f>
        <v>0</v>
      </c>
      <c r="S28" s="280">
        <f>IF('Water-Meter'!AA32&lt;0,"0",'Water-Meter'!AA32)</f>
        <v>0</v>
      </c>
      <c r="T28" s="280">
        <f>IF('Water-Meter'!AD32&lt;0,"0",'Water-Meter'!AD32)</f>
        <v>15</v>
      </c>
      <c r="U28" s="280">
        <f>IF('Water-Meter'!AG32&lt;0,"0",'Water-Meter'!AG32)</f>
        <v>25</v>
      </c>
      <c r="V28" s="280">
        <f>IF('Water-Meter'!AJ32&lt;0,"0",'Water-Meter'!AJ32)</f>
        <v>0</v>
      </c>
      <c r="W28" s="31">
        <f>'Water-Meter'!AN32</f>
        <v>117</v>
      </c>
      <c r="X28" s="543">
        <f>Total!K28</f>
        <v>0</v>
      </c>
    </row>
    <row r="29" spans="1:24">
      <c r="A29" s="527" t="s">
        <v>265</v>
      </c>
      <c r="B29" s="524">
        <f t="shared" si="0"/>
        <v>28</v>
      </c>
      <c r="C29" s="530">
        <v>4</v>
      </c>
      <c r="D29" s="531">
        <v>2020</v>
      </c>
      <c r="E29" s="525">
        <f>'UTILITY REPORT 1'!I30</f>
        <v>100</v>
      </c>
      <c r="F29" s="525">
        <f>'UTILITY REPORT 1'!E30</f>
        <v>690.55</v>
      </c>
      <c r="G29" s="526">
        <f>'UTILITY REPORT 1'!F30</f>
        <v>1637</v>
      </c>
      <c r="H29" s="525">
        <f>IF('Kit report'!F31&lt;0,"0",'Kit report'!F31)</f>
        <v>107.99999999995634</v>
      </c>
      <c r="I29" s="525">
        <f>IF('Kit report'!X31&lt;0,"0",'Kit report'!X31)</f>
        <v>19.999999999890861</v>
      </c>
      <c r="J29" s="525">
        <f>IF('Utility summery'!H33&lt;0,"0",'Utility summery'!H33)</f>
        <v>47</v>
      </c>
      <c r="K29" s="526">
        <f>IF('UTILITY REPORT 1'!H30&lt;0,"0",'UTILITY REPORT 1'!H30)</f>
        <v>0</v>
      </c>
      <c r="L29" s="525">
        <f>'Water-Meter'!K33</f>
        <v>0</v>
      </c>
      <c r="M29" s="526">
        <f>'Water-Meter'!H33</f>
        <v>0</v>
      </c>
      <c r="N29" s="526">
        <f>'Water-Meter'!Q33</f>
        <v>0</v>
      </c>
      <c r="O29" s="525" t="e">
        <f>K29*E29+H29*I29+#REF!*#REF!+J29*L29</f>
        <v>#REF!</v>
      </c>
      <c r="P29" s="532">
        <f>'Water-Meter'!E33</f>
        <v>31</v>
      </c>
      <c r="Q29" s="280">
        <f>IF('Water-Meter'!U33&lt;0,"0",'Water-Meter'!U33)</f>
        <v>15</v>
      </c>
      <c r="R29" s="280">
        <f>IF('Water-Meter'!X33&lt;0,"0",'Water-Meter'!X33)</f>
        <v>0</v>
      </c>
      <c r="S29" s="280">
        <f>IF('Water-Meter'!AA33&lt;0,"0",'Water-Meter'!AA33)</f>
        <v>0</v>
      </c>
      <c r="T29" s="280">
        <f>IF('Water-Meter'!AD33&lt;0,"0",'Water-Meter'!AD33)</f>
        <v>21</v>
      </c>
      <c r="U29" s="280">
        <f>IF('Water-Meter'!AG33&lt;0,"0",'Water-Meter'!AG33)</f>
        <v>25</v>
      </c>
      <c r="V29" s="280">
        <f>IF('Water-Meter'!AJ33&lt;0,"0",'Water-Meter'!AJ33)</f>
        <v>0</v>
      </c>
      <c r="W29" s="31">
        <f>'Water-Meter'!AN33</f>
        <v>61</v>
      </c>
      <c r="X29" s="543">
        <f>Total!K29</f>
        <v>0</v>
      </c>
    </row>
    <row r="30" spans="1:24">
      <c r="A30" s="527" t="s">
        <v>265</v>
      </c>
      <c r="B30" s="524">
        <f t="shared" si="0"/>
        <v>29</v>
      </c>
      <c r="C30" s="530">
        <v>4</v>
      </c>
      <c r="D30" s="531">
        <v>2020</v>
      </c>
      <c r="E30" s="525">
        <f>'UTILITY REPORT 1'!I31</f>
        <v>38.11</v>
      </c>
      <c r="F30" s="525">
        <f>'UTILITY REPORT 1'!E31</f>
        <v>691.09</v>
      </c>
      <c r="G30" s="526">
        <f>'UTILITY REPORT 1'!F31</f>
        <v>1644</v>
      </c>
      <c r="H30" s="525">
        <f>IF('Kit report'!F32&lt;0,"0",'Kit report'!F32)</f>
        <v>107.99999999995634</v>
      </c>
      <c r="I30" s="525">
        <f>IF('Kit report'!X32&lt;0,"0",'Kit report'!X32)</f>
        <v>0</v>
      </c>
      <c r="J30" s="525">
        <f>IF('Utility summery'!H34&lt;0,"0",'Utility summery'!H34)</f>
        <v>42</v>
      </c>
      <c r="K30" s="526">
        <f>IF('UTILITY REPORT 1'!H31&lt;0,"0",'UTILITY REPORT 1'!H31)</f>
        <v>83</v>
      </c>
      <c r="L30" s="525">
        <f>'Water-Meter'!K34</f>
        <v>1</v>
      </c>
      <c r="M30" s="526">
        <f>'Water-Meter'!H34</f>
        <v>0</v>
      </c>
      <c r="N30" s="526">
        <f>'Water-Meter'!Q34</f>
        <v>1</v>
      </c>
      <c r="O30" s="525" t="e">
        <f>K30*E30+H30*I30+#REF!*#REF!+J30*L30</f>
        <v>#REF!</v>
      </c>
      <c r="P30" s="532">
        <f>'Water-Meter'!E34</f>
        <v>29</v>
      </c>
      <c r="Q30" s="280">
        <f>IF('Water-Meter'!U34&lt;0,"0",'Water-Meter'!U34)</f>
        <v>0</v>
      </c>
      <c r="R30" s="280">
        <f>IF('Water-Meter'!X34&lt;0,"0",'Water-Meter'!X34)</f>
        <v>0</v>
      </c>
      <c r="S30" s="280">
        <f>IF('Water-Meter'!AA34&lt;0,"0",'Water-Meter'!AA34)</f>
        <v>0</v>
      </c>
      <c r="T30" s="280">
        <f>IF('Water-Meter'!AD34&lt;0,"0",'Water-Meter'!AD34)</f>
        <v>20</v>
      </c>
      <c r="U30" s="280">
        <f>IF('Water-Meter'!AG34&lt;0,"0",'Water-Meter'!AG34)</f>
        <v>25</v>
      </c>
      <c r="V30" s="280">
        <f>IF('Water-Meter'!AJ34&lt;0,"0",'Water-Meter'!AJ34)</f>
        <v>0</v>
      </c>
      <c r="W30" s="31">
        <f>'Water-Meter'!AN34</f>
        <v>45</v>
      </c>
      <c r="X30" s="543">
        <f>Total!K30</f>
        <v>0</v>
      </c>
    </row>
    <row r="31" spans="1:24">
      <c r="A31" s="527" t="s">
        <v>265</v>
      </c>
      <c r="B31" s="524">
        <v>30</v>
      </c>
      <c r="C31" s="530">
        <v>4</v>
      </c>
      <c r="D31" s="531">
        <v>2020</v>
      </c>
      <c r="E31" s="525">
        <f>'UTILITY REPORT 1'!I32</f>
        <v>0</v>
      </c>
      <c r="F31" s="525">
        <f>'UTILITY REPORT 1'!E32</f>
        <v>660.76</v>
      </c>
      <c r="G31" s="526">
        <f>'UTILITY REPORT 1'!F32</f>
        <v>1564</v>
      </c>
      <c r="H31" s="525">
        <f>IF('Kit report'!F33&lt;0,"0",'Kit report'!F33)</f>
        <v>96.000000000130967</v>
      </c>
      <c r="I31" s="525">
        <f>IF('Kit report'!X33&lt;0,"0",'Kit report'!X33)</f>
        <v>20.00000000007276</v>
      </c>
      <c r="J31" s="525">
        <f>IF('Utility summery'!H35&lt;0,"0",'Utility summery'!H35)</f>
        <v>70</v>
      </c>
      <c r="K31" s="526">
        <f>IF('UTILITY REPORT 1'!H32&lt;0,"0",'UTILITY REPORT 1'!H32)</f>
        <v>0</v>
      </c>
      <c r="L31" s="525">
        <f>'Water-Meter'!K35</f>
        <v>0</v>
      </c>
      <c r="M31" s="526">
        <f>'Water-Meter'!H35</f>
        <v>0</v>
      </c>
      <c r="N31" s="526">
        <f>'Water-Meter'!Q35</f>
        <v>1</v>
      </c>
      <c r="O31" s="525" t="e">
        <f>K31*E31+H31*I31+#REF!*#REF!+J31*L31</f>
        <v>#REF!</v>
      </c>
      <c r="P31" s="532">
        <f>'Water-Meter'!E35</f>
        <v>29</v>
      </c>
      <c r="Q31" s="280">
        <f>IF('Water-Meter'!U35&lt;0,"0",'Water-Meter'!U35)</f>
        <v>0</v>
      </c>
      <c r="R31" s="280">
        <f>IF('Water-Meter'!X35&lt;0,"0",'Water-Meter'!X35)</f>
        <v>0</v>
      </c>
      <c r="S31" s="280">
        <f>IF('Water-Meter'!AA35&lt;0,"0",'Water-Meter'!AA35)</f>
        <v>0</v>
      </c>
      <c r="T31" s="280">
        <f>IF('Water-Meter'!AD35&lt;0,"0",'Water-Meter'!AD35)</f>
        <v>21</v>
      </c>
      <c r="U31" s="280">
        <f>IF('Water-Meter'!AG35&lt;0,"0",'Water-Meter'!AG35)</f>
        <v>25</v>
      </c>
      <c r="V31" s="280" t="str">
        <f>IF('Water-Meter'!AJ35&lt;0,"0",'Water-Meter'!AJ35)</f>
        <v>0</v>
      </c>
      <c r="W31" s="31">
        <f>'Water-Meter'!AN35</f>
        <v>46</v>
      </c>
      <c r="X31" s="543">
        <f>Total!K31</f>
        <v>0</v>
      </c>
    </row>
    <row r="32" spans="1:24">
      <c r="A32" s="527" t="s">
        <v>265</v>
      </c>
      <c r="B32" s="524">
        <v>31</v>
      </c>
      <c r="C32" s="530">
        <v>4</v>
      </c>
      <c r="D32" s="531">
        <v>2020</v>
      </c>
      <c r="E32" s="525">
        <f>'UTILITY REPORT 1'!I33</f>
        <v>0</v>
      </c>
      <c r="F32" s="525">
        <f>'UTILITY REPORT 1'!E33</f>
        <v>0</v>
      </c>
      <c r="G32" s="526">
        <f>'UTILITY REPORT 1'!F33</f>
        <v>0</v>
      </c>
      <c r="H32" s="525" t="str">
        <f>IF('Kit report'!F34&lt;0,"0",'Kit report'!F34)</f>
        <v>0</v>
      </c>
      <c r="I32" s="525" t="str">
        <f>IF('Kit report'!X34&lt;0,"0",'Kit report'!X34)</f>
        <v>0</v>
      </c>
      <c r="J32" s="525" t="str">
        <f>IF('Utility summery'!H36&lt;0,"0",'Utility summery'!H36)</f>
        <v>0</v>
      </c>
      <c r="K32" s="526" t="str">
        <f>IF('UTILITY REPORT 1'!H33&lt;0,"0",'UTILITY REPORT 1'!H33)</f>
        <v>0</v>
      </c>
      <c r="L32" s="525" t="str">
        <f>'Water-Meter'!K36</f>
        <v>0</v>
      </c>
      <c r="M32" s="526" t="str">
        <f>'Water-Meter'!H36</f>
        <v>0</v>
      </c>
      <c r="N32" s="526" t="str">
        <f>'Water-Meter'!Q36</f>
        <v>0</v>
      </c>
      <c r="O32" s="280"/>
      <c r="P32" s="532" t="str">
        <f>'Water-Meter'!E36</f>
        <v>0</v>
      </c>
      <c r="Q32" s="280" t="str">
        <f>IF('Water-Meter'!U36&lt;0,"0",'Water-Meter'!U36)</f>
        <v>0</v>
      </c>
      <c r="R32" s="280" t="str">
        <f>IF('Water-Meter'!X36&lt;0,"0",'Water-Meter'!X36)</f>
        <v>0</v>
      </c>
      <c r="S32" s="280" t="str">
        <f>IF('Water-Meter'!AA36&lt;0,"0",'Water-Meter'!AA36)</f>
        <v>0</v>
      </c>
      <c r="T32" s="280" t="str">
        <f>IF('Water-Meter'!AD36&lt;0,"0",'Water-Meter'!AD36)</f>
        <v>0</v>
      </c>
      <c r="U32" s="280" t="str">
        <f>IF('Water-Meter'!AG36&lt;0,"0",'Water-Meter'!AG36)</f>
        <v>0</v>
      </c>
      <c r="V32" s="280" t="str">
        <f>IF('Water-Meter'!AJ36&lt;0,"0",'Water-Meter'!AJ36)</f>
        <v>0</v>
      </c>
      <c r="W32" s="31">
        <f>'Water-Meter'!AN36</f>
        <v>0</v>
      </c>
      <c r="X32" s="543">
        <f>Total!K32</f>
        <v>0</v>
      </c>
    </row>
    <row r="33" spans="5:12">
      <c r="E33" s="472"/>
      <c r="F33" s="472"/>
      <c r="H33" s="472"/>
      <c r="I33" s="472"/>
      <c r="J33" s="472"/>
      <c r="L33" s="472"/>
    </row>
    <row r="34" spans="5:12">
      <c r="E34" s="472"/>
      <c r="F34" s="472"/>
      <c r="H34" s="472"/>
      <c r="I34" s="472"/>
      <c r="J34" s="472"/>
      <c r="L34" s="472"/>
    </row>
    <row r="35" spans="5:12">
      <c r="E35" s="472"/>
      <c r="F35" s="472"/>
      <c r="H35" s="472"/>
      <c r="I35" s="472"/>
      <c r="J35" s="472"/>
      <c r="L35" s="472"/>
    </row>
    <row r="36" spans="5:12">
      <c r="E36" s="472"/>
      <c r="F36" s="472"/>
      <c r="H36" s="472"/>
      <c r="I36" s="472"/>
      <c r="J36" s="472"/>
      <c r="L36" s="472"/>
    </row>
    <row r="37" spans="5:12">
      <c r="E37" s="472"/>
      <c r="F37" s="472"/>
      <c r="H37" s="472"/>
      <c r="I37" s="472"/>
      <c r="J37" s="472"/>
      <c r="L37" s="472"/>
    </row>
    <row r="38" spans="5:12">
      <c r="E38" s="472"/>
      <c r="F38" s="472"/>
      <c r="H38" s="472"/>
      <c r="I38" s="472"/>
      <c r="J38" s="472"/>
      <c r="L38" s="4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36" t="s">
        <v>302</v>
      </c>
      <c r="B1" s="736"/>
      <c r="C1" s="736"/>
      <c r="D1" s="736"/>
      <c r="E1" s="736"/>
      <c r="F1" s="736"/>
      <c r="G1" s="736"/>
      <c r="H1" s="736"/>
    </row>
    <row r="2" spans="1:9" ht="48" customHeight="1" thickBot="1">
      <c r="A2" s="279" t="s">
        <v>0</v>
      </c>
      <c r="B2" s="114" t="s">
        <v>1</v>
      </c>
      <c r="C2" s="457" t="s">
        <v>250</v>
      </c>
      <c r="D2" s="328" t="s">
        <v>251</v>
      </c>
      <c r="E2" s="455" t="s">
        <v>249</v>
      </c>
      <c r="F2" s="328" t="s">
        <v>246</v>
      </c>
      <c r="G2" s="328" t="s">
        <v>247</v>
      </c>
      <c r="H2" s="457" t="s">
        <v>248</v>
      </c>
      <c r="I2" s="328" t="s">
        <v>252</v>
      </c>
    </row>
    <row r="3" spans="1:9" ht="13.5">
      <c r="A3" s="456">
        <f>Gen!B11</f>
        <v>43922</v>
      </c>
      <c r="B3" s="458">
        <f>Gen!C11</f>
        <v>0</v>
      </c>
      <c r="C3" s="459">
        <f>'Summery Report'!E5</f>
        <v>0</v>
      </c>
      <c r="D3" s="460">
        <v>1</v>
      </c>
      <c r="E3" s="459">
        <f>Gen!T11</f>
        <v>850.96</v>
      </c>
      <c r="F3" s="459">
        <f>Gen!U11</f>
        <v>2051</v>
      </c>
      <c r="G3" s="459">
        <f>'Water-Meter'!E6</f>
        <v>38</v>
      </c>
      <c r="H3" s="459">
        <f>'Utility report '!AC6</f>
        <v>0</v>
      </c>
      <c r="I3" s="459">
        <f>Gen!AK11</f>
        <v>49.37</v>
      </c>
    </row>
    <row r="4" spans="1:9" ht="13.5">
      <c r="A4" s="456">
        <f>Gen!B12</f>
        <v>43923</v>
      </c>
      <c r="B4" s="458">
        <f>Gen!C12</f>
        <v>0</v>
      </c>
      <c r="C4" s="459">
        <f>'Summery Report'!E6</f>
        <v>0</v>
      </c>
      <c r="D4" s="460">
        <v>1</v>
      </c>
      <c r="E4" s="459">
        <f>Gen!T12</f>
        <v>866.25</v>
      </c>
      <c r="F4" s="459">
        <f>Gen!U12</f>
        <v>2088</v>
      </c>
      <c r="G4" s="459">
        <f>'Water-Meter'!E7</f>
        <v>52</v>
      </c>
      <c r="H4" s="459">
        <f>'Utility report '!AC7</f>
        <v>48</v>
      </c>
      <c r="I4" s="459">
        <f>Gen!AK12</f>
        <v>9.39</v>
      </c>
    </row>
    <row r="5" spans="1:9" ht="13.5">
      <c r="A5" s="456">
        <f>Gen!B13</f>
        <v>43924</v>
      </c>
      <c r="B5" s="458">
        <f>Gen!C13</f>
        <v>0</v>
      </c>
      <c r="C5" s="459">
        <f>'Summery Report'!E7</f>
        <v>0</v>
      </c>
      <c r="D5" s="460">
        <v>1</v>
      </c>
      <c r="E5" s="459">
        <f>Gen!T13</f>
        <v>832.92</v>
      </c>
      <c r="F5" s="459">
        <f>Gen!U13</f>
        <v>1898</v>
      </c>
      <c r="G5" s="459">
        <f>'Water-Meter'!E8</f>
        <v>26</v>
      </c>
      <c r="H5" s="459">
        <f>'Utility report '!AC8</f>
        <v>59</v>
      </c>
      <c r="I5" s="459">
        <f>Gen!AK13</f>
        <v>18.02</v>
      </c>
    </row>
    <row r="6" spans="1:9" ht="13.5">
      <c r="A6" s="456">
        <f>Gen!B14</f>
        <v>43925</v>
      </c>
      <c r="B6" s="458">
        <f>Gen!C14</f>
        <v>0</v>
      </c>
      <c r="C6" s="459">
        <f>'Summery Report'!E8</f>
        <v>0</v>
      </c>
      <c r="D6" s="460">
        <v>1</v>
      </c>
      <c r="E6" s="459">
        <f>Gen!T14</f>
        <v>789.55</v>
      </c>
      <c r="F6" s="459">
        <f>Gen!U14</f>
        <v>1815</v>
      </c>
      <c r="G6" s="459">
        <f>'Water-Meter'!E9</f>
        <v>34</v>
      </c>
      <c r="H6" s="459">
        <f>'Utility report '!AC9</f>
        <v>57</v>
      </c>
      <c r="I6" s="459">
        <f>Gen!AK14</f>
        <v>660.37</v>
      </c>
    </row>
    <row r="7" spans="1:9" ht="13.5">
      <c r="A7" s="456">
        <f>Gen!B15</f>
        <v>43926</v>
      </c>
      <c r="B7" s="458">
        <f>Gen!C15</f>
        <v>0</v>
      </c>
      <c r="C7" s="459">
        <f>'Summery Report'!E9</f>
        <v>0</v>
      </c>
      <c r="D7" s="460">
        <v>1</v>
      </c>
      <c r="E7" s="459">
        <f>Gen!T15</f>
        <v>813.34</v>
      </c>
      <c r="F7" s="459">
        <f>Gen!U15</f>
        <v>1841</v>
      </c>
      <c r="G7" s="459">
        <f>'Water-Meter'!E10</f>
        <v>42</v>
      </c>
      <c r="H7" s="459">
        <f>'Utility report '!AC10</f>
        <v>57</v>
      </c>
      <c r="I7" s="459">
        <f>Gen!AK15</f>
        <v>34.28</v>
      </c>
    </row>
    <row r="8" spans="1:9" ht="13.5">
      <c r="A8" s="456">
        <f>Gen!B16</f>
        <v>43927</v>
      </c>
      <c r="B8" s="458">
        <f>Gen!C16</f>
        <v>0</v>
      </c>
      <c r="C8" s="459">
        <f>'Summery Report'!E10</f>
        <v>0</v>
      </c>
      <c r="D8" s="460">
        <v>1</v>
      </c>
      <c r="E8" s="459">
        <f>Gen!T16</f>
        <v>757.53</v>
      </c>
      <c r="F8" s="459">
        <f>Gen!U16</f>
        <v>1789</v>
      </c>
      <c r="G8" s="459">
        <f>'Water-Meter'!E11</f>
        <v>41</v>
      </c>
      <c r="H8" s="459">
        <f>'Utility report '!AC11</f>
        <v>38</v>
      </c>
      <c r="I8" s="459">
        <f>Gen!AK16</f>
        <v>0</v>
      </c>
    </row>
    <row r="9" spans="1:9" ht="13.5">
      <c r="A9" s="456">
        <f>Gen!B17</f>
        <v>43928</v>
      </c>
      <c r="B9" s="458">
        <f>Gen!C17</f>
        <v>0</v>
      </c>
      <c r="C9" s="459">
        <f>'Summery Report'!E11</f>
        <v>0</v>
      </c>
      <c r="D9" s="460">
        <v>1</v>
      </c>
      <c r="E9" s="459">
        <f>Gen!T17</f>
        <v>783.55</v>
      </c>
      <c r="F9" s="459">
        <f>Gen!U17</f>
        <v>1867</v>
      </c>
      <c r="G9" s="459">
        <f>'Water-Meter'!E12</f>
        <v>47</v>
      </c>
      <c r="H9" s="459">
        <f>'Utility report '!AC12</f>
        <v>53</v>
      </c>
      <c r="I9" s="459">
        <f>Gen!AK17</f>
        <v>108.2</v>
      </c>
    </row>
    <row r="10" spans="1:9" ht="13.5">
      <c r="A10" s="456">
        <f>Gen!B18</f>
        <v>43929</v>
      </c>
      <c r="B10" s="458">
        <f>Gen!C18</f>
        <v>0</v>
      </c>
      <c r="C10" s="459">
        <f>'Summery Report'!E12</f>
        <v>0</v>
      </c>
      <c r="D10" s="460">
        <v>1</v>
      </c>
      <c r="E10" s="459">
        <f>Gen!T18</f>
        <v>831.27</v>
      </c>
      <c r="F10" s="459">
        <f>Gen!U18</f>
        <v>1940</v>
      </c>
      <c r="G10" s="459">
        <f>'Water-Meter'!E13</f>
        <v>36</v>
      </c>
      <c r="H10" s="459">
        <f>'Utility report '!AC13</f>
        <v>50</v>
      </c>
      <c r="I10" s="459">
        <f>Gen!AK18</f>
        <v>0</v>
      </c>
    </row>
    <row r="11" spans="1:9" ht="13.5">
      <c r="A11" s="456">
        <f>Gen!B19</f>
        <v>43930</v>
      </c>
      <c r="B11" s="458">
        <f>Gen!C19</f>
        <v>0</v>
      </c>
      <c r="C11" s="459">
        <f>'Summery Report'!E13</f>
        <v>0</v>
      </c>
      <c r="D11" s="460">
        <v>1</v>
      </c>
      <c r="E11" s="459">
        <f>Gen!T19</f>
        <v>806.31999999999994</v>
      </c>
      <c r="F11" s="459">
        <f>Gen!U19</f>
        <v>1882</v>
      </c>
      <c r="G11" s="459">
        <f>'Water-Meter'!E14</f>
        <v>33</v>
      </c>
      <c r="H11" s="459">
        <f>'Utility report '!AC14</f>
        <v>7</v>
      </c>
      <c r="I11" s="459">
        <f>Gen!AK19</f>
        <v>0</v>
      </c>
    </row>
    <row r="12" spans="1:9" ht="13.5">
      <c r="A12" s="456">
        <f>Gen!B20</f>
        <v>43931</v>
      </c>
      <c r="B12" s="458">
        <f>Gen!C20</f>
        <v>0</v>
      </c>
      <c r="C12" s="459">
        <f>'Summery Report'!E14</f>
        <v>0</v>
      </c>
      <c r="D12" s="460">
        <v>1</v>
      </c>
      <c r="E12" s="459">
        <f>Gen!T20</f>
        <v>823.75</v>
      </c>
      <c r="F12" s="459">
        <f>Gen!U20</f>
        <v>1935</v>
      </c>
      <c r="G12" s="459">
        <f>'Water-Meter'!E15</f>
        <v>55</v>
      </c>
      <c r="H12" s="459">
        <f>'Utility report '!AC15</f>
        <v>44</v>
      </c>
      <c r="I12" s="459">
        <f>Gen!AK20</f>
        <v>0</v>
      </c>
    </row>
    <row r="13" spans="1:9" ht="13.5">
      <c r="A13" s="456">
        <f>Gen!B21</f>
        <v>43932</v>
      </c>
      <c r="B13" s="458">
        <f>Gen!C21</f>
        <v>0</v>
      </c>
      <c r="C13" s="459">
        <f>'Summery Report'!E15</f>
        <v>0</v>
      </c>
      <c r="D13" s="460">
        <v>1</v>
      </c>
      <c r="E13" s="459">
        <f>Gen!T21</f>
        <v>782.67</v>
      </c>
      <c r="F13" s="459">
        <f>Gen!U21</f>
        <v>1883</v>
      </c>
      <c r="G13" s="459">
        <f>'Water-Meter'!E16</f>
        <v>56</v>
      </c>
      <c r="H13" s="459">
        <f>'Utility report '!AC16</f>
        <v>75</v>
      </c>
      <c r="I13" s="459">
        <f>Gen!AK21</f>
        <v>0</v>
      </c>
    </row>
    <row r="14" spans="1:9" ht="13.5">
      <c r="A14" s="456">
        <f>Gen!B22</f>
        <v>43933</v>
      </c>
      <c r="B14" s="458">
        <f>Gen!C22</f>
        <v>0</v>
      </c>
      <c r="C14" s="459">
        <f>'Summery Report'!E16</f>
        <v>0</v>
      </c>
      <c r="D14" s="460">
        <v>1</v>
      </c>
      <c r="E14" s="459">
        <f>Gen!T22</f>
        <v>776.8</v>
      </c>
      <c r="F14" s="459">
        <f>Gen!U22</f>
        <v>1877</v>
      </c>
      <c r="G14" s="459">
        <f>'Water-Meter'!E17</f>
        <v>41</v>
      </c>
      <c r="H14" s="459">
        <f>'Utility report '!AC17</f>
        <v>49</v>
      </c>
      <c r="I14" s="459">
        <f>Gen!AK22</f>
        <v>0</v>
      </c>
    </row>
    <row r="15" spans="1:9" ht="13.5">
      <c r="A15" s="456">
        <f>Gen!B23</f>
        <v>43934</v>
      </c>
      <c r="B15" s="458">
        <f>Gen!C23</f>
        <v>0</v>
      </c>
      <c r="C15" s="459">
        <f>'Summery Report'!E17</f>
        <v>0</v>
      </c>
      <c r="D15" s="460">
        <v>1</v>
      </c>
      <c r="E15" s="459">
        <f>Gen!T23</f>
        <v>771.72</v>
      </c>
      <c r="F15" s="459">
        <f>Gen!U23</f>
        <v>1796</v>
      </c>
      <c r="G15" s="459">
        <f>'Water-Meter'!E18</f>
        <v>45</v>
      </c>
      <c r="H15" s="459">
        <f>'Utility report '!AC18</f>
        <v>50</v>
      </c>
      <c r="I15" s="459">
        <f>Gen!AK23</f>
        <v>19.86</v>
      </c>
    </row>
    <row r="16" spans="1:9" ht="13.5">
      <c r="A16" s="456">
        <f>Gen!B24</f>
        <v>43935</v>
      </c>
      <c r="B16" s="458">
        <f>Gen!C24</f>
        <v>0</v>
      </c>
      <c r="C16" s="459">
        <f>'Summery Report'!E18</f>
        <v>0</v>
      </c>
      <c r="D16" s="460">
        <v>1</v>
      </c>
      <c r="E16" s="459">
        <f>Gen!T24</f>
        <v>760.62</v>
      </c>
      <c r="F16" s="459">
        <f>Gen!U24</f>
        <v>1789</v>
      </c>
      <c r="G16" s="459">
        <f>'Water-Meter'!E19</f>
        <v>51</v>
      </c>
      <c r="H16" s="459">
        <f>'Utility report '!AC19</f>
        <v>35</v>
      </c>
      <c r="I16" s="459">
        <f>Gen!AK24</f>
        <v>0</v>
      </c>
    </row>
    <row r="17" spans="1:9" ht="13.5">
      <c r="A17" s="456">
        <f>Gen!B25</f>
        <v>43936</v>
      </c>
      <c r="B17" s="458">
        <f>Gen!C25</f>
        <v>0</v>
      </c>
      <c r="C17" s="459">
        <f>'Summery Report'!E19</f>
        <v>0</v>
      </c>
      <c r="D17" s="460">
        <v>1</v>
      </c>
      <c r="E17" s="459">
        <f>Gen!T25</f>
        <v>786.19</v>
      </c>
      <c r="F17" s="459">
        <f>Gen!U25</f>
        <v>1823</v>
      </c>
      <c r="G17" s="459">
        <f>'Water-Meter'!E20</f>
        <v>54</v>
      </c>
      <c r="H17" s="459">
        <f>'Utility report '!AC20</f>
        <v>57</v>
      </c>
      <c r="I17" s="459">
        <f>Gen!AK25</f>
        <v>0</v>
      </c>
    </row>
    <row r="18" spans="1:9" ht="13.5">
      <c r="A18" s="456">
        <f>Gen!B26</f>
        <v>43937</v>
      </c>
      <c r="B18" s="458">
        <f>Gen!C26</f>
        <v>0</v>
      </c>
      <c r="C18" s="459">
        <f>'Summery Report'!E20</f>
        <v>0</v>
      </c>
      <c r="D18" s="460">
        <v>1</v>
      </c>
      <c r="E18" s="459">
        <f>Gen!T26</f>
        <v>754.27</v>
      </c>
      <c r="F18" s="459">
        <f>Gen!U26</f>
        <v>1782</v>
      </c>
      <c r="G18" s="459">
        <f>'Water-Meter'!E21</f>
        <v>54</v>
      </c>
      <c r="H18" s="459">
        <f>'Utility report '!AC21</f>
        <v>44</v>
      </c>
      <c r="I18" s="459">
        <f>Gen!AK26</f>
        <v>0</v>
      </c>
    </row>
    <row r="19" spans="1:9" ht="13.5">
      <c r="A19" s="456">
        <f>Gen!B27</f>
        <v>43938</v>
      </c>
      <c r="B19" s="458">
        <f>Gen!C27</f>
        <v>0</v>
      </c>
      <c r="C19" s="459">
        <f>'Summery Report'!E21</f>
        <v>0</v>
      </c>
      <c r="D19" s="460">
        <v>1</v>
      </c>
      <c r="E19" s="459">
        <f>Gen!T27</f>
        <v>781.93000000000006</v>
      </c>
      <c r="F19" s="459">
        <f>Gen!U27</f>
        <v>1857</v>
      </c>
      <c r="G19" s="459">
        <f>'Water-Meter'!E22</f>
        <v>42</v>
      </c>
      <c r="H19" s="459">
        <f>'Utility report '!AC22</f>
        <v>68</v>
      </c>
      <c r="I19" s="459">
        <f>Gen!AK27</f>
        <v>18.45</v>
      </c>
    </row>
    <row r="20" spans="1:9" ht="13.5">
      <c r="A20" s="456">
        <f>Gen!B28</f>
        <v>43939</v>
      </c>
      <c r="B20" s="458">
        <f>Gen!C28</f>
        <v>0</v>
      </c>
      <c r="C20" s="459">
        <f>'Summery Report'!E22</f>
        <v>0</v>
      </c>
      <c r="D20" s="460">
        <v>1</v>
      </c>
      <c r="E20" s="459">
        <f>Gen!T28</f>
        <v>744.22</v>
      </c>
      <c r="F20" s="459">
        <f>Gen!U28</f>
        <v>1756</v>
      </c>
      <c r="G20" s="459">
        <f>'Water-Meter'!E23</f>
        <v>30</v>
      </c>
      <c r="H20" s="459">
        <f>'Utility report '!AC23</f>
        <v>47</v>
      </c>
      <c r="I20" s="459">
        <f>Gen!AK28</f>
        <v>0</v>
      </c>
    </row>
    <row r="21" spans="1:9" ht="13.5">
      <c r="A21" s="456">
        <f>Gen!B29</f>
        <v>43940</v>
      </c>
      <c r="B21" s="458">
        <f>Gen!C29</f>
        <v>0</v>
      </c>
      <c r="C21" s="459">
        <f>'Summery Report'!E23</f>
        <v>0</v>
      </c>
      <c r="D21" s="460">
        <v>1</v>
      </c>
      <c r="E21" s="459">
        <f>Gen!T29</f>
        <v>740.05</v>
      </c>
      <c r="F21" s="459">
        <f>Gen!U29</f>
        <v>1728</v>
      </c>
      <c r="G21" s="459">
        <f>'Water-Meter'!E24</f>
        <v>51</v>
      </c>
      <c r="H21" s="459">
        <f>'Utility report '!AC24</f>
        <v>0</v>
      </c>
      <c r="I21" s="459">
        <f>Gen!AK29</f>
        <v>52.039999999999992</v>
      </c>
    </row>
    <row r="22" spans="1:9" ht="13.5">
      <c r="A22" s="456">
        <f>Gen!B30</f>
        <v>43941</v>
      </c>
      <c r="B22" s="458">
        <f>Gen!C30</f>
        <v>0</v>
      </c>
      <c r="C22" s="459">
        <f>'Summery Report'!E24</f>
        <v>0</v>
      </c>
      <c r="D22" s="460">
        <v>1</v>
      </c>
      <c r="E22" s="459">
        <f>Gen!T30</f>
        <v>731.47</v>
      </c>
      <c r="F22" s="459">
        <f>Gen!U30</f>
        <v>1693</v>
      </c>
      <c r="G22" s="459">
        <f>'Water-Meter'!E25</f>
        <v>35</v>
      </c>
      <c r="H22" s="459">
        <f>'Utility report '!AC25</f>
        <v>46</v>
      </c>
      <c r="I22" s="459">
        <f>Gen!AK30</f>
        <v>0</v>
      </c>
    </row>
    <row r="23" spans="1:9" ht="13.5">
      <c r="A23" s="456">
        <f>Gen!B31</f>
        <v>43942</v>
      </c>
      <c r="B23" s="458">
        <f>Gen!C31</f>
        <v>0</v>
      </c>
      <c r="C23" s="459">
        <f>'Summery Report'!E25</f>
        <v>0</v>
      </c>
      <c r="D23" s="460">
        <v>1</v>
      </c>
      <c r="E23" s="459">
        <f>Gen!T31</f>
        <v>747.27</v>
      </c>
      <c r="F23" s="459">
        <f>Gen!U31</f>
        <v>1727</v>
      </c>
      <c r="G23" s="459">
        <f>'Water-Meter'!E26</f>
        <v>27</v>
      </c>
      <c r="H23" s="459">
        <f>'Utility report '!AC26</f>
        <v>49</v>
      </c>
      <c r="I23" s="459">
        <f>Gen!AK31</f>
        <v>180</v>
      </c>
    </row>
    <row r="24" spans="1:9" ht="13.5">
      <c r="A24" s="456">
        <f>Gen!B32</f>
        <v>43943</v>
      </c>
      <c r="B24" s="458">
        <f>Gen!C32</f>
        <v>0</v>
      </c>
      <c r="C24" s="459">
        <f>'Summery Report'!E26</f>
        <v>0</v>
      </c>
      <c r="D24" s="460">
        <v>1</v>
      </c>
      <c r="E24" s="459">
        <f>Gen!T32</f>
        <v>709.13</v>
      </c>
      <c r="F24" s="459">
        <f>Gen!U32</f>
        <v>1720</v>
      </c>
      <c r="G24" s="459">
        <f>'Water-Meter'!E27</f>
        <v>28</v>
      </c>
      <c r="H24" s="459">
        <f>'Utility report '!AC27</f>
        <v>65</v>
      </c>
      <c r="I24" s="459">
        <f>Gen!AK32</f>
        <v>123.51</v>
      </c>
    </row>
    <row r="25" spans="1:9" ht="13.5">
      <c r="A25" s="456">
        <f>Gen!B33</f>
        <v>43944</v>
      </c>
      <c r="B25" s="458">
        <f>Gen!C33</f>
        <v>0</v>
      </c>
      <c r="C25" s="459">
        <f>'Summery Report'!E27</f>
        <v>0</v>
      </c>
      <c r="D25" s="460">
        <v>1</v>
      </c>
      <c r="E25" s="459">
        <f>Gen!T33</f>
        <v>670.85</v>
      </c>
      <c r="F25" s="459">
        <f>Gen!U33</f>
        <v>1554</v>
      </c>
      <c r="G25" s="459">
        <f>'Water-Meter'!E28</f>
        <v>29</v>
      </c>
      <c r="H25" s="459">
        <f>'Utility report '!AC28</f>
        <v>0</v>
      </c>
      <c r="I25" s="459">
        <f>Gen!AK33</f>
        <v>0</v>
      </c>
    </row>
    <row r="26" spans="1:9" ht="13.5">
      <c r="A26" s="456">
        <f>Gen!B34</f>
        <v>43945</v>
      </c>
      <c r="B26" s="458">
        <f>Gen!C34</f>
        <v>0</v>
      </c>
      <c r="C26" s="459">
        <f>'Summery Report'!E28</f>
        <v>0</v>
      </c>
      <c r="D26" s="460">
        <v>1</v>
      </c>
      <c r="E26" s="459">
        <f>Gen!T34</f>
        <v>734.77</v>
      </c>
      <c r="F26" s="459">
        <f>Gen!U34</f>
        <v>1722</v>
      </c>
      <c r="G26" s="459">
        <f>'Water-Meter'!E29</f>
        <v>31</v>
      </c>
      <c r="H26" s="459">
        <f>'Utility report '!AC29</f>
        <v>89</v>
      </c>
      <c r="I26" s="459">
        <f>Gen!AK34</f>
        <v>254.15</v>
      </c>
    </row>
    <row r="27" spans="1:9" ht="13.5">
      <c r="A27" s="456">
        <f>Gen!B35</f>
        <v>43946</v>
      </c>
      <c r="B27" s="458">
        <f>Gen!C35</f>
        <v>0</v>
      </c>
      <c r="C27" s="459">
        <f>'Summery Report'!E29</f>
        <v>0</v>
      </c>
      <c r="D27" s="460">
        <v>1</v>
      </c>
      <c r="E27" s="459">
        <f>Gen!T35</f>
        <v>708.25</v>
      </c>
      <c r="F27" s="459">
        <f>Gen!U35</f>
        <v>1712</v>
      </c>
      <c r="G27" s="459">
        <f>'Water-Meter'!E30</f>
        <v>32</v>
      </c>
      <c r="H27" s="459">
        <f>'Utility report '!AC30</f>
        <v>52</v>
      </c>
      <c r="I27" s="459">
        <f>Gen!AK35</f>
        <v>133.02000000000001</v>
      </c>
    </row>
    <row r="28" spans="1:9" ht="13.5">
      <c r="A28" s="456">
        <f>Gen!B36</f>
        <v>43947</v>
      </c>
      <c r="B28" s="458">
        <f>Gen!C36</f>
        <v>0</v>
      </c>
      <c r="C28" s="459">
        <f>'Summery Report'!E30</f>
        <v>0</v>
      </c>
      <c r="D28" s="460">
        <v>1</v>
      </c>
      <c r="E28" s="459">
        <f>Gen!T36</f>
        <v>707.94</v>
      </c>
      <c r="F28" s="459">
        <f>Gen!U36</f>
        <v>1680</v>
      </c>
      <c r="G28" s="459">
        <f>'Water-Meter'!E31</f>
        <v>31</v>
      </c>
      <c r="H28" s="459">
        <f>'Utility report '!AC31</f>
        <v>5</v>
      </c>
      <c r="I28" s="459">
        <f>Gen!AK36</f>
        <v>52.26</v>
      </c>
    </row>
    <row r="29" spans="1:9" ht="13.5">
      <c r="A29" s="456">
        <f>Gen!B37</f>
        <v>43948</v>
      </c>
      <c r="B29" s="458">
        <f>Gen!C37</f>
        <v>0</v>
      </c>
      <c r="C29" s="459">
        <f>'Summery Report'!E31</f>
        <v>0</v>
      </c>
      <c r="D29" s="460">
        <v>1</v>
      </c>
      <c r="E29" s="459">
        <f>Gen!T37</f>
        <v>716.78</v>
      </c>
      <c r="F29" s="459">
        <f>Gen!U37</f>
        <v>1721</v>
      </c>
      <c r="G29" s="459">
        <f>'Water-Meter'!E32</f>
        <v>30</v>
      </c>
      <c r="H29" s="459">
        <f>'Utility report '!AC32</f>
        <v>58</v>
      </c>
      <c r="I29" s="459">
        <f>Gen!AK37</f>
        <v>7.38</v>
      </c>
    </row>
    <row r="30" spans="1:9" ht="13.5">
      <c r="A30" s="456">
        <f>Gen!B38</f>
        <v>43949</v>
      </c>
      <c r="B30" s="458">
        <f>Gen!C38</f>
        <v>0</v>
      </c>
      <c r="C30" s="459">
        <f>'Summery Report'!E32</f>
        <v>0</v>
      </c>
      <c r="D30" s="460">
        <v>1</v>
      </c>
      <c r="E30" s="459">
        <f>Gen!T38</f>
        <v>690.55</v>
      </c>
      <c r="F30" s="459">
        <f>Gen!U38</f>
        <v>1637</v>
      </c>
      <c r="G30" s="459">
        <f>'Water-Meter'!E33</f>
        <v>31</v>
      </c>
      <c r="H30" s="459">
        <f>'Utility report '!AC33</f>
        <v>0</v>
      </c>
      <c r="I30" s="459">
        <f>Gen!AK38</f>
        <v>100</v>
      </c>
    </row>
    <row r="31" spans="1:9" ht="13.5">
      <c r="A31" s="456">
        <f>Gen!B39</f>
        <v>43950</v>
      </c>
      <c r="B31" s="458">
        <f>Gen!C39</f>
        <v>0</v>
      </c>
      <c r="C31" s="459">
        <f>'Summery Report'!E33</f>
        <v>0</v>
      </c>
      <c r="D31" s="460">
        <v>1</v>
      </c>
      <c r="E31" s="459">
        <f>Gen!T39</f>
        <v>691.09</v>
      </c>
      <c r="F31" s="459">
        <f>Gen!U39</f>
        <v>1644</v>
      </c>
      <c r="G31" s="459">
        <f>'Water-Meter'!E34</f>
        <v>29</v>
      </c>
      <c r="H31" s="459">
        <f>'Utility report '!AC34</f>
        <v>83</v>
      </c>
      <c r="I31" s="459">
        <f>Gen!AK39</f>
        <v>38.11</v>
      </c>
    </row>
    <row r="32" spans="1:9" ht="13.5">
      <c r="A32" s="456">
        <f>Gen!B40</f>
        <v>43951</v>
      </c>
      <c r="B32" s="458">
        <f>Gen!C40</f>
        <v>0</v>
      </c>
      <c r="C32" s="459">
        <f>'Summery Report'!E34</f>
        <v>0</v>
      </c>
      <c r="D32" s="460">
        <v>1</v>
      </c>
      <c r="E32" s="459">
        <f>Gen!T40</f>
        <v>660.76</v>
      </c>
      <c r="F32" s="459">
        <f>Gen!U40</f>
        <v>1564</v>
      </c>
      <c r="G32" s="459">
        <f>'Water-Meter'!E35</f>
        <v>29</v>
      </c>
      <c r="H32" s="459">
        <f>'Utility report '!AC35</f>
        <v>0</v>
      </c>
      <c r="I32" s="459">
        <f>Gen!AK40</f>
        <v>0</v>
      </c>
    </row>
    <row r="33" spans="1:9" ht="13.5">
      <c r="A33" s="456">
        <f>Gen!B41</f>
        <v>0</v>
      </c>
      <c r="B33" s="458">
        <f>Gen!C41</f>
        <v>0</v>
      </c>
      <c r="C33" s="459">
        <f>'Summery Report'!E35</f>
        <v>0</v>
      </c>
      <c r="D33" s="460">
        <v>1</v>
      </c>
      <c r="E33" s="459">
        <f>Gen!T41</f>
        <v>0</v>
      </c>
      <c r="F33" s="459">
        <f>Gen!U41</f>
        <v>0</v>
      </c>
      <c r="G33" s="459" t="str">
        <f>'Water-Meter'!E36</f>
        <v>0</v>
      </c>
      <c r="H33" s="459">
        <f>'Utility report '!AC36</f>
        <v>-31534</v>
      </c>
      <c r="I33" s="459">
        <f>Gen!AK41</f>
        <v>0</v>
      </c>
    </row>
    <row r="34" spans="1:9" ht="13.5">
      <c r="A34" s="456">
        <f>Gen!B42</f>
        <v>0</v>
      </c>
      <c r="B34" s="458">
        <f>Gen!C42</f>
        <v>0</v>
      </c>
      <c r="C34" s="459">
        <f>'Summery Report'!E36</f>
        <v>0</v>
      </c>
      <c r="D34" s="460">
        <v>2</v>
      </c>
      <c r="E34" s="459">
        <f>Gen!T42</f>
        <v>0</v>
      </c>
      <c r="F34" s="459">
        <f>Gen!U42</f>
        <v>0</v>
      </c>
      <c r="G34" s="459">
        <f>'Water-Meter'!E37</f>
        <v>0</v>
      </c>
      <c r="H34" s="459">
        <f>'Utility report '!AC37</f>
        <v>0</v>
      </c>
      <c r="I34" s="459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14" t="s">
        <v>0</v>
      </c>
      <c r="B4" s="515" t="s">
        <v>122</v>
      </c>
      <c r="C4" s="516" t="s">
        <v>229</v>
      </c>
      <c r="D4" s="737" t="s">
        <v>116</v>
      </c>
      <c r="E4" s="737"/>
      <c r="F4" s="737"/>
      <c r="G4" s="738" t="s">
        <v>20</v>
      </c>
      <c r="H4" s="738"/>
      <c r="I4" s="738"/>
      <c r="J4" s="739" t="s">
        <v>46</v>
      </c>
      <c r="K4" s="739"/>
      <c r="L4" s="739"/>
      <c r="M4" s="739"/>
      <c r="N4" s="740" t="s">
        <v>124</v>
      </c>
      <c r="O4" s="740"/>
      <c r="P4" s="740"/>
      <c r="Q4" s="58"/>
      <c r="R4" s="58"/>
      <c r="S4" s="59"/>
    </row>
    <row r="5" spans="1:19" ht="25.5">
      <c r="A5" s="517"/>
      <c r="B5" s="312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18" t="s">
        <v>130</v>
      </c>
    </row>
    <row r="6" spans="1:19" ht="14.25">
      <c r="A6" s="519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40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13">
        <f>'Lpg (2)'!G10</f>
        <v>61.600000000000009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20" t="e">
        <f t="shared" ref="S6:S37" si="1">Q6/B6</f>
        <v>#REF!</v>
      </c>
    </row>
    <row r="7" spans="1:19" ht="14.25">
      <c r="A7" s="519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40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13">
        <f>'Lpg (2)'!G11</f>
        <v>66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20" t="e">
        <f t="shared" si="1"/>
        <v>#REF!</v>
      </c>
    </row>
    <row r="8" spans="1:19" ht="14.25">
      <c r="A8" s="519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40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13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20" t="e">
        <f t="shared" si="1"/>
        <v>#REF!</v>
      </c>
    </row>
    <row r="9" spans="1:19" ht="14.25">
      <c r="A9" s="519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40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13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20" t="e">
        <f t="shared" si="1"/>
        <v>#REF!</v>
      </c>
    </row>
    <row r="10" spans="1:19" ht="14.25">
      <c r="A10" s="519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40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13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20" t="e">
        <f t="shared" si="1"/>
        <v>#REF!</v>
      </c>
    </row>
    <row r="11" spans="1:19" ht="14.25">
      <c r="A11" s="519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40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13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20" t="e">
        <f t="shared" si="1"/>
        <v>#REF!</v>
      </c>
    </row>
    <row r="12" spans="1:19" ht="14.25">
      <c r="A12" s="519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40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13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20" t="e">
        <f t="shared" si="1"/>
        <v>#REF!</v>
      </c>
    </row>
    <row r="13" spans="1:19" ht="14.25">
      <c r="A13" s="519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40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13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20" t="e">
        <f t="shared" si="1"/>
        <v>#REF!</v>
      </c>
    </row>
    <row r="14" spans="1:19" ht="14.25">
      <c r="A14" s="519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40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13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20" t="e">
        <f t="shared" si="1"/>
        <v>#REF!</v>
      </c>
    </row>
    <row r="15" spans="1:19" ht="14.25">
      <c r="A15" s="519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40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13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20" t="e">
        <f t="shared" si="1"/>
        <v>#REF!</v>
      </c>
    </row>
    <row r="16" spans="1:19" ht="14.25">
      <c r="A16" s="519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40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13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20" t="e">
        <f t="shared" si="1"/>
        <v>#REF!</v>
      </c>
    </row>
    <row r="17" spans="1:19" ht="14.25">
      <c r="A17" s="519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40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13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20" t="e">
        <f t="shared" si="1"/>
        <v>#REF!</v>
      </c>
    </row>
    <row r="18" spans="1:19" ht="14.25">
      <c r="A18" s="519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40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13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20" t="e">
        <f t="shared" si="1"/>
        <v>#REF!</v>
      </c>
    </row>
    <row r="19" spans="1:19" ht="14.25">
      <c r="A19" s="519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40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13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20" t="e">
        <f t="shared" si="1"/>
        <v>#REF!</v>
      </c>
    </row>
    <row r="20" spans="1:19" ht="14.25">
      <c r="A20" s="519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40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13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20" t="e">
        <f t="shared" si="1"/>
        <v>#REF!</v>
      </c>
    </row>
    <row r="21" spans="1:19" ht="14.25">
      <c r="A21" s="519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40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13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20" t="e">
        <f t="shared" si="1"/>
        <v>#REF!</v>
      </c>
    </row>
    <row r="22" spans="1:19" ht="14.25">
      <c r="A22" s="519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40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13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20" t="e">
        <f t="shared" si="1"/>
        <v>#REF!</v>
      </c>
    </row>
    <row r="23" spans="1:19" ht="14.25">
      <c r="A23" s="519">
        <f>Gen!B28</f>
        <v>43939</v>
      </c>
      <c r="B23" s="6">
        <f>'Summery Report'!E22</f>
        <v>0</v>
      </c>
      <c r="C23" s="6">
        <f>Gen!U28</f>
        <v>1756</v>
      </c>
      <c r="D23" s="152">
        <f>Gen!T28</f>
        <v>744.22</v>
      </c>
      <c r="E23" s="152">
        <f>Gen!AK28</f>
        <v>0</v>
      </c>
      <c r="F23" s="152">
        <f>Gen!AS28</f>
        <v>744.22</v>
      </c>
      <c r="G23" s="155">
        <f>'Utility report '!AC23</f>
        <v>47</v>
      </c>
      <c r="H23" s="155">
        <f>'Utility report '!AE23</f>
        <v>62</v>
      </c>
      <c r="I23" s="340">
        <f>'Water-Meter'!E23</f>
        <v>30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13">
        <f>'Lpg (2)'!G27</f>
        <v>32.604000000015368</v>
      </c>
      <c r="N23" s="150">
        <f t="shared" si="2"/>
        <v>1041.9079999999999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20" t="e">
        <f t="shared" si="1"/>
        <v>#REF!</v>
      </c>
    </row>
    <row r="24" spans="1:19" ht="14.25">
      <c r="A24" s="519">
        <f>Gen!B29</f>
        <v>43940</v>
      </c>
      <c r="B24" s="6">
        <f>'Summery Report'!E23</f>
        <v>0</v>
      </c>
      <c r="C24" s="6">
        <f>Gen!U29</f>
        <v>1728</v>
      </c>
      <c r="D24" s="152">
        <f>Gen!T29</f>
        <v>740.05</v>
      </c>
      <c r="E24" s="152">
        <f>Gen!AK29</f>
        <v>52.039999999999992</v>
      </c>
      <c r="F24" s="152">
        <f>Gen!AS29</f>
        <v>792.08999999999992</v>
      </c>
      <c r="G24" s="155">
        <f>'Utility report '!AC24</f>
        <v>0</v>
      </c>
      <c r="H24" s="155">
        <f>'Utility report '!AE24</f>
        <v>69</v>
      </c>
      <c r="I24" s="340">
        <f>'Water-Meter'!E24</f>
        <v>51</v>
      </c>
      <c r="J24" s="157">
        <f>'Lpg (2)'!B28</f>
        <v>2</v>
      </c>
      <c r="K24" s="157">
        <f>'Lpg (2)'!C28</f>
        <v>85</v>
      </c>
      <c r="L24" s="157">
        <f>'Lpg (2)'!D28</f>
        <v>66</v>
      </c>
      <c r="M24" s="513">
        <f>'Lpg (2)'!G28</f>
        <v>31.108000000030735</v>
      </c>
      <c r="N24" s="150">
        <f t="shared" si="2"/>
        <v>1036.07</v>
      </c>
      <c r="O24" s="150">
        <f t="shared" si="2"/>
        <v>72.85599999999998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20" t="e">
        <f t="shared" si="1"/>
        <v>#REF!</v>
      </c>
    </row>
    <row r="25" spans="1:19" ht="14.25">
      <c r="A25" s="519">
        <f>Gen!B30</f>
        <v>43941</v>
      </c>
      <c r="B25" s="6">
        <f>'Summery Report'!E24</f>
        <v>0</v>
      </c>
      <c r="C25" s="6">
        <f>Gen!U30</f>
        <v>1693</v>
      </c>
      <c r="D25" s="152">
        <f>Gen!T30</f>
        <v>731.47</v>
      </c>
      <c r="E25" s="152">
        <f>Gen!AK30</f>
        <v>0</v>
      </c>
      <c r="F25" s="152">
        <f>Gen!AS30</f>
        <v>731.47</v>
      </c>
      <c r="G25" s="155">
        <f>'Utility report '!AC25</f>
        <v>46</v>
      </c>
      <c r="H25" s="155">
        <f>'Utility report '!AE25</f>
        <v>51</v>
      </c>
      <c r="I25" s="340">
        <f>'Water-Meter'!E25</f>
        <v>35</v>
      </c>
      <c r="J25" s="157">
        <f>'Lpg (2)'!B29</f>
        <v>2</v>
      </c>
      <c r="K25" s="157">
        <f>'Lpg (2)'!C29</f>
        <v>85</v>
      </c>
      <c r="L25" s="157">
        <f>'Lpg (2)'!D29</f>
        <v>66</v>
      </c>
      <c r="M25" s="513">
        <f>'Lpg (2)'!G29</f>
        <v>29.21599999999744</v>
      </c>
      <c r="N25" s="150">
        <f t="shared" si="2"/>
        <v>1024.058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20" t="e">
        <f t="shared" si="1"/>
        <v>#REF!</v>
      </c>
    </row>
    <row r="26" spans="1:19" ht="14.25">
      <c r="A26" s="519">
        <f>Gen!B31</f>
        <v>43942</v>
      </c>
      <c r="B26" s="6">
        <f>'Summery Report'!E25</f>
        <v>0</v>
      </c>
      <c r="C26" s="6">
        <f>Gen!U31</f>
        <v>1727</v>
      </c>
      <c r="D26" s="152">
        <f>Gen!T31</f>
        <v>747.27</v>
      </c>
      <c r="E26" s="152">
        <f>Gen!AK31</f>
        <v>180</v>
      </c>
      <c r="F26" s="152">
        <f>Gen!AS31</f>
        <v>927.27</v>
      </c>
      <c r="G26" s="155">
        <f>'Utility report '!AC26</f>
        <v>49</v>
      </c>
      <c r="H26" s="155">
        <f>'Utility report '!AE26</f>
        <v>41</v>
      </c>
      <c r="I26" s="340">
        <f>'Water-Meter'!E26</f>
        <v>27</v>
      </c>
      <c r="J26" s="157">
        <f>'Lpg (2)'!B30</f>
        <v>2</v>
      </c>
      <c r="K26" s="157">
        <f>'Lpg (2)'!C30</f>
        <v>85</v>
      </c>
      <c r="L26" s="157">
        <f>'Lpg (2)'!D30</f>
        <v>66</v>
      </c>
      <c r="M26" s="513">
        <f>'Lpg (2)'!G30</f>
        <v>33.439999999961586</v>
      </c>
      <c r="N26" s="150">
        <f t="shared" si="2"/>
        <v>1046.1779999999999</v>
      </c>
      <c r="O26" s="150">
        <f t="shared" si="2"/>
        <v>251.99999999999997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20" t="e">
        <f t="shared" si="1"/>
        <v>#REF!</v>
      </c>
    </row>
    <row r="27" spans="1:19" ht="14.25">
      <c r="A27" s="519">
        <f>Gen!B32</f>
        <v>43943</v>
      </c>
      <c r="B27" s="6">
        <f>'Summery Report'!E26</f>
        <v>0</v>
      </c>
      <c r="C27" s="6">
        <f>Gen!U32</f>
        <v>1720</v>
      </c>
      <c r="D27" s="152">
        <f>Gen!T32</f>
        <v>709.13</v>
      </c>
      <c r="E27" s="152">
        <f>Gen!AK32</f>
        <v>123.51</v>
      </c>
      <c r="F27" s="152">
        <f>Gen!AS32</f>
        <v>832.64</v>
      </c>
      <c r="G27" s="155">
        <f>'Utility report '!AC27</f>
        <v>65</v>
      </c>
      <c r="H27" s="155">
        <f>'Utility report '!AE27</f>
        <v>41</v>
      </c>
      <c r="I27" s="340">
        <f>'Water-Meter'!E27</f>
        <v>28</v>
      </c>
      <c r="J27" s="157">
        <f>'Lpg (2)'!B31</f>
        <v>85</v>
      </c>
      <c r="K27" s="157">
        <f>'Lpg (2)'!C31</f>
        <v>85</v>
      </c>
      <c r="L27" s="157">
        <f>'Lpg (2)'!D31</f>
        <v>64</v>
      </c>
      <c r="M27" s="513">
        <f>'Lpg (2)'!G31</f>
        <v>28.379999999987195</v>
      </c>
      <c r="N27" s="150">
        <f t="shared" si="2"/>
        <v>992.78199999999993</v>
      </c>
      <c r="O27" s="150">
        <f t="shared" si="2"/>
        <v>172.91399999999999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20" t="e">
        <f t="shared" si="1"/>
        <v>#REF!</v>
      </c>
    </row>
    <row r="28" spans="1:19" ht="14.25">
      <c r="A28" s="519">
        <f>Gen!B33</f>
        <v>43944</v>
      </c>
      <c r="B28" s="6">
        <f>'Summery Report'!E27</f>
        <v>0</v>
      </c>
      <c r="C28" s="6">
        <f>Gen!U33</f>
        <v>1554</v>
      </c>
      <c r="D28" s="152">
        <f>Gen!T33</f>
        <v>670.85</v>
      </c>
      <c r="E28" s="152">
        <f>Gen!AK33</f>
        <v>0</v>
      </c>
      <c r="F28" s="152">
        <f>Gen!AS33</f>
        <v>670.85</v>
      </c>
      <c r="G28" s="155">
        <f>'Utility report '!AC28</f>
        <v>0</v>
      </c>
      <c r="H28" s="155">
        <f>'Utility report '!AE28</f>
        <v>90</v>
      </c>
      <c r="I28" s="340">
        <f>'Water-Meter'!E28</f>
        <v>29</v>
      </c>
      <c r="J28" s="157">
        <f>'Lpg (2)'!B32</f>
        <v>85</v>
      </c>
      <c r="K28" s="157">
        <f>'Lpg (2)'!C32</f>
        <v>85</v>
      </c>
      <c r="L28" s="157">
        <f>'Lpg (2)'!D32</f>
        <v>62</v>
      </c>
      <c r="M28" s="513">
        <f>'Lpg (2)'!G32</f>
        <v>35.200000000000003</v>
      </c>
      <c r="N28" s="150">
        <f t="shared" si="2"/>
        <v>939.18999999999994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20" t="e">
        <f t="shared" si="1"/>
        <v>#REF!</v>
      </c>
    </row>
    <row r="29" spans="1:19" ht="14.25">
      <c r="A29" s="519">
        <f>Gen!B34</f>
        <v>43945</v>
      </c>
      <c r="B29" s="6">
        <f>'Summery Report'!E28</f>
        <v>0</v>
      </c>
      <c r="C29" s="6">
        <f>Gen!U34</f>
        <v>1722</v>
      </c>
      <c r="D29" s="152">
        <f>Gen!T34</f>
        <v>734.77</v>
      </c>
      <c r="E29" s="152">
        <f>Gen!AK34</f>
        <v>254.15</v>
      </c>
      <c r="F29" s="152">
        <f>Gen!AS34</f>
        <v>988.92</v>
      </c>
      <c r="G29" s="155">
        <f>'Utility report '!AC29</f>
        <v>89</v>
      </c>
      <c r="H29" s="155">
        <f>'Utility report '!AE29</f>
        <v>90</v>
      </c>
      <c r="I29" s="340">
        <f>'Water-Meter'!E29</f>
        <v>31</v>
      </c>
      <c r="J29" s="157">
        <f>'Lpg (2)'!B33</f>
        <v>85</v>
      </c>
      <c r="K29" s="157">
        <f>'Lpg (2)'!C33</f>
        <v>85</v>
      </c>
      <c r="L29" s="157">
        <f>'Lpg (2)'!D33</f>
        <v>60</v>
      </c>
      <c r="M29" s="513">
        <f>'Lpg (2)'!G33</f>
        <v>38.104000000015368</v>
      </c>
      <c r="N29" s="150">
        <f t="shared" si="2"/>
        <v>1028.6779999999999</v>
      </c>
      <c r="O29" s="150">
        <f t="shared" si="2"/>
        <v>355.81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20" t="e">
        <f t="shared" si="1"/>
        <v>#REF!</v>
      </c>
    </row>
    <row r="30" spans="1:19" ht="14.25">
      <c r="A30" s="519">
        <f>Gen!B35</f>
        <v>43946</v>
      </c>
      <c r="B30" s="6">
        <f>'Summery Report'!E29</f>
        <v>0</v>
      </c>
      <c r="C30" s="6">
        <f>Gen!U35</f>
        <v>1712</v>
      </c>
      <c r="D30" s="152">
        <f>Gen!T35</f>
        <v>708.25</v>
      </c>
      <c r="E30" s="152">
        <f>Gen!AK35</f>
        <v>133.02000000000001</v>
      </c>
      <c r="F30" s="152">
        <f>Gen!AS35</f>
        <v>841.27</v>
      </c>
      <c r="G30" s="155">
        <f>'Utility report '!AC30</f>
        <v>52</v>
      </c>
      <c r="H30" s="155">
        <f>'Utility report '!AE30</f>
        <v>83</v>
      </c>
      <c r="I30" s="340">
        <f>'Water-Meter'!E30</f>
        <v>32</v>
      </c>
      <c r="J30" s="157">
        <f>'Lpg (2)'!B34</f>
        <v>85</v>
      </c>
      <c r="K30" s="157">
        <f>'Lpg (2)'!C34</f>
        <v>85</v>
      </c>
      <c r="L30" s="157">
        <f>'Lpg (2)'!D34</f>
        <v>58</v>
      </c>
      <c r="M30" s="513">
        <f>'Lpg (2)'!G34</f>
        <v>28.336000000010248</v>
      </c>
      <c r="N30" s="150">
        <f t="shared" si="2"/>
        <v>991.55</v>
      </c>
      <c r="O30" s="150">
        <f t="shared" si="2"/>
        <v>186.22800000000001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20" t="e">
        <f t="shared" si="1"/>
        <v>#REF!</v>
      </c>
    </row>
    <row r="31" spans="1:19" ht="14.25">
      <c r="A31" s="519">
        <f>Gen!B36</f>
        <v>43947</v>
      </c>
      <c r="B31" s="6">
        <f>'Summery Report'!E30</f>
        <v>0</v>
      </c>
      <c r="C31" s="6">
        <f>Gen!U36</f>
        <v>1680</v>
      </c>
      <c r="D31" s="152">
        <f>Gen!T36</f>
        <v>707.94</v>
      </c>
      <c r="E31" s="152">
        <f>Gen!AK36</f>
        <v>52.26</v>
      </c>
      <c r="F31" s="152">
        <f>Gen!AS36</f>
        <v>760.2</v>
      </c>
      <c r="G31" s="155">
        <f>'Utility report '!AC31</f>
        <v>5</v>
      </c>
      <c r="H31" s="155">
        <f>'Utility report '!AE31</f>
        <v>61</v>
      </c>
      <c r="I31" s="340">
        <f>'Water-Meter'!E31</f>
        <v>31</v>
      </c>
      <c r="J31" s="157">
        <f>'Lpg (2)'!B35</f>
        <v>85</v>
      </c>
      <c r="K31" s="157">
        <f>'Lpg (2)'!C35</f>
        <v>85</v>
      </c>
      <c r="L31" s="157">
        <f>'Lpg (2)'!D35</f>
        <v>56</v>
      </c>
      <c r="M31" s="513">
        <f>'Lpg (2)'!G35</f>
        <v>32.691999999969269</v>
      </c>
      <c r="N31" s="150">
        <f t="shared" si="2"/>
        <v>991.11599999999999</v>
      </c>
      <c r="O31" s="150">
        <f t="shared" si="2"/>
        <v>73.163999999999987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20" t="e">
        <f t="shared" si="1"/>
        <v>#REF!</v>
      </c>
    </row>
    <row r="32" spans="1:19" ht="14.25">
      <c r="A32" s="519">
        <f>Gen!B37</f>
        <v>43948</v>
      </c>
      <c r="B32" s="6">
        <f>'Summery Report'!E31</f>
        <v>0</v>
      </c>
      <c r="C32" s="6">
        <f>Gen!U37</f>
        <v>1721</v>
      </c>
      <c r="D32" s="152">
        <f>Gen!T37</f>
        <v>716.78</v>
      </c>
      <c r="E32" s="152">
        <f>Gen!AK37</f>
        <v>7.38</v>
      </c>
      <c r="F32" s="152">
        <f>Gen!AS37</f>
        <v>724.16</v>
      </c>
      <c r="G32" s="155">
        <f>'Utility report '!AC32</f>
        <v>58</v>
      </c>
      <c r="H32" s="155">
        <f>'Utility report '!AE32</f>
        <v>52</v>
      </c>
      <c r="I32" s="340">
        <f>'Water-Meter'!E32</f>
        <v>30</v>
      </c>
      <c r="J32" s="157">
        <f>'Lpg (2)'!B36</f>
        <v>85</v>
      </c>
      <c r="K32" s="157">
        <f>'Lpg (2)'!C36</f>
        <v>85</v>
      </c>
      <c r="L32" s="157">
        <f>'Lpg (2)'!D36</f>
        <v>55</v>
      </c>
      <c r="M32" s="513">
        <f>'Lpg (2)'!G36</f>
        <v>28.6</v>
      </c>
      <c r="N32" s="150">
        <f t="shared" si="2"/>
        <v>1003.4919999999998</v>
      </c>
      <c r="O32" s="150">
        <f t="shared" si="2"/>
        <v>10.331999999999999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20" t="e">
        <f t="shared" si="1"/>
        <v>#REF!</v>
      </c>
    </row>
    <row r="33" spans="1:20" ht="14.25">
      <c r="A33" s="519">
        <f>Gen!B38</f>
        <v>43949</v>
      </c>
      <c r="B33" s="6">
        <f>'Summery Report'!E32</f>
        <v>0</v>
      </c>
      <c r="C33" s="6">
        <f>Gen!U38</f>
        <v>1637</v>
      </c>
      <c r="D33" s="152">
        <f>Gen!T38</f>
        <v>690.55</v>
      </c>
      <c r="E33" s="152">
        <f>Gen!AK38</f>
        <v>100</v>
      </c>
      <c r="F33" s="152">
        <f>Gen!AS38</f>
        <v>790.55</v>
      </c>
      <c r="G33" s="155">
        <f>'Utility report '!AC33</f>
        <v>0</v>
      </c>
      <c r="H33" s="155">
        <f>'Utility report '!AE33</f>
        <v>47</v>
      </c>
      <c r="I33" s="340">
        <f>'Water-Meter'!E33</f>
        <v>31</v>
      </c>
      <c r="J33" s="157">
        <f>'Lpg (2)'!B37</f>
        <v>85</v>
      </c>
      <c r="K33" s="157">
        <f>'Lpg (2)'!C37</f>
        <v>85</v>
      </c>
      <c r="L33" s="157">
        <f>'Lpg (2)'!D37</f>
        <v>53</v>
      </c>
      <c r="M33" s="513">
        <f>'Lpg (2)'!G37</f>
        <v>31.240000000025614</v>
      </c>
      <c r="N33" s="150">
        <f t="shared" si="2"/>
        <v>966.76999999999987</v>
      </c>
      <c r="O33" s="150">
        <f t="shared" si="2"/>
        <v>140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20" t="e">
        <f t="shared" si="1"/>
        <v>#REF!</v>
      </c>
      <c r="T33">
        <f>3124/13</f>
        <v>240.30769230769232</v>
      </c>
    </row>
    <row r="34" spans="1:20" ht="14.25">
      <c r="A34" s="519">
        <f>Gen!B39</f>
        <v>43950</v>
      </c>
      <c r="B34" s="6">
        <f>'Summery Report'!E33</f>
        <v>0</v>
      </c>
      <c r="C34" s="6">
        <f>Gen!U39</f>
        <v>1644</v>
      </c>
      <c r="D34" s="152">
        <f>Gen!T39</f>
        <v>691.09</v>
      </c>
      <c r="E34" s="152">
        <f>Gen!AK39</f>
        <v>38.11</v>
      </c>
      <c r="F34" s="152">
        <f>Gen!AS39</f>
        <v>729.2</v>
      </c>
      <c r="G34" s="155">
        <f>'Utility report '!AC34</f>
        <v>83</v>
      </c>
      <c r="H34" s="155">
        <f>'Utility report '!AE34</f>
        <v>42</v>
      </c>
      <c r="I34" s="340">
        <f>'Water-Meter'!E34</f>
        <v>29</v>
      </c>
      <c r="J34" s="157">
        <f>'Lpg (2)'!B38</f>
        <v>85</v>
      </c>
      <c r="K34" s="157">
        <f>'Lpg (2)'!C38</f>
        <v>85</v>
      </c>
      <c r="L34" s="157">
        <f>'Lpg (2)'!D38</f>
        <v>50</v>
      </c>
      <c r="M34" s="513">
        <f>'Lpg (2)'!G38</f>
        <v>40.920000000012806</v>
      </c>
      <c r="N34" s="150">
        <f t="shared" si="2"/>
        <v>967.52599999999995</v>
      </c>
      <c r="O34" s="150">
        <f t="shared" si="2"/>
        <v>53.353999999999999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20" t="e">
        <f t="shared" si="1"/>
        <v>#REF!</v>
      </c>
    </row>
    <row r="35" spans="1:20" ht="14.25">
      <c r="A35" s="519">
        <f>Gen!B40</f>
        <v>43951</v>
      </c>
      <c r="B35" s="6">
        <f>'Summery Report'!E34</f>
        <v>0</v>
      </c>
      <c r="C35" s="6">
        <f>Gen!U40</f>
        <v>1564</v>
      </c>
      <c r="D35" s="152">
        <f>Gen!T40</f>
        <v>660.76</v>
      </c>
      <c r="E35" s="152">
        <f>Gen!AK40</f>
        <v>0</v>
      </c>
      <c r="F35" s="152">
        <f>Gen!AS40</f>
        <v>660.76</v>
      </c>
      <c r="G35" s="155">
        <f>'Utility report '!AC35</f>
        <v>0</v>
      </c>
      <c r="H35" s="155">
        <f>'Utility report '!AE35</f>
        <v>70</v>
      </c>
      <c r="I35" s="340">
        <f>'Water-Meter'!E35</f>
        <v>29</v>
      </c>
      <c r="J35" s="157">
        <f>'Lpg (2)'!B39</f>
        <v>85</v>
      </c>
      <c r="K35" s="157">
        <f>'Lpg (2)'!C39</f>
        <v>85</v>
      </c>
      <c r="L35" s="157">
        <f>'Lpg (2)'!D39</f>
        <v>48</v>
      </c>
      <c r="M35" s="513">
        <f>'Lpg (2)'!G39</f>
        <v>17.423999999964146</v>
      </c>
      <c r="N35" s="150">
        <f t="shared" si="2"/>
        <v>925.06399999999996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20" t="e">
        <f t="shared" si="1"/>
        <v>#REF!</v>
      </c>
    </row>
    <row r="36" spans="1:20" ht="14.25">
      <c r="A36" s="519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-31534</v>
      </c>
      <c r="H36" s="155">
        <f>'Utility report '!AE36</f>
        <v>-200738</v>
      </c>
      <c r="I36" s="340" t="str">
        <f>'Water-Meter'!E36</f>
        <v>0</v>
      </c>
      <c r="J36" s="157">
        <f>'Lpg (2)'!B40</f>
        <v>85</v>
      </c>
      <c r="K36" s="157">
        <f>'Lpg (2)'!C40</f>
        <v>85</v>
      </c>
      <c r="L36" s="157">
        <f>'Lpg (2)'!D40</f>
        <v>45</v>
      </c>
      <c r="M36" s="513">
        <f>'Lpg (2)'!G40</f>
        <v>27.852000000007685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20" t="e">
        <f t="shared" si="1"/>
        <v>#REF!</v>
      </c>
    </row>
    <row r="37" spans="1:20" ht="14.25">
      <c r="A37" s="519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40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13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20" t="e">
        <f t="shared" si="1"/>
        <v>#REF!</v>
      </c>
    </row>
    <row r="38" spans="1:20" ht="14.25">
      <c r="A38" s="51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21"/>
    </row>
    <row r="39" spans="1:20" ht="13.5" thickBot="1">
      <c r="A39" s="55" t="s">
        <v>13</v>
      </c>
      <c r="B39" s="522">
        <f>SUM(B7:B37)</f>
        <v>0</v>
      </c>
      <c r="C39" s="522">
        <f>SUM(C7:C35)</f>
        <v>51720</v>
      </c>
      <c r="D39" s="522">
        <f>SUM(D7:D35)</f>
        <v>21971.809999999994</v>
      </c>
      <c r="E39" s="522">
        <f t="shared" ref="E39:S39" si="3">SUM(E7:E35)</f>
        <v>1809.0400000000002</v>
      </c>
      <c r="F39" s="522">
        <f t="shared" si="3"/>
        <v>23780.849999999995</v>
      </c>
      <c r="G39" s="522">
        <f t="shared" si="3"/>
        <v>1285</v>
      </c>
      <c r="H39" s="522">
        <f t="shared" si="3"/>
        <v>1245</v>
      </c>
      <c r="I39" s="522">
        <f t="shared" si="3"/>
        <v>1122</v>
      </c>
      <c r="J39" s="522">
        <f t="shared" si="3"/>
        <v>946</v>
      </c>
      <c r="K39" s="522">
        <f t="shared" si="3"/>
        <v>2465</v>
      </c>
      <c r="L39" s="522">
        <f t="shared" si="3"/>
        <v>1826</v>
      </c>
      <c r="M39" s="522">
        <f t="shared" si="3"/>
        <v>948.85999999997455</v>
      </c>
      <c r="N39" s="522">
        <f t="shared" si="3"/>
        <v>30760.533999999992</v>
      </c>
      <c r="O39" s="522">
        <f t="shared" si="3"/>
        <v>2532.6559999999999</v>
      </c>
      <c r="P39" s="522" t="e">
        <f t="shared" si="3"/>
        <v>#REF!</v>
      </c>
      <c r="Q39" s="522" t="e">
        <f t="shared" si="3"/>
        <v>#REF!</v>
      </c>
      <c r="R39" s="522" t="e">
        <f t="shared" si="3"/>
        <v>#DIV/0!</v>
      </c>
      <c r="S39" s="523" t="e">
        <f t="shared" si="3"/>
        <v>#REF!</v>
      </c>
    </row>
    <row r="42" spans="1:20">
      <c r="I42" s="621"/>
    </row>
    <row r="43" spans="1:20">
      <c r="I43" s="6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10" zoomScale="85" zoomScalePageLayoutView="85" workbookViewId="0">
      <selection activeCell="AB36" sqref="AB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49" t="s">
        <v>293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  <c r="Y1" s="750"/>
      <c r="Z1" s="750"/>
      <c r="AA1" s="750"/>
      <c r="AB1" s="750"/>
      <c r="AC1" s="750"/>
      <c r="AD1" s="750"/>
      <c r="AE1" s="750"/>
      <c r="AF1" s="750"/>
      <c r="AG1" s="750"/>
      <c r="AH1" s="750"/>
      <c r="AI1" s="750"/>
      <c r="AJ1" s="750"/>
      <c r="AK1" s="751"/>
    </row>
    <row r="2" spans="1:37" ht="61.5" customHeight="1" thickBot="1">
      <c r="A2" s="123" t="s">
        <v>79</v>
      </c>
      <c r="B2" s="752" t="s">
        <v>80</v>
      </c>
      <c r="C2" s="753"/>
      <c r="D2" s="754"/>
      <c r="E2" s="124"/>
      <c r="F2" s="124"/>
      <c r="G2" s="124"/>
      <c r="H2" s="121" t="s">
        <v>105</v>
      </c>
      <c r="I2" s="326" t="s">
        <v>81</v>
      </c>
      <c r="J2" s="757" t="s">
        <v>103</v>
      </c>
      <c r="K2" s="475"/>
      <c r="L2" s="759" t="s">
        <v>104</v>
      </c>
      <c r="M2" s="474" t="s">
        <v>82</v>
      </c>
      <c r="N2" s="757" t="s">
        <v>83</v>
      </c>
      <c r="O2" s="741" t="s">
        <v>84</v>
      </c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  <c r="AA2" s="327" t="s">
        <v>85</v>
      </c>
      <c r="AB2" s="752" t="s">
        <v>145</v>
      </c>
      <c r="AC2" s="754"/>
      <c r="AD2" s="120">
        <v>0</v>
      </c>
      <c r="AE2" s="454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55">
        <f>SUM(D3/B3)</f>
        <v>1.3262195121951219</v>
      </c>
      <c r="G3" s="756"/>
      <c r="H3" s="104">
        <f>Gen!D11</f>
        <v>41048.869999999995</v>
      </c>
      <c r="I3" s="114"/>
      <c r="J3" s="757"/>
      <c r="K3" s="475" t="s">
        <v>146</v>
      </c>
      <c r="L3" s="759"/>
      <c r="M3" s="328" t="s">
        <v>92</v>
      </c>
      <c r="N3" s="757"/>
      <c r="O3" s="741" t="s">
        <v>93</v>
      </c>
      <c r="P3" s="742"/>
      <c r="Q3" s="742"/>
      <c r="R3" s="742"/>
      <c r="S3" s="743" t="s">
        <v>94</v>
      </c>
      <c r="T3" s="744"/>
      <c r="U3" s="744"/>
      <c r="V3" s="745"/>
      <c r="W3" s="746" t="s">
        <v>95</v>
      </c>
      <c r="X3" s="747"/>
      <c r="Y3" s="747"/>
      <c r="Z3" s="748"/>
      <c r="AA3" s="329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57"/>
      <c r="K4" s="475"/>
      <c r="L4" s="759"/>
      <c r="M4" s="116"/>
      <c r="N4" s="758"/>
      <c r="O4" s="330" t="s">
        <v>154</v>
      </c>
      <c r="P4" s="331" t="s">
        <v>152</v>
      </c>
      <c r="Q4" s="331" t="s">
        <v>101</v>
      </c>
      <c r="R4" s="198" t="s">
        <v>153</v>
      </c>
      <c r="S4" s="330" t="s">
        <v>154</v>
      </c>
      <c r="T4" s="331" t="s">
        <v>152</v>
      </c>
      <c r="U4" s="331" t="s">
        <v>101</v>
      </c>
      <c r="V4" s="198" t="s">
        <v>153</v>
      </c>
      <c r="W4" s="330" t="s">
        <v>154</v>
      </c>
      <c r="X4" s="332" t="s">
        <v>289</v>
      </c>
      <c r="Y4" s="332" t="s">
        <v>101</v>
      </c>
      <c r="Z4" s="331" t="s">
        <v>153</v>
      </c>
      <c r="AA4" s="333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33">
        <v>19027</v>
      </c>
      <c r="Q5" s="65"/>
      <c r="R5" s="205"/>
      <c r="S5" s="205"/>
      <c r="T5" s="552">
        <v>16086</v>
      </c>
      <c r="U5" s="205"/>
      <c r="V5" s="205"/>
      <c r="W5" s="205"/>
      <c r="X5" s="550">
        <v>24240</v>
      </c>
      <c r="Y5" s="205"/>
      <c r="Z5" s="205"/>
      <c r="AA5" s="205"/>
      <c r="AB5" s="551">
        <v>30249</v>
      </c>
      <c r="AC5" s="111"/>
      <c r="AD5" s="433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482">
        <f>'Summery Report'!E5</f>
        <v>0</v>
      </c>
      <c r="C6" s="131">
        <f>Gen!C11</f>
        <v>0</v>
      </c>
      <c r="D6" s="483">
        <f>'Summery Report'!E5</f>
        <v>0</v>
      </c>
      <c r="E6" s="484">
        <f>SUM(F3)</f>
        <v>1.3262195121951219</v>
      </c>
      <c r="F6" s="485" t="e">
        <f>SUM(J6*E6)/D6</f>
        <v>#DIV/0!</v>
      </c>
      <c r="G6" s="485" t="e">
        <f t="shared" ref="G6:G36" si="0">SUM(L6*E6)/D6</f>
        <v>#DIV/0!</v>
      </c>
      <c r="H6" s="484">
        <f>Gen!D11</f>
        <v>41048.869999999995</v>
      </c>
      <c r="I6" s="486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12">
        <f>'Water-Meter'!K46</f>
        <v>434.92781384818153</v>
      </c>
      <c r="N6" s="194">
        <f>'Water-Meter'!E6</f>
        <v>38</v>
      </c>
      <c r="O6" s="205"/>
      <c r="P6" s="433">
        <v>19027</v>
      </c>
      <c r="Q6" s="487">
        <f t="shared" ref="Q6:Q36" si="2">SUM(P6-P5)</f>
        <v>0</v>
      </c>
      <c r="R6" s="488">
        <f>SUM(Q6*O6)</f>
        <v>0</v>
      </c>
      <c r="S6" s="433"/>
      <c r="T6" s="552">
        <v>16086</v>
      </c>
      <c r="U6" s="487">
        <f>T6-T5</f>
        <v>0</v>
      </c>
      <c r="V6" s="489" t="s">
        <v>227</v>
      </c>
      <c r="W6" s="205"/>
      <c r="X6" s="550">
        <v>24240</v>
      </c>
      <c r="Y6" s="487">
        <f>X6-X5</f>
        <v>0</v>
      </c>
      <c r="Z6" s="487">
        <f t="shared" ref="Z6:AA6" si="3">Y6-Y5</f>
        <v>0</v>
      </c>
      <c r="AA6" s="487">
        <f t="shared" si="3"/>
        <v>0</v>
      </c>
      <c r="AB6" s="551">
        <v>30249</v>
      </c>
      <c r="AC6" s="111">
        <f>AB6-AB5</f>
        <v>0</v>
      </c>
      <c r="AD6" s="433">
        <v>199493</v>
      </c>
      <c r="AE6" s="212">
        <f>AD6-AD5</f>
        <v>28</v>
      </c>
      <c r="AF6" s="306">
        <f>'Lpg (2)'!B10*2000/85</f>
        <v>376.47058823529414</v>
      </c>
      <c r="AG6" s="307">
        <f>'Lpg (2)'!C10*1000/85</f>
        <v>1000</v>
      </c>
      <c r="AH6" s="308">
        <f>'Lpg (2)'!D10*1000/85</f>
        <v>776.47058823529414</v>
      </c>
      <c r="AI6" s="490">
        <f>SUM(AF6*2000)+(AG6*1000)+(AH6*1000)</f>
        <v>2529411.7647058824</v>
      </c>
      <c r="AJ6" s="491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482">
        <f>'Summery Report'!E6</f>
        <v>0</v>
      </c>
      <c r="C7" s="131">
        <f>Gen!C12</f>
        <v>0</v>
      </c>
      <c r="D7" s="483">
        <f>'Summery Report'!E6</f>
        <v>0</v>
      </c>
      <c r="E7" s="484">
        <f>SUM(E6)</f>
        <v>1.3262195121951219</v>
      </c>
      <c r="F7" s="485" t="e">
        <f>SUM(J7*E7)/D7</f>
        <v>#DIV/0!</v>
      </c>
      <c r="G7" s="485" t="e">
        <f t="shared" si="0"/>
        <v>#DIV/0!</v>
      </c>
      <c r="H7" s="484">
        <f>Gen!D12</f>
        <v>40148.539999999994</v>
      </c>
      <c r="I7" s="486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12">
        <f>'Water-Meter'!K47</f>
        <v>503.07761975358602</v>
      </c>
      <c r="N7" s="194">
        <f>'Water-Meter'!E7</f>
        <v>52</v>
      </c>
      <c r="O7" s="205">
        <v>2.2999999999999998</v>
      </c>
      <c r="P7" s="433">
        <v>19029</v>
      </c>
      <c r="Q7" s="487">
        <f t="shared" si="2"/>
        <v>2</v>
      </c>
      <c r="R7" s="488">
        <f t="shared" ref="R7:R36" si="5">SUM(Q7*O7)</f>
        <v>4.5999999999999996</v>
      </c>
      <c r="S7" s="433"/>
      <c r="T7" s="552">
        <v>16086</v>
      </c>
      <c r="U7" s="487">
        <f t="shared" ref="U7:U36" si="6">T7-T6</f>
        <v>0</v>
      </c>
      <c r="V7" s="489">
        <f t="shared" ref="V7:V9" si="7">SUM(U7*S7)</f>
        <v>0</v>
      </c>
      <c r="W7" s="205">
        <v>2.4</v>
      </c>
      <c r="X7" s="550">
        <v>24259</v>
      </c>
      <c r="Y7" s="487">
        <f t="shared" ref="Y7:Y36" si="8">X7-X6</f>
        <v>19</v>
      </c>
      <c r="Z7" s="489">
        <f t="shared" ref="Z7:Z36" si="9">SUM(Y7*W7)</f>
        <v>45.6</v>
      </c>
      <c r="AA7" s="489">
        <f t="shared" ref="AA7:AA36" si="10">SUM(Z7*X9)</f>
        <v>1108399.2</v>
      </c>
      <c r="AB7" s="551">
        <v>30297</v>
      </c>
      <c r="AC7" s="111">
        <f t="shared" ref="AC7:AC27" si="11">AB7-AB6</f>
        <v>48</v>
      </c>
      <c r="AD7" s="433">
        <v>199522</v>
      </c>
      <c r="AE7" s="212">
        <f>AD7-AD6</f>
        <v>29</v>
      </c>
      <c r="AF7" s="306">
        <f>'Lpg (2)'!B11*2000/85</f>
        <v>376.47058823529414</v>
      </c>
      <c r="AG7" s="307">
        <f>'Lpg (2)'!C11*1000/85</f>
        <v>1000</v>
      </c>
      <c r="AH7" s="308">
        <f>'Lpg (2)'!D11*1000/85</f>
        <v>776.47058823529414</v>
      </c>
      <c r="AI7" s="492">
        <f t="shared" ref="AI7:AI14" si="12">SUM(AF6*2000)+(AG7*1000)+(AH7*1000)</f>
        <v>2529411.7647058824</v>
      </c>
      <c r="AJ7" s="491">
        <f t="shared" si="4"/>
        <v>0</v>
      </c>
      <c r="AK7" s="117"/>
    </row>
    <row r="8" spans="1:37" ht="19.5" thickBot="1">
      <c r="A8" s="75">
        <f>Gen!B13</f>
        <v>43924</v>
      </c>
      <c r="B8" s="482">
        <f>'Summery Report'!E7</f>
        <v>0</v>
      </c>
      <c r="C8" s="131">
        <f>Gen!C13</f>
        <v>0</v>
      </c>
      <c r="D8" s="483">
        <f>'Summery Report'!E7</f>
        <v>0</v>
      </c>
      <c r="E8" s="484">
        <f t="shared" ref="E8:E36" si="13">SUM(E7)</f>
        <v>1.3262195121951219</v>
      </c>
      <c r="F8" s="485" t="e">
        <f t="shared" ref="F8:F36" si="14">SUM(J8*E8)/D8</f>
        <v>#DIV/0!</v>
      </c>
      <c r="G8" s="485" t="e">
        <f t="shared" si="0"/>
        <v>#DIV/0!</v>
      </c>
      <c r="H8" s="484">
        <f>Gen!D13</f>
        <v>39272.899999999994</v>
      </c>
      <c r="I8" s="486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12">
        <f>'Water-Meter'!K48</f>
        <v>507.01617858592772</v>
      </c>
      <c r="N8" s="194">
        <f>'Water-Meter'!E8</f>
        <v>26</v>
      </c>
      <c r="O8" s="205"/>
      <c r="P8" s="433">
        <v>19029</v>
      </c>
      <c r="Q8" s="487">
        <f t="shared" si="2"/>
        <v>0</v>
      </c>
      <c r="R8" s="488">
        <f t="shared" si="5"/>
        <v>0</v>
      </c>
      <c r="S8" s="433"/>
      <c r="T8" s="552">
        <v>16086</v>
      </c>
      <c r="U8" s="487">
        <f t="shared" si="6"/>
        <v>0</v>
      </c>
      <c r="V8" s="489">
        <f t="shared" si="7"/>
        <v>0</v>
      </c>
      <c r="W8" s="433">
        <v>2.5</v>
      </c>
      <c r="X8" s="550">
        <v>24283</v>
      </c>
      <c r="Y8" s="487">
        <f t="shared" si="8"/>
        <v>24</v>
      </c>
      <c r="Z8" s="489">
        <f t="shared" si="9"/>
        <v>60</v>
      </c>
      <c r="AA8" s="489">
        <f t="shared" si="10"/>
        <v>1459860</v>
      </c>
      <c r="AB8" s="551">
        <v>30356</v>
      </c>
      <c r="AC8" s="111">
        <f t="shared" si="11"/>
        <v>59</v>
      </c>
      <c r="AD8" s="433">
        <v>199541</v>
      </c>
      <c r="AE8" s="212">
        <f t="shared" ref="AE8:AE37" si="15">AD8-AD7</f>
        <v>19</v>
      </c>
      <c r="AF8" s="306">
        <f>'Lpg (2)'!B12*2000/85</f>
        <v>352.94117647058823</v>
      </c>
      <c r="AG8" s="307">
        <f>'Lpg (2)'!C12*1000/85</f>
        <v>1000</v>
      </c>
      <c r="AH8" s="308">
        <f>'Lpg (2)'!D12*1000/85</f>
        <v>776.47058823529414</v>
      </c>
      <c r="AI8" s="492">
        <f t="shared" si="12"/>
        <v>2529411.7647058824</v>
      </c>
      <c r="AJ8" s="491">
        <f t="shared" si="4"/>
        <v>0</v>
      </c>
      <c r="AK8" s="117"/>
    </row>
    <row r="9" spans="1:37" ht="19.5" thickBot="1">
      <c r="A9" s="75">
        <f>Gen!B14</f>
        <v>43925</v>
      </c>
      <c r="B9" s="482">
        <f>'Summery Report'!E8</f>
        <v>0</v>
      </c>
      <c r="C9" s="131">
        <f>Gen!C14</f>
        <v>0</v>
      </c>
      <c r="D9" s="483">
        <f>'Summery Report'!E8</f>
        <v>0</v>
      </c>
      <c r="E9" s="484">
        <f t="shared" si="13"/>
        <v>1.3262195121951219</v>
      </c>
      <c r="F9" s="485" t="e">
        <f t="shared" si="14"/>
        <v>#DIV/0!</v>
      </c>
      <c r="G9" s="485" t="e">
        <f t="shared" si="0"/>
        <v>#DIV/0!</v>
      </c>
      <c r="H9" s="484">
        <f>Gen!D14</f>
        <v>38421.959999999992</v>
      </c>
      <c r="I9" s="486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12">
        <f>'Water-Meter'!K49</f>
        <v>518.72347002966353</v>
      </c>
      <c r="N9" s="194">
        <f>'Water-Meter'!E9</f>
        <v>34</v>
      </c>
      <c r="O9" s="205"/>
      <c r="P9" s="433">
        <v>19029</v>
      </c>
      <c r="Q9" s="487">
        <f t="shared" si="2"/>
        <v>0</v>
      </c>
      <c r="R9" s="488">
        <f t="shared" si="5"/>
        <v>0</v>
      </c>
      <c r="S9" s="433"/>
      <c r="T9" s="552">
        <v>16086</v>
      </c>
      <c r="U9" s="487">
        <f t="shared" si="6"/>
        <v>0</v>
      </c>
      <c r="V9" s="489">
        <f t="shared" si="7"/>
        <v>0</v>
      </c>
      <c r="W9" s="433">
        <v>2.6</v>
      </c>
      <c r="X9" s="550">
        <v>24307</v>
      </c>
      <c r="Y9" s="487">
        <f t="shared" si="8"/>
        <v>24</v>
      </c>
      <c r="Z9" s="489">
        <f t="shared" si="9"/>
        <v>62.400000000000006</v>
      </c>
      <c r="AA9" s="489">
        <f t="shared" si="10"/>
        <v>1519315.2000000002</v>
      </c>
      <c r="AB9" s="551">
        <v>30413</v>
      </c>
      <c r="AC9" s="111">
        <f t="shared" si="11"/>
        <v>57</v>
      </c>
      <c r="AD9" s="433">
        <v>199541</v>
      </c>
      <c r="AE9" s="212">
        <f t="shared" si="15"/>
        <v>0</v>
      </c>
      <c r="AF9" s="306">
        <f>'Lpg (2)'!B13*2000/85</f>
        <v>329.41176470588238</v>
      </c>
      <c r="AG9" s="307">
        <f>'Lpg (2)'!C13*1000/85</f>
        <v>1000</v>
      </c>
      <c r="AH9" s="308">
        <f>'Lpg (2)'!D13*1000/85</f>
        <v>776.47058823529414</v>
      </c>
      <c r="AI9" s="492">
        <f t="shared" si="12"/>
        <v>2482352.9411764704</v>
      </c>
      <c r="AJ9" s="491">
        <f t="shared" si="4"/>
        <v>47058.823529412039</v>
      </c>
      <c r="AK9" s="117"/>
    </row>
    <row r="10" spans="1:37" ht="19.5" thickBot="1">
      <c r="A10" s="75">
        <f>Gen!B15</f>
        <v>43926</v>
      </c>
      <c r="B10" s="482">
        <f>'Summery Report'!E9</f>
        <v>0</v>
      </c>
      <c r="C10" s="131">
        <f>Gen!C15</f>
        <v>0</v>
      </c>
      <c r="D10" s="483">
        <f>'Summery Report'!E9</f>
        <v>0</v>
      </c>
      <c r="E10" s="484">
        <f t="shared" si="13"/>
        <v>1.3262195121951219</v>
      </c>
      <c r="F10" s="485" t="e">
        <f t="shared" si="14"/>
        <v>#DIV/0!</v>
      </c>
      <c r="G10" s="485" t="e">
        <f t="shared" si="0"/>
        <v>#DIV/0!</v>
      </c>
      <c r="H10" s="484">
        <f>Gen!D15</f>
        <v>36972.039999999994</v>
      </c>
      <c r="I10" s="486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12">
        <f>'Water-Meter'!K50</f>
        <v>497.30897203425775</v>
      </c>
      <c r="N10" s="194">
        <f>'Water-Meter'!E10</f>
        <v>42</v>
      </c>
      <c r="O10" s="205"/>
      <c r="P10" s="433">
        <v>19029</v>
      </c>
      <c r="Q10" s="487">
        <f t="shared" si="2"/>
        <v>0</v>
      </c>
      <c r="R10" s="488">
        <f t="shared" si="5"/>
        <v>0</v>
      </c>
      <c r="S10" s="433"/>
      <c r="T10" s="552">
        <v>16086</v>
      </c>
      <c r="U10" s="487">
        <f t="shared" si="6"/>
        <v>0</v>
      </c>
      <c r="V10" s="489">
        <f t="shared" ref="V10:V16" si="16">SUM(U10*S10)</f>
        <v>0</v>
      </c>
      <c r="W10" s="433">
        <v>2.6</v>
      </c>
      <c r="X10" s="550">
        <v>24331</v>
      </c>
      <c r="Y10" s="487">
        <f t="shared" si="8"/>
        <v>24</v>
      </c>
      <c r="Z10" s="489">
        <f t="shared" si="9"/>
        <v>62.400000000000006</v>
      </c>
      <c r="AA10" s="489">
        <f t="shared" si="10"/>
        <v>1520812.8</v>
      </c>
      <c r="AB10" s="551">
        <v>30470</v>
      </c>
      <c r="AC10" s="111">
        <f t="shared" si="11"/>
        <v>57</v>
      </c>
      <c r="AD10" s="433">
        <v>199589</v>
      </c>
      <c r="AE10" s="212">
        <f t="shared" si="15"/>
        <v>48</v>
      </c>
      <c r="AF10" s="306">
        <f>'Lpg (2)'!B14*2000/85</f>
        <v>305.88235294117646</v>
      </c>
      <c r="AG10" s="307">
        <f>'Lpg (2)'!C14*1000/85</f>
        <v>1000</v>
      </c>
      <c r="AH10" s="308">
        <f>'Lpg (2)'!D14*1000/85</f>
        <v>776.47058823529414</v>
      </c>
      <c r="AI10" s="492">
        <f t="shared" si="12"/>
        <v>2435294.1176470588</v>
      </c>
      <c r="AJ10" s="491">
        <f t="shared" si="4"/>
        <v>47058.823529411573</v>
      </c>
      <c r="AK10" s="117"/>
    </row>
    <row r="11" spans="1:37" ht="19.5" thickBot="1">
      <c r="A11" s="75">
        <f>Gen!B16</f>
        <v>43927</v>
      </c>
      <c r="B11" s="482">
        <f>'Summery Report'!E10</f>
        <v>0</v>
      </c>
      <c r="C11" s="131">
        <f>Gen!C16</f>
        <v>0</v>
      </c>
      <c r="D11" s="483">
        <f>'Summery Report'!E10</f>
        <v>0</v>
      </c>
      <c r="E11" s="484">
        <f t="shared" si="13"/>
        <v>1.3262195121951219</v>
      </c>
      <c r="F11" s="485" t="e">
        <f t="shared" si="14"/>
        <v>#DIV/0!</v>
      </c>
      <c r="G11" s="485" t="e">
        <f t="shared" si="0"/>
        <v>#DIV/0!</v>
      </c>
      <c r="H11" s="484">
        <f>Gen!D16</f>
        <v>36124.419999999991</v>
      </c>
      <c r="I11" s="486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12">
        <f>'Water-Meter'!K51</f>
        <v>469.85870945530661</v>
      </c>
      <c r="N11" s="194">
        <f>'Water-Meter'!E11</f>
        <v>41</v>
      </c>
      <c r="O11" s="205"/>
      <c r="P11" s="433">
        <v>19029</v>
      </c>
      <c r="Q11" s="487">
        <f t="shared" si="2"/>
        <v>0</v>
      </c>
      <c r="R11" s="488">
        <f t="shared" si="5"/>
        <v>0</v>
      </c>
      <c r="S11" s="433"/>
      <c r="T11" s="552">
        <v>16086</v>
      </c>
      <c r="U11" s="487">
        <f t="shared" si="6"/>
        <v>0</v>
      </c>
      <c r="V11" s="489">
        <f t="shared" si="16"/>
        <v>0</v>
      </c>
      <c r="W11" s="433">
        <v>2.7</v>
      </c>
      <c r="X11" s="550">
        <v>24348</v>
      </c>
      <c r="Y11" s="487">
        <f t="shared" si="8"/>
        <v>17</v>
      </c>
      <c r="Z11" s="489">
        <f t="shared" si="9"/>
        <v>45.900000000000006</v>
      </c>
      <c r="AA11" s="489">
        <f t="shared" si="10"/>
        <v>1119730.5000000002</v>
      </c>
      <c r="AB11" s="551">
        <v>30508</v>
      </c>
      <c r="AC11" s="111">
        <f t="shared" si="11"/>
        <v>38</v>
      </c>
      <c r="AD11" s="433">
        <v>199607</v>
      </c>
      <c r="AE11" s="212">
        <f t="shared" si="15"/>
        <v>18</v>
      </c>
      <c r="AF11" s="306">
        <f>'Lpg (2)'!B15*2000/85</f>
        <v>305.88235294117646</v>
      </c>
      <c r="AG11" s="307">
        <f>'Lpg (2)'!C15*1000/85</f>
        <v>1000</v>
      </c>
      <c r="AH11" s="308">
        <f>'Lpg (2)'!D15*1000/85</f>
        <v>776.47058823529414</v>
      </c>
      <c r="AI11" s="492">
        <f t="shared" si="12"/>
        <v>2388235.2941176468</v>
      </c>
      <c r="AJ11" s="491">
        <f t="shared" si="4"/>
        <v>47058.823529412039</v>
      </c>
      <c r="AK11" s="117"/>
    </row>
    <row r="12" spans="1:37" ht="19.5" thickBot="1">
      <c r="A12" s="75">
        <f>Gen!B17</f>
        <v>43928</v>
      </c>
      <c r="B12" s="482">
        <f>'Summery Report'!E11</f>
        <v>0</v>
      </c>
      <c r="C12" s="131">
        <f>Gen!C17</f>
        <v>0</v>
      </c>
      <c r="D12" s="483">
        <f>'Summery Report'!E11</f>
        <v>0</v>
      </c>
      <c r="E12" s="484">
        <f t="shared" si="13"/>
        <v>1.3262195121951219</v>
      </c>
      <c r="F12" s="485" t="e">
        <f t="shared" si="14"/>
        <v>#DIV/0!</v>
      </c>
      <c r="G12" s="485" t="e">
        <f t="shared" si="0"/>
        <v>#DIV/0!</v>
      </c>
      <c r="H12" s="484">
        <f>Gen!D17</f>
        <v>50366.889999999992</v>
      </c>
      <c r="I12" s="486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12">
        <f>'Water-Meter'!K52</f>
        <v>471.68465509436703</v>
      </c>
      <c r="N12" s="194">
        <f>'Water-Meter'!E12</f>
        <v>47</v>
      </c>
      <c r="O12" s="205"/>
      <c r="P12" s="433">
        <v>19029</v>
      </c>
      <c r="Q12" s="487">
        <f t="shared" si="2"/>
        <v>0</v>
      </c>
      <c r="R12" s="488">
        <f t="shared" si="5"/>
        <v>0</v>
      </c>
      <c r="S12" s="433"/>
      <c r="T12" s="552">
        <v>16086</v>
      </c>
      <c r="U12" s="487">
        <f t="shared" si="6"/>
        <v>0</v>
      </c>
      <c r="V12" s="489">
        <f t="shared" si="16"/>
        <v>0</v>
      </c>
      <c r="W12" s="433">
        <v>2.2000000000000002</v>
      </c>
      <c r="X12" s="550">
        <v>24372</v>
      </c>
      <c r="Y12" s="487">
        <f t="shared" si="8"/>
        <v>24</v>
      </c>
      <c r="Z12" s="489">
        <f t="shared" si="9"/>
        <v>52.800000000000004</v>
      </c>
      <c r="AA12" s="489">
        <f t="shared" si="10"/>
        <v>1288267.2000000002</v>
      </c>
      <c r="AB12" s="551">
        <v>30561</v>
      </c>
      <c r="AC12" s="111">
        <f t="shared" si="11"/>
        <v>53</v>
      </c>
      <c r="AD12" s="433">
        <v>199639</v>
      </c>
      <c r="AE12" s="212">
        <f t="shared" si="15"/>
        <v>32</v>
      </c>
      <c r="AF12" s="306">
        <f>'Lpg (2)'!B16*2000/85</f>
        <v>305.88235294117646</v>
      </c>
      <c r="AG12" s="307">
        <f>'Lpg (2)'!C16*1000/85</f>
        <v>1000</v>
      </c>
      <c r="AH12" s="308">
        <f>'Lpg (2)'!D16*1000/85</f>
        <v>776.47058823529414</v>
      </c>
      <c r="AI12" s="492">
        <f t="shared" si="12"/>
        <v>2388235.2941176468</v>
      </c>
      <c r="AJ12" s="491">
        <f t="shared" si="4"/>
        <v>0</v>
      </c>
      <c r="AK12" s="117"/>
    </row>
    <row r="13" spans="1:37" ht="19.5" thickBot="1">
      <c r="A13" s="75">
        <f>Gen!B18</f>
        <v>43929</v>
      </c>
      <c r="B13" s="482">
        <f>'Summery Report'!E12</f>
        <v>0</v>
      </c>
      <c r="C13" s="131">
        <f>Gen!C18</f>
        <v>0</v>
      </c>
      <c r="D13" s="483">
        <f>'Summery Report'!E12</f>
        <v>0</v>
      </c>
      <c r="E13" s="484">
        <f t="shared" si="13"/>
        <v>1.3262195121951219</v>
      </c>
      <c r="F13" s="485" t="e">
        <f t="shared" si="14"/>
        <v>#DIV/0!</v>
      </c>
      <c r="G13" s="485" t="e">
        <f t="shared" si="0"/>
        <v>#DIV/0!</v>
      </c>
      <c r="H13" s="484">
        <f>Gen!D18</f>
        <v>49475.139999999992</v>
      </c>
      <c r="I13" s="486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12">
        <f>'Water-Meter'!K53</f>
        <v>483.60145305050924</v>
      </c>
      <c r="N13" s="194">
        <f>'Water-Meter'!E13</f>
        <v>36</v>
      </c>
      <c r="O13" s="205">
        <v>2.4</v>
      </c>
      <c r="P13" s="433">
        <v>19030</v>
      </c>
      <c r="Q13" s="487">
        <f t="shared" si="2"/>
        <v>1</v>
      </c>
      <c r="R13" s="488">
        <f t="shared" si="5"/>
        <v>2.4</v>
      </c>
      <c r="S13" s="433"/>
      <c r="T13" s="552">
        <v>16086</v>
      </c>
      <c r="U13" s="487">
        <f t="shared" si="6"/>
        <v>0</v>
      </c>
      <c r="V13" s="489">
        <f t="shared" si="16"/>
        <v>0</v>
      </c>
      <c r="W13" s="433">
        <v>2.2999999999999998</v>
      </c>
      <c r="X13" s="550">
        <v>24395</v>
      </c>
      <c r="Y13" s="487">
        <f t="shared" si="8"/>
        <v>23</v>
      </c>
      <c r="Z13" s="489">
        <f t="shared" si="9"/>
        <v>52.9</v>
      </c>
      <c r="AA13" s="489">
        <f t="shared" si="10"/>
        <v>1291818</v>
      </c>
      <c r="AB13" s="551">
        <v>30611</v>
      </c>
      <c r="AC13" s="111">
        <f t="shared" si="11"/>
        <v>50</v>
      </c>
      <c r="AD13" s="433">
        <v>199667</v>
      </c>
      <c r="AE13" s="212">
        <f t="shared" si="15"/>
        <v>28</v>
      </c>
      <c r="AF13" s="306">
        <f>'Lpg (2)'!B17*2000/85</f>
        <v>305.88235294117646</v>
      </c>
      <c r="AG13" s="307">
        <f>'Lpg (2)'!C17*1000/85</f>
        <v>1000</v>
      </c>
      <c r="AH13" s="308">
        <f>'Lpg (2)'!D17*1000/85</f>
        <v>776.47058823529414</v>
      </c>
      <c r="AI13" s="492">
        <f t="shared" si="12"/>
        <v>2388235.2941176468</v>
      </c>
      <c r="AJ13" s="491">
        <f t="shared" si="4"/>
        <v>0</v>
      </c>
      <c r="AK13" s="118"/>
    </row>
    <row r="14" spans="1:37" ht="19.5" thickBot="1">
      <c r="A14" s="75">
        <f>Gen!B19</f>
        <v>43930</v>
      </c>
      <c r="B14" s="482">
        <f>'Summery Report'!E13</f>
        <v>0</v>
      </c>
      <c r="C14" s="131">
        <f>Gen!C19</f>
        <v>0</v>
      </c>
      <c r="D14" s="483">
        <f>'Summery Report'!E13</f>
        <v>0</v>
      </c>
      <c r="E14" s="484">
        <f t="shared" si="13"/>
        <v>1.3262195121951219</v>
      </c>
      <c r="F14" s="485" t="e">
        <f t="shared" si="14"/>
        <v>#DIV/0!</v>
      </c>
      <c r="G14" s="485" t="e">
        <f t="shared" si="0"/>
        <v>#DIV/0!</v>
      </c>
      <c r="H14" s="484">
        <f>Gen!D19</f>
        <v>48643.869999999995</v>
      </c>
      <c r="I14" s="486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12">
        <f>'Water-Meter'!K54</f>
        <v>541.48314703958022</v>
      </c>
      <c r="N14" s="194">
        <f>'Water-Meter'!E14</f>
        <v>33</v>
      </c>
      <c r="O14" s="205"/>
      <c r="P14" s="433">
        <v>19030</v>
      </c>
      <c r="Q14" s="487">
        <f t="shared" si="2"/>
        <v>0</v>
      </c>
      <c r="R14" s="488">
        <f t="shared" si="5"/>
        <v>0</v>
      </c>
      <c r="S14" s="433"/>
      <c r="T14" s="552">
        <v>16086</v>
      </c>
      <c r="U14" s="487">
        <f t="shared" si="6"/>
        <v>0</v>
      </c>
      <c r="V14" s="489">
        <f t="shared" si="16"/>
        <v>0</v>
      </c>
      <c r="W14" s="433">
        <v>2.2999999999999998</v>
      </c>
      <c r="X14" s="550">
        <v>24399</v>
      </c>
      <c r="Y14" s="487">
        <f t="shared" si="8"/>
        <v>4</v>
      </c>
      <c r="Z14" s="489">
        <f t="shared" si="9"/>
        <v>9.1999999999999993</v>
      </c>
      <c r="AA14" s="489">
        <f t="shared" si="10"/>
        <v>224663.99999999997</v>
      </c>
      <c r="AB14" s="551">
        <v>30618</v>
      </c>
      <c r="AC14" s="111">
        <f t="shared" si="11"/>
        <v>7</v>
      </c>
      <c r="AD14" s="433">
        <v>199693</v>
      </c>
      <c r="AE14" s="212">
        <f t="shared" si="15"/>
        <v>26</v>
      </c>
      <c r="AF14" s="306">
        <f>'Lpg (2)'!B18*2000/85</f>
        <v>305.88235294117646</v>
      </c>
      <c r="AG14" s="307">
        <f>'Lpg (2)'!C18*1000/85</f>
        <v>1000</v>
      </c>
      <c r="AH14" s="308">
        <f>'Lpg (2)'!D18*1000/85</f>
        <v>776.47058823529414</v>
      </c>
      <c r="AI14" s="492">
        <f t="shared" si="12"/>
        <v>2388235.2941176468</v>
      </c>
      <c r="AJ14" s="491">
        <f t="shared" si="4"/>
        <v>0</v>
      </c>
      <c r="AK14" s="117"/>
    </row>
    <row r="15" spans="1:37" ht="19.5" thickBot="1">
      <c r="A15" s="75">
        <f>Gen!B20</f>
        <v>43931</v>
      </c>
      <c r="B15" s="482">
        <f>'Summery Report'!E14</f>
        <v>0</v>
      </c>
      <c r="C15" s="131">
        <f>Gen!C20</f>
        <v>0</v>
      </c>
      <c r="D15" s="483">
        <f>'Summery Report'!E14</f>
        <v>0</v>
      </c>
      <c r="E15" s="484">
        <f t="shared" si="13"/>
        <v>1.3262195121951219</v>
      </c>
      <c r="F15" s="485" t="e">
        <f t="shared" si="14"/>
        <v>#DIV/0!</v>
      </c>
      <c r="G15" s="485" t="e">
        <f t="shared" si="0"/>
        <v>#DIV/0!</v>
      </c>
      <c r="H15" s="484">
        <f>Gen!D20</f>
        <v>47837.549999999996</v>
      </c>
      <c r="I15" s="486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12">
        <f>'Water-Meter'!K55</f>
        <v>600.59465669159408</v>
      </c>
      <c r="N15" s="194">
        <f>'Water-Meter'!E15</f>
        <v>55</v>
      </c>
      <c r="O15" s="205"/>
      <c r="P15" s="433">
        <v>19030</v>
      </c>
      <c r="Q15" s="487">
        <f t="shared" si="2"/>
        <v>0</v>
      </c>
      <c r="R15" s="488">
        <f t="shared" si="5"/>
        <v>0</v>
      </c>
      <c r="S15" s="433"/>
      <c r="T15" s="552">
        <v>16086</v>
      </c>
      <c r="U15" s="487">
        <f t="shared" si="6"/>
        <v>0</v>
      </c>
      <c r="V15" s="489">
        <f t="shared" si="16"/>
        <v>0</v>
      </c>
      <c r="W15" s="433">
        <v>2.2999999999999998</v>
      </c>
      <c r="X15" s="550">
        <v>24420</v>
      </c>
      <c r="Y15" s="487">
        <f t="shared" si="8"/>
        <v>21</v>
      </c>
      <c r="Z15" s="489">
        <f t="shared" si="9"/>
        <v>48.3</v>
      </c>
      <c r="AA15" s="489">
        <f t="shared" si="10"/>
        <v>1179727.5</v>
      </c>
      <c r="AB15" s="551">
        <v>30662</v>
      </c>
      <c r="AC15" s="111">
        <f t="shared" si="11"/>
        <v>44</v>
      </c>
      <c r="AD15" s="433">
        <v>199719</v>
      </c>
      <c r="AE15" s="212">
        <f>AD15-AD14</f>
        <v>26</v>
      </c>
      <c r="AF15" s="306">
        <f>'Lpg (2)'!B19*2000/85</f>
        <v>282.35294117647061</v>
      </c>
      <c r="AG15" s="307">
        <f>'Lpg (2)'!C19*1000/85</f>
        <v>1000</v>
      </c>
      <c r="AH15" s="308">
        <f>'Lpg (2)'!D19*1000/85</f>
        <v>776.47058823529414</v>
      </c>
      <c r="AI15" s="492">
        <f t="shared" ref="AI15:AI35" si="17">SUM(AF15*2000)+(AG15*1000)+(AH15*1000)</f>
        <v>2341176.4705882352</v>
      </c>
      <c r="AJ15" s="491">
        <f t="shared" si="4"/>
        <v>47058.823529411573</v>
      </c>
      <c r="AK15" s="117"/>
    </row>
    <row r="16" spans="1:37" ht="19.5" thickBot="1">
      <c r="A16" s="75">
        <f>Gen!B21</f>
        <v>43932</v>
      </c>
      <c r="B16" s="482">
        <f>'Summery Report'!E15</f>
        <v>0</v>
      </c>
      <c r="C16" s="131">
        <f>Gen!C21</f>
        <v>0</v>
      </c>
      <c r="D16" s="483">
        <f>'Summery Report'!E15</f>
        <v>0</v>
      </c>
      <c r="E16" s="484">
        <f t="shared" si="13"/>
        <v>1.3262195121951219</v>
      </c>
      <c r="F16" s="485" t="e">
        <f t="shared" si="14"/>
        <v>#DIV/0!</v>
      </c>
      <c r="G16" s="485" t="e">
        <f t="shared" si="0"/>
        <v>#DIV/0!</v>
      </c>
      <c r="H16" s="484">
        <f>Gen!D21</f>
        <v>47013.799999999996</v>
      </c>
      <c r="I16" s="486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12">
        <f>'Water-Meter'!K56</f>
        <v>588.54041234586157</v>
      </c>
      <c r="N16" s="194">
        <f>'Water-Meter'!E16</f>
        <v>56</v>
      </c>
      <c r="O16" s="205"/>
      <c r="P16" s="433">
        <v>19030</v>
      </c>
      <c r="Q16" s="487">
        <f t="shared" si="2"/>
        <v>0</v>
      </c>
      <c r="R16" s="488">
        <f t="shared" si="5"/>
        <v>0</v>
      </c>
      <c r="S16" s="433">
        <v>8.1</v>
      </c>
      <c r="T16" s="552">
        <v>16095</v>
      </c>
      <c r="U16" s="487">
        <f t="shared" si="6"/>
        <v>9</v>
      </c>
      <c r="V16" s="489">
        <f t="shared" si="16"/>
        <v>72.899999999999991</v>
      </c>
      <c r="W16" s="433"/>
      <c r="X16" s="550">
        <v>24420</v>
      </c>
      <c r="Y16" s="487">
        <f t="shared" si="8"/>
        <v>0</v>
      </c>
      <c r="Z16" s="489">
        <f t="shared" si="9"/>
        <v>0</v>
      </c>
      <c r="AA16" s="489">
        <f t="shared" si="10"/>
        <v>0</v>
      </c>
      <c r="AB16" s="551">
        <v>30737</v>
      </c>
      <c r="AC16" s="111">
        <f t="shared" si="11"/>
        <v>75</v>
      </c>
      <c r="AD16" s="433">
        <v>199747</v>
      </c>
      <c r="AE16" s="212">
        <f t="shared" si="15"/>
        <v>28</v>
      </c>
      <c r="AF16" s="306">
        <f>'Lpg (2)'!B20*2000/85</f>
        <v>282.35294117647061</v>
      </c>
      <c r="AG16" s="307">
        <f>'Lpg (2)'!C20*1000/85</f>
        <v>1000</v>
      </c>
      <c r="AH16" s="308">
        <f>'Lpg (2)'!D20*1000/85</f>
        <v>776.47058823529414</v>
      </c>
      <c r="AI16" s="492">
        <f t="shared" si="17"/>
        <v>2341176.4705882352</v>
      </c>
      <c r="AJ16" s="491">
        <f t="shared" si="4"/>
        <v>0</v>
      </c>
      <c r="AK16" s="117"/>
    </row>
    <row r="17" spans="1:37" ht="19.5" thickBot="1">
      <c r="A17" s="75">
        <f>Gen!B22</f>
        <v>43933</v>
      </c>
      <c r="B17" s="482">
        <f>'Summery Report'!E16</f>
        <v>0</v>
      </c>
      <c r="C17" s="131">
        <f>Gen!C22</f>
        <v>0</v>
      </c>
      <c r="D17" s="483">
        <f>'Summery Report'!E16</f>
        <v>0</v>
      </c>
      <c r="E17" s="484">
        <f t="shared" si="13"/>
        <v>1.3262195121951219</v>
      </c>
      <c r="F17" s="485" t="e">
        <f t="shared" si="14"/>
        <v>#DIV/0!</v>
      </c>
      <c r="G17" s="485" t="e">
        <f t="shared" si="0"/>
        <v>#DIV/0!</v>
      </c>
      <c r="H17" s="484">
        <f>Gen!D22</f>
        <v>46231.13</v>
      </c>
      <c r="I17" s="486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12">
        <f>'Water-Meter'!K57</f>
        <v>557.22321963373838</v>
      </c>
      <c r="N17" s="194">
        <f>'Water-Meter'!E17</f>
        <v>41</v>
      </c>
      <c r="O17" s="205"/>
      <c r="P17" s="433">
        <v>19030</v>
      </c>
      <c r="Q17" s="487">
        <f>SUM(P18-P16)</f>
        <v>0</v>
      </c>
      <c r="R17" s="488">
        <f t="shared" si="5"/>
        <v>0</v>
      </c>
      <c r="S17" s="433">
        <v>8.1999999999999993</v>
      </c>
      <c r="T17" s="552">
        <v>16101</v>
      </c>
      <c r="U17" s="487">
        <f t="shared" si="6"/>
        <v>6</v>
      </c>
      <c r="V17" s="489">
        <f t="shared" ref="V17:V36" si="18">SUM(U17*S17)</f>
        <v>49.199999999999996</v>
      </c>
      <c r="W17" s="433"/>
      <c r="X17" s="550">
        <v>24425</v>
      </c>
      <c r="Y17" s="487">
        <f t="shared" si="8"/>
        <v>5</v>
      </c>
      <c r="Z17" s="489">
        <f t="shared" si="9"/>
        <v>0</v>
      </c>
      <c r="AA17" s="489">
        <f t="shared" si="10"/>
        <v>0</v>
      </c>
      <c r="AB17" s="551">
        <v>30786</v>
      </c>
      <c r="AC17" s="111">
        <f t="shared" si="11"/>
        <v>49</v>
      </c>
      <c r="AD17" s="433">
        <v>199771</v>
      </c>
      <c r="AE17" s="212">
        <f t="shared" si="15"/>
        <v>24</v>
      </c>
      <c r="AF17" s="306">
        <f>'Lpg (2)'!B21*2000/85</f>
        <v>188.23529411764707</v>
      </c>
      <c r="AG17" s="307">
        <f>'Lpg (2)'!C21*1000/85</f>
        <v>1000</v>
      </c>
      <c r="AH17" s="308">
        <f>'Lpg (2)'!D21*1000/85</f>
        <v>776.47058823529414</v>
      </c>
      <c r="AI17" s="492">
        <f t="shared" si="17"/>
        <v>2152941.1764705884</v>
      </c>
      <c r="AJ17" s="491">
        <f t="shared" si="4"/>
        <v>188235.29411764676</v>
      </c>
      <c r="AK17" s="117"/>
    </row>
    <row r="18" spans="1:37" ht="19.5" thickBot="1">
      <c r="A18" s="75">
        <f>Gen!B23</f>
        <v>43934</v>
      </c>
      <c r="B18" s="482">
        <f>'Summery Report'!E17</f>
        <v>0</v>
      </c>
      <c r="C18" s="131">
        <f>Gen!C23</f>
        <v>0</v>
      </c>
      <c r="D18" s="483">
        <f>'Summery Report'!E17</f>
        <v>0</v>
      </c>
      <c r="E18" s="484">
        <f t="shared" si="13"/>
        <v>1.3262195121951219</v>
      </c>
      <c r="F18" s="485" t="e">
        <f t="shared" si="14"/>
        <v>#DIV/0!</v>
      </c>
      <c r="G18" s="485" t="e">
        <f t="shared" si="0"/>
        <v>#DIV/0!</v>
      </c>
      <c r="H18" s="484">
        <f>Gen!D23</f>
        <v>45454.329999999994</v>
      </c>
      <c r="I18" s="486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12">
        <f>'Water-Meter'!K58</f>
        <v>543.27386806718653</v>
      </c>
      <c r="N18" s="194">
        <f>'Water-Meter'!E18</f>
        <v>45</v>
      </c>
      <c r="O18" s="205"/>
      <c r="P18" s="433">
        <v>19030</v>
      </c>
      <c r="Q18" s="487"/>
      <c r="R18" s="488">
        <f t="shared" si="5"/>
        <v>0</v>
      </c>
      <c r="S18" s="433">
        <v>7.9</v>
      </c>
      <c r="T18" s="552">
        <v>16107</v>
      </c>
      <c r="U18" s="487">
        <f t="shared" si="6"/>
        <v>6</v>
      </c>
      <c r="V18" s="489">
        <f t="shared" si="18"/>
        <v>47.400000000000006</v>
      </c>
      <c r="W18" s="433"/>
      <c r="X18" s="550">
        <v>24425</v>
      </c>
      <c r="Y18" s="487">
        <f t="shared" si="8"/>
        <v>0</v>
      </c>
      <c r="Z18" s="489">
        <f t="shared" si="9"/>
        <v>0</v>
      </c>
      <c r="AA18" s="489">
        <f t="shared" si="10"/>
        <v>0</v>
      </c>
      <c r="AB18" s="551">
        <v>30836</v>
      </c>
      <c r="AC18" s="111">
        <f t="shared" si="11"/>
        <v>50</v>
      </c>
      <c r="AD18" s="433">
        <v>199802</v>
      </c>
      <c r="AE18" s="212">
        <f t="shared" si="15"/>
        <v>31</v>
      </c>
      <c r="AF18" s="306">
        <f>'Lpg (2)'!B22*2000/85</f>
        <v>188.23529411764707</v>
      </c>
      <c r="AG18" s="307">
        <f>'Lpg (2)'!C22*1000/85</f>
        <v>1000</v>
      </c>
      <c r="AH18" s="308">
        <f>'Lpg (2)'!D22*1000/85</f>
        <v>776.47058823529414</v>
      </c>
      <c r="AI18" s="492">
        <f t="shared" si="17"/>
        <v>2152941.1764705884</v>
      </c>
      <c r="AJ18" s="491">
        <f t="shared" si="4"/>
        <v>0</v>
      </c>
      <c r="AK18" s="117"/>
    </row>
    <row r="19" spans="1:37" ht="19.5" thickBot="1">
      <c r="A19" s="75">
        <f>Gen!B24</f>
        <v>43935</v>
      </c>
      <c r="B19" s="482">
        <f>'Summery Report'!E18</f>
        <v>0</v>
      </c>
      <c r="C19" s="131">
        <f>Gen!C24</f>
        <v>0</v>
      </c>
      <c r="D19" s="483">
        <f>'Summery Report'!E18</f>
        <v>0</v>
      </c>
      <c r="E19" s="484">
        <f t="shared" si="13"/>
        <v>1.3262195121951219</v>
      </c>
      <c r="F19" s="485" t="e">
        <f t="shared" si="14"/>
        <v>#DIV/0!</v>
      </c>
      <c r="G19" s="485" t="e">
        <f t="shared" si="0"/>
        <v>#DIV/0!</v>
      </c>
      <c r="H19" s="484">
        <f>Gen!D24</f>
        <v>44662.749999999993</v>
      </c>
      <c r="I19" s="486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12">
        <f>'Water-Meter'!K59</f>
        <v>543.43274252606102</v>
      </c>
      <c r="N19" s="194">
        <f>'Water-Meter'!E19</f>
        <v>51</v>
      </c>
      <c r="O19" s="205"/>
      <c r="P19" s="433">
        <v>19030</v>
      </c>
      <c r="Q19" s="487"/>
      <c r="R19" s="488">
        <f t="shared" si="5"/>
        <v>0</v>
      </c>
      <c r="S19" s="433">
        <v>8.1999999999999993</v>
      </c>
      <c r="T19" s="552">
        <v>16112</v>
      </c>
      <c r="U19" s="487">
        <f t="shared" si="6"/>
        <v>5</v>
      </c>
      <c r="V19" s="489">
        <f t="shared" si="18"/>
        <v>41</v>
      </c>
      <c r="W19" s="433"/>
      <c r="X19" s="550">
        <v>24425</v>
      </c>
      <c r="Y19" s="487">
        <f t="shared" si="8"/>
        <v>0</v>
      </c>
      <c r="Z19" s="489">
        <f t="shared" si="9"/>
        <v>0</v>
      </c>
      <c r="AA19" s="489">
        <f t="shared" si="10"/>
        <v>0</v>
      </c>
      <c r="AB19" s="551">
        <v>30871</v>
      </c>
      <c r="AC19" s="111">
        <f t="shared" si="11"/>
        <v>35</v>
      </c>
      <c r="AD19" s="433">
        <v>199828</v>
      </c>
      <c r="AE19" s="212">
        <f t="shared" si="15"/>
        <v>26</v>
      </c>
      <c r="AF19" s="306">
        <f>'Lpg (2)'!B23*2000/85</f>
        <v>141.1764705882353</v>
      </c>
      <c r="AG19" s="307">
        <f>'Lpg (2)'!C23*1000/85</f>
        <v>1000</v>
      </c>
      <c r="AH19" s="308">
        <f>'Lpg (2)'!D23*1000/85</f>
        <v>776.47058823529414</v>
      </c>
      <c r="AI19" s="492">
        <f t="shared" si="17"/>
        <v>2058823.5294117648</v>
      </c>
      <c r="AJ19" s="491">
        <f t="shared" si="4"/>
        <v>94117.647058823612</v>
      </c>
      <c r="AK19" s="117"/>
    </row>
    <row r="20" spans="1:37" ht="19.5" thickBot="1">
      <c r="A20" s="75">
        <f>Gen!B25</f>
        <v>43936</v>
      </c>
      <c r="B20" s="482">
        <f>'Summery Report'!E19</f>
        <v>0</v>
      </c>
      <c r="C20" s="131">
        <f>Gen!C25</f>
        <v>0</v>
      </c>
      <c r="D20" s="483">
        <f>'Summery Report'!E19</f>
        <v>0</v>
      </c>
      <c r="E20" s="484">
        <f t="shared" si="13"/>
        <v>1.3262195121951219</v>
      </c>
      <c r="F20" s="485" t="e">
        <f t="shared" si="14"/>
        <v>#DIV/0!</v>
      </c>
      <c r="G20" s="485" t="e">
        <f t="shared" si="0"/>
        <v>#DIV/0!</v>
      </c>
      <c r="H20" s="484">
        <f>Gen!D25</f>
        <v>43902.12999999999</v>
      </c>
      <c r="I20" s="486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12">
        <f>'Water-Meter'!K60</f>
        <v>536.76735634637441</v>
      </c>
      <c r="N20" s="194">
        <f>'Water-Meter'!E20</f>
        <v>54</v>
      </c>
      <c r="O20" s="205"/>
      <c r="P20" s="433">
        <v>19030</v>
      </c>
      <c r="Q20" s="487">
        <f t="shared" si="2"/>
        <v>0</v>
      </c>
      <c r="R20" s="488">
        <f t="shared" si="5"/>
        <v>0</v>
      </c>
      <c r="S20" s="433">
        <v>8.4</v>
      </c>
      <c r="T20" s="552">
        <v>16118</v>
      </c>
      <c r="U20" s="487">
        <f t="shared" si="6"/>
        <v>6</v>
      </c>
      <c r="V20" s="489">
        <f t="shared" si="18"/>
        <v>50.400000000000006</v>
      </c>
      <c r="W20" s="433"/>
      <c r="X20" s="550">
        <v>24425</v>
      </c>
      <c r="Y20" s="487">
        <f t="shared" si="8"/>
        <v>0</v>
      </c>
      <c r="Z20" s="489">
        <f t="shared" si="9"/>
        <v>0</v>
      </c>
      <c r="AA20" s="489">
        <f t="shared" si="10"/>
        <v>0</v>
      </c>
      <c r="AB20" s="551">
        <v>30928</v>
      </c>
      <c r="AC20" s="111">
        <f t="shared" si="11"/>
        <v>57</v>
      </c>
      <c r="AD20" s="433">
        <v>199872</v>
      </c>
      <c r="AE20" s="212">
        <f t="shared" si="15"/>
        <v>44</v>
      </c>
      <c r="AF20" s="306">
        <f>'Lpg (2)'!B24*2000/85</f>
        <v>117.64705882352941</v>
      </c>
      <c r="AG20" s="307">
        <f>'Lpg (2)'!C24*1000/85</f>
        <v>1000</v>
      </c>
      <c r="AH20" s="308">
        <f>'Lpg (2)'!D24*1000/85</f>
        <v>776.47058823529414</v>
      </c>
      <c r="AI20" s="492">
        <f t="shared" si="17"/>
        <v>2011764.7058823528</v>
      </c>
      <c r="AJ20" s="491">
        <f t="shared" si="4"/>
        <v>47058.823529412039</v>
      </c>
      <c r="AK20" s="117"/>
    </row>
    <row r="21" spans="1:37" ht="19.5" thickBot="1">
      <c r="A21" s="75">
        <f>Gen!B26</f>
        <v>43937</v>
      </c>
      <c r="B21" s="482">
        <f>'Summery Report'!E20</f>
        <v>0</v>
      </c>
      <c r="C21" s="131">
        <f>Gen!C26</f>
        <v>0</v>
      </c>
      <c r="D21" s="483">
        <f>'Summery Report'!E20</f>
        <v>0</v>
      </c>
      <c r="E21" s="484">
        <f t="shared" si="13"/>
        <v>1.3262195121951219</v>
      </c>
      <c r="F21" s="485" t="e">
        <f t="shared" si="14"/>
        <v>#DIV/0!</v>
      </c>
      <c r="G21" s="485" t="e">
        <f t="shared" si="0"/>
        <v>#DIV/0!</v>
      </c>
      <c r="H21" s="484">
        <f>Gen!D26</f>
        <v>43115.939999999988</v>
      </c>
      <c r="I21" s="486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12">
        <f>'Water-Meter'!K61</f>
        <v>513.84880487758335</v>
      </c>
      <c r="N21" s="194">
        <f>'Water-Meter'!E21</f>
        <v>54</v>
      </c>
      <c r="O21" s="205"/>
      <c r="P21" s="433">
        <v>19030</v>
      </c>
      <c r="Q21" s="487">
        <f t="shared" si="2"/>
        <v>0</v>
      </c>
      <c r="R21" s="488">
        <f t="shared" si="5"/>
        <v>0</v>
      </c>
      <c r="S21" s="433">
        <v>8.1999999999999993</v>
      </c>
      <c r="T21" s="552">
        <v>16124</v>
      </c>
      <c r="U21" s="487">
        <f t="shared" si="6"/>
        <v>6</v>
      </c>
      <c r="V21" s="489">
        <f t="shared" si="18"/>
        <v>49.199999999999996</v>
      </c>
      <c r="W21" s="433"/>
      <c r="X21" s="550">
        <v>24425</v>
      </c>
      <c r="Y21" s="487">
        <f t="shared" si="8"/>
        <v>0</v>
      </c>
      <c r="Z21" s="489">
        <f t="shared" si="9"/>
        <v>0</v>
      </c>
      <c r="AA21" s="489">
        <f t="shared" si="10"/>
        <v>0</v>
      </c>
      <c r="AB21" s="551">
        <v>30972</v>
      </c>
      <c r="AC21" s="111">
        <f t="shared" si="11"/>
        <v>44</v>
      </c>
      <c r="AD21" s="433">
        <v>199900</v>
      </c>
      <c r="AE21" s="212">
        <f t="shared" si="15"/>
        <v>28</v>
      </c>
      <c r="AF21" s="306">
        <f>'Lpg (2)'!B25*2000/85</f>
        <v>117.64705882352941</v>
      </c>
      <c r="AG21" s="307">
        <f>'Lpg (2)'!C25*1000/85</f>
        <v>1000</v>
      </c>
      <c r="AH21" s="308">
        <f>'Lpg (2)'!D25*1000/85</f>
        <v>776.47058823529414</v>
      </c>
      <c r="AI21" s="492">
        <f t="shared" si="17"/>
        <v>2011764.7058823528</v>
      </c>
      <c r="AJ21" s="491">
        <f t="shared" si="4"/>
        <v>0</v>
      </c>
      <c r="AK21" s="117"/>
    </row>
    <row r="22" spans="1:37" ht="19.5" thickBot="1">
      <c r="A22" s="75">
        <f>Gen!B27</f>
        <v>43938</v>
      </c>
      <c r="B22" s="482">
        <f>'Summery Report'!E21</f>
        <v>0</v>
      </c>
      <c r="C22" s="131">
        <f>Gen!C27</f>
        <v>0</v>
      </c>
      <c r="D22" s="483">
        <f>'Summery Report'!E21</f>
        <v>0</v>
      </c>
      <c r="E22" s="484">
        <f t="shared" si="13"/>
        <v>1.3262195121951219</v>
      </c>
      <c r="F22" s="485" t="e">
        <f t="shared" si="14"/>
        <v>#DIV/0!</v>
      </c>
      <c r="G22" s="485" t="e">
        <f t="shared" si="0"/>
        <v>#DIV/0!</v>
      </c>
      <c r="H22" s="484">
        <f>Gen!D27</f>
        <v>42361.669999999991</v>
      </c>
      <c r="I22" s="486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12">
        <f>'Water-Meter'!K62</f>
        <v>494.06905199196649</v>
      </c>
      <c r="N22" s="194">
        <f>'Water-Meter'!E22</f>
        <v>42</v>
      </c>
      <c r="O22" s="205"/>
      <c r="P22" s="433">
        <v>19030</v>
      </c>
      <c r="Q22" s="487">
        <f t="shared" si="2"/>
        <v>0</v>
      </c>
      <c r="R22" s="488">
        <f t="shared" si="5"/>
        <v>0</v>
      </c>
      <c r="S22" s="433">
        <v>8.1</v>
      </c>
      <c r="T22" s="552">
        <v>16133</v>
      </c>
      <c r="U22" s="487">
        <f t="shared" si="6"/>
        <v>9</v>
      </c>
      <c r="V22" s="489">
        <f t="shared" si="18"/>
        <v>72.899999999999991</v>
      </c>
      <c r="W22" s="433"/>
      <c r="X22" s="550">
        <v>24425</v>
      </c>
      <c r="Y22" s="487">
        <f t="shared" si="8"/>
        <v>0</v>
      </c>
      <c r="Z22" s="489">
        <f t="shared" si="9"/>
        <v>0</v>
      </c>
      <c r="AA22" s="489">
        <f t="shared" si="10"/>
        <v>0</v>
      </c>
      <c r="AB22" s="551">
        <v>31040</v>
      </c>
      <c r="AC22" s="111">
        <f t="shared" si="11"/>
        <v>68</v>
      </c>
      <c r="AD22" s="433">
        <v>199939</v>
      </c>
      <c r="AE22" s="212">
        <f t="shared" si="15"/>
        <v>39</v>
      </c>
      <c r="AF22" s="306">
        <f>'Lpg (2)'!B26*2000/85</f>
        <v>117.64705882352941</v>
      </c>
      <c r="AG22" s="307">
        <f>'Lpg (2)'!C26*1000/85</f>
        <v>1000</v>
      </c>
      <c r="AH22" s="308">
        <f>'Lpg (2)'!D26*1000/85</f>
        <v>776.47058823529414</v>
      </c>
      <c r="AI22" s="492">
        <f t="shared" si="17"/>
        <v>2011764.7058823528</v>
      </c>
      <c r="AJ22" s="491">
        <f t="shared" si="4"/>
        <v>0</v>
      </c>
      <c r="AK22" s="117"/>
    </row>
    <row r="23" spans="1:37" ht="19.5" thickBot="1">
      <c r="A23" s="75">
        <f>Gen!B28</f>
        <v>43939</v>
      </c>
      <c r="B23" s="482">
        <f>'Summery Report'!E22</f>
        <v>0</v>
      </c>
      <c r="C23" s="131">
        <f>Gen!C28</f>
        <v>0</v>
      </c>
      <c r="D23" s="483">
        <f>'Summery Report'!E22</f>
        <v>0</v>
      </c>
      <c r="E23" s="484">
        <f t="shared" si="13"/>
        <v>1.3262195121951219</v>
      </c>
      <c r="F23" s="485" t="e">
        <f t="shared" si="14"/>
        <v>#DIV/0!</v>
      </c>
      <c r="G23" s="485" t="e">
        <f t="shared" si="0"/>
        <v>#DIV/0!</v>
      </c>
      <c r="H23" s="484">
        <f>Gen!D28</f>
        <v>41561.289999999994</v>
      </c>
      <c r="I23" s="486">
        <f>Gen!F28</f>
        <v>0</v>
      </c>
      <c r="J23" s="115">
        <f>Gen!T28</f>
        <v>744.22</v>
      </c>
      <c r="K23" s="115">
        <f>Gen!AK28</f>
        <v>0</v>
      </c>
      <c r="L23" s="115">
        <f t="shared" si="1"/>
        <v>744.22</v>
      </c>
      <c r="M23" s="512">
        <f>'Water-Meter'!K63</f>
        <v>481.04039726485047</v>
      </c>
      <c r="N23" s="194">
        <f>'Water-Meter'!E23</f>
        <v>30</v>
      </c>
      <c r="O23" s="205"/>
      <c r="P23" s="433">
        <v>19030</v>
      </c>
      <c r="Q23" s="487">
        <f t="shared" si="2"/>
        <v>0</v>
      </c>
      <c r="R23" s="488">
        <f t="shared" si="5"/>
        <v>0</v>
      </c>
      <c r="S23" s="433">
        <v>8.3000000000000007</v>
      </c>
      <c r="T23" s="552">
        <v>16139</v>
      </c>
      <c r="U23" s="487">
        <f t="shared" si="6"/>
        <v>6</v>
      </c>
      <c r="V23" s="489">
        <f t="shared" si="18"/>
        <v>49.800000000000004</v>
      </c>
      <c r="W23" s="433"/>
      <c r="X23" s="550">
        <v>24425</v>
      </c>
      <c r="Y23" s="487">
        <f t="shared" si="8"/>
        <v>0</v>
      </c>
      <c r="Z23" s="489">
        <f t="shared" si="9"/>
        <v>0</v>
      </c>
      <c r="AA23" s="489">
        <f t="shared" si="10"/>
        <v>0</v>
      </c>
      <c r="AB23" s="551">
        <v>31087</v>
      </c>
      <c r="AC23" s="111">
        <f t="shared" si="11"/>
        <v>47</v>
      </c>
      <c r="AD23" s="433">
        <v>200001</v>
      </c>
      <c r="AE23" s="212">
        <f t="shared" si="15"/>
        <v>62</v>
      </c>
      <c r="AF23" s="306">
        <f>'Lpg (2)'!B27*2000/85</f>
        <v>94.117647058823536</v>
      </c>
      <c r="AG23" s="307">
        <f>'Lpg (2)'!C27*1000/85</f>
        <v>1000</v>
      </c>
      <c r="AH23" s="308">
        <f>'Lpg (2)'!D27*1000/85</f>
        <v>776.47058823529414</v>
      </c>
      <c r="AI23" s="492">
        <f t="shared" si="17"/>
        <v>1964705.8823529412</v>
      </c>
      <c r="AJ23" s="491">
        <f t="shared" si="4"/>
        <v>47058.823529411573</v>
      </c>
      <c r="AK23" s="117"/>
    </row>
    <row r="24" spans="1:37" ht="19.5" thickBot="1">
      <c r="A24" s="75">
        <f>Gen!B29</f>
        <v>43940</v>
      </c>
      <c r="B24" s="482">
        <f>'Summery Report'!E23</f>
        <v>0</v>
      </c>
      <c r="C24" s="131">
        <f>Gen!C29</f>
        <v>0</v>
      </c>
      <c r="D24" s="483">
        <f>'Summery Report'!E23</f>
        <v>0</v>
      </c>
      <c r="E24" s="484">
        <f t="shared" si="13"/>
        <v>1.3262195121951219</v>
      </c>
      <c r="F24" s="485" t="e">
        <f t="shared" si="14"/>
        <v>#DIV/0!</v>
      </c>
      <c r="G24" s="485" t="e">
        <f t="shared" si="0"/>
        <v>#DIV/0!</v>
      </c>
      <c r="H24" s="484">
        <f>Gen!D29</f>
        <v>40817.069999999992</v>
      </c>
      <c r="I24" s="486">
        <f>Gen!F29</f>
        <v>0</v>
      </c>
      <c r="J24" s="115">
        <f>Gen!T29</f>
        <v>740.05</v>
      </c>
      <c r="K24" s="115">
        <f>Gen!AK29</f>
        <v>52.039999999999992</v>
      </c>
      <c r="L24" s="115">
        <f t="shared" si="1"/>
        <v>792.08999999999992</v>
      </c>
      <c r="M24" s="512">
        <f>'Water-Meter'!K64</f>
        <v>493.97482967388584</v>
      </c>
      <c r="N24" s="194">
        <f>'Water-Meter'!E24</f>
        <v>51</v>
      </c>
      <c r="O24" s="205"/>
      <c r="P24" s="433">
        <v>19030</v>
      </c>
      <c r="Q24" s="487">
        <f t="shared" si="2"/>
        <v>0</v>
      </c>
      <c r="R24" s="488">
        <f t="shared" si="5"/>
        <v>0</v>
      </c>
      <c r="S24" s="433"/>
      <c r="T24" s="552">
        <v>16139</v>
      </c>
      <c r="U24" s="487">
        <f t="shared" si="6"/>
        <v>0</v>
      </c>
      <c r="V24" s="489">
        <f t="shared" si="18"/>
        <v>0</v>
      </c>
      <c r="W24" s="433"/>
      <c r="X24" s="550">
        <v>24425</v>
      </c>
      <c r="Y24" s="487">
        <f t="shared" si="8"/>
        <v>0</v>
      </c>
      <c r="Z24" s="489">
        <f t="shared" si="9"/>
        <v>0</v>
      </c>
      <c r="AA24" s="489">
        <f t="shared" si="10"/>
        <v>0</v>
      </c>
      <c r="AB24" s="551">
        <v>31087</v>
      </c>
      <c r="AC24" s="111">
        <f t="shared" si="11"/>
        <v>0</v>
      </c>
      <c r="AD24" s="433">
        <v>200070</v>
      </c>
      <c r="AE24" s="212">
        <f t="shared" si="15"/>
        <v>69</v>
      </c>
      <c r="AF24" s="306">
        <f>'Lpg (2)'!B28*2000/85</f>
        <v>47.058823529411768</v>
      </c>
      <c r="AG24" s="307">
        <f>'Lpg (2)'!C28*1000/85</f>
        <v>1000</v>
      </c>
      <c r="AH24" s="308">
        <f>'Lpg (2)'!D28*1000/85</f>
        <v>776.47058823529414</v>
      </c>
      <c r="AI24" s="492">
        <f t="shared" si="17"/>
        <v>1870588.2352941176</v>
      </c>
      <c r="AJ24" s="491">
        <f t="shared" si="4"/>
        <v>94117.647058823612</v>
      </c>
      <c r="AK24" s="117"/>
    </row>
    <row r="25" spans="1:37" ht="19.5" thickBot="1">
      <c r="A25" s="75">
        <f>Gen!B30</f>
        <v>43941</v>
      </c>
      <c r="B25" s="482">
        <f>'Summery Report'!E24</f>
        <v>0</v>
      </c>
      <c r="C25" s="131">
        <f>Gen!C30</f>
        <v>0</v>
      </c>
      <c r="D25" s="483">
        <f>'Summery Report'!E24</f>
        <v>0</v>
      </c>
      <c r="E25" s="484">
        <f t="shared" si="13"/>
        <v>1.3262195121951219</v>
      </c>
      <c r="F25" s="485" t="e">
        <f t="shared" si="14"/>
        <v>#DIV/0!</v>
      </c>
      <c r="G25" s="485" t="e">
        <f t="shared" si="0"/>
        <v>#DIV/0!</v>
      </c>
      <c r="H25" s="484">
        <f>Gen!D30</f>
        <v>40024.979999999996</v>
      </c>
      <c r="I25" s="486">
        <f>Gen!F30</f>
        <v>0</v>
      </c>
      <c r="J25" s="115">
        <f>Gen!T30</f>
        <v>731.47</v>
      </c>
      <c r="K25" s="115">
        <f>Gen!AK30</f>
        <v>0</v>
      </c>
      <c r="L25" s="115">
        <f t="shared" si="1"/>
        <v>731.47</v>
      </c>
      <c r="M25" s="512">
        <f>'Water-Meter'!K65</f>
        <v>506.27127279546062</v>
      </c>
      <c r="N25" s="194">
        <f>'Water-Meter'!E25</f>
        <v>35</v>
      </c>
      <c r="O25" s="205"/>
      <c r="P25" s="433">
        <v>19030</v>
      </c>
      <c r="Q25" s="487">
        <f t="shared" si="2"/>
        <v>0</v>
      </c>
      <c r="R25" s="488">
        <f t="shared" si="5"/>
        <v>0</v>
      </c>
      <c r="S25" s="433"/>
      <c r="T25" s="552">
        <v>16139</v>
      </c>
      <c r="U25" s="487">
        <f t="shared" si="6"/>
        <v>0</v>
      </c>
      <c r="V25" s="489">
        <f t="shared" si="18"/>
        <v>0</v>
      </c>
      <c r="W25" s="433">
        <v>2.2000000000000002</v>
      </c>
      <c r="X25" s="550">
        <v>24445</v>
      </c>
      <c r="Y25" s="487">
        <f t="shared" si="8"/>
        <v>20</v>
      </c>
      <c r="Z25" s="489">
        <f t="shared" si="9"/>
        <v>44</v>
      </c>
      <c r="AA25" s="489">
        <f t="shared" si="10"/>
        <v>1076944</v>
      </c>
      <c r="AB25" s="551">
        <v>31133</v>
      </c>
      <c r="AC25" s="111">
        <f t="shared" si="11"/>
        <v>46</v>
      </c>
      <c r="AD25" s="433">
        <v>200121</v>
      </c>
      <c r="AE25" s="212">
        <f t="shared" si="15"/>
        <v>51</v>
      </c>
      <c r="AF25" s="306">
        <f>'Lpg (2)'!B29*2000/85</f>
        <v>47.058823529411768</v>
      </c>
      <c r="AG25" s="307">
        <f>'Lpg (2)'!C29*1000/85</f>
        <v>1000</v>
      </c>
      <c r="AH25" s="308">
        <f>'Lpg (2)'!D29*1000/85</f>
        <v>776.47058823529414</v>
      </c>
      <c r="AI25" s="492">
        <f t="shared" si="17"/>
        <v>1870588.2352941176</v>
      </c>
      <c r="AJ25" s="491">
        <f t="shared" si="4"/>
        <v>0</v>
      </c>
      <c r="AK25" s="117"/>
    </row>
    <row r="26" spans="1:37" ht="19.5" thickBot="1">
      <c r="A26" s="75">
        <f>Gen!B31</f>
        <v>43942</v>
      </c>
      <c r="B26" s="482">
        <f>'Summery Report'!E25</f>
        <v>0</v>
      </c>
      <c r="C26" s="131">
        <f>Gen!C31</f>
        <v>0</v>
      </c>
      <c r="D26" s="483">
        <f>'Summery Report'!E25</f>
        <v>0</v>
      </c>
      <c r="E26" s="484">
        <f t="shared" si="13"/>
        <v>1.3262195121951219</v>
      </c>
      <c r="F26" s="485" t="e">
        <f>SUM(J26*E26)/D26</f>
        <v>#DIV/0!</v>
      </c>
      <c r="G26" s="485" t="e">
        <f t="shared" si="0"/>
        <v>#DIV/0!</v>
      </c>
      <c r="H26" s="484">
        <f>Gen!D31</f>
        <v>39293.509999999995</v>
      </c>
      <c r="I26" s="486">
        <f>Gen!F31</f>
        <v>0</v>
      </c>
      <c r="J26" s="115">
        <f>Gen!T31</f>
        <v>747.27</v>
      </c>
      <c r="K26" s="115">
        <f>Gen!AK31</f>
        <v>180</v>
      </c>
      <c r="L26" s="115">
        <f t="shared" si="1"/>
        <v>927.27</v>
      </c>
      <c r="M26" s="512">
        <f>'Water-Meter'!K66</f>
        <v>484.18480764623382</v>
      </c>
      <c r="N26" s="194">
        <f>'Water-Meter'!E26</f>
        <v>27</v>
      </c>
      <c r="O26" s="205"/>
      <c r="P26" s="433">
        <v>19030</v>
      </c>
      <c r="Q26" s="487">
        <f t="shared" si="2"/>
        <v>0</v>
      </c>
      <c r="R26" s="488">
        <f t="shared" si="5"/>
        <v>0</v>
      </c>
      <c r="S26" s="433"/>
      <c r="T26" s="552">
        <v>16139</v>
      </c>
      <c r="U26" s="487">
        <f t="shared" si="6"/>
        <v>0</v>
      </c>
      <c r="V26" s="489">
        <f t="shared" si="18"/>
        <v>0</v>
      </c>
      <c r="W26" s="433">
        <v>2.2999999999999998</v>
      </c>
      <c r="X26" s="550">
        <v>24469</v>
      </c>
      <c r="Y26" s="487">
        <f t="shared" si="8"/>
        <v>24</v>
      </c>
      <c r="Z26" s="489">
        <f t="shared" si="9"/>
        <v>55.199999999999996</v>
      </c>
      <c r="AA26" s="489">
        <f t="shared" si="10"/>
        <v>1351075.2</v>
      </c>
      <c r="AB26" s="551">
        <v>31182</v>
      </c>
      <c r="AC26" s="111">
        <f t="shared" si="11"/>
        <v>49</v>
      </c>
      <c r="AD26" s="433">
        <v>200162</v>
      </c>
      <c r="AE26" s="212">
        <f t="shared" si="15"/>
        <v>41</v>
      </c>
      <c r="AF26" s="306">
        <f>'Lpg (2)'!B30*2000/85</f>
        <v>47.058823529411768</v>
      </c>
      <c r="AG26" s="307">
        <f>'Lpg (2)'!C30*1000/85</f>
        <v>1000</v>
      </c>
      <c r="AH26" s="308">
        <f>'Lpg (2)'!D30*1000/85</f>
        <v>776.47058823529414</v>
      </c>
      <c r="AI26" s="492">
        <f t="shared" si="17"/>
        <v>1870588.2352941176</v>
      </c>
      <c r="AJ26" s="491">
        <f t="shared" si="4"/>
        <v>0</v>
      </c>
      <c r="AK26" s="117"/>
    </row>
    <row r="27" spans="1:37" ht="19.5" thickBot="1">
      <c r="A27" s="75">
        <f>Gen!B32</f>
        <v>43943</v>
      </c>
      <c r="B27" s="482">
        <f>'Summery Report'!E26</f>
        <v>0</v>
      </c>
      <c r="C27" s="131">
        <f>Gen!C32</f>
        <v>0</v>
      </c>
      <c r="D27" s="483">
        <f>'Summery Report'!E26</f>
        <v>0</v>
      </c>
      <c r="E27" s="484">
        <f t="shared" si="13"/>
        <v>1.3262195121951219</v>
      </c>
      <c r="F27" s="485" t="e">
        <f t="shared" si="14"/>
        <v>#DIV/0!</v>
      </c>
      <c r="G27" s="485" t="e">
        <f t="shared" si="0"/>
        <v>#DIV/0!</v>
      </c>
      <c r="H27" s="484">
        <f>Gen!D32</f>
        <v>38366.239999999998</v>
      </c>
      <c r="I27" s="486">
        <f>Gen!F32</f>
        <v>0</v>
      </c>
      <c r="J27" s="115">
        <f>Gen!T32</f>
        <v>709.13</v>
      </c>
      <c r="K27" s="115">
        <f>Gen!AK32</f>
        <v>123.51</v>
      </c>
      <c r="L27" s="115">
        <f t="shared" si="1"/>
        <v>832.64</v>
      </c>
      <c r="M27" s="512">
        <f>'Water-Meter'!K67</f>
        <v>460.25988795692598</v>
      </c>
      <c r="N27" s="194">
        <f>'Water-Meter'!E27</f>
        <v>28</v>
      </c>
      <c r="O27" s="205"/>
      <c r="P27" s="433">
        <v>19030</v>
      </c>
      <c r="Q27" s="487">
        <f t="shared" si="2"/>
        <v>0</v>
      </c>
      <c r="R27" s="488">
        <f t="shared" si="5"/>
        <v>0</v>
      </c>
      <c r="S27" s="433">
        <v>8.1999999999999993</v>
      </c>
      <c r="T27" s="552">
        <v>16145</v>
      </c>
      <c r="U27" s="487">
        <f t="shared" si="6"/>
        <v>6</v>
      </c>
      <c r="V27" s="489">
        <f t="shared" si="18"/>
        <v>49.199999999999996</v>
      </c>
      <c r="W27" s="433">
        <v>2.2999999999999998</v>
      </c>
      <c r="X27" s="550">
        <v>24476</v>
      </c>
      <c r="Y27" s="487">
        <f t="shared" si="8"/>
        <v>7</v>
      </c>
      <c r="Z27" s="489">
        <f t="shared" si="9"/>
        <v>16.099999999999998</v>
      </c>
      <c r="AA27" s="489">
        <f t="shared" si="10"/>
        <v>394063.6</v>
      </c>
      <c r="AB27" s="551">
        <v>31247</v>
      </c>
      <c r="AC27" s="111">
        <f t="shared" si="11"/>
        <v>65</v>
      </c>
      <c r="AD27" s="433">
        <v>200203</v>
      </c>
      <c r="AE27" s="212">
        <f t="shared" si="15"/>
        <v>41</v>
      </c>
      <c r="AF27" s="306">
        <f>'Lpg (2)'!B31*2000/85</f>
        <v>2000</v>
      </c>
      <c r="AG27" s="307">
        <f>'Lpg (2)'!C31*1000/85</f>
        <v>1000</v>
      </c>
      <c r="AH27" s="308">
        <f>'Lpg (2)'!D31*1000/85</f>
        <v>752.94117647058829</v>
      </c>
      <c r="AI27" s="492">
        <f t="shared" si="17"/>
        <v>5752941.176470588</v>
      </c>
      <c r="AJ27" s="491">
        <f t="shared" si="4"/>
        <v>-3882352.9411764704</v>
      </c>
      <c r="AK27" s="117"/>
    </row>
    <row r="28" spans="1:37" ht="19.5" thickBot="1">
      <c r="A28" s="75">
        <f>Gen!B33</f>
        <v>43944</v>
      </c>
      <c r="B28" s="482">
        <f>'Summery Report'!E27</f>
        <v>0</v>
      </c>
      <c r="C28" s="131">
        <f>Gen!C33</f>
        <v>0</v>
      </c>
      <c r="D28" s="483">
        <f>'Summery Report'!E27</f>
        <v>0</v>
      </c>
      <c r="E28" s="484">
        <f t="shared" si="13"/>
        <v>1.3262195121951219</v>
      </c>
      <c r="F28" s="485" t="e">
        <f t="shared" si="14"/>
        <v>#DIV/0!</v>
      </c>
      <c r="G28" s="485" t="e">
        <f t="shared" si="0"/>
        <v>#DIV/0!</v>
      </c>
      <c r="H28" s="484">
        <f>Gen!D33</f>
        <v>49533.599999999999</v>
      </c>
      <c r="I28" s="486">
        <f>Gen!F33</f>
        <v>12000</v>
      </c>
      <c r="J28" s="115">
        <f>Gen!T33</f>
        <v>670.85</v>
      </c>
      <c r="K28" s="115">
        <f>Gen!AK33</f>
        <v>0</v>
      </c>
      <c r="L28" s="115">
        <f t="shared" si="1"/>
        <v>670.85</v>
      </c>
      <c r="M28" s="512">
        <f>'Water-Meter'!K68</f>
        <v>439.26840358631227</v>
      </c>
      <c r="N28" s="194">
        <f>'Water-Meter'!E28</f>
        <v>29</v>
      </c>
      <c r="O28" s="205"/>
      <c r="P28" s="433">
        <v>19030</v>
      </c>
      <c r="Q28" s="487">
        <f t="shared" si="2"/>
        <v>0</v>
      </c>
      <c r="R28" s="488">
        <f t="shared" si="5"/>
        <v>0</v>
      </c>
      <c r="S28" s="433"/>
      <c r="T28" s="552">
        <v>16145</v>
      </c>
      <c r="U28" s="487">
        <f t="shared" si="6"/>
        <v>0</v>
      </c>
      <c r="V28" s="489">
        <f t="shared" si="18"/>
        <v>0</v>
      </c>
      <c r="W28" s="433"/>
      <c r="X28" s="550">
        <v>24476</v>
      </c>
      <c r="Y28" s="487">
        <f t="shared" si="8"/>
        <v>0</v>
      </c>
      <c r="Z28" s="489">
        <f t="shared" si="9"/>
        <v>0</v>
      </c>
      <c r="AA28" s="489">
        <f t="shared" si="10"/>
        <v>0</v>
      </c>
      <c r="AB28" s="551">
        <v>31247</v>
      </c>
      <c r="AC28" s="111">
        <f t="shared" ref="AC28:AC37" si="19">SUM(AB28-AB27)</f>
        <v>0</v>
      </c>
      <c r="AD28" s="433">
        <v>200293</v>
      </c>
      <c r="AE28" s="212">
        <f t="shared" si="15"/>
        <v>90</v>
      </c>
      <c r="AF28" s="306">
        <f>'Lpg (2)'!B32*2000/85</f>
        <v>2000</v>
      </c>
      <c r="AG28" s="307">
        <f>'Lpg (2)'!C32*1000/85</f>
        <v>1000</v>
      </c>
      <c r="AH28" s="308">
        <f>'Lpg (2)'!D32*1000/85</f>
        <v>729.41176470588232</v>
      </c>
      <c r="AI28" s="492">
        <f t="shared" si="17"/>
        <v>5729411.7647058824</v>
      </c>
      <c r="AJ28" s="491">
        <f t="shared" si="4"/>
        <v>23529.411764705554</v>
      </c>
      <c r="AK28" s="117"/>
    </row>
    <row r="29" spans="1:37" ht="19.5" thickBot="1">
      <c r="A29" s="75">
        <f>Gen!B34</f>
        <v>43945</v>
      </c>
      <c r="B29" s="482">
        <f>'Summery Report'!E28</f>
        <v>0</v>
      </c>
      <c r="C29" s="131">
        <f>Gen!C34</f>
        <v>0</v>
      </c>
      <c r="D29" s="483">
        <f>'Summery Report'!E28</f>
        <v>0</v>
      </c>
      <c r="E29" s="484">
        <f t="shared" si="13"/>
        <v>1.3262195121951219</v>
      </c>
      <c r="F29" s="485" t="e">
        <f t="shared" si="14"/>
        <v>#DIV/0!</v>
      </c>
      <c r="G29" s="485" t="e">
        <f t="shared" si="0"/>
        <v>#DIV/0!</v>
      </c>
      <c r="H29" s="484">
        <f>Gen!D34</f>
        <v>48862.75</v>
      </c>
      <c r="I29" s="486">
        <f>Gen!F34</f>
        <v>0</v>
      </c>
      <c r="J29" s="115">
        <f>Gen!T34</f>
        <v>734.77</v>
      </c>
      <c r="K29" s="115">
        <f>Gen!AK34</f>
        <v>254.15</v>
      </c>
      <c r="L29" s="115">
        <f t="shared" si="1"/>
        <v>988.92</v>
      </c>
      <c r="M29" s="512">
        <f>'Water-Meter'!K69</f>
        <v>489.05947279831412</v>
      </c>
      <c r="N29" s="194">
        <f>'Water-Meter'!E29</f>
        <v>31</v>
      </c>
      <c r="O29" s="205"/>
      <c r="P29" s="433">
        <v>19030</v>
      </c>
      <c r="Q29" s="487">
        <f t="shared" si="2"/>
        <v>0</v>
      </c>
      <c r="R29" s="488">
        <f t="shared" si="5"/>
        <v>0</v>
      </c>
      <c r="S29" s="433">
        <v>8.1999999999999993</v>
      </c>
      <c r="T29" s="552">
        <v>16153</v>
      </c>
      <c r="U29" s="487">
        <f t="shared" si="6"/>
        <v>8</v>
      </c>
      <c r="V29" s="489">
        <f t="shared" si="18"/>
        <v>65.599999999999994</v>
      </c>
      <c r="W29" s="433"/>
      <c r="X29" s="550">
        <v>24476</v>
      </c>
      <c r="Y29" s="487">
        <f t="shared" si="8"/>
        <v>0</v>
      </c>
      <c r="Z29" s="489">
        <f t="shared" si="9"/>
        <v>0</v>
      </c>
      <c r="AA29" s="489">
        <f t="shared" si="10"/>
        <v>0</v>
      </c>
      <c r="AB29" s="551">
        <v>31336</v>
      </c>
      <c r="AC29" s="111">
        <f t="shared" si="19"/>
        <v>89</v>
      </c>
      <c r="AD29" s="433">
        <v>200383</v>
      </c>
      <c r="AE29" s="212">
        <f t="shared" si="15"/>
        <v>90</v>
      </c>
      <c r="AF29" s="306">
        <f>'Lpg (2)'!B33*2000/85</f>
        <v>2000</v>
      </c>
      <c r="AG29" s="307">
        <f>'Lpg (2)'!C33*1000/85</f>
        <v>1000</v>
      </c>
      <c r="AH29" s="308">
        <f>'Lpg (2)'!D33*1000/85</f>
        <v>705.88235294117646</v>
      </c>
      <c r="AI29" s="492">
        <f t="shared" si="17"/>
        <v>5705882.3529411769</v>
      </c>
      <c r="AJ29" s="491">
        <f t="shared" si="4"/>
        <v>23529.411764705554</v>
      </c>
      <c r="AK29" s="117"/>
    </row>
    <row r="30" spans="1:37" ht="19.5" thickBot="1">
      <c r="A30" s="75">
        <f>Gen!B35</f>
        <v>43946</v>
      </c>
      <c r="B30" s="482">
        <f>'Summery Report'!E29</f>
        <v>0</v>
      </c>
      <c r="C30" s="131">
        <f>Gen!C35</f>
        <v>0</v>
      </c>
      <c r="D30" s="483">
        <f>'Summery Report'!E29</f>
        <v>0</v>
      </c>
      <c r="E30" s="484">
        <f t="shared" si="13"/>
        <v>1.3262195121951219</v>
      </c>
      <c r="F30" s="485" t="e">
        <f t="shared" si="14"/>
        <v>#DIV/0!</v>
      </c>
      <c r="G30" s="485" t="e">
        <f t="shared" si="0"/>
        <v>#DIV/0!</v>
      </c>
      <c r="H30" s="484">
        <f>Gen!D35</f>
        <v>47873.83</v>
      </c>
      <c r="I30" s="486">
        <f>Gen!F35</f>
        <v>0</v>
      </c>
      <c r="J30" s="115">
        <f>Gen!T35</f>
        <v>708.25</v>
      </c>
      <c r="K30" s="115">
        <f>Gen!AK35</f>
        <v>133.02000000000001</v>
      </c>
      <c r="L30" s="115">
        <f t="shared" si="1"/>
        <v>841.27</v>
      </c>
      <c r="M30" s="512">
        <f>'Water-Meter'!K70</f>
        <v>452.8170481111863</v>
      </c>
      <c r="N30" s="194">
        <f>'Water-Meter'!E30</f>
        <v>32</v>
      </c>
      <c r="O30" s="205"/>
      <c r="P30" s="433">
        <v>19030</v>
      </c>
      <c r="Q30" s="487">
        <f t="shared" si="2"/>
        <v>0</v>
      </c>
      <c r="R30" s="488">
        <f t="shared" si="5"/>
        <v>0</v>
      </c>
      <c r="S30" s="433">
        <v>8.1999999999999993</v>
      </c>
      <c r="T30" s="552">
        <v>16158</v>
      </c>
      <c r="U30" s="487">
        <f t="shared" si="6"/>
        <v>5</v>
      </c>
      <c r="V30" s="489">
        <f t="shared" si="18"/>
        <v>41</v>
      </c>
      <c r="W30" s="433"/>
      <c r="X30" s="550">
        <v>24476</v>
      </c>
      <c r="Y30" s="487">
        <f t="shared" si="8"/>
        <v>0</v>
      </c>
      <c r="Z30" s="489">
        <f t="shared" si="9"/>
        <v>0</v>
      </c>
      <c r="AA30" s="489">
        <f t="shared" si="10"/>
        <v>0</v>
      </c>
      <c r="AB30" s="551">
        <v>31388</v>
      </c>
      <c r="AC30" s="111">
        <f t="shared" si="19"/>
        <v>52</v>
      </c>
      <c r="AD30" s="433">
        <v>200466</v>
      </c>
      <c r="AE30" s="212">
        <f t="shared" si="15"/>
        <v>83</v>
      </c>
      <c r="AF30" s="306">
        <f>'Lpg (2)'!B34*2000/85</f>
        <v>2000</v>
      </c>
      <c r="AG30" s="307">
        <f>'Lpg (2)'!C34*1000/85</f>
        <v>1000</v>
      </c>
      <c r="AH30" s="308">
        <f>'Lpg (2)'!D34*1000/85</f>
        <v>682.35294117647061</v>
      </c>
      <c r="AI30" s="492">
        <f t="shared" si="17"/>
        <v>5682352.9411764704</v>
      </c>
      <c r="AJ30" s="491">
        <f t="shared" si="4"/>
        <v>23529.411764706485</v>
      </c>
      <c r="AK30" s="117"/>
    </row>
    <row r="31" spans="1:37" ht="19.5" thickBot="1">
      <c r="A31" s="75">
        <f>Gen!B36</f>
        <v>43947</v>
      </c>
      <c r="B31" s="482">
        <f>'Summery Report'!E30</f>
        <v>0</v>
      </c>
      <c r="C31" s="131">
        <f>Gen!C36</f>
        <v>0</v>
      </c>
      <c r="D31" s="483">
        <f>'Summery Report'!E30</f>
        <v>0</v>
      </c>
      <c r="E31" s="484">
        <f t="shared" si="13"/>
        <v>1.3262195121951219</v>
      </c>
      <c r="F31" s="485" t="e">
        <f t="shared" si="14"/>
        <v>#DIV/0!</v>
      </c>
      <c r="G31" s="485" t="e">
        <f t="shared" si="0"/>
        <v>#DIV/0!</v>
      </c>
      <c r="H31" s="484">
        <f>Gen!D36</f>
        <v>47032.560000000005</v>
      </c>
      <c r="I31" s="486">
        <f>Gen!F36</f>
        <v>0</v>
      </c>
      <c r="J31" s="115">
        <f>Gen!T36</f>
        <v>707.94</v>
      </c>
      <c r="K31" s="115">
        <f>Gen!AK36</f>
        <v>52.26</v>
      </c>
      <c r="L31" s="115">
        <f t="shared" si="1"/>
        <v>760.2</v>
      </c>
      <c r="M31" s="512">
        <f>'Water-Meter'!K71</f>
        <v>442.56732133522996</v>
      </c>
      <c r="N31" s="194">
        <f>'Water-Meter'!E31</f>
        <v>31</v>
      </c>
      <c r="O31" s="205"/>
      <c r="P31" s="433">
        <v>19030</v>
      </c>
      <c r="Q31" s="487">
        <f t="shared" si="2"/>
        <v>0</v>
      </c>
      <c r="R31" s="488">
        <f t="shared" si="5"/>
        <v>0</v>
      </c>
      <c r="S31" s="433">
        <v>8.1999999999999993</v>
      </c>
      <c r="T31" s="552">
        <v>16160</v>
      </c>
      <c r="U31" s="487">
        <f t="shared" si="6"/>
        <v>2</v>
      </c>
      <c r="V31" s="489">
        <f t="shared" si="18"/>
        <v>16.399999999999999</v>
      </c>
      <c r="W31" s="433"/>
      <c r="X31" s="550">
        <v>24476</v>
      </c>
      <c r="Y31" s="487">
        <f t="shared" si="8"/>
        <v>0</v>
      </c>
      <c r="Z31" s="489">
        <f t="shared" si="9"/>
        <v>0</v>
      </c>
      <c r="AA31" s="489">
        <f t="shared" si="10"/>
        <v>0</v>
      </c>
      <c r="AB31" s="551">
        <v>31393</v>
      </c>
      <c r="AC31" s="111">
        <f t="shared" si="19"/>
        <v>5</v>
      </c>
      <c r="AD31" s="433">
        <v>200527</v>
      </c>
      <c r="AE31" s="212">
        <f t="shared" si="15"/>
        <v>61</v>
      </c>
      <c r="AF31" s="306">
        <f>'Lpg (2)'!B35*2000/85</f>
        <v>2000</v>
      </c>
      <c r="AG31" s="307">
        <f>'Lpg (2)'!C35*1000/85</f>
        <v>1000</v>
      </c>
      <c r="AH31" s="308">
        <f>'Lpg (2)'!D35*1000/85</f>
        <v>658.82352941176475</v>
      </c>
      <c r="AI31" s="492">
        <f t="shared" si="17"/>
        <v>5658823.5294117648</v>
      </c>
      <c r="AJ31" s="491">
        <f t="shared" si="4"/>
        <v>23529.411764705554</v>
      </c>
      <c r="AK31" s="117"/>
    </row>
    <row r="32" spans="1:37" ht="19.5" thickBot="1">
      <c r="A32" s="75">
        <f>Gen!B37</f>
        <v>43948</v>
      </c>
      <c r="B32" s="482">
        <f>'Summery Report'!E31</f>
        <v>0</v>
      </c>
      <c r="C32" s="131">
        <f>Gen!C37</f>
        <v>0</v>
      </c>
      <c r="D32" s="483">
        <f>'Summery Report'!E31</f>
        <v>0</v>
      </c>
      <c r="E32" s="484">
        <f t="shared" si="13"/>
        <v>1.3262195121951219</v>
      </c>
      <c r="F32" s="485" t="e">
        <f t="shared" si="14"/>
        <v>#DIV/0!</v>
      </c>
      <c r="G32" s="485" t="e">
        <f t="shared" si="0"/>
        <v>#DIV/0!</v>
      </c>
      <c r="H32" s="484">
        <f>Gen!D37</f>
        <v>46272.360000000008</v>
      </c>
      <c r="I32" s="486">
        <f>Gen!F37</f>
        <v>0</v>
      </c>
      <c r="J32" s="115">
        <f>Gen!T37</f>
        <v>716.78</v>
      </c>
      <c r="K32" s="115">
        <f>Gen!AK37</f>
        <v>7.38</v>
      </c>
      <c r="L32" s="115">
        <f t="shared" si="1"/>
        <v>724.16</v>
      </c>
      <c r="M32" s="512">
        <f>'Water-Meter'!K72</f>
        <v>547.97571783037256</v>
      </c>
      <c r="N32" s="194">
        <f>'Water-Meter'!E32</f>
        <v>30</v>
      </c>
      <c r="O32" s="205"/>
      <c r="P32" s="433">
        <v>19030</v>
      </c>
      <c r="Q32" s="487">
        <f t="shared" si="2"/>
        <v>0</v>
      </c>
      <c r="R32" s="488">
        <f t="shared" si="5"/>
        <v>0</v>
      </c>
      <c r="S32" s="433">
        <v>8.1</v>
      </c>
      <c r="T32" s="552">
        <v>16166</v>
      </c>
      <c r="U32" s="487">
        <f t="shared" si="6"/>
        <v>6</v>
      </c>
      <c r="V32" s="489">
        <f t="shared" si="18"/>
        <v>48.599999999999994</v>
      </c>
      <c r="W32" s="433"/>
      <c r="X32" s="550">
        <v>24476</v>
      </c>
      <c r="Y32" s="487">
        <f t="shared" si="8"/>
        <v>0</v>
      </c>
      <c r="Z32" s="489">
        <f t="shared" si="9"/>
        <v>0</v>
      </c>
      <c r="AA32" s="489">
        <f t="shared" si="10"/>
        <v>0</v>
      </c>
      <c r="AB32" s="551">
        <v>31451</v>
      </c>
      <c r="AC32" s="111">
        <f t="shared" si="19"/>
        <v>58</v>
      </c>
      <c r="AD32" s="433">
        <v>200579</v>
      </c>
      <c r="AE32" s="212">
        <f t="shared" si="15"/>
        <v>52</v>
      </c>
      <c r="AF32" s="306">
        <f>'Lpg (2)'!B36*2000/85</f>
        <v>2000</v>
      </c>
      <c r="AG32" s="307">
        <f>'Lpg (2)'!C36*1000/85</f>
        <v>1000</v>
      </c>
      <c r="AH32" s="308">
        <f>'Lpg (2)'!D36*1000/85</f>
        <v>647.05882352941171</v>
      </c>
      <c r="AI32" s="492">
        <f t="shared" si="17"/>
        <v>5647058.823529412</v>
      </c>
      <c r="AJ32" s="491">
        <f t="shared" si="4"/>
        <v>11764.705882352777</v>
      </c>
      <c r="AK32" s="117"/>
    </row>
    <row r="33" spans="1:37" ht="19.5" thickBot="1">
      <c r="A33" s="75">
        <f>Gen!B38</f>
        <v>43949</v>
      </c>
      <c r="B33" s="482">
        <f>'Summery Report'!E32</f>
        <v>0</v>
      </c>
      <c r="C33" s="131">
        <f>Gen!C38</f>
        <v>0</v>
      </c>
      <c r="D33" s="483">
        <f>'Summery Report'!E32</f>
        <v>0</v>
      </c>
      <c r="E33" s="484">
        <f t="shared" si="13"/>
        <v>1.3262195121951219</v>
      </c>
      <c r="F33" s="485" t="e">
        <f t="shared" si="14"/>
        <v>#DIV/0!</v>
      </c>
      <c r="G33" s="485" t="e">
        <f t="shared" si="0"/>
        <v>#DIV/0!</v>
      </c>
      <c r="H33" s="484">
        <f>Gen!D38</f>
        <v>45548.200000000004</v>
      </c>
      <c r="I33" s="486">
        <f>Gen!F38</f>
        <v>0</v>
      </c>
      <c r="J33" s="115">
        <f>Gen!T38</f>
        <v>690.55</v>
      </c>
      <c r="K33" s="115">
        <f>Gen!AK38</f>
        <v>100</v>
      </c>
      <c r="L33" s="115">
        <f t="shared" si="1"/>
        <v>790.55</v>
      </c>
      <c r="M33" s="512">
        <f>'Water-Meter'!K73</f>
        <v>609.60146369560186</v>
      </c>
      <c r="N33" s="194">
        <f>'Water-Meter'!E33</f>
        <v>31</v>
      </c>
      <c r="O33" s="205"/>
      <c r="P33" s="433">
        <v>19030</v>
      </c>
      <c r="Q33" s="487">
        <f t="shared" si="2"/>
        <v>0</v>
      </c>
      <c r="R33" s="488">
        <f t="shared" si="5"/>
        <v>0</v>
      </c>
      <c r="S33" s="433"/>
      <c r="T33" s="552">
        <v>16166</v>
      </c>
      <c r="U33" s="487">
        <f t="shared" si="6"/>
        <v>0</v>
      </c>
      <c r="V33" s="489">
        <f t="shared" si="18"/>
        <v>0</v>
      </c>
      <c r="W33" s="433"/>
      <c r="X33" s="550">
        <v>24476</v>
      </c>
      <c r="Y33" s="487">
        <f t="shared" si="8"/>
        <v>0</v>
      </c>
      <c r="Z33" s="489">
        <f t="shared" si="9"/>
        <v>0</v>
      </c>
      <c r="AA33" s="489">
        <f t="shared" si="10"/>
        <v>0</v>
      </c>
      <c r="AB33" s="551">
        <v>31451</v>
      </c>
      <c r="AC33" s="111">
        <f t="shared" si="19"/>
        <v>0</v>
      </c>
      <c r="AD33" s="433">
        <v>200626</v>
      </c>
      <c r="AE33" s="212">
        <f t="shared" si="15"/>
        <v>47</v>
      </c>
      <c r="AF33" s="306">
        <f>'Lpg (2)'!B37*2000/85</f>
        <v>2000</v>
      </c>
      <c r="AG33" s="307">
        <f>'Lpg (2)'!C37*1000/85</f>
        <v>1000</v>
      </c>
      <c r="AH33" s="308">
        <f>'Lpg (2)'!D37*1000/85</f>
        <v>623.52941176470586</v>
      </c>
      <c r="AI33" s="492">
        <f t="shared" si="17"/>
        <v>5623529.4117647056</v>
      </c>
      <c r="AJ33" s="491">
        <f t="shared" si="4"/>
        <v>23529.411764706485</v>
      </c>
      <c r="AK33" s="117"/>
    </row>
    <row r="34" spans="1:37" ht="19.5" thickBot="1">
      <c r="A34" s="75">
        <f>Gen!B39</f>
        <v>43950</v>
      </c>
      <c r="B34" s="482">
        <f>'Summery Report'!E33</f>
        <v>0</v>
      </c>
      <c r="C34" s="131">
        <f>Gen!C39</f>
        <v>0</v>
      </c>
      <c r="D34" s="483">
        <f>'Summery Report'!E33</f>
        <v>0</v>
      </c>
      <c r="E34" s="484">
        <f t="shared" si="13"/>
        <v>1.3262195121951219</v>
      </c>
      <c r="F34" s="485" t="e">
        <f t="shared" si="14"/>
        <v>#DIV/0!</v>
      </c>
      <c r="G34" s="485" t="e">
        <f t="shared" si="0"/>
        <v>#DIV/0!</v>
      </c>
      <c r="H34" s="484">
        <f>Gen!D39</f>
        <v>44757.65</v>
      </c>
      <c r="I34" s="486">
        <f>Gen!F39</f>
        <v>0</v>
      </c>
      <c r="J34" s="115">
        <f>Gen!T39</f>
        <v>691.09</v>
      </c>
      <c r="K34" s="115">
        <f>Gen!AK39</f>
        <v>38.11</v>
      </c>
      <c r="L34" s="115">
        <f t="shared" si="1"/>
        <v>729.2</v>
      </c>
      <c r="M34" s="512">
        <f>'Water-Meter'!K74</f>
        <v>588.45018888785739</v>
      </c>
      <c r="N34" s="194">
        <f>'Water-Meter'!E34</f>
        <v>29</v>
      </c>
      <c r="O34" s="205"/>
      <c r="P34" s="433">
        <v>19030</v>
      </c>
      <c r="Q34" s="487">
        <f t="shared" si="2"/>
        <v>0</v>
      </c>
      <c r="R34" s="488">
        <f t="shared" si="5"/>
        <v>0</v>
      </c>
      <c r="S34" s="433">
        <v>8.1</v>
      </c>
      <c r="T34" s="552">
        <v>16177</v>
      </c>
      <c r="U34" s="487">
        <f t="shared" si="6"/>
        <v>11</v>
      </c>
      <c r="V34" s="489">
        <f t="shared" si="18"/>
        <v>89.1</v>
      </c>
      <c r="W34" s="433"/>
      <c r="X34" s="550">
        <v>24476</v>
      </c>
      <c r="Y34" s="487">
        <f t="shared" si="8"/>
        <v>0</v>
      </c>
      <c r="Z34" s="489">
        <f t="shared" si="9"/>
        <v>0</v>
      </c>
      <c r="AA34" s="489">
        <f t="shared" si="10"/>
        <v>0</v>
      </c>
      <c r="AB34" s="551">
        <v>31534</v>
      </c>
      <c r="AC34" s="111">
        <f t="shared" si="19"/>
        <v>83</v>
      </c>
      <c r="AD34" s="433">
        <v>200668</v>
      </c>
      <c r="AE34" s="212">
        <f t="shared" si="15"/>
        <v>42</v>
      </c>
      <c r="AF34" s="306">
        <f>'Lpg (2)'!B38*2000/85</f>
        <v>2000</v>
      </c>
      <c r="AG34" s="307">
        <f>'Lpg (2)'!C38*1000/85</f>
        <v>1000</v>
      </c>
      <c r="AH34" s="308">
        <f>'Lpg (2)'!D38*1000/85</f>
        <v>588.23529411764707</v>
      </c>
      <c r="AI34" s="492">
        <f t="shared" si="17"/>
        <v>5588235.2941176472</v>
      </c>
      <c r="AJ34" s="491">
        <f t="shared" si="4"/>
        <v>35294.11764705833</v>
      </c>
      <c r="AK34" s="117"/>
    </row>
    <row r="35" spans="1:37" ht="19.5" thickBot="1">
      <c r="A35" s="75">
        <f>Gen!B40</f>
        <v>43951</v>
      </c>
      <c r="B35" s="482">
        <f>'Summery Report'!E34</f>
        <v>0</v>
      </c>
      <c r="C35" s="131">
        <f>Gen!C40</f>
        <v>0</v>
      </c>
      <c r="D35" s="483">
        <f>'Summery Report'!E34</f>
        <v>0</v>
      </c>
      <c r="E35" s="484">
        <f t="shared" si="13"/>
        <v>1.3262195121951219</v>
      </c>
      <c r="F35" s="485" t="e">
        <f t="shared" si="14"/>
        <v>#DIV/0!</v>
      </c>
      <c r="G35" s="485" t="e">
        <f t="shared" si="0"/>
        <v>#DIV/0!</v>
      </c>
      <c r="H35" s="484">
        <f>Gen!D40</f>
        <v>44028.450000000004</v>
      </c>
      <c r="I35" s="486">
        <f>Gen!F40</f>
        <v>0</v>
      </c>
      <c r="J35" s="115">
        <f>Gen!T40</f>
        <v>660.76</v>
      </c>
      <c r="K35" s="115">
        <f>Gen!AK40</f>
        <v>0</v>
      </c>
      <c r="L35" s="115">
        <f t="shared" si="1"/>
        <v>660.76</v>
      </c>
      <c r="M35" s="512">
        <f>'Water-Meter'!K75</f>
        <v>555.47319032962355</v>
      </c>
      <c r="N35" s="194">
        <f>'Water-Meter'!E35</f>
        <v>29</v>
      </c>
      <c r="O35" s="205"/>
      <c r="P35" s="433">
        <v>19030</v>
      </c>
      <c r="Q35" s="487">
        <f t="shared" si="2"/>
        <v>0</v>
      </c>
      <c r="R35" s="488">
        <f t="shared" si="5"/>
        <v>0</v>
      </c>
      <c r="S35" s="433"/>
      <c r="T35" s="552">
        <v>16177</v>
      </c>
      <c r="U35" s="487">
        <f t="shared" si="6"/>
        <v>0</v>
      </c>
      <c r="V35" s="489">
        <f t="shared" si="18"/>
        <v>0</v>
      </c>
      <c r="W35" s="433"/>
      <c r="X35" s="550">
        <v>24476</v>
      </c>
      <c r="Y35" s="487">
        <f t="shared" si="8"/>
        <v>0</v>
      </c>
      <c r="Z35" s="489">
        <f t="shared" si="9"/>
        <v>0</v>
      </c>
      <c r="AA35" s="489">
        <f t="shared" si="10"/>
        <v>0</v>
      </c>
      <c r="AB35" s="551">
        <v>31534</v>
      </c>
      <c r="AC35" s="111">
        <f t="shared" si="19"/>
        <v>0</v>
      </c>
      <c r="AD35" s="433">
        <v>200738</v>
      </c>
      <c r="AE35" s="212">
        <f t="shared" si="15"/>
        <v>70</v>
      </c>
      <c r="AF35" s="306">
        <f>'Lpg (2)'!B39*2000/85</f>
        <v>2000</v>
      </c>
      <c r="AG35" s="307">
        <f>'Lpg (2)'!C39*1000/85</f>
        <v>1000</v>
      </c>
      <c r="AH35" s="308">
        <f>'Lpg (2)'!D39*1000/85</f>
        <v>564.70588235294122</v>
      </c>
      <c r="AI35" s="492">
        <f t="shared" si="17"/>
        <v>5564705.8823529407</v>
      </c>
      <c r="AJ35" s="491">
        <f t="shared" si="4"/>
        <v>23529.411764706485</v>
      </c>
      <c r="AK35" s="119"/>
    </row>
    <row r="36" spans="1:37" ht="19.5" thickBot="1">
      <c r="A36" s="75">
        <f>Gen!B41</f>
        <v>0</v>
      </c>
      <c r="B36" s="482">
        <f>'Summery Report'!E35</f>
        <v>0</v>
      </c>
      <c r="C36" s="131">
        <f>Gen!C41</f>
        <v>0</v>
      </c>
      <c r="D36" s="483">
        <f>'Summery Report'!E35</f>
        <v>0</v>
      </c>
      <c r="E36" s="484">
        <f t="shared" si="13"/>
        <v>1.3262195121951219</v>
      </c>
      <c r="F36" s="485" t="e">
        <f t="shared" si="14"/>
        <v>#DIV/0!</v>
      </c>
      <c r="G36" s="485" t="e">
        <f t="shared" si="0"/>
        <v>#DIV/0!</v>
      </c>
      <c r="H36" s="484">
        <f>Gen!D41</f>
        <v>43367.69</v>
      </c>
      <c r="I36" s="486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12">
        <f>'Water-Meter'!K76</f>
        <v>573.91480598971293</v>
      </c>
      <c r="N36" s="194" t="str">
        <f>'Water-Meter'!E36</f>
        <v>0</v>
      </c>
      <c r="O36" s="205"/>
      <c r="P36" s="433"/>
      <c r="Q36" s="487">
        <f t="shared" si="2"/>
        <v>-19030</v>
      </c>
      <c r="R36" s="488">
        <f t="shared" si="5"/>
        <v>0</v>
      </c>
      <c r="S36" s="433"/>
      <c r="T36" s="552"/>
      <c r="U36" s="487">
        <f t="shared" si="6"/>
        <v>-16177</v>
      </c>
      <c r="V36" s="489">
        <f t="shared" si="18"/>
        <v>0</v>
      </c>
      <c r="W36" s="433"/>
      <c r="X36" s="550"/>
      <c r="Y36" s="487">
        <f t="shared" si="8"/>
        <v>-24476</v>
      </c>
      <c r="Z36" s="489">
        <f t="shared" si="9"/>
        <v>0</v>
      </c>
      <c r="AA36" s="489">
        <f t="shared" si="10"/>
        <v>0</v>
      </c>
      <c r="AB36" s="551"/>
      <c r="AC36" s="111">
        <f t="shared" si="19"/>
        <v>-31534</v>
      </c>
      <c r="AD36" s="433"/>
      <c r="AE36" s="212">
        <f t="shared" si="15"/>
        <v>-200738</v>
      </c>
      <c r="AF36" s="306">
        <f>'Lpg (2)'!B40*2000/85</f>
        <v>2000</v>
      </c>
      <c r="AG36" s="307">
        <f>'Lpg (2)'!C40*1000/85</f>
        <v>1000</v>
      </c>
      <c r="AH36" s="308">
        <f>'Lpg (2)'!D40*1000/85</f>
        <v>529.41176470588232</v>
      </c>
      <c r="AI36" s="493">
        <f>SUM(AF36*1000)+(AG36*1000)+(AH36*2000)</f>
        <v>4058823.5294117648</v>
      </c>
      <c r="AJ36" s="494">
        <f t="shared" si="4"/>
        <v>1505882.3529411759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22822.769999999993</v>
      </c>
      <c r="K37" s="138"/>
      <c r="L37" s="115">
        <f t="shared" si="1"/>
        <v>22822.769999999993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25"/>
      <c r="V37" s="139"/>
      <c r="W37" s="139"/>
      <c r="X37" s="139"/>
      <c r="Y37" s="139"/>
      <c r="Z37" s="139"/>
      <c r="AA37" s="495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-4058823.5294117648</v>
      </c>
      <c r="AK37" s="142">
        <f>SUM(AK6:AK36)</f>
        <v>0</v>
      </c>
    </row>
    <row r="38" spans="1:37" s="64" customFormat="1">
      <c r="A38" s="321"/>
      <c r="B38" s="322"/>
      <c r="C38" s="323"/>
      <c r="D38" s="323"/>
      <c r="E38" s="323"/>
      <c r="F38" s="323"/>
      <c r="G38" s="323"/>
      <c r="H38" s="322"/>
      <c r="I38" s="322"/>
      <c r="J38" s="324"/>
      <c r="K38" s="324"/>
      <c r="L38" s="324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496"/>
    </row>
    <row r="44" spans="1:37" ht="15">
      <c r="C44" s="113"/>
      <c r="J44" s="113"/>
      <c r="X44" s="497"/>
    </row>
    <row r="45" spans="1:37" ht="15">
      <c r="C45" s="113"/>
      <c r="J45" s="113"/>
      <c r="X45" s="496"/>
    </row>
    <row r="46" spans="1:37" ht="15">
      <c r="C46" s="113"/>
      <c r="J46" s="113"/>
      <c r="X46" s="497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498"/>
    </row>
    <row r="67" spans="3:24" ht="15">
      <c r="C67" s="113"/>
      <c r="J67" s="113"/>
      <c r="X67" s="499"/>
    </row>
    <row r="68" spans="3:24" ht="15">
      <c r="C68" s="113"/>
      <c r="J68" s="113"/>
      <c r="X68" s="499"/>
    </row>
    <row r="69" spans="3:24" ht="15">
      <c r="C69" s="113"/>
      <c r="J69" s="113"/>
      <c r="X69" s="499"/>
    </row>
    <row r="70" spans="3:24" ht="15">
      <c r="C70" s="113"/>
      <c r="J70" s="113"/>
      <c r="X70" s="499"/>
    </row>
    <row r="71" spans="3:24" ht="15">
      <c r="C71" s="113"/>
      <c r="J71" s="113"/>
      <c r="X71" s="499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4" zoomScale="86" zoomScaleNormal="86" workbookViewId="0">
      <selection activeCell="W35" sqref="W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60" t="s">
        <v>131</v>
      </c>
      <c r="C1" s="761"/>
      <c r="D1" s="761"/>
      <c r="E1" s="761"/>
      <c r="F1" s="762"/>
      <c r="G1" s="162"/>
      <c r="H1" s="760" t="s">
        <v>132</v>
      </c>
      <c r="I1" s="761"/>
      <c r="J1" s="761"/>
      <c r="K1" s="761"/>
      <c r="L1" s="762"/>
      <c r="M1" s="760" t="s">
        <v>151</v>
      </c>
      <c r="N1" s="761"/>
      <c r="O1" s="761"/>
      <c r="P1" s="761"/>
      <c r="Q1" s="762"/>
      <c r="R1" s="162"/>
      <c r="T1" s="760" t="s">
        <v>147</v>
      </c>
      <c r="U1" s="761"/>
      <c r="V1" s="761"/>
      <c r="W1" s="761"/>
      <c r="X1" s="762"/>
      <c r="Y1" s="760" t="s">
        <v>150</v>
      </c>
      <c r="Z1" s="761"/>
      <c r="AA1" s="761"/>
      <c r="AB1" s="761"/>
      <c r="AC1" s="762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389" t="s">
        <v>142</v>
      </c>
      <c r="S2" s="390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63" t="s">
        <v>137</v>
      </c>
      <c r="C3" s="764"/>
      <c r="D3" s="178"/>
      <c r="E3" s="439">
        <v>8637.1</v>
      </c>
      <c r="F3" s="179" t="s">
        <v>138</v>
      </c>
      <c r="G3" s="170"/>
      <c r="H3" s="763" t="s">
        <v>137</v>
      </c>
      <c r="I3" s="764"/>
      <c r="J3" s="279"/>
      <c r="K3" s="388">
        <f>'Water-Meter'!H5</f>
        <v>38000</v>
      </c>
      <c r="L3" s="279"/>
      <c r="M3" s="763" t="s">
        <v>137</v>
      </c>
      <c r="N3" s="764"/>
      <c r="O3" s="178"/>
      <c r="P3" s="187">
        <f>'[1]Water-Meter'!J5</f>
        <v>7351</v>
      </c>
      <c r="Q3" s="177"/>
      <c r="R3" s="279"/>
      <c r="S3" s="393"/>
      <c r="T3" s="763" t="s">
        <v>137</v>
      </c>
      <c r="U3" s="764"/>
      <c r="V3" s="178"/>
      <c r="W3" s="169">
        <v>7800.7</v>
      </c>
      <c r="X3" s="176">
        <f t="shared" ref="X3:X35" si="0">(W3-V3)*200</f>
        <v>1560140</v>
      </c>
      <c r="Y3" s="763" t="s">
        <v>137</v>
      </c>
      <c r="Z3" s="764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39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11">
        <f>'[1]Water-Meter'!G6</f>
        <v>36434</v>
      </c>
      <c r="L4" s="184">
        <f t="shared" ref="L4:L34" si="4">SUM(K4-J4)</f>
        <v>-1566</v>
      </c>
      <c r="M4" s="391">
        <f>H4</f>
        <v>43922</v>
      </c>
      <c r="N4" s="175"/>
      <c r="O4" s="175">
        <f t="shared" ref="O4:O33" si="5">SUM(P3)</f>
        <v>7351</v>
      </c>
      <c r="P4" s="392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391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39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11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39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11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39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11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39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11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39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11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39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11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39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11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39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11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39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11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39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11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39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11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39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11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39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11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39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11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39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11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39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11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39">
        <v>8655.7000000000007</v>
      </c>
      <c r="F21" s="176">
        <f t="shared" si="15"/>
        <v>96.000000000130967</v>
      </c>
      <c r="G21" s="170"/>
      <c r="H21" s="214">
        <f t="shared" si="10"/>
        <v>43939</v>
      </c>
      <c r="I21" s="171"/>
      <c r="J21" s="168">
        <f t="shared" si="3"/>
        <v>36681</v>
      </c>
      <c r="K21" s="311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1.8261365798008553E-2</v>
      </c>
      <c r="T21" s="214">
        <f t="shared" si="12"/>
        <v>43939</v>
      </c>
      <c r="U21" s="171"/>
      <c r="V21" s="168">
        <f t="shared" si="8"/>
        <v>7803.4</v>
      </c>
      <c r="W21" s="169">
        <v>7803.5</v>
      </c>
      <c r="X21" s="176">
        <f t="shared" si="0"/>
        <v>20.00000000007276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8655.7000000000007</v>
      </c>
      <c r="E22" s="439">
        <v>8656.6</v>
      </c>
      <c r="F22" s="176">
        <f t="shared" si="15"/>
        <v>107.99999999995634</v>
      </c>
      <c r="G22" s="170"/>
      <c r="H22" s="214">
        <f t="shared" si="10"/>
        <v>43940</v>
      </c>
      <c r="I22" s="168"/>
      <c r="J22" s="168">
        <f t="shared" si="3"/>
        <v>36696</v>
      </c>
      <c r="K22" s="311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2.3022809635462875E-2</v>
      </c>
      <c r="T22" s="214">
        <f t="shared" si="12"/>
        <v>43940</v>
      </c>
      <c r="U22" s="168"/>
      <c r="V22" s="168">
        <f t="shared" si="8"/>
        <v>7803.5</v>
      </c>
      <c r="W22" s="169">
        <v>7803.6</v>
      </c>
      <c r="X22" s="176">
        <f t="shared" si="0"/>
        <v>20.00000000007276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8656.6</v>
      </c>
      <c r="E23" s="439">
        <v>8657.5</v>
      </c>
      <c r="F23" s="176">
        <f t="shared" ref="F23:F34" si="17">SUM(E23-D23)*120</f>
        <v>107.99999999995634</v>
      </c>
      <c r="G23" s="170"/>
      <c r="H23" s="214">
        <f t="shared" si="10"/>
        <v>43941</v>
      </c>
      <c r="I23" s="171"/>
      <c r="J23" s="168">
        <f t="shared" si="3"/>
        <v>36708</v>
      </c>
      <c r="K23" s="311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1.890756302520244E-2</v>
      </c>
      <c r="T23" s="214">
        <f t="shared" si="12"/>
        <v>43941</v>
      </c>
      <c r="U23" s="171"/>
      <c r="V23" s="168">
        <f t="shared" si="8"/>
        <v>7803.6</v>
      </c>
      <c r="W23" s="169">
        <v>7803.7</v>
      </c>
      <c r="X23" s="176">
        <f t="shared" si="0"/>
        <v>19.999999999890861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8657.5</v>
      </c>
      <c r="E24" s="439">
        <v>8658.4</v>
      </c>
      <c r="F24" s="176">
        <f t="shared" si="17"/>
        <v>107.99999999995634</v>
      </c>
      <c r="G24" s="170"/>
      <c r="H24" s="214">
        <f t="shared" si="10"/>
        <v>43942</v>
      </c>
      <c r="I24" s="171"/>
      <c r="J24" s="168">
        <f t="shared" si="3"/>
        <v>36724</v>
      </c>
      <c r="K24" s="311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1.8178757784877351E-2</v>
      </c>
      <c r="T24" s="214">
        <v>5835.7</v>
      </c>
      <c r="U24" s="171"/>
      <c r="V24" s="168">
        <f t="shared" si="8"/>
        <v>7803.7</v>
      </c>
      <c r="W24" s="169">
        <v>7803.8</v>
      </c>
      <c r="X24" s="176">
        <f t="shared" si="0"/>
        <v>20.00000000007276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8658.4</v>
      </c>
      <c r="E25" s="439">
        <v>8659.2000000000007</v>
      </c>
      <c r="F25" s="176">
        <f t="shared" si="17"/>
        <v>96.000000000130967</v>
      </c>
      <c r="G25" s="170"/>
      <c r="H25" s="214">
        <f t="shared" si="10"/>
        <v>43943</v>
      </c>
      <c r="I25" s="171"/>
      <c r="J25" s="168">
        <f t="shared" si="3"/>
        <v>36740</v>
      </c>
      <c r="K25" s="311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1.7777777777802033E-2</v>
      </c>
      <c r="T25" s="214">
        <f t="shared" si="12"/>
        <v>43943</v>
      </c>
      <c r="U25" s="171"/>
      <c r="V25" s="168">
        <f t="shared" si="8"/>
        <v>7803.8</v>
      </c>
      <c r="W25" s="169">
        <v>7803.9</v>
      </c>
      <c r="X25" s="176">
        <f t="shared" si="0"/>
        <v>19.999999999890861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8659.2000000000007</v>
      </c>
      <c r="E26" s="439">
        <v>8660.1</v>
      </c>
      <c r="F26" s="176">
        <f t="shared" si="17"/>
        <v>107.99999999995634</v>
      </c>
      <c r="G26" s="170"/>
      <c r="H26" s="214">
        <f t="shared" si="10"/>
        <v>43944</v>
      </c>
      <c r="I26" s="171"/>
      <c r="J26" s="168">
        <f t="shared" si="3"/>
        <v>36754</v>
      </c>
      <c r="K26" s="311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2.010798733940725E-2</v>
      </c>
      <c r="T26" s="214">
        <f t="shared" si="12"/>
        <v>43944</v>
      </c>
      <c r="U26" s="171"/>
      <c r="V26" s="168">
        <f t="shared" si="8"/>
        <v>7803.9</v>
      </c>
      <c r="W26" s="169">
        <v>7804</v>
      </c>
      <c r="X26" s="176">
        <f t="shared" si="0"/>
        <v>20.00000000007276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8660.1</v>
      </c>
      <c r="E27" s="439">
        <v>8661.1</v>
      </c>
      <c r="F27" s="176">
        <f t="shared" si="17"/>
        <v>120</v>
      </c>
      <c r="G27" s="170"/>
      <c r="H27" s="214">
        <f t="shared" si="10"/>
        <v>43945</v>
      </c>
      <c r="I27" s="171"/>
      <c r="J27" s="168">
        <f t="shared" si="3"/>
        <v>36767</v>
      </c>
      <c r="K27" s="311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2.2658610271903322E-2</v>
      </c>
      <c r="T27" s="214">
        <f t="shared" si="12"/>
        <v>43945</v>
      </c>
      <c r="U27" s="171"/>
      <c r="V27" s="168">
        <f t="shared" si="8"/>
        <v>7804</v>
      </c>
      <c r="W27" s="169">
        <v>7804</v>
      </c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8661.1</v>
      </c>
      <c r="E28" s="439">
        <v>8662</v>
      </c>
      <c r="F28" s="176">
        <f t="shared" si="17"/>
        <v>107.99999999995634</v>
      </c>
      <c r="G28" s="170"/>
      <c r="H28" s="214">
        <f t="shared" si="10"/>
        <v>43946</v>
      </c>
      <c r="I28" s="171"/>
      <c r="J28" s="168">
        <f t="shared" si="3"/>
        <v>36779</v>
      </c>
      <c r="K28" s="311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2.0685692396084341E-2</v>
      </c>
      <c r="T28" s="214">
        <f t="shared" si="12"/>
        <v>43946</v>
      </c>
      <c r="U28" s="171"/>
      <c r="V28" s="168">
        <f t="shared" si="8"/>
        <v>7804</v>
      </c>
      <c r="W28" s="169">
        <v>7804.1</v>
      </c>
      <c r="X28" s="176">
        <f t="shared" si="0"/>
        <v>20.00000000007276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8662</v>
      </c>
      <c r="E29" s="439">
        <v>8662.9</v>
      </c>
      <c r="F29" s="176">
        <f t="shared" si="17"/>
        <v>107.99999999995634</v>
      </c>
      <c r="G29" s="170"/>
      <c r="H29" s="214">
        <f t="shared" si="10"/>
        <v>43947</v>
      </c>
      <c r="I29" s="171"/>
      <c r="J29" s="168">
        <f t="shared" si="3"/>
        <v>36792</v>
      </c>
      <c r="K29" s="311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1.9064430714908445E-2</v>
      </c>
      <c r="T29" s="214">
        <f t="shared" si="12"/>
        <v>43947</v>
      </c>
      <c r="U29" s="171"/>
      <c r="V29" s="168">
        <f t="shared" si="8"/>
        <v>7804.1</v>
      </c>
      <c r="W29" s="169">
        <v>7804.2</v>
      </c>
      <c r="X29" s="176">
        <f t="shared" si="0"/>
        <v>19.999999999890861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8662.9</v>
      </c>
      <c r="E30" s="439">
        <v>8664</v>
      </c>
      <c r="F30" s="176">
        <f t="shared" si="17"/>
        <v>132.00000000004366</v>
      </c>
      <c r="G30" s="170"/>
      <c r="H30" s="214">
        <f t="shared" si="10"/>
        <v>43948</v>
      </c>
      <c r="I30" s="171"/>
      <c r="J30" s="168">
        <f t="shared" si="3"/>
        <v>36809</v>
      </c>
      <c r="K30" s="311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2.1607464396798764E-2</v>
      </c>
      <c r="T30" s="214">
        <f t="shared" si="12"/>
        <v>43948</v>
      </c>
      <c r="U30" s="171"/>
      <c r="V30" s="168">
        <f t="shared" si="8"/>
        <v>7804.2</v>
      </c>
      <c r="W30" s="169">
        <v>7804.3</v>
      </c>
      <c r="X30" s="176">
        <f t="shared" si="0"/>
        <v>20.00000000007276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8664</v>
      </c>
      <c r="E31" s="439">
        <v>8664.9</v>
      </c>
      <c r="F31" s="176">
        <f t="shared" si="17"/>
        <v>107.99999999995634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11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7804.3</v>
      </c>
      <c r="W31" s="169">
        <v>7804.4</v>
      </c>
      <c r="X31" s="176">
        <f t="shared" si="0"/>
        <v>19.999999999890861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8664.9</v>
      </c>
      <c r="E32" s="439">
        <v>8665.7999999999993</v>
      </c>
      <c r="F32" s="176">
        <f t="shared" si="17"/>
        <v>107.99999999995634</v>
      </c>
      <c r="G32" s="170"/>
      <c r="H32" s="214">
        <f t="shared" si="10"/>
        <v>43950</v>
      </c>
      <c r="I32" s="171"/>
      <c r="J32" s="168" t="e">
        <f t="shared" si="19"/>
        <v>#REF!</v>
      </c>
      <c r="K32" s="311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7804.4</v>
      </c>
      <c r="W32" s="169">
        <v>7804.4</v>
      </c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8665.7999999999993</v>
      </c>
      <c r="E33" s="439">
        <v>8666.6</v>
      </c>
      <c r="F33" s="176">
        <f t="shared" si="17"/>
        <v>96.000000000130967</v>
      </c>
      <c r="G33" s="170"/>
      <c r="H33" s="214">
        <f t="shared" si="10"/>
        <v>43951</v>
      </c>
      <c r="I33" s="171"/>
      <c r="J33" s="168" t="e">
        <f t="shared" si="19"/>
        <v>#REF!</v>
      </c>
      <c r="K33" s="311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7804.4</v>
      </c>
      <c r="W33" s="169">
        <v>7804.5</v>
      </c>
      <c r="X33" s="176">
        <f t="shared" si="0"/>
        <v>20.00000000007276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8666.6</v>
      </c>
      <c r="E34" s="439"/>
      <c r="F34" s="176">
        <f t="shared" si="17"/>
        <v>-1039992</v>
      </c>
      <c r="G34" s="20"/>
      <c r="H34" s="214">
        <f t="shared" si="10"/>
        <v>0</v>
      </c>
      <c r="I34" s="172"/>
      <c r="J34" s="168" t="e">
        <f t="shared" si="19"/>
        <v>#REF!</v>
      </c>
      <c r="K34" s="311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7804.5</v>
      </c>
      <c r="W34" s="169"/>
      <c r="X34" s="176">
        <f t="shared" si="0"/>
        <v>-1560900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10">
        <f t="shared" si="18"/>
        <v>0</v>
      </c>
      <c r="E35" s="511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11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43"/>
      <c r="L36" s="126"/>
      <c r="Q36" s="126"/>
      <c r="R36" s="185"/>
      <c r="X36" s="441">
        <f>SUM(X4:X6)</f>
        <v>80.000000000109139</v>
      </c>
      <c r="AC36" s="126"/>
    </row>
    <row r="37" spans="1:29" ht="12.75" customHeight="1">
      <c r="D37" s="20"/>
      <c r="E37" s="443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43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43"/>
      <c r="G41" s="20"/>
    </row>
    <row r="42" spans="1:29" ht="12.75" customHeight="1">
      <c r="C42" s="174"/>
      <c r="E42" s="444"/>
      <c r="G42" s="20"/>
      <c r="U42" s="174"/>
    </row>
    <row r="43" spans="1:29" ht="18.75">
      <c r="E43" s="443"/>
    </row>
    <row r="44" spans="1:29">
      <c r="E44" s="444"/>
    </row>
    <row r="45" spans="1:29" ht="18.75">
      <c r="E45" s="443"/>
    </row>
    <row r="46" spans="1:29">
      <c r="E46" s="444"/>
    </row>
    <row r="47" spans="1:29" ht="18.75">
      <c r="E47" s="443"/>
    </row>
    <row r="48" spans="1:29">
      <c r="E48" s="444"/>
    </row>
    <row r="49" spans="5:5" ht="18.75">
      <c r="E49" s="443"/>
    </row>
    <row r="50" spans="5:5">
      <c r="E50" s="444"/>
    </row>
    <row r="51" spans="5:5" ht="18.75">
      <c r="E51" s="443"/>
    </row>
    <row r="52" spans="5:5">
      <c r="E52" s="444"/>
    </row>
    <row r="53" spans="5:5" ht="18.75">
      <c r="E53" s="44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65" t="s">
        <v>292</v>
      </c>
      <c r="B2" s="766"/>
      <c r="C2" s="766"/>
      <c r="D2" s="766"/>
      <c r="E2" s="767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4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62">
        <f>'Daily report Gen'!Z6</f>
        <v>24</v>
      </c>
      <c r="C5" s="72">
        <f>Gen!C11</f>
        <v>0</v>
      </c>
      <c r="D5" s="500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08">
        <f>Gen!D11</f>
        <v>41048.869999999995</v>
      </c>
      <c r="K5" s="339">
        <f>'Water-Meter'!E6</f>
        <v>38</v>
      </c>
      <c r="L5" s="509">
        <f>'Lpg (2)'!G10</f>
        <v>61.600000000000009</v>
      </c>
      <c r="M5" s="68" t="e">
        <f>SUM(#REF!-#REF!)</f>
        <v>#REF!</v>
      </c>
    </row>
    <row r="6" spans="1:13">
      <c r="A6" s="54">
        <f>Gen!B12</f>
        <v>43923</v>
      </c>
      <c r="B6" s="362">
        <f>'Daily report Gen'!Z7</f>
        <v>25</v>
      </c>
      <c r="C6" s="72">
        <f>Gen!C12</f>
        <v>0</v>
      </c>
      <c r="D6" s="500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08">
        <f>Gen!D12</f>
        <v>40148.539999999994</v>
      </c>
      <c r="K6" s="339">
        <f>'Water-Meter'!E7</f>
        <v>52</v>
      </c>
      <c r="L6" s="509">
        <f>'Lpg (2)'!G11</f>
        <v>66</v>
      </c>
      <c r="M6" s="68" t="e">
        <f>SUM(#REF!-#REF!)</f>
        <v>#REF!</v>
      </c>
    </row>
    <row r="7" spans="1:13">
      <c r="A7" s="54">
        <f>Gen!B13</f>
        <v>43924</v>
      </c>
      <c r="B7" s="362">
        <f>'Daily report Gen'!Z8</f>
        <v>24</v>
      </c>
      <c r="C7" s="72">
        <f>Gen!C13</f>
        <v>0</v>
      </c>
      <c r="D7" s="500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08">
        <f>Gen!D13</f>
        <v>39272.899999999994</v>
      </c>
      <c r="K7" s="339">
        <f>'Water-Meter'!E8</f>
        <v>26</v>
      </c>
      <c r="L7" s="509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62">
        <f>'Daily report Gen'!Z9</f>
        <v>26</v>
      </c>
      <c r="C8" s="72">
        <f>Gen!C14</f>
        <v>0</v>
      </c>
      <c r="D8" s="500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08">
        <f>Gen!D14</f>
        <v>38421.959999999992</v>
      </c>
      <c r="K8" s="339">
        <f>'Water-Meter'!E9</f>
        <v>34</v>
      </c>
      <c r="L8" s="509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62">
        <f>'Daily report Gen'!Z10</f>
        <v>24</v>
      </c>
      <c r="C9" s="72">
        <f>Gen!C15</f>
        <v>0</v>
      </c>
      <c r="D9" s="500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08">
        <f>Gen!D15</f>
        <v>36972.039999999994</v>
      </c>
      <c r="K9" s="339">
        <f>'Water-Meter'!E10</f>
        <v>42</v>
      </c>
      <c r="L9" s="509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62">
        <f>'Daily report Gen'!Z11</f>
        <v>24</v>
      </c>
      <c r="C10" s="72">
        <f>Gen!C16</f>
        <v>0</v>
      </c>
      <c r="D10" s="500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08">
        <f>Gen!D16</f>
        <v>36124.419999999991</v>
      </c>
      <c r="K10" s="339">
        <f>'Water-Meter'!E11</f>
        <v>41</v>
      </c>
      <c r="L10" s="509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62">
        <f>'Daily report Gen'!Z12</f>
        <v>24</v>
      </c>
      <c r="C11" s="72">
        <f>Gen!C17</f>
        <v>0</v>
      </c>
      <c r="D11" s="500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08">
        <f>Gen!D17</f>
        <v>50366.889999999992</v>
      </c>
      <c r="K11" s="339">
        <f>'Water-Meter'!E12</f>
        <v>47</v>
      </c>
      <c r="L11" s="509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62">
        <f>'Daily report Gen'!Z13</f>
        <v>24</v>
      </c>
      <c r="C12" s="72">
        <f>Gen!C18</f>
        <v>0</v>
      </c>
      <c r="D12" s="500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08">
        <f>Gen!D18</f>
        <v>49475.139999999992</v>
      </c>
      <c r="K12" s="339">
        <f>'Water-Meter'!E13</f>
        <v>36</v>
      </c>
      <c r="L12" s="509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62">
        <f>'Daily report Gen'!Z14</f>
        <v>25</v>
      </c>
      <c r="C13" s="72">
        <f>Gen!C19</f>
        <v>0</v>
      </c>
      <c r="D13" s="500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08">
        <f>Gen!D19</f>
        <v>48643.869999999995</v>
      </c>
      <c r="K13" s="339">
        <f>'Water-Meter'!E14</f>
        <v>33</v>
      </c>
      <c r="L13" s="509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62">
        <f>'Daily report Gen'!Z15</f>
        <v>24</v>
      </c>
      <c r="C14" s="72">
        <f>Gen!C20</f>
        <v>0</v>
      </c>
      <c r="D14" s="500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08">
        <f>Gen!D20</f>
        <v>47837.549999999996</v>
      </c>
      <c r="K14" s="339">
        <f>'Water-Meter'!E15</f>
        <v>55</v>
      </c>
      <c r="L14" s="509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62">
        <f>'Daily report Gen'!Z16</f>
        <v>25</v>
      </c>
      <c r="C15" s="72">
        <f>Gen!C21</f>
        <v>0</v>
      </c>
      <c r="D15" s="500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08">
        <f>Gen!D21</f>
        <v>47013.799999999996</v>
      </c>
      <c r="K15" s="339">
        <f>'Water-Meter'!E16</f>
        <v>56</v>
      </c>
      <c r="L15" s="509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62">
        <f>'Daily report Gen'!Z17</f>
        <v>25</v>
      </c>
      <c r="C16" s="72">
        <f>Gen!C22</f>
        <v>0</v>
      </c>
      <c r="D16" s="500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08">
        <f>Gen!D22</f>
        <v>46231.13</v>
      </c>
      <c r="K16" s="339">
        <f>'Water-Meter'!E17</f>
        <v>41</v>
      </c>
      <c r="L16" s="509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62">
        <f>'Daily report Gen'!Z18</f>
        <v>23</v>
      </c>
      <c r="C17" s="72">
        <f>Gen!C23</f>
        <v>0</v>
      </c>
      <c r="D17" s="500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08">
        <f>Gen!D23</f>
        <v>45454.329999999994</v>
      </c>
      <c r="K17" s="339">
        <f>'Water-Meter'!E18</f>
        <v>45</v>
      </c>
      <c r="L17" s="509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62">
        <f>'Daily report Gen'!Z19</f>
        <v>25</v>
      </c>
      <c r="C18" s="72">
        <f>Gen!C24</f>
        <v>0</v>
      </c>
      <c r="D18" s="500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08">
        <f>Gen!D24</f>
        <v>44662.749999999993</v>
      </c>
      <c r="K18" s="339">
        <f>'Water-Meter'!E19</f>
        <v>51</v>
      </c>
      <c r="L18" s="509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62">
        <f>'Daily report Gen'!Z20</f>
        <v>24</v>
      </c>
      <c r="C19" s="72">
        <f>Gen!C25</f>
        <v>0</v>
      </c>
      <c r="D19" s="500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08">
        <f>Gen!D25</f>
        <v>43902.12999999999</v>
      </c>
      <c r="K19" s="339">
        <f>'Water-Meter'!E20</f>
        <v>54</v>
      </c>
      <c r="L19" s="509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62">
        <f>'Daily report Gen'!Z21</f>
        <v>25</v>
      </c>
      <c r="C20" s="72">
        <f>Gen!C26</f>
        <v>0</v>
      </c>
      <c r="D20" s="500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08">
        <f>Gen!D26</f>
        <v>43115.939999999988</v>
      </c>
      <c r="K20" s="339">
        <f>'Water-Meter'!E21</f>
        <v>54</v>
      </c>
      <c r="L20" s="509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62">
        <f>'Daily report Gen'!Z22</f>
        <v>24</v>
      </c>
      <c r="C21" s="72">
        <f>Gen!C27</f>
        <v>0</v>
      </c>
      <c r="D21" s="500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08">
        <f>Gen!D27</f>
        <v>42361.669999999991</v>
      </c>
      <c r="K21" s="339">
        <f>'Water-Meter'!E22</f>
        <v>42</v>
      </c>
      <c r="L21" s="509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62">
        <f>'Daily report Gen'!Z23</f>
        <v>25</v>
      </c>
      <c r="C22" s="72">
        <f>Gen!C28</f>
        <v>0</v>
      </c>
      <c r="D22" s="500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08">
        <f>Gen!D28</f>
        <v>41561.289999999994</v>
      </c>
      <c r="K22" s="339">
        <f>'Water-Meter'!E23</f>
        <v>30</v>
      </c>
      <c r="L22" s="509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62">
        <f>'Daily report Gen'!Z24</f>
        <v>24</v>
      </c>
      <c r="C23" s="72">
        <f>Gen!C29</f>
        <v>0</v>
      </c>
      <c r="D23" s="500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52.039999999999992</v>
      </c>
      <c r="I23" s="71">
        <f t="shared" si="1"/>
        <v>833.97</v>
      </c>
      <c r="J23" s="508">
        <f>Gen!D29</f>
        <v>40817.069999999992</v>
      </c>
      <c r="K23" s="339">
        <f>'Water-Meter'!E24</f>
        <v>51</v>
      </c>
      <c r="L23" s="509">
        <f>'Lpg (2)'!G28</f>
        <v>31.108000000030735</v>
      </c>
      <c r="M23" s="68" t="e">
        <f>SUM(#REF!-#REF!)</f>
        <v>#REF!</v>
      </c>
    </row>
    <row r="24" spans="1:13">
      <c r="A24" s="54">
        <f>Gen!B30</f>
        <v>43941</v>
      </c>
      <c r="B24" s="362">
        <f>'Daily report Gen'!Z25</f>
        <v>25</v>
      </c>
      <c r="C24" s="72">
        <f>Gen!C30</f>
        <v>0</v>
      </c>
      <c r="D24" s="500">
        <f t="shared" si="0"/>
        <v>0</v>
      </c>
      <c r="E24" s="65"/>
      <c r="F24" s="62">
        <f>Gen!U28</f>
        <v>1756</v>
      </c>
      <c r="G24" s="71">
        <f>Gen!T28</f>
        <v>744.22</v>
      </c>
      <c r="H24" s="71">
        <f>Gen!AK30</f>
        <v>0</v>
      </c>
      <c r="I24" s="71">
        <f t="shared" si="1"/>
        <v>744.22</v>
      </c>
      <c r="J24" s="508">
        <f>Gen!D30</f>
        <v>40024.979999999996</v>
      </c>
      <c r="K24" s="339">
        <f>'Water-Meter'!E25</f>
        <v>35</v>
      </c>
      <c r="L24" s="509">
        <f>'Lpg (2)'!G29</f>
        <v>29.21599999999744</v>
      </c>
      <c r="M24" s="68" t="e">
        <f>SUM(#REF!-#REF!)</f>
        <v>#REF!</v>
      </c>
    </row>
    <row r="25" spans="1:13">
      <c r="A25" s="54">
        <f>Gen!B31</f>
        <v>43942</v>
      </c>
      <c r="B25" s="362">
        <f>'Daily report Gen'!Z26</f>
        <v>24</v>
      </c>
      <c r="C25" s="72">
        <f>Gen!C31</f>
        <v>0</v>
      </c>
      <c r="D25" s="500">
        <f t="shared" si="0"/>
        <v>0</v>
      </c>
      <c r="E25" s="65"/>
      <c r="F25" s="62">
        <f>Gen!U29</f>
        <v>1728</v>
      </c>
      <c r="G25" s="71">
        <f>Gen!T29</f>
        <v>740.05</v>
      </c>
      <c r="H25" s="71">
        <f>Gen!AK31</f>
        <v>180</v>
      </c>
      <c r="I25" s="71">
        <f t="shared" si="1"/>
        <v>920.05</v>
      </c>
      <c r="J25" s="508">
        <f>Gen!D31</f>
        <v>39293.509999999995</v>
      </c>
      <c r="K25" s="339">
        <f>'Water-Meter'!E26</f>
        <v>27</v>
      </c>
      <c r="L25" s="509">
        <f>'Lpg (2)'!G30</f>
        <v>33.439999999961586</v>
      </c>
      <c r="M25" s="68" t="e">
        <f>SUM(#REF!-#REF!)</f>
        <v>#REF!</v>
      </c>
    </row>
    <row r="26" spans="1:13">
      <c r="A26" s="54">
        <f>Gen!B32</f>
        <v>43943</v>
      </c>
      <c r="B26" s="362">
        <f>'Daily report Gen'!Z27</f>
        <v>24</v>
      </c>
      <c r="C26" s="72">
        <f>Gen!C32</f>
        <v>0</v>
      </c>
      <c r="D26" s="500">
        <f t="shared" si="0"/>
        <v>0</v>
      </c>
      <c r="E26" s="65"/>
      <c r="F26" s="62">
        <f>Gen!U30</f>
        <v>1693</v>
      </c>
      <c r="G26" s="71">
        <f>Gen!T30</f>
        <v>731.47</v>
      </c>
      <c r="H26" s="71">
        <f>Gen!AK32</f>
        <v>123.51</v>
      </c>
      <c r="I26" s="71">
        <f t="shared" si="1"/>
        <v>854.98</v>
      </c>
      <c r="J26" s="508">
        <f>Gen!D32</f>
        <v>38366.239999999998</v>
      </c>
      <c r="K26" s="339">
        <f>'Water-Meter'!E27</f>
        <v>28</v>
      </c>
      <c r="L26" s="509">
        <f>'Lpg (2)'!G31</f>
        <v>28.379999999987195</v>
      </c>
      <c r="M26" s="68" t="e">
        <f>SUM(#REF!-#REF!)</f>
        <v>#REF!</v>
      </c>
    </row>
    <row r="27" spans="1:13">
      <c r="A27" s="54">
        <f>Gen!B33</f>
        <v>43944</v>
      </c>
      <c r="B27" s="362">
        <f>'Daily report Gen'!Z28</f>
        <v>25</v>
      </c>
      <c r="C27" s="72">
        <f>Gen!C33</f>
        <v>0</v>
      </c>
      <c r="D27" s="500">
        <f t="shared" si="0"/>
        <v>0</v>
      </c>
      <c r="E27" s="65"/>
      <c r="F27" s="62">
        <f>Gen!U31</f>
        <v>1727</v>
      </c>
      <c r="G27" s="71">
        <f>Gen!T31</f>
        <v>747.27</v>
      </c>
      <c r="H27" s="71">
        <f>Gen!AK33</f>
        <v>0</v>
      </c>
      <c r="I27" s="71">
        <f t="shared" si="1"/>
        <v>747.27</v>
      </c>
      <c r="J27" s="508">
        <f>Gen!D33</f>
        <v>49533.599999999999</v>
      </c>
      <c r="K27" s="339">
        <f>'Water-Meter'!E28</f>
        <v>29</v>
      </c>
      <c r="L27" s="509">
        <f>'Lpg (2)'!G32</f>
        <v>35.200000000000003</v>
      </c>
      <c r="M27" s="68" t="e">
        <f>SUM(#REF!-#REF!)</f>
        <v>#REF!</v>
      </c>
    </row>
    <row r="28" spans="1:13">
      <c r="A28" s="54">
        <f>Gen!B34</f>
        <v>43945</v>
      </c>
      <c r="B28" s="362">
        <f>'Daily report Gen'!Z29</f>
        <v>25</v>
      </c>
      <c r="C28" s="72">
        <f>Gen!C34</f>
        <v>0</v>
      </c>
      <c r="D28" s="500">
        <f t="shared" si="0"/>
        <v>0</v>
      </c>
      <c r="E28" s="65"/>
      <c r="F28" s="62">
        <f>Gen!U32</f>
        <v>1720</v>
      </c>
      <c r="G28" s="71">
        <f>Gen!T32</f>
        <v>709.13</v>
      </c>
      <c r="H28" s="71">
        <f>Gen!AK34</f>
        <v>254.15</v>
      </c>
      <c r="I28" s="71">
        <f t="shared" si="1"/>
        <v>963.28</v>
      </c>
      <c r="J28" s="508">
        <f>Gen!D34</f>
        <v>48862.75</v>
      </c>
      <c r="K28" s="339">
        <f>'Water-Meter'!E29</f>
        <v>31</v>
      </c>
      <c r="L28" s="509">
        <f>'Lpg (2)'!G33</f>
        <v>38.104000000015368</v>
      </c>
      <c r="M28" s="68" t="e">
        <f>SUM(#REF!-#REF!)</f>
        <v>#REF!</v>
      </c>
    </row>
    <row r="29" spans="1:13">
      <c r="A29" s="54">
        <f>Gen!B35</f>
        <v>43946</v>
      </c>
      <c r="B29" s="362">
        <f>'Daily report Gen'!Z30</f>
        <v>25</v>
      </c>
      <c r="C29" s="72">
        <f>Gen!C35</f>
        <v>0</v>
      </c>
      <c r="D29" s="500">
        <f t="shared" si="0"/>
        <v>0</v>
      </c>
      <c r="E29" s="65"/>
      <c r="F29" s="62">
        <f>Gen!U33</f>
        <v>1554</v>
      </c>
      <c r="G29" s="71">
        <f>Gen!T33</f>
        <v>670.85</v>
      </c>
      <c r="H29" s="71">
        <f>Gen!AK35</f>
        <v>133.02000000000001</v>
      </c>
      <c r="I29" s="71">
        <f t="shared" si="1"/>
        <v>803.87</v>
      </c>
      <c r="J29" s="508">
        <f>Gen!D35</f>
        <v>47873.83</v>
      </c>
      <c r="K29" s="339">
        <f>'Water-Meter'!E30</f>
        <v>32</v>
      </c>
      <c r="L29" s="509">
        <f>'Lpg (2)'!G34</f>
        <v>28.336000000010248</v>
      </c>
      <c r="M29" s="68" t="e">
        <f>SUM(#REF!-#REF!)</f>
        <v>#REF!</v>
      </c>
    </row>
    <row r="30" spans="1:13">
      <c r="A30" s="54">
        <f>Gen!B36</f>
        <v>43947</v>
      </c>
      <c r="B30" s="362">
        <f>'Daily report Gen'!Z31</f>
        <v>23</v>
      </c>
      <c r="C30" s="72">
        <f>Gen!C36</f>
        <v>0</v>
      </c>
      <c r="D30" s="500">
        <f t="shared" si="0"/>
        <v>0</v>
      </c>
      <c r="E30" s="65"/>
      <c r="F30" s="62">
        <f>Gen!U34</f>
        <v>1722</v>
      </c>
      <c r="G30" s="71">
        <f>Gen!T34</f>
        <v>734.77</v>
      </c>
      <c r="H30" s="71">
        <f>Gen!AK36</f>
        <v>52.26</v>
      </c>
      <c r="I30" s="71">
        <f t="shared" si="1"/>
        <v>787.03</v>
      </c>
      <c r="J30" s="508">
        <f>Gen!D36</f>
        <v>47032.560000000005</v>
      </c>
      <c r="K30" s="339">
        <f>'Water-Meter'!E31</f>
        <v>31</v>
      </c>
      <c r="L30" s="509">
        <f>'Lpg (2)'!G35</f>
        <v>32.691999999969269</v>
      </c>
      <c r="M30" s="68" t="e">
        <f>SUM(#REF!-#REF!)</f>
        <v>#REF!</v>
      </c>
    </row>
    <row r="31" spans="1:13">
      <c r="A31" s="54">
        <f>Gen!B37</f>
        <v>43948</v>
      </c>
      <c r="B31" s="362">
        <f>'Daily report Gen'!Z32</f>
        <v>24</v>
      </c>
      <c r="C31" s="72">
        <f>Gen!C37</f>
        <v>0</v>
      </c>
      <c r="D31" s="500">
        <f t="shared" si="0"/>
        <v>0</v>
      </c>
      <c r="E31" s="65"/>
      <c r="F31" s="62">
        <f>Gen!U35</f>
        <v>1712</v>
      </c>
      <c r="G31" s="71">
        <f>Gen!T35</f>
        <v>708.25</v>
      </c>
      <c r="H31" s="71">
        <f>Gen!AK37</f>
        <v>7.38</v>
      </c>
      <c r="I31" s="71">
        <f t="shared" si="1"/>
        <v>715.63</v>
      </c>
      <c r="J31" s="508">
        <f>Gen!D37</f>
        <v>46272.360000000008</v>
      </c>
      <c r="K31" s="339">
        <f>'Water-Meter'!E32</f>
        <v>30</v>
      </c>
      <c r="L31" s="509">
        <f>'Lpg (2)'!G36</f>
        <v>28.6</v>
      </c>
      <c r="M31" s="68" t="e">
        <f>SUM(#REF!-#REF!)</f>
        <v>#REF!</v>
      </c>
    </row>
    <row r="32" spans="1:13">
      <c r="A32" s="54">
        <f>Gen!B38</f>
        <v>43949</v>
      </c>
      <c r="B32" s="362">
        <f>'Daily report Gen'!Z33</f>
        <v>25</v>
      </c>
      <c r="C32" s="72">
        <f>Gen!C38</f>
        <v>0</v>
      </c>
      <c r="D32" s="500">
        <f t="shared" si="0"/>
        <v>0</v>
      </c>
      <c r="E32" s="65"/>
      <c r="F32" s="62">
        <f>Gen!U36</f>
        <v>1680</v>
      </c>
      <c r="G32" s="71">
        <f>Gen!T36</f>
        <v>707.94</v>
      </c>
      <c r="H32" s="71">
        <f>Gen!AK38</f>
        <v>100</v>
      </c>
      <c r="I32" s="71">
        <f t="shared" si="1"/>
        <v>807.94</v>
      </c>
      <c r="J32" s="508">
        <f>Gen!D38</f>
        <v>45548.200000000004</v>
      </c>
      <c r="K32" s="339">
        <f>'Water-Meter'!E33</f>
        <v>31</v>
      </c>
      <c r="L32" s="509">
        <f>'Lpg (2)'!G37</f>
        <v>31.240000000025614</v>
      </c>
      <c r="M32" s="68" t="e">
        <f>SUM(#REF!-#REF!)</f>
        <v>#REF!</v>
      </c>
    </row>
    <row r="33" spans="1:13">
      <c r="A33" s="54">
        <f>Gen!B39</f>
        <v>43950</v>
      </c>
      <c r="B33" s="362">
        <f>'Daily report Gen'!Z34</f>
        <v>25</v>
      </c>
      <c r="C33" s="72">
        <f>Gen!C39</f>
        <v>0</v>
      </c>
      <c r="D33" s="500">
        <f t="shared" si="0"/>
        <v>0</v>
      </c>
      <c r="E33" s="65"/>
      <c r="F33" s="62">
        <f>Gen!U37</f>
        <v>1721</v>
      </c>
      <c r="G33" s="71">
        <f>Gen!T37</f>
        <v>716.78</v>
      </c>
      <c r="H33" s="71">
        <f>Gen!AK39</f>
        <v>38.11</v>
      </c>
      <c r="I33" s="71">
        <f t="shared" si="1"/>
        <v>754.89</v>
      </c>
      <c r="J33" s="508">
        <f>Gen!D39</f>
        <v>44757.65</v>
      </c>
      <c r="K33" s="339">
        <f>'Water-Meter'!E34</f>
        <v>29</v>
      </c>
      <c r="L33" s="509">
        <f>'Lpg (2)'!G38</f>
        <v>40.920000000012806</v>
      </c>
      <c r="M33" s="68" t="e">
        <f>SUM(#REF!-#REF!)</f>
        <v>#REF!</v>
      </c>
    </row>
    <row r="34" spans="1:13">
      <c r="A34" s="54">
        <f>Gen!B40</f>
        <v>43951</v>
      </c>
      <c r="B34" s="362">
        <f>'Daily report Gen'!Z35</f>
        <v>24</v>
      </c>
      <c r="C34" s="72">
        <f>Gen!C40</f>
        <v>0</v>
      </c>
      <c r="D34" s="500">
        <f t="shared" si="0"/>
        <v>0</v>
      </c>
      <c r="E34" s="65"/>
      <c r="F34" s="62">
        <f>Gen!U38</f>
        <v>1637</v>
      </c>
      <c r="G34" s="71">
        <f>Gen!T38</f>
        <v>690.55</v>
      </c>
      <c r="H34" s="71">
        <f>Gen!AK40</f>
        <v>0</v>
      </c>
      <c r="I34" s="71">
        <f t="shared" si="1"/>
        <v>690.55</v>
      </c>
      <c r="J34" s="508">
        <f>Gen!D40</f>
        <v>44028.450000000004</v>
      </c>
      <c r="K34" s="339">
        <f>'Water-Meter'!E35</f>
        <v>29</v>
      </c>
      <c r="L34" s="509">
        <f>'Lpg (2)'!G39</f>
        <v>17.423999999964146</v>
      </c>
      <c r="M34" s="68" t="e">
        <f>SUM(#REF!-#REF!)</f>
        <v>#REF!</v>
      </c>
    </row>
    <row r="35" spans="1:13">
      <c r="A35" s="54">
        <f>Gen!B41</f>
        <v>0</v>
      </c>
      <c r="B35" s="362">
        <f>'Daily report Gen'!Z36</f>
        <v>-150621</v>
      </c>
      <c r="C35" s="72">
        <f>Gen!C41</f>
        <v>0</v>
      </c>
      <c r="D35" s="500">
        <f t="shared" si="0"/>
        <v>0</v>
      </c>
      <c r="E35" s="65"/>
      <c r="F35" s="62">
        <f>Gen!U39</f>
        <v>1644</v>
      </c>
      <c r="G35" s="71">
        <f>Gen!T39</f>
        <v>691.09</v>
      </c>
      <c r="H35" s="71">
        <f>Gen!AK41</f>
        <v>0</v>
      </c>
      <c r="I35" s="71">
        <f t="shared" si="1"/>
        <v>691.09</v>
      </c>
      <c r="J35" s="508">
        <f>Gen!D41</f>
        <v>43367.69</v>
      </c>
      <c r="K35" s="339" t="str">
        <f>'Water-Meter'!E36</f>
        <v>0</v>
      </c>
      <c r="L35" s="509">
        <f>'Lpg (2)'!G40</f>
        <v>27.852000000007685</v>
      </c>
      <c r="M35" s="68" t="e">
        <f>SUM(#REF!-#REF!)</f>
        <v>#REF!</v>
      </c>
    </row>
    <row r="36" spans="1:13">
      <c r="A36" s="54">
        <f>Gen!B42</f>
        <v>0</v>
      </c>
      <c r="B36" s="362">
        <f>'Daily report Gen'!Z37</f>
        <v>0</v>
      </c>
      <c r="C36" s="72">
        <f>Gen!C42</f>
        <v>0</v>
      </c>
      <c r="D36" s="500">
        <f t="shared" si="0"/>
        <v>0</v>
      </c>
      <c r="E36" s="65"/>
      <c r="F36" s="62">
        <f>Gen!U40</f>
        <v>1564</v>
      </c>
      <c r="G36" s="71">
        <f>Gen!T40</f>
        <v>660.76</v>
      </c>
      <c r="H36" s="71">
        <f>Gen!AK42</f>
        <v>0</v>
      </c>
      <c r="I36" s="71">
        <f t="shared" si="1"/>
        <v>660.76</v>
      </c>
      <c r="J36" s="508">
        <f>Gen!D42</f>
        <v>43367.69</v>
      </c>
      <c r="K36" s="339">
        <f>'Water-Meter'!E37</f>
        <v>0</v>
      </c>
      <c r="L36" s="509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22" workbookViewId="0">
      <selection activeCell="AB36" sqref="AB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68">
        <v>43922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20"/>
    </row>
    <row r="2" spans="1:29" ht="12" customHeight="1" thickBot="1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  <c r="P2" s="769"/>
      <c r="Q2" s="769"/>
      <c r="R2" s="769"/>
      <c r="S2" s="769"/>
      <c r="T2" s="769"/>
      <c r="U2" s="769"/>
      <c r="V2" s="769"/>
      <c r="W2" s="769"/>
      <c r="X2" s="769"/>
      <c r="Y2" s="769"/>
      <c r="Z2" s="769"/>
      <c r="AA2" s="769"/>
      <c r="AB2" s="76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70" t="s">
        <v>280</v>
      </c>
      <c r="L3" s="771"/>
      <c r="M3" s="772"/>
      <c r="N3" s="770" t="s">
        <v>281</v>
      </c>
      <c r="O3" s="771"/>
      <c r="P3" s="772"/>
      <c r="Q3" s="770" t="s">
        <v>282</v>
      </c>
      <c r="R3" s="771"/>
      <c r="S3" s="772"/>
      <c r="T3" s="770" t="s">
        <v>283</v>
      </c>
      <c r="U3" s="771"/>
      <c r="V3" s="772"/>
      <c r="W3" s="770" t="s">
        <v>284</v>
      </c>
      <c r="X3" s="771"/>
      <c r="Y3" s="772"/>
      <c r="Z3" s="349"/>
      <c r="AA3" s="20"/>
      <c r="AB3" s="20"/>
      <c r="AC3" s="20"/>
    </row>
    <row r="4" spans="1:29" ht="35.25" customHeight="1" thickBot="1">
      <c r="A4" s="300" t="s">
        <v>67</v>
      </c>
      <c r="B4" s="381" t="s">
        <v>68</v>
      </c>
      <c r="C4" s="381" t="s">
        <v>69</v>
      </c>
      <c r="D4" s="381" t="s">
        <v>70</v>
      </c>
      <c r="E4" s="381" t="s">
        <v>71</v>
      </c>
      <c r="F4" s="381" t="s">
        <v>223</v>
      </c>
      <c r="G4" s="382" t="s">
        <v>72</v>
      </c>
      <c r="H4" s="381" t="s">
        <v>73</v>
      </c>
      <c r="I4" s="382" t="s">
        <v>74</v>
      </c>
      <c r="J4" s="383" t="s">
        <v>75</v>
      </c>
      <c r="K4" s="384" t="s">
        <v>172</v>
      </c>
      <c r="L4" s="382" t="s">
        <v>173</v>
      </c>
      <c r="M4" s="382" t="s">
        <v>183</v>
      </c>
      <c r="N4" s="384" t="s">
        <v>172</v>
      </c>
      <c r="O4" s="382" t="s">
        <v>173</v>
      </c>
      <c r="P4" s="382" t="s">
        <v>183</v>
      </c>
      <c r="Q4" s="384" t="s">
        <v>172</v>
      </c>
      <c r="R4" s="382" t="s">
        <v>173</v>
      </c>
      <c r="S4" s="382" t="s">
        <v>183</v>
      </c>
      <c r="T4" s="384" t="s">
        <v>172</v>
      </c>
      <c r="U4" s="382" t="s">
        <v>173</v>
      </c>
      <c r="V4" s="382" t="s">
        <v>183</v>
      </c>
      <c r="W4" s="384" t="s">
        <v>172</v>
      </c>
      <c r="X4" s="382" t="s">
        <v>173</v>
      </c>
      <c r="Y4" s="383" t="s">
        <v>183</v>
      </c>
      <c r="Z4" s="385" t="s">
        <v>174</v>
      </c>
      <c r="AA4" s="381" t="s">
        <v>155</v>
      </c>
      <c r="AB4" s="386" t="s">
        <v>76</v>
      </c>
      <c r="AC4" s="387" t="s">
        <v>176</v>
      </c>
    </row>
    <row r="5" spans="1:29" ht="18.75" customHeight="1">
      <c r="A5" s="378"/>
      <c r="B5" s="380"/>
      <c r="C5" s="380"/>
      <c r="D5" s="380"/>
      <c r="E5" s="380"/>
      <c r="F5" s="380"/>
      <c r="G5" s="380"/>
      <c r="H5" s="380"/>
      <c r="I5" s="351"/>
      <c r="J5" s="351"/>
      <c r="K5" s="540"/>
      <c r="L5" s="351">
        <f>'[4]Daily report Gen'!$L$36</f>
        <v>34275</v>
      </c>
      <c r="M5" s="540"/>
      <c r="N5" s="351"/>
      <c r="O5" s="351">
        <f>'[4]Daily report Gen'!$O$36</f>
        <v>29189</v>
      </c>
      <c r="P5" s="379"/>
      <c r="Q5" s="351"/>
      <c r="R5" s="351">
        <f>'[4]Daily report Gen'!$R$36</f>
        <v>34669</v>
      </c>
      <c r="S5" s="379"/>
      <c r="T5" s="351"/>
      <c r="U5" s="351">
        <f>'[4]Daily report Gen'!$U$36</f>
        <v>32019</v>
      </c>
      <c r="V5" s="379"/>
      <c r="W5" s="351"/>
      <c r="X5" s="351">
        <f>'[4]Daily report Gen'!$X$36</f>
        <v>19736</v>
      </c>
      <c r="Y5" s="379"/>
      <c r="Z5" s="379"/>
      <c r="AA5" s="102"/>
      <c r="AB5" s="102"/>
      <c r="AC5" s="379"/>
    </row>
    <row r="6" spans="1:29" ht="20.100000000000001" customHeight="1">
      <c r="A6" s="299">
        <f>Gen!B11</f>
        <v>43922</v>
      </c>
      <c r="B6" s="380">
        <f>Gen!C11</f>
        <v>0</v>
      </c>
      <c r="C6" s="351">
        <v>19057.669999999998</v>
      </c>
      <c r="D6" s="351">
        <v>21996.2</v>
      </c>
      <c r="E6" s="351"/>
      <c r="F6" s="351"/>
      <c r="G6" s="351">
        <v>49.37</v>
      </c>
      <c r="H6" s="351"/>
      <c r="I6" s="351">
        <v>30552.9</v>
      </c>
      <c r="J6" s="351">
        <v>20198.599999999999</v>
      </c>
      <c r="K6" s="350">
        <f>L5</f>
        <v>34275</v>
      </c>
      <c r="L6" s="351">
        <f>'[4]Daily report Gen'!$L$36</f>
        <v>34275</v>
      </c>
      <c r="M6" s="350">
        <f>L6-K6</f>
        <v>0</v>
      </c>
      <c r="N6" s="352">
        <f>O5</f>
        <v>29189</v>
      </c>
      <c r="O6" s="351">
        <v>29198</v>
      </c>
      <c r="P6" s="350">
        <f>O6-N6</f>
        <v>9</v>
      </c>
      <c r="Q6" s="350">
        <f>R5</f>
        <v>34669</v>
      </c>
      <c r="R6" s="351">
        <v>34677</v>
      </c>
      <c r="S6" s="350">
        <f>R6-Q6</f>
        <v>8</v>
      </c>
      <c r="T6" s="350">
        <f>U5</f>
        <v>32019</v>
      </c>
      <c r="U6" s="351">
        <f>'[4]Daily report Gen'!$U$36</f>
        <v>32019</v>
      </c>
      <c r="V6" s="350">
        <f>U6-T6</f>
        <v>0</v>
      </c>
      <c r="W6" s="352">
        <f>X5</f>
        <v>19736</v>
      </c>
      <c r="X6" s="351">
        <v>19743</v>
      </c>
      <c r="Y6" s="350">
        <f>X6-W6</f>
        <v>7</v>
      </c>
      <c r="Z6" s="353">
        <f>Y6+V6+S6+P6+M6</f>
        <v>24</v>
      </c>
      <c r="AA6" s="102">
        <v>240</v>
      </c>
      <c r="AB6" s="102">
        <v>90</v>
      </c>
      <c r="AC6" s="304">
        <f>Gen!T11</f>
        <v>850.96</v>
      </c>
    </row>
    <row r="7" spans="1:29" ht="20.100000000000001" customHeight="1">
      <c r="A7" s="299">
        <f>Gen!B12</f>
        <v>43923</v>
      </c>
      <c r="B7" s="380">
        <f>Gen!C12</f>
        <v>0</v>
      </c>
      <c r="C7" s="351">
        <v>18201.71</v>
      </c>
      <c r="D7" s="351">
        <v>21996.2</v>
      </c>
      <c r="E7" s="351"/>
      <c r="F7" s="351"/>
      <c r="G7" s="351">
        <v>9.39</v>
      </c>
      <c r="H7" s="351"/>
      <c r="I7" s="351">
        <v>30556.1</v>
      </c>
      <c r="J7" s="351">
        <v>20201.2</v>
      </c>
      <c r="K7" s="350">
        <f t="shared" ref="K7:K37" si="0">L6</f>
        <v>34275</v>
      </c>
      <c r="L7" s="351">
        <f>'[4]Daily report Gen'!$L$36</f>
        <v>34275</v>
      </c>
      <c r="M7" s="350">
        <f t="shared" ref="M7:M37" si="1">L7-K7</f>
        <v>0</v>
      </c>
      <c r="N7" s="352">
        <f t="shared" ref="N7:N37" si="2">O6</f>
        <v>29198</v>
      </c>
      <c r="O7" s="351">
        <v>29199</v>
      </c>
      <c r="P7" s="350">
        <f t="shared" ref="P7:P37" si="3">O7-N7</f>
        <v>1</v>
      </c>
      <c r="Q7" s="350">
        <f t="shared" ref="Q7:Q37" si="4">R6</f>
        <v>34677</v>
      </c>
      <c r="R7" s="351">
        <v>34683</v>
      </c>
      <c r="S7" s="350">
        <f t="shared" ref="S7:S37" si="5">R7-Q7</f>
        <v>6</v>
      </c>
      <c r="T7" s="350">
        <f t="shared" ref="T7:T37" si="6">U6</f>
        <v>32019</v>
      </c>
      <c r="U7" s="351">
        <v>32027</v>
      </c>
      <c r="V7" s="350">
        <f t="shared" ref="V7:V37" si="7">U7-T7</f>
        <v>8</v>
      </c>
      <c r="W7" s="352">
        <f t="shared" ref="W7:W37" si="8">X6</f>
        <v>19743</v>
      </c>
      <c r="X7" s="351">
        <v>19753</v>
      </c>
      <c r="Y7" s="350">
        <f t="shared" ref="Y7:Y37" si="9">X7-W7</f>
        <v>10</v>
      </c>
      <c r="Z7" s="353">
        <f t="shared" ref="Z7:Z37" si="10">Y7+V7+S7+P7+M7</f>
        <v>25</v>
      </c>
      <c r="AA7" s="102">
        <v>220</v>
      </c>
      <c r="AB7" s="102">
        <v>90</v>
      </c>
      <c r="AC7" s="304">
        <f>Gen!T12</f>
        <v>866.25</v>
      </c>
    </row>
    <row r="8" spans="1:29" ht="20.100000000000001" customHeight="1">
      <c r="A8" s="299">
        <f>Gen!B13</f>
        <v>43924</v>
      </c>
      <c r="B8" s="380">
        <f>Gen!C13</f>
        <v>0</v>
      </c>
      <c r="C8" s="351">
        <v>17276.7</v>
      </c>
      <c r="D8" s="351">
        <v>21996.2</v>
      </c>
      <c r="E8" s="351"/>
      <c r="F8" s="351"/>
      <c r="G8" s="351">
        <v>18.02</v>
      </c>
      <c r="H8" s="351"/>
      <c r="I8" s="351">
        <v>30559</v>
      </c>
      <c r="J8" s="351">
        <v>20203.7</v>
      </c>
      <c r="K8" s="350">
        <f t="shared" si="0"/>
        <v>34275</v>
      </c>
      <c r="L8" s="351">
        <f>'[4]Daily report Gen'!$L$36</f>
        <v>34275</v>
      </c>
      <c r="M8" s="350">
        <f t="shared" si="1"/>
        <v>0</v>
      </c>
      <c r="N8" s="352">
        <f t="shared" si="2"/>
        <v>29199</v>
      </c>
      <c r="O8" s="351">
        <v>29207</v>
      </c>
      <c r="P8" s="350">
        <f t="shared" si="3"/>
        <v>8</v>
      </c>
      <c r="Q8" s="350">
        <f t="shared" si="4"/>
        <v>34683</v>
      </c>
      <c r="R8" s="351">
        <v>34691</v>
      </c>
      <c r="S8" s="350">
        <f t="shared" si="5"/>
        <v>8</v>
      </c>
      <c r="T8" s="350">
        <f t="shared" si="6"/>
        <v>32027</v>
      </c>
      <c r="U8" s="351">
        <v>32034</v>
      </c>
      <c r="V8" s="350">
        <f t="shared" si="7"/>
        <v>7</v>
      </c>
      <c r="W8" s="352">
        <f t="shared" si="8"/>
        <v>19753</v>
      </c>
      <c r="X8" s="351">
        <v>19754</v>
      </c>
      <c r="Y8" s="350">
        <f t="shared" si="9"/>
        <v>1</v>
      </c>
      <c r="Z8" s="353">
        <f t="shared" si="10"/>
        <v>24</v>
      </c>
      <c r="AA8" s="102">
        <v>198</v>
      </c>
      <c r="AB8" s="102">
        <v>88</v>
      </c>
      <c r="AC8" s="304">
        <f>Gen!T13</f>
        <v>832.92</v>
      </c>
    </row>
    <row r="9" spans="1:29" ht="20.100000000000001" customHeight="1">
      <c r="A9" s="299">
        <f>Gen!B14</f>
        <v>43925</v>
      </c>
      <c r="B9" s="380">
        <f>Gen!C14</f>
        <v>0</v>
      </c>
      <c r="C9" s="351">
        <v>16425.759999999998</v>
      </c>
      <c r="D9" s="351">
        <v>21996.2</v>
      </c>
      <c r="E9" s="351"/>
      <c r="F9" s="351"/>
      <c r="G9" s="351">
        <v>660.37</v>
      </c>
      <c r="H9" s="351"/>
      <c r="I9" s="351">
        <v>30561.8</v>
      </c>
      <c r="J9" s="351">
        <v>20206.900000000001</v>
      </c>
      <c r="K9" s="350">
        <f t="shared" si="0"/>
        <v>34275</v>
      </c>
      <c r="L9" s="351">
        <f>'[4]Daily report Gen'!$L$36</f>
        <v>34275</v>
      </c>
      <c r="M9" s="350">
        <f t="shared" si="1"/>
        <v>0</v>
      </c>
      <c r="N9" s="352">
        <f t="shared" si="2"/>
        <v>29207</v>
      </c>
      <c r="O9" s="351">
        <v>29214</v>
      </c>
      <c r="P9" s="350">
        <f t="shared" si="3"/>
        <v>7</v>
      </c>
      <c r="Q9" s="350">
        <f t="shared" si="4"/>
        <v>34691</v>
      </c>
      <c r="R9" s="351">
        <v>34692</v>
      </c>
      <c r="S9" s="350">
        <f t="shared" si="5"/>
        <v>1</v>
      </c>
      <c r="T9" s="350">
        <f t="shared" si="6"/>
        <v>32034</v>
      </c>
      <c r="U9" s="351">
        <v>32043</v>
      </c>
      <c r="V9" s="350">
        <f t="shared" si="7"/>
        <v>9</v>
      </c>
      <c r="W9" s="352">
        <f t="shared" si="8"/>
        <v>19754</v>
      </c>
      <c r="X9" s="351">
        <v>19763</v>
      </c>
      <c r="Y9" s="350">
        <f t="shared" si="9"/>
        <v>9</v>
      </c>
      <c r="Z9" s="353">
        <f t="shared" si="10"/>
        <v>26</v>
      </c>
      <c r="AA9" s="102">
        <v>197</v>
      </c>
      <c r="AB9" s="102">
        <v>90</v>
      </c>
      <c r="AC9" s="304">
        <f>Gen!T14</f>
        <v>789.55</v>
      </c>
    </row>
    <row r="10" spans="1:29" ht="20.100000000000001" customHeight="1">
      <c r="A10" s="299">
        <f>Gen!B15</f>
        <v>43926</v>
      </c>
      <c r="B10" s="380">
        <f>Gen!C15</f>
        <v>0</v>
      </c>
      <c r="C10" s="351">
        <v>14975.84</v>
      </c>
      <c r="D10" s="351">
        <v>21996.2</v>
      </c>
      <c r="E10" s="351"/>
      <c r="F10" s="351"/>
      <c r="G10" s="351">
        <v>34.28</v>
      </c>
      <c r="H10" s="351"/>
      <c r="I10" s="351">
        <v>30564.400000000001</v>
      </c>
      <c r="J10" s="351">
        <v>20208.400000000001</v>
      </c>
      <c r="K10" s="350">
        <f t="shared" si="0"/>
        <v>34275</v>
      </c>
      <c r="L10" s="351">
        <f>'[4]Daily report Gen'!$L$36</f>
        <v>34275</v>
      </c>
      <c r="M10" s="350">
        <f t="shared" si="1"/>
        <v>0</v>
      </c>
      <c r="N10" s="352">
        <f t="shared" si="2"/>
        <v>29214</v>
      </c>
      <c r="O10" s="351">
        <v>29222</v>
      </c>
      <c r="P10" s="350">
        <f t="shared" si="3"/>
        <v>8</v>
      </c>
      <c r="Q10" s="350">
        <f t="shared" si="4"/>
        <v>34692</v>
      </c>
      <c r="R10" s="351">
        <v>34701</v>
      </c>
      <c r="S10" s="350">
        <f t="shared" si="5"/>
        <v>9</v>
      </c>
      <c r="T10" s="350">
        <f t="shared" si="6"/>
        <v>32043</v>
      </c>
      <c r="U10" s="351">
        <v>32050</v>
      </c>
      <c r="V10" s="350">
        <f t="shared" si="7"/>
        <v>7</v>
      </c>
      <c r="W10" s="352">
        <f t="shared" si="8"/>
        <v>19763</v>
      </c>
      <c r="X10" s="351">
        <v>19763</v>
      </c>
      <c r="Y10" s="350">
        <f t="shared" si="9"/>
        <v>0</v>
      </c>
      <c r="Z10" s="353">
        <f t="shared" si="10"/>
        <v>24</v>
      </c>
      <c r="AA10" s="102">
        <v>198</v>
      </c>
      <c r="AB10" s="102">
        <v>90</v>
      </c>
      <c r="AC10" s="304">
        <f>Gen!T15</f>
        <v>813.34</v>
      </c>
    </row>
    <row r="11" spans="1:29" ht="20.100000000000001" customHeight="1">
      <c r="A11" s="299">
        <f>Gen!B16</f>
        <v>43927</v>
      </c>
      <c r="B11" s="380">
        <f>Gen!C16</f>
        <v>0</v>
      </c>
      <c r="C11" s="351">
        <v>14128.22</v>
      </c>
      <c r="D11" s="351">
        <v>21996.2</v>
      </c>
      <c r="E11" s="351"/>
      <c r="F11" s="351"/>
      <c r="G11" s="351"/>
      <c r="H11" s="351"/>
      <c r="I11" s="351">
        <v>30567</v>
      </c>
      <c r="J11" s="351">
        <v>20210.7</v>
      </c>
      <c r="K11" s="350">
        <f t="shared" si="0"/>
        <v>34275</v>
      </c>
      <c r="L11" s="351">
        <f>'[4]Daily report Gen'!$L$36</f>
        <v>34275</v>
      </c>
      <c r="M11" s="350">
        <f t="shared" si="1"/>
        <v>0</v>
      </c>
      <c r="N11" s="352">
        <f t="shared" si="2"/>
        <v>29222</v>
      </c>
      <c r="O11" s="351">
        <v>29223</v>
      </c>
      <c r="P11" s="350">
        <f t="shared" si="3"/>
        <v>1</v>
      </c>
      <c r="Q11" s="350">
        <f t="shared" si="4"/>
        <v>34701</v>
      </c>
      <c r="R11" s="351">
        <v>34711</v>
      </c>
      <c r="S11" s="350">
        <f t="shared" si="5"/>
        <v>10</v>
      </c>
      <c r="T11" s="350">
        <f t="shared" si="6"/>
        <v>32050</v>
      </c>
      <c r="U11" s="351">
        <v>32056</v>
      </c>
      <c r="V11" s="350">
        <f t="shared" si="7"/>
        <v>6</v>
      </c>
      <c r="W11" s="352">
        <f t="shared" si="8"/>
        <v>19763</v>
      </c>
      <c r="X11" s="351">
        <v>19770</v>
      </c>
      <c r="Y11" s="350">
        <f t="shared" si="9"/>
        <v>7</v>
      </c>
      <c r="Z11" s="353">
        <f t="shared" si="10"/>
        <v>24</v>
      </c>
      <c r="AA11" s="102">
        <v>189</v>
      </c>
      <c r="AB11" s="102">
        <v>90</v>
      </c>
      <c r="AC11" s="304">
        <f>Gen!T16</f>
        <v>757.53</v>
      </c>
    </row>
    <row r="12" spans="1:29" ht="20.100000000000001" customHeight="1">
      <c r="A12" s="299">
        <f>Gen!B17</f>
        <v>43928</v>
      </c>
      <c r="B12" s="380">
        <f>Gen!C17</f>
        <v>0</v>
      </c>
      <c r="C12" s="351">
        <v>24370.69</v>
      </c>
      <c r="D12" s="351">
        <v>25996.2</v>
      </c>
      <c r="E12" s="351">
        <v>15000</v>
      </c>
      <c r="F12" s="351"/>
      <c r="G12" s="351">
        <v>108.2</v>
      </c>
      <c r="H12" s="351"/>
      <c r="I12" s="351">
        <v>30569.599999999999</v>
      </c>
      <c r="J12" s="351">
        <v>20213.2</v>
      </c>
      <c r="K12" s="350">
        <f t="shared" si="0"/>
        <v>34275</v>
      </c>
      <c r="L12" s="351">
        <v>34275</v>
      </c>
      <c r="M12" s="350">
        <f t="shared" si="1"/>
        <v>0</v>
      </c>
      <c r="N12" s="352">
        <f t="shared" si="2"/>
        <v>29223</v>
      </c>
      <c r="O12" s="351">
        <v>29231</v>
      </c>
      <c r="P12" s="350">
        <f t="shared" si="3"/>
        <v>8</v>
      </c>
      <c r="Q12" s="350">
        <f t="shared" si="4"/>
        <v>34711</v>
      </c>
      <c r="R12" s="351">
        <v>34718</v>
      </c>
      <c r="S12" s="350">
        <f t="shared" si="5"/>
        <v>7</v>
      </c>
      <c r="T12" s="350">
        <f t="shared" si="6"/>
        <v>32056</v>
      </c>
      <c r="U12" s="351">
        <v>32056</v>
      </c>
      <c r="V12" s="350">
        <f t="shared" si="7"/>
        <v>0</v>
      </c>
      <c r="W12" s="352">
        <f t="shared" si="8"/>
        <v>19770</v>
      </c>
      <c r="X12" s="351">
        <v>19779</v>
      </c>
      <c r="Y12" s="350">
        <f t="shared" si="9"/>
        <v>9</v>
      </c>
      <c r="Z12" s="353">
        <f t="shared" si="10"/>
        <v>24</v>
      </c>
      <c r="AA12" s="102">
        <v>178</v>
      </c>
      <c r="AB12" s="102">
        <v>86</v>
      </c>
      <c r="AC12" s="304">
        <f>Gen!T17</f>
        <v>783.55</v>
      </c>
    </row>
    <row r="13" spans="1:29" ht="20.100000000000001" customHeight="1">
      <c r="A13" s="299">
        <f>Gen!B18</f>
        <v>43929</v>
      </c>
      <c r="B13" s="380">
        <f>Gen!C18</f>
        <v>0</v>
      </c>
      <c r="C13" s="351">
        <v>23478.94</v>
      </c>
      <c r="D13" s="351">
        <v>25996.2</v>
      </c>
      <c r="E13" s="351"/>
      <c r="F13" s="351"/>
      <c r="G13" s="351"/>
      <c r="H13" s="351"/>
      <c r="I13" s="351">
        <v>30572.2</v>
      </c>
      <c r="J13" s="351">
        <v>20215.900000000001</v>
      </c>
      <c r="K13" s="350">
        <f t="shared" si="0"/>
        <v>34275</v>
      </c>
      <c r="L13" s="351">
        <v>34275</v>
      </c>
      <c r="M13" s="350">
        <f t="shared" si="1"/>
        <v>0</v>
      </c>
      <c r="N13" s="352">
        <f t="shared" si="2"/>
        <v>29231</v>
      </c>
      <c r="O13" s="351">
        <v>29231</v>
      </c>
      <c r="P13" s="350">
        <f t="shared" si="3"/>
        <v>0</v>
      </c>
      <c r="Q13" s="350">
        <f t="shared" si="4"/>
        <v>34718</v>
      </c>
      <c r="R13" s="351">
        <v>34723</v>
      </c>
      <c r="S13" s="350">
        <f t="shared" si="5"/>
        <v>5</v>
      </c>
      <c r="T13" s="350">
        <f t="shared" si="6"/>
        <v>32056</v>
      </c>
      <c r="U13" s="351">
        <v>32065</v>
      </c>
      <c r="V13" s="350">
        <f t="shared" si="7"/>
        <v>9</v>
      </c>
      <c r="W13" s="352">
        <f t="shared" si="8"/>
        <v>19779</v>
      </c>
      <c r="X13" s="351">
        <v>19789</v>
      </c>
      <c r="Y13" s="350">
        <f t="shared" si="9"/>
        <v>10</v>
      </c>
      <c r="Z13" s="353">
        <f t="shared" si="10"/>
        <v>24</v>
      </c>
      <c r="AA13" s="102">
        <v>198</v>
      </c>
      <c r="AB13" s="102">
        <v>90</v>
      </c>
      <c r="AC13" s="304">
        <f>Gen!T18</f>
        <v>831.27</v>
      </c>
    </row>
    <row r="14" spans="1:29" ht="20.100000000000001" customHeight="1">
      <c r="A14" s="299">
        <f>Gen!B19</f>
        <v>43930</v>
      </c>
      <c r="B14" s="380">
        <f>Gen!C19</f>
        <v>0</v>
      </c>
      <c r="C14" s="351">
        <v>22647.67</v>
      </c>
      <c r="D14" s="351">
        <v>25996.2</v>
      </c>
      <c r="E14" s="351"/>
      <c r="F14" s="351"/>
      <c r="G14" s="351"/>
      <c r="H14" s="351"/>
      <c r="I14" s="351">
        <v>30574.799999999999</v>
      </c>
      <c r="J14" s="351">
        <v>20218.400000000001</v>
      </c>
      <c r="K14" s="350">
        <f t="shared" si="0"/>
        <v>34275</v>
      </c>
      <c r="L14" s="351">
        <v>34275</v>
      </c>
      <c r="M14" s="350">
        <f t="shared" si="1"/>
        <v>0</v>
      </c>
      <c r="N14" s="352">
        <f t="shared" si="2"/>
        <v>29231</v>
      </c>
      <c r="O14" s="351">
        <v>29238</v>
      </c>
      <c r="P14" s="350">
        <f t="shared" si="3"/>
        <v>7</v>
      </c>
      <c r="Q14" s="350">
        <f t="shared" si="4"/>
        <v>34723</v>
      </c>
      <c r="R14" s="351">
        <v>34723</v>
      </c>
      <c r="S14" s="350">
        <f t="shared" si="5"/>
        <v>0</v>
      </c>
      <c r="T14" s="350">
        <f t="shared" si="6"/>
        <v>32065</v>
      </c>
      <c r="U14" s="351">
        <v>32073</v>
      </c>
      <c r="V14" s="350">
        <f t="shared" si="7"/>
        <v>8</v>
      </c>
      <c r="W14" s="352">
        <f t="shared" si="8"/>
        <v>19789</v>
      </c>
      <c r="X14" s="351">
        <v>19799</v>
      </c>
      <c r="Y14" s="350">
        <f t="shared" si="9"/>
        <v>10</v>
      </c>
      <c r="Z14" s="353">
        <f t="shared" si="10"/>
        <v>25</v>
      </c>
      <c r="AA14" s="102">
        <v>195</v>
      </c>
      <c r="AB14" s="102">
        <v>90</v>
      </c>
      <c r="AC14" s="304">
        <f>Gen!T19</f>
        <v>806.31999999999994</v>
      </c>
    </row>
    <row r="15" spans="1:29" ht="20.100000000000001" customHeight="1">
      <c r="A15" s="299">
        <f>Gen!B20</f>
        <v>43931</v>
      </c>
      <c r="B15" s="380">
        <f>Gen!C20</f>
        <v>0</v>
      </c>
      <c r="C15" s="351">
        <v>21841.35</v>
      </c>
      <c r="D15" s="351">
        <v>25996.2</v>
      </c>
      <c r="E15" s="351"/>
      <c r="F15" s="351"/>
      <c r="G15" s="351"/>
      <c r="H15" s="351"/>
      <c r="I15" s="351">
        <v>30577.5</v>
      </c>
      <c r="J15" s="351">
        <v>20221</v>
      </c>
      <c r="K15" s="350">
        <f t="shared" si="0"/>
        <v>34275</v>
      </c>
      <c r="L15" s="351">
        <v>34275</v>
      </c>
      <c r="M15" s="350">
        <f t="shared" si="1"/>
        <v>0</v>
      </c>
      <c r="N15" s="352">
        <f t="shared" si="2"/>
        <v>29238</v>
      </c>
      <c r="O15" s="351">
        <v>29248</v>
      </c>
      <c r="P15" s="350">
        <f t="shared" si="3"/>
        <v>10</v>
      </c>
      <c r="Q15" s="350">
        <f t="shared" si="4"/>
        <v>34723</v>
      </c>
      <c r="R15" s="351">
        <v>34723</v>
      </c>
      <c r="S15" s="350">
        <f t="shared" si="5"/>
        <v>0</v>
      </c>
      <c r="T15" s="350">
        <f t="shared" si="6"/>
        <v>32073</v>
      </c>
      <c r="U15" s="351">
        <v>32078</v>
      </c>
      <c r="V15" s="350">
        <f t="shared" si="7"/>
        <v>5</v>
      </c>
      <c r="W15" s="352">
        <f t="shared" si="8"/>
        <v>19799</v>
      </c>
      <c r="X15" s="351">
        <v>19808</v>
      </c>
      <c r="Y15" s="350">
        <f t="shared" si="9"/>
        <v>9</v>
      </c>
      <c r="Z15" s="353">
        <f t="shared" si="10"/>
        <v>24</v>
      </c>
      <c r="AA15" s="102">
        <v>145</v>
      </c>
      <c r="AB15" s="102">
        <v>80</v>
      </c>
      <c r="AC15" s="304">
        <f>Gen!T20</f>
        <v>823.75</v>
      </c>
    </row>
    <row r="16" spans="1:29" ht="20.100000000000001" customHeight="1">
      <c r="A16" s="299">
        <f>Gen!B21</f>
        <v>43932</v>
      </c>
      <c r="B16" s="380">
        <f>Gen!C21</f>
        <v>0</v>
      </c>
      <c r="C16" s="351">
        <v>21017.599999999999</v>
      </c>
      <c r="D16" s="351">
        <v>25996.2</v>
      </c>
      <c r="E16" s="351"/>
      <c r="F16" s="351"/>
      <c r="G16" s="351"/>
      <c r="H16" s="351"/>
      <c r="I16" s="351">
        <v>30580.1</v>
      </c>
      <c r="J16" s="351">
        <v>20223.400000000001</v>
      </c>
      <c r="K16" s="350">
        <f t="shared" si="0"/>
        <v>34275</v>
      </c>
      <c r="L16" s="351">
        <v>34275</v>
      </c>
      <c r="M16" s="350">
        <f t="shared" si="1"/>
        <v>0</v>
      </c>
      <c r="N16" s="352">
        <f t="shared" si="2"/>
        <v>29248</v>
      </c>
      <c r="O16" s="351">
        <v>29257</v>
      </c>
      <c r="P16" s="350">
        <f t="shared" si="3"/>
        <v>9</v>
      </c>
      <c r="Q16" s="350">
        <f t="shared" si="4"/>
        <v>34723</v>
      </c>
      <c r="R16" s="351">
        <v>34723</v>
      </c>
      <c r="S16" s="350">
        <f t="shared" si="5"/>
        <v>0</v>
      </c>
      <c r="T16" s="350">
        <f t="shared" si="6"/>
        <v>32078</v>
      </c>
      <c r="U16" s="351">
        <v>32085</v>
      </c>
      <c r="V16" s="350">
        <f t="shared" si="7"/>
        <v>7</v>
      </c>
      <c r="W16" s="352">
        <f t="shared" si="8"/>
        <v>19808</v>
      </c>
      <c r="X16" s="351">
        <v>19817</v>
      </c>
      <c r="Y16" s="350">
        <f t="shared" si="9"/>
        <v>9</v>
      </c>
      <c r="Z16" s="353">
        <f t="shared" si="10"/>
        <v>25</v>
      </c>
      <c r="AA16" s="102">
        <v>189</v>
      </c>
      <c r="AB16" s="102">
        <v>85</v>
      </c>
      <c r="AC16" s="304">
        <f>Gen!T21</f>
        <v>782.67</v>
      </c>
    </row>
    <row r="17" spans="1:29" ht="20.100000000000001" customHeight="1">
      <c r="A17" s="299">
        <f>Gen!B22</f>
        <v>43933</v>
      </c>
      <c r="B17" s="380">
        <f>Gen!C22</f>
        <v>0</v>
      </c>
      <c r="C17" s="351">
        <v>20234.93</v>
      </c>
      <c r="D17" s="351">
        <v>25996.2</v>
      </c>
      <c r="E17" s="586"/>
      <c r="F17" s="351"/>
      <c r="G17" s="351"/>
      <c r="H17" s="351"/>
      <c r="I17" s="351">
        <v>30582.799999999999</v>
      </c>
      <c r="J17" s="351">
        <v>20225.8</v>
      </c>
      <c r="K17" s="350">
        <f t="shared" si="0"/>
        <v>34275</v>
      </c>
      <c r="L17" s="351">
        <v>34275</v>
      </c>
      <c r="M17" s="350">
        <f t="shared" si="1"/>
        <v>0</v>
      </c>
      <c r="N17" s="352">
        <f t="shared" si="2"/>
        <v>29257</v>
      </c>
      <c r="O17" s="351">
        <v>29270</v>
      </c>
      <c r="P17" s="350">
        <f t="shared" si="3"/>
        <v>13</v>
      </c>
      <c r="Q17" s="350">
        <f t="shared" si="4"/>
        <v>34723</v>
      </c>
      <c r="R17" s="351">
        <v>34723</v>
      </c>
      <c r="S17" s="350">
        <f t="shared" si="5"/>
        <v>0</v>
      </c>
      <c r="T17" s="350">
        <f t="shared" si="6"/>
        <v>32085</v>
      </c>
      <c r="U17" s="351">
        <v>32085</v>
      </c>
      <c r="V17" s="350">
        <f t="shared" si="7"/>
        <v>0</v>
      </c>
      <c r="W17" s="352">
        <f t="shared" si="8"/>
        <v>19817</v>
      </c>
      <c r="X17" s="351">
        <v>19829</v>
      </c>
      <c r="Y17" s="350">
        <f t="shared" si="9"/>
        <v>12</v>
      </c>
      <c r="Z17" s="353">
        <f t="shared" si="10"/>
        <v>25</v>
      </c>
      <c r="AA17" s="102">
        <v>176</v>
      </c>
      <c r="AB17" s="102">
        <v>113</v>
      </c>
      <c r="AC17" s="304">
        <f>Gen!T22</f>
        <v>776.8</v>
      </c>
    </row>
    <row r="18" spans="1:29" ht="20.100000000000001" customHeight="1">
      <c r="A18" s="299">
        <f>Gen!B23</f>
        <v>43934</v>
      </c>
      <c r="B18" s="380">
        <f>Gen!C23</f>
        <v>0</v>
      </c>
      <c r="C18" s="351">
        <v>19458.13</v>
      </c>
      <c r="D18" s="351">
        <v>25996.2</v>
      </c>
      <c r="E18" s="351"/>
      <c r="F18" s="351"/>
      <c r="G18" s="351">
        <v>19.86</v>
      </c>
      <c r="H18" s="351"/>
      <c r="I18" s="351">
        <v>30585.3</v>
      </c>
      <c r="J18" s="351">
        <v>20228.099999999999</v>
      </c>
      <c r="K18" s="350">
        <f t="shared" si="0"/>
        <v>34275</v>
      </c>
      <c r="L18" s="351">
        <v>34275</v>
      </c>
      <c r="M18" s="350">
        <f t="shared" si="1"/>
        <v>0</v>
      </c>
      <c r="N18" s="352">
        <f t="shared" si="2"/>
        <v>29270</v>
      </c>
      <c r="O18" s="351">
        <v>29281</v>
      </c>
      <c r="P18" s="350">
        <f t="shared" si="3"/>
        <v>11</v>
      </c>
      <c r="Q18" s="350">
        <f t="shared" si="4"/>
        <v>34723</v>
      </c>
      <c r="R18" s="351">
        <v>34723</v>
      </c>
      <c r="S18" s="350">
        <f t="shared" si="5"/>
        <v>0</v>
      </c>
      <c r="T18" s="350">
        <f t="shared" si="6"/>
        <v>32085</v>
      </c>
      <c r="U18" s="351">
        <v>32097</v>
      </c>
      <c r="V18" s="350">
        <f t="shared" si="7"/>
        <v>12</v>
      </c>
      <c r="W18" s="352">
        <f t="shared" si="8"/>
        <v>19829</v>
      </c>
      <c r="X18" s="351">
        <v>19829</v>
      </c>
      <c r="Y18" s="350">
        <f t="shared" si="9"/>
        <v>0</v>
      </c>
      <c r="Z18" s="353">
        <f t="shared" si="10"/>
        <v>23</v>
      </c>
      <c r="AA18" s="102">
        <v>178</v>
      </c>
      <c r="AB18" s="102">
        <v>90</v>
      </c>
      <c r="AC18" s="304">
        <f>Gen!T23</f>
        <v>771.72</v>
      </c>
    </row>
    <row r="19" spans="1:29" ht="20.100000000000001" customHeight="1">
      <c r="A19" s="299">
        <f>Gen!B24</f>
        <v>43935</v>
      </c>
      <c r="B19" s="380">
        <f>Gen!C24</f>
        <v>0</v>
      </c>
      <c r="C19" s="351">
        <v>18666.55</v>
      </c>
      <c r="D19" s="351">
        <v>25996.2</v>
      </c>
      <c r="E19" s="351"/>
      <c r="F19" s="351"/>
      <c r="G19" s="351"/>
      <c r="H19" s="351"/>
      <c r="I19" s="351">
        <v>30587.9</v>
      </c>
      <c r="J19" s="351">
        <v>20230.3</v>
      </c>
      <c r="K19" s="350">
        <f t="shared" si="0"/>
        <v>34275</v>
      </c>
      <c r="L19" s="351">
        <v>34275</v>
      </c>
      <c r="M19" s="350">
        <f t="shared" si="1"/>
        <v>0</v>
      </c>
      <c r="N19" s="352">
        <f t="shared" si="2"/>
        <v>29281</v>
      </c>
      <c r="O19" s="351">
        <v>29293</v>
      </c>
      <c r="P19" s="350">
        <f t="shared" si="3"/>
        <v>12</v>
      </c>
      <c r="Q19" s="350">
        <f t="shared" si="4"/>
        <v>34723</v>
      </c>
      <c r="R19" s="351">
        <v>34723</v>
      </c>
      <c r="S19" s="350">
        <f t="shared" si="5"/>
        <v>0</v>
      </c>
      <c r="T19" s="350">
        <f t="shared" si="6"/>
        <v>32097</v>
      </c>
      <c r="U19" s="351">
        <v>32097</v>
      </c>
      <c r="V19" s="350">
        <f t="shared" si="7"/>
        <v>0</v>
      </c>
      <c r="W19" s="352">
        <f t="shared" si="8"/>
        <v>19829</v>
      </c>
      <c r="X19" s="351">
        <v>19842</v>
      </c>
      <c r="Y19" s="350">
        <f t="shared" si="9"/>
        <v>13</v>
      </c>
      <c r="Z19" s="353">
        <f t="shared" si="10"/>
        <v>25</v>
      </c>
      <c r="AA19" s="102">
        <v>179</v>
      </c>
      <c r="AB19" s="102">
        <v>80</v>
      </c>
      <c r="AC19" s="304">
        <f>Gen!T24</f>
        <v>760.62</v>
      </c>
    </row>
    <row r="20" spans="1:29" ht="20.100000000000001" customHeight="1">
      <c r="A20" s="299">
        <f>Gen!B25</f>
        <v>43936</v>
      </c>
      <c r="B20" s="380">
        <f>Gen!C25</f>
        <v>0</v>
      </c>
      <c r="C20" s="351">
        <v>17905.93</v>
      </c>
      <c r="D20" s="351">
        <v>25996.2</v>
      </c>
      <c r="E20" s="351"/>
      <c r="F20" s="351"/>
      <c r="G20" s="351"/>
      <c r="H20" s="351"/>
      <c r="I20" s="351">
        <v>30590.5</v>
      </c>
      <c r="J20" s="351">
        <v>20232.7</v>
      </c>
      <c r="K20" s="350">
        <f t="shared" si="0"/>
        <v>34275</v>
      </c>
      <c r="L20" s="351">
        <v>34275</v>
      </c>
      <c r="M20" s="350">
        <f t="shared" si="1"/>
        <v>0</v>
      </c>
      <c r="N20" s="352">
        <f t="shared" si="2"/>
        <v>29293</v>
      </c>
      <c r="O20" s="351">
        <v>29293</v>
      </c>
      <c r="P20" s="350">
        <f t="shared" si="3"/>
        <v>0</v>
      </c>
      <c r="Q20" s="350">
        <f t="shared" si="4"/>
        <v>34723</v>
      </c>
      <c r="R20" s="351">
        <v>34734</v>
      </c>
      <c r="S20" s="350">
        <f t="shared" si="5"/>
        <v>11</v>
      </c>
      <c r="T20" s="350">
        <f t="shared" si="6"/>
        <v>32097</v>
      </c>
      <c r="U20" s="351">
        <v>32110</v>
      </c>
      <c r="V20" s="350">
        <f t="shared" si="7"/>
        <v>13</v>
      </c>
      <c r="W20" s="352">
        <f t="shared" si="8"/>
        <v>19842</v>
      </c>
      <c r="X20" s="351">
        <v>19842</v>
      </c>
      <c r="Y20" s="350">
        <f t="shared" si="9"/>
        <v>0</v>
      </c>
      <c r="Z20" s="353">
        <f t="shared" si="10"/>
        <v>24</v>
      </c>
      <c r="AA20" s="102">
        <v>178</v>
      </c>
      <c r="AB20" s="102">
        <v>80</v>
      </c>
      <c r="AC20" s="304">
        <f>Gen!T25</f>
        <v>786.19</v>
      </c>
    </row>
    <row r="21" spans="1:29" ht="20.100000000000001" customHeight="1">
      <c r="A21" s="299">
        <f>Gen!B26</f>
        <v>43937</v>
      </c>
      <c r="B21" s="380">
        <f>Gen!C26</f>
        <v>0</v>
      </c>
      <c r="C21" s="351">
        <v>17119.740000000002</v>
      </c>
      <c r="D21" s="351">
        <v>25996.2</v>
      </c>
      <c r="E21" s="351"/>
      <c r="F21" s="351"/>
      <c r="G21" s="351"/>
      <c r="H21" s="351"/>
      <c r="I21" s="351">
        <v>30593</v>
      </c>
      <c r="J21" s="351">
        <v>20235.099999999999</v>
      </c>
      <c r="K21" s="350">
        <f t="shared" si="0"/>
        <v>34275</v>
      </c>
      <c r="L21" s="351">
        <v>34275</v>
      </c>
      <c r="M21" s="350">
        <f t="shared" si="1"/>
        <v>0</v>
      </c>
      <c r="N21" s="352">
        <f t="shared" si="2"/>
        <v>29293</v>
      </c>
      <c r="O21" s="351">
        <v>29304</v>
      </c>
      <c r="P21" s="350">
        <f t="shared" si="3"/>
        <v>11</v>
      </c>
      <c r="Q21" s="350">
        <f t="shared" si="4"/>
        <v>34734</v>
      </c>
      <c r="R21" s="351">
        <v>34735</v>
      </c>
      <c r="S21" s="350">
        <f t="shared" si="5"/>
        <v>1</v>
      </c>
      <c r="T21" s="350">
        <f t="shared" si="6"/>
        <v>32110</v>
      </c>
      <c r="U21" s="351">
        <v>32110</v>
      </c>
      <c r="V21" s="350">
        <f t="shared" si="7"/>
        <v>0</v>
      </c>
      <c r="W21" s="352">
        <f t="shared" si="8"/>
        <v>19842</v>
      </c>
      <c r="X21" s="351">
        <v>19855</v>
      </c>
      <c r="Y21" s="350">
        <f t="shared" si="9"/>
        <v>13</v>
      </c>
      <c r="Z21" s="353">
        <f t="shared" si="10"/>
        <v>25</v>
      </c>
      <c r="AA21" s="102">
        <v>176</v>
      </c>
      <c r="AB21" s="102">
        <v>80</v>
      </c>
      <c r="AC21" s="304">
        <f>Gen!T26</f>
        <v>754.27</v>
      </c>
    </row>
    <row r="22" spans="1:29" ht="18.75" customHeight="1">
      <c r="A22" s="299">
        <f>Gen!B27</f>
        <v>43938</v>
      </c>
      <c r="B22" s="380">
        <f>Gen!C27</f>
        <v>0</v>
      </c>
      <c r="C22" s="351">
        <v>16365.47</v>
      </c>
      <c r="D22" s="351">
        <v>25996.2</v>
      </c>
      <c r="E22" s="351"/>
      <c r="F22" s="351"/>
      <c r="G22" s="351">
        <v>18.45</v>
      </c>
      <c r="H22" s="351"/>
      <c r="I22" s="351">
        <v>30595.7</v>
      </c>
      <c r="J22" s="351">
        <v>20237.400000000001</v>
      </c>
      <c r="K22" s="350">
        <f t="shared" si="0"/>
        <v>34275</v>
      </c>
      <c r="L22" s="351">
        <v>34275</v>
      </c>
      <c r="M22" s="350">
        <f t="shared" si="1"/>
        <v>0</v>
      </c>
      <c r="N22" s="352">
        <f t="shared" si="2"/>
        <v>29304</v>
      </c>
      <c r="O22" s="351">
        <v>29304</v>
      </c>
      <c r="P22" s="350">
        <f t="shared" si="3"/>
        <v>0</v>
      </c>
      <c r="Q22" s="350">
        <f t="shared" si="4"/>
        <v>34735</v>
      </c>
      <c r="R22" s="351">
        <v>34748</v>
      </c>
      <c r="S22" s="350">
        <f t="shared" si="5"/>
        <v>13</v>
      </c>
      <c r="T22" s="350">
        <f t="shared" si="6"/>
        <v>32110</v>
      </c>
      <c r="U22" s="351">
        <v>32121</v>
      </c>
      <c r="V22" s="350">
        <f t="shared" si="7"/>
        <v>11</v>
      </c>
      <c r="W22" s="352">
        <f t="shared" si="8"/>
        <v>19855</v>
      </c>
      <c r="X22" s="351">
        <v>19855</v>
      </c>
      <c r="Y22" s="350">
        <f t="shared" si="9"/>
        <v>0</v>
      </c>
      <c r="Z22" s="353">
        <f t="shared" si="10"/>
        <v>24</v>
      </c>
      <c r="AA22" s="102">
        <v>169</v>
      </c>
      <c r="AB22" s="102">
        <v>80</v>
      </c>
      <c r="AC22" s="304">
        <f>Gen!T27</f>
        <v>781.93000000000006</v>
      </c>
    </row>
    <row r="23" spans="1:29" ht="20.100000000000001" customHeight="1">
      <c r="A23" s="299">
        <f>Gen!B28</f>
        <v>43939</v>
      </c>
      <c r="B23" s="380">
        <f>Gen!C28</f>
        <v>0</v>
      </c>
      <c r="C23" s="351">
        <v>15565.09</v>
      </c>
      <c r="D23" s="351">
        <v>25996.2</v>
      </c>
      <c r="E23" s="586"/>
      <c r="F23" s="351"/>
      <c r="G23" s="351"/>
      <c r="H23" s="351"/>
      <c r="I23" s="351">
        <v>30598.2</v>
      </c>
      <c r="J23" s="351">
        <v>20239.7</v>
      </c>
      <c r="K23" s="350">
        <f t="shared" si="0"/>
        <v>34275</v>
      </c>
      <c r="L23" s="351">
        <v>34275</v>
      </c>
      <c r="M23" s="350">
        <f t="shared" si="1"/>
        <v>0</v>
      </c>
      <c r="N23" s="352">
        <f t="shared" si="2"/>
        <v>29304</v>
      </c>
      <c r="O23" s="351">
        <v>29317</v>
      </c>
      <c r="P23" s="350">
        <f t="shared" si="3"/>
        <v>13</v>
      </c>
      <c r="Q23" s="350">
        <f t="shared" si="4"/>
        <v>34748</v>
      </c>
      <c r="R23" s="351">
        <v>34748</v>
      </c>
      <c r="S23" s="350">
        <f t="shared" si="5"/>
        <v>0</v>
      </c>
      <c r="T23" s="350">
        <f t="shared" si="6"/>
        <v>32121</v>
      </c>
      <c r="U23" s="351">
        <v>32122</v>
      </c>
      <c r="V23" s="350">
        <f t="shared" si="7"/>
        <v>1</v>
      </c>
      <c r="W23" s="352">
        <f t="shared" si="8"/>
        <v>19855</v>
      </c>
      <c r="X23" s="351">
        <v>19866</v>
      </c>
      <c r="Y23" s="350">
        <f t="shared" si="9"/>
        <v>11</v>
      </c>
      <c r="Z23" s="353">
        <f t="shared" si="10"/>
        <v>25</v>
      </c>
      <c r="AA23" s="102">
        <v>168</v>
      </c>
      <c r="AB23" s="102">
        <v>80</v>
      </c>
      <c r="AC23" s="304">
        <f>Gen!T28</f>
        <v>744.22</v>
      </c>
    </row>
    <row r="24" spans="1:29" ht="20.100000000000001" customHeight="1">
      <c r="A24" s="299">
        <f>Gen!B29</f>
        <v>43940</v>
      </c>
      <c r="B24" s="380">
        <f>Gen!C29</f>
        <v>0</v>
      </c>
      <c r="C24" s="351">
        <v>14820.87</v>
      </c>
      <c r="D24" s="351">
        <v>25996.2</v>
      </c>
      <c r="E24" s="351"/>
      <c r="F24" s="351"/>
      <c r="G24" s="351">
        <v>52.04</v>
      </c>
      <c r="H24" s="351"/>
      <c r="I24" s="351">
        <v>30600.7</v>
      </c>
      <c r="J24" s="351">
        <v>20242</v>
      </c>
      <c r="K24" s="350">
        <f t="shared" si="0"/>
        <v>34275</v>
      </c>
      <c r="L24" s="351">
        <v>34275</v>
      </c>
      <c r="M24" s="350">
        <f t="shared" si="1"/>
        <v>0</v>
      </c>
      <c r="N24" s="352">
        <f t="shared" si="2"/>
        <v>29317</v>
      </c>
      <c r="O24" s="351">
        <v>29317</v>
      </c>
      <c r="P24" s="350">
        <f t="shared" si="3"/>
        <v>0</v>
      </c>
      <c r="Q24" s="350">
        <f t="shared" si="4"/>
        <v>34748</v>
      </c>
      <c r="R24" s="351">
        <v>34760</v>
      </c>
      <c r="S24" s="350">
        <f t="shared" si="5"/>
        <v>12</v>
      </c>
      <c r="T24" s="350">
        <f t="shared" si="6"/>
        <v>32122</v>
      </c>
      <c r="U24" s="351">
        <v>32134</v>
      </c>
      <c r="V24" s="350">
        <f t="shared" si="7"/>
        <v>12</v>
      </c>
      <c r="W24" s="352">
        <f t="shared" si="8"/>
        <v>19866</v>
      </c>
      <c r="X24" s="351">
        <v>19866</v>
      </c>
      <c r="Y24" s="350">
        <f t="shared" si="9"/>
        <v>0</v>
      </c>
      <c r="Z24" s="353">
        <f t="shared" si="10"/>
        <v>24</v>
      </c>
      <c r="AA24" s="102">
        <v>166</v>
      </c>
      <c r="AB24" s="102">
        <v>70</v>
      </c>
      <c r="AC24" s="304">
        <f>Gen!T29</f>
        <v>740.05</v>
      </c>
    </row>
    <row r="25" spans="1:29" ht="18.75" customHeight="1">
      <c r="A25" s="299">
        <f>Gen!B30</f>
        <v>43941</v>
      </c>
      <c r="B25" s="380">
        <f>Gen!C30</f>
        <v>0</v>
      </c>
      <c r="C25" s="351">
        <v>14028.78</v>
      </c>
      <c r="D25" s="351">
        <v>25996.2</v>
      </c>
      <c r="E25" s="351"/>
      <c r="F25" s="351"/>
      <c r="G25" s="351"/>
      <c r="H25" s="351"/>
      <c r="I25" s="351">
        <v>30603.1</v>
      </c>
      <c r="J25" s="351">
        <v>20244.3</v>
      </c>
      <c r="K25" s="350">
        <f t="shared" si="0"/>
        <v>34275</v>
      </c>
      <c r="L25" s="351">
        <v>34275</v>
      </c>
      <c r="M25" s="350">
        <f t="shared" si="1"/>
        <v>0</v>
      </c>
      <c r="N25" s="352">
        <f t="shared" si="2"/>
        <v>29317</v>
      </c>
      <c r="O25" s="351">
        <v>29330</v>
      </c>
      <c r="P25" s="350">
        <f t="shared" si="3"/>
        <v>13</v>
      </c>
      <c r="Q25" s="350">
        <f t="shared" si="4"/>
        <v>34760</v>
      </c>
      <c r="R25" s="351">
        <v>34760</v>
      </c>
      <c r="S25" s="350">
        <f t="shared" si="5"/>
        <v>0</v>
      </c>
      <c r="T25" s="350">
        <f t="shared" si="6"/>
        <v>32134</v>
      </c>
      <c r="U25" s="351">
        <v>32134</v>
      </c>
      <c r="V25" s="350">
        <f t="shared" si="7"/>
        <v>0</v>
      </c>
      <c r="W25" s="352">
        <f t="shared" si="8"/>
        <v>19866</v>
      </c>
      <c r="X25" s="351">
        <v>19878</v>
      </c>
      <c r="Y25" s="350">
        <f t="shared" si="9"/>
        <v>12</v>
      </c>
      <c r="Z25" s="353">
        <f t="shared" si="10"/>
        <v>25</v>
      </c>
      <c r="AA25" s="102">
        <v>167</v>
      </c>
      <c r="AB25" s="102">
        <v>70</v>
      </c>
      <c r="AC25" s="304">
        <f>Gen!T30</f>
        <v>731.47</v>
      </c>
    </row>
    <row r="26" spans="1:29" ht="20.100000000000001" customHeight="1">
      <c r="A26" s="299">
        <f>Gen!B31</f>
        <v>43942</v>
      </c>
      <c r="B26" s="380">
        <f>Gen!C31</f>
        <v>0</v>
      </c>
      <c r="C26" s="351">
        <v>13297.31</v>
      </c>
      <c r="D26" s="351">
        <v>25996.2</v>
      </c>
      <c r="E26" s="351"/>
      <c r="F26" s="351"/>
      <c r="G26" s="351">
        <v>180</v>
      </c>
      <c r="H26" s="351"/>
      <c r="I26" s="351">
        <v>30605.5</v>
      </c>
      <c r="J26" s="351">
        <v>20246.7</v>
      </c>
      <c r="K26" s="350">
        <f t="shared" si="0"/>
        <v>34275</v>
      </c>
      <c r="L26" s="351">
        <v>34275</v>
      </c>
      <c r="M26" s="350">
        <f t="shared" si="1"/>
        <v>0</v>
      </c>
      <c r="N26" s="352">
        <f t="shared" si="2"/>
        <v>29330</v>
      </c>
      <c r="O26" s="351">
        <v>29330</v>
      </c>
      <c r="P26" s="350">
        <f t="shared" si="3"/>
        <v>0</v>
      </c>
      <c r="Q26" s="350">
        <f t="shared" si="4"/>
        <v>34760</v>
      </c>
      <c r="R26" s="351">
        <v>34772</v>
      </c>
      <c r="S26" s="350">
        <f t="shared" si="5"/>
        <v>12</v>
      </c>
      <c r="T26" s="350">
        <f t="shared" si="6"/>
        <v>32134</v>
      </c>
      <c r="U26" s="351">
        <v>32146</v>
      </c>
      <c r="V26" s="350">
        <f t="shared" si="7"/>
        <v>12</v>
      </c>
      <c r="W26" s="352">
        <f t="shared" si="8"/>
        <v>19878</v>
      </c>
      <c r="X26" s="351">
        <v>19878</v>
      </c>
      <c r="Y26" s="350">
        <f t="shared" si="9"/>
        <v>0</v>
      </c>
      <c r="Z26" s="353">
        <f t="shared" si="10"/>
        <v>24</v>
      </c>
      <c r="AA26" s="102">
        <v>168</v>
      </c>
      <c r="AB26" s="102">
        <v>75</v>
      </c>
      <c r="AC26" s="304">
        <f>Gen!T31</f>
        <v>747.27</v>
      </c>
    </row>
    <row r="27" spans="1:29" ht="20.100000000000001" customHeight="1">
      <c r="A27" s="299">
        <f>Gen!B32</f>
        <v>43943</v>
      </c>
      <c r="B27" s="380">
        <f>Gen!C32</f>
        <v>0</v>
      </c>
      <c r="C27" s="351">
        <v>12370.04</v>
      </c>
      <c r="D27" s="351">
        <v>25996.2</v>
      </c>
      <c r="E27" s="351"/>
      <c r="F27" s="351"/>
      <c r="G27" s="351">
        <v>123.51</v>
      </c>
      <c r="H27" s="351"/>
      <c r="I27" s="351">
        <v>30607.7</v>
      </c>
      <c r="J27" s="351">
        <v>20248.900000000001</v>
      </c>
      <c r="K27" s="350">
        <f t="shared" si="0"/>
        <v>34275</v>
      </c>
      <c r="L27" s="351">
        <v>34275</v>
      </c>
      <c r="M27" s="350">
        <f t="shared" si="1"/>
        <v>0</v>
      </c>
      <c r="N27" s="352">
        <f t="shared" si="2"/>
        <v>29330</v>
      </c>
      <c r="O27" s="351">
        <v>29342</v>
      </c>
      <c r="P27" s="350">
        <f t="shared" si="3"/>
        <v>12</v>
      </c>
      <c r="Q27" s="350">
        <f t="shared" si="4"/>
        <v>34772</v>
      </c>
      <c r="R27" s="351">
        <v>34772</v>
      </c>
      <c r="S27" s="350">
        <f t="shared" si="5"/>
        <v>0</v>
      </c>
      <c r="T27" s="350">
        <f t="shared" si="6"/>
        <v>32146</v>
      </c>
      <c r="U27" s="351">
        <v>32146</v>
      </c>
      <c r="V27" s="350">
        <f t="shared" si="7"/>
        <v>0</v>
      </c>
      <c r="W27" s="352">
        <f t="shared" si="8"/>
        <v>19878</v>
      </c>
      <c r="X27" s="351">
        <v>19890</v>
      </c>
      <c r="Y27" s="350">
        <f t="shared" si="9"/>
        <v>12</v>
      </c>
      <c r="Z27" s="353">
        <f t="shared" si="10"/>
        <v>24</v>
      </c>
      <c r="AA27" s="102">
        <v>166</v>
      </c>
      <c r="AB27" s="102">
        <v>75</v>
      </c>
      <c r="AC27" s="304">
        <f>Gen!T32</f>
        <v>709.13</v>
      </c>
    </row>
    <row r="28" spans="1:29" ht="20.100000000000001" customHeight="1">
      <c r="A28" s="299">
        <f>Gen!B33</f>
        <v>43944</v>
      </c>
      <c r="B28" s="380">
        <f>Gen!C33</f>
        <v>0</v>
      </c>
      <c r="C28" s="351">
        <v>23537.4</v>
      </c>
      <c r="D28" s="351">
        <v>25996.2</v>
      </c>
      <c r="E28" s="351"/>
      <c r="F28" s="351"/>
      <c r="G28" s="351"/>
      <c r="H28" s="351"/>
      <c r="I28" s="351">
        <v>30610</v>
      </c>
      <c r="J28" s="351">
        <v>20251</v>
      </c>
      <c r="K28" s="350">
        <f t="shared" si="0"/>
        <v>34275</v>
      </c>
      <c r="L28" s="351">
        <v>34275</v>
      </c>
      <c r="M28" s="350">
        <f t="shared" si="1"/>
        <v>0</v>
      </c>
      <c r="N28" s="352">
        <f t="shared" si="2"/>
        <v>29342</v>
      </c>
      <c r="O28" s="351">
        <v>29342</v>
      </c>
      <c r="P28" s="350">
        <f t="shared" si="3"/>
        <v>0</v>
      </c>
      <c r="Q28" s="350">
        <f t="shared" si="4"/>
        <v>34772</v>
      </c>
      <c r="R28" s="351">
        <v>34784</v>
      </c>
      <c r="S28" s="350">
        <f t="shared" si="5"/>
        <v>12</v>
      </c>
      <c r="T28" s="350">
        <f t="shared" si="6"/>
        <v>32146</v>
      </c>
      <c r="U28" s="351">
        <v>32158</v>
      </c>
      <c r="V28" s="350">
        <f t="shared" si="7"/>
        <v>12</v>
      </c>
      <c r="W28" s="352">
        <f t="shared" si="8"/>
        <v>19890</v>
      </c>
      <c r="X28" s="351">
        <v>19891</v>
      </c>
      <c r="Y28" s="350">
        <f t="shared" si="9"/>
        <v>1</v>
      </c>
      <c r="Z28" s="353">
        <f t="shared" si="10"/>
        <v>25</v>
      </c>
      <c r="AA28" s="102">
        <v>165</v>
      </c>
      <c r="AB28" s="102">
        <v>70</v>
      </c>
      <c r="AC28" s="304">
        <f>Gen!T33</f>
        <v>670.85</v>
      </c>
    </row>
    <row r="29" spans="1:29" ht="20.100000000000001" customHeight="1">
      <c r="A29" s="299">
        <f>Gen!B34</f>
        <v>43945</v>
      </c>
      <c r="B29" s="380">
        <f>Gen!C34</f>
        <v>0</v>
      </c>
      <c r="C29" s="351">
        <v>22866.55</v>
      </c>
      <c r="D29" s="351">
        <v>25996.2</v>
      </c>
      <c r="E29" s="351"/>
      <c r="F29" s="351"/>
      <c r="G29" s="351">
        <v>254.15</v>
      </c>
      <c r="H29" s="351"/>
      <c r="I29" s="351">
        <v>30612.400000000001</v>
      </c>
      <c r="J29" s="351">
        <v>20253.2</v>
      </c>
      <c r="K29" s="350">
        <f t="shared" si="0"/>
        <v>34275</v>
      </c>
      <c r="L29" s="351">
        <v>34275</v>
      </c>
      <c r="M29" s="350">
        <f t="shared" si="1"/>
        <v>0</v>
      </c>
      <c r="N29" s="352">
        <f t="shared" si="2"/>
        <v>29342</v>
      </c>
      <c r="O29" s="351">
        <v>29354</v>
      </c>
      <c r="P29" s="350">
        <f t="shared" si="3"/>
        <v>12</v>
      </c>
      <c r="Q29" s="350">
        <f t="shared" si="4"/>
        <v>34784</v>
      </c>
      <c r="R29" s="351">
        <v>34784</v>
      </c>
      <c r="S29" s="350">
        <f t="shared" si="5"/>
        <v>0</v>
      </c>
      <c r="T29" s="350">
        <f t="shared" si="6"/>
        <v>32158</v>
      </c>
      <c r="U29" s="351">
        <v>32159</v>
      </c>
      <c r="V29" s="350">
        <f t="shared" si="7"/>
        <v>1</v>
      </c>
      <c r="W29" s="352">
        <f t="shared" si="8"/>
        <v>19891</v>
      </c>
      <c r="X29" s="351">
        <v>19903</v>
      </c>
      <c r="Y29" s="350">
        <f t="shared" si="9"/>
        <v>12</v>
      </c>
      <c r="Z29" s="353">
        <f t="shared" si="10"/>
        <v>25</v>
      </c>
      <c r="AA29" s="102">
        <v>168</v>
      </c>
      <c r="AB29" s="102">
        <v>75</v>
      </c>
      <c r="AC29" s="304">
        <f>Gen!T34</f>
        <v>734.77</v>
      </c>
    </row>
    <row r="30" spans="1:29" ht="20.100000000000001" customHeight="1">
      <c r="A30" s="299">
        <f>Gen!B35</f>
        <v>43946</v>
      </c>
      <c r="B30" s="380">
        <f>Gen!C35</f>
        <v>0</v>
      </c>
      <c r="C30" s="351">
        <v>21877.63</v>
      </c>
      <c r="D30" s="351">
        <v>25996.2</v>
      </c>
      <c r="E30" s="351"/>
      <c r="F30" s="351"/>
      <c r="G30" s="351">
        <v>133.02000000000001</v>
      </c>
      <c r="H30" s="351"/>
      <c r="I30" s="351">
        <v>30614.7</v>
      </c>
      <c r="J30" s="351">
        <v>20255.3</v>
      </c>
      <c r="K30" s="350">
        <f t="shared" si="0"/>
        <v>34275</v>
      </c>
      <c r="L30" s="351">
        <v>34275</v>
      </c>
      <c r="M30" s="350">
        <f t="shared" si="1"/>
        <v>0</v>
      </c>
      <c r="N30" s="352">
        <f t="shared" si="2"/>
        <v>29354</v>
      </c>
      <c r="O30" s="351">
        <v>29354</v>
      </c>
      <c r="P30" s="350">
        <f t="shared" si="3"/>
        <v>0</v>
      </c>
      <c r="Q30" s="350">
        <f t="shared" si="4"/>
        <v>34784</v>
      </c>
      <c r="R30" s="351">
        <v>34796</v>
      </c>
      <c r="S30" s="350">
        <f t="shared" si="5"/>
        <v>12</v>
      </c>
      <c r="T30" s="350">
        <f t="shared" si="6"/>
        <v>32159</v>
      </c>
      <c r="U30" s="351">
        <v>32171</v>
      </c>
      <c r="V30" s="350">
        <f t="shared" si="7"/>
        <v>12</v>
      </c>
      <c r="W30" s="352">
        <f t="shared" si="8"/>
        <v>19903</v>
      </c>
      <c r="X30" s="351">
        <v>19904</v>
      </c>
      <c r="Y30" s="350">
        <f t="shared" si="9"/>
        <v>1</v>
      </c>
      <c r="Z30" s="353">
        <f t="shared" si="10"/>
        <v>25</v>
      </c>
      <c r="AA30" s="102">
        <v>198</v>
      </c>
      <c r="AB30" s="102">
        <v>75</v>
      </c>
      <c r="AC30" s="304">
        <f>Gen!T35</f>
        <v>708.25</v>
      </c>
    </row>
    <row r="31" spans="1:29" ht="20.100000000000001" customHeight="1">
      <c r="A31" s="299">
        <f>Gen!B36</f>
        <v>43947</v>
      </c>
      <c r="B31" s="380">
        <f>Gen!C36</f>
        <v>0</v>
      </c>
      <c r="C31" s="351">
        <v>21036.36</v>
      </c>
      <c r="D31" s="351">
        <v>25996.2</v>
      </c>
      <c r="E31" s="351"/>
      <c r="F31" s="351"/>
      <c r="G31" s="351">
        <v>52.26</v>
      </c>
      <c r="H31" s="351"/>
      <c r="I31" s="351">
        <v>30617.1</v>
      </c>
      <c r="J31" s="351">
        <v>20257.400000000001</v>
      </c>
      <c r="K31" s="350">
        <f t="shared" si="0"/>
        <v>34275</v>
      </c>
      <c r="L31" s="351">
        <v>34275</v>
      </c>
      <c r="M31" s="350">
        <f t="shared" si="1"/>
        <v>0</v>
      </c>
      <c r="N31" s="352">
        <f t="shared" si="2"/>
        <v>29354</v>
      </c>
      <c r="O31" s="351">
        <v>29366</v>
      </c>
      <c r="P31" s="350">
        <f t="shared" si="3"/>
        <v>12</v>
      </c>
      <c r="Q31" s="350">
        <f t="shared" si="4"/>
        <v>34796</v>
      </c>
      <c r="R31" s="351">
        <v>34796</v>
      </c>
      <c r="S31" s="350">
        <f t="shared" si="5"/>
        <v>0</v>
      </c>
      <c r="T31" s="350">
        <f t="shared" si="6"/>
        <v>32171</v>
      </c>
      <c r="U31" s="351">
        <v>32171</v>
      </c>
      <c r="V31" s="350">
        <f t="shared" si="7"/>
        <v>0</v>
      </c>
      <c r="W31" s="352">
        <f t="shared" si="8"/>
        <v>19904</v>
      </c>
      <c r="X31" s="351">
        <v>19915</v>
      </c>
      <c r="Y31" s="350">
        <f t="shared" si="9"/>
        <v>11</v>
      </c>
      <c r="Z31" s="353">
        <f t="shared" si="10"/>
        <v>23</v>
      </c>
      <c r="AA31" s="102">
        <v>167</v>
      </c>
      <c r="AB31" s="102">
        <v>75</v>
      </c>
      <c r="AC31" s="304">
        <f>Gen!T36</f>
        <v>707.94</v>
      </c>
    </row>
    <row r="32" spans="1:29" ht="20.100000000000001" customHeight="1">
      <c r="A32" s="299">
        <f>Gen!B37</f>
        <v>43948</v>
      </c>
      <c r="B32" s="380">
        <f>Gen!C37</f>
        <v>0</v>
      </c>
      <c r="C32" s="351">
        <v>20276.16</v>
      </c>
      <c r="D32" s="351">
        <v>25996.2</v>
      </c>
      <c r="E32" s="351"/>
      <c r="F32" s="351"/>
      <c r="G32" s="351">
        <v>7.38</v>
      </c>
      <c r="H32" s="351"/>
      <c r="I32" s="351">
        <v>30619.5</v>
      </c>
      <c r="J32" s="351">
        <v>20259.8</v>
      </c>
      <c r="K32" s="350">
        <f t="shared" si="0"/>
        <v>34275</v>
      </c>
      <c r="L32" s="351">
        <v>34275</v>
      </c>
      <c r="M32" s="350">
        <f t="shared" si="1"/>
        <v>0</v>
      </c>
      <c r="N32" s="352">
        <f t="shared" si="2"/>
        <v>29366</v>
      </c>
      <c r="O32" s="351">
        <v>29366</v>
      </c>
      <c r="P32" s="350">
        <f t="shared" si="3"/>
        <v>0</v>
      </c>
      <c r="Q32" s="350">
        <f t="shared" si="4"/>
        <v>34796</v>
      </c>
      <c r="R32" s="351">
        <v>34808</v>
      </c>
      <c r="S32" s="350">
        <f t="shared" si="5"/>
        <v>12</v>
      </c>
      <c r="T32" s="350">
        <f t="shared" si="6"/>
        <v>32171</v>
      </c>
      <c r="U32" s="351">
        <v>32182</v>
      </c>
      <c r="V32" s="350">
        <f t="shared" si="7"/>
        <v>11</v>
      </c>
      <c r="W32" s="352">
        <f t="shared" si="8"/>
        <v>19915</v>
      </c>
      <c r="X32" s="351">
        <v>19916</v>
      </c>
      <c r="Y32" s="350">
        <f t="shared" si="9"/>
        <v>1</v>
      </c>
      <c r="Z32" s="353">
        <f t="shared" si="10"/>
        <v>24</v>
      </c>
      <c r="AA32" s="102">
        <v>168</v>
      </c>
      <c r="AB32" s="102">
        <v>70</v>
      </c>
      <c r="AC32" s="304">
        <f>Gen!T37</f>
        <v>716.78</v>
      </c>
    </row>
    <row r="33" spans="1:29" ht="20.100000000000001" customHeight="1">
      <c r="A33" s="299">
        <f>Gen!B38</f>
        <v>43949</v>
      </c>
      <c r="B33" s="380">
        <f>Gen!C38</f>
        <v>0</v>
      </c>
      <c r="C33" s="351">
        <v>19552</v>
      </c>
      <c r="D33" s="351">
        <v>25996.2</v>
      </c>
      <c r="E33" s="351"/>
      <c r="F33" s="351"/>
      <c r="G33" s="351">
        <v>100</v>
      </c>
      <c r="H33" s="351"/>
      <c r="I33" s="351">
        <v>30621.9</v>
      </c>
      <c r="J33" s="351">
        <v>20261.400000000001</v>
      </c>
      <c r="K33" s="350">
        <f t="shared" si="0"/>
        <v>34275</v>
      </c>
      <c r="L33" s="351">
        <v>34275</v>
      </c>
      <c r="M33" s="350">
        <f t="shared" si="1"/>
        <v>0</v>
      </c>
      <c r="N33" s="352">
        <f t="shared" si="2"/>
        <v>29366</v>
      </c>
      <c r="O33" s="351">
        <v>29379</v>
      </c>
      <c r="P33" s="350">
        <f t="shared" si="3"/>
        <v>13</v>
      </c>
      <c r="Q33" s="350">
        <f t="shared" si="4"/>
        <v>34808</v>
      </c>
      <c r="R33" s="351">
        <v>34808</v>
      </c>
      <c r="S33" s="350">
        <f t="shared" si="5"/>
        <v>0</v>
      </c>
      <c r="T33" s="350">
        <f t="shared" si="6"/>
        <v>32182</v>
      </c>
      <c r="U33" s="351">
        <v>32182</v>
      </c>
      <c r="V33" s="350">
        <f t="shared" si="7"/>
        <v>0</v>
      </c>
      <c r="W33" s="352">
        <f t="shared" si="8"/>
        <v>19916</v>
      </c>
      <c r="X33" s="351">
        <v>19928</v>
      </c>
      <c r="Y33" s="350">
        <f t="shared" si="9"/>
        <v>12</v>
      </c>
      <c r="Z33" s="353">
        <f t="shared" si="10"/>
        <v>25</v>
      </c>
      <c r="AA33" s="102">
        <v>167</v>
      </c>
      <c r="AB33" s="102">
        <v>70</v>
      </c>
      <c r="AC33" s="304">
        <f>Gen!T38</f>
        <v>690.55</v>
      </c>
    </row>
    <row r="34" spans="1:29" ht="20.100000000000001" customHeight="1">
      <c r="A34" s="299">
        <f>Gen!B39</f>
        <v>43950</v>
      </c>
      <c r="B34" s="380">
        <f>Gen!C39</f>
        <v>0</v>
      </c>
      <c r="C34" s="351">
        <v>18761.45</v>
      </c>
      <c r="D34" s="351">
        <v>25996.2</v>
      </c>
      <c r="E34" s="351"/>
      <c r="F34" s="351"/>
      <c r="G34" s="351">
        <v>38.11</v>
      </c>
      <c r="H34" s="351"/>
      <c r="I34" s="351">
        <v>30624.2</v>
      </c>
      <c r="J34" s="351">
        <v>20263.400000000001</v>
      </c>
      <c r="K34" s="350">
        <f t="shared" si="0"/>
        <v>34275</v>
      </c>
      <c r="L34" s="351">
        <v>34288</v>
      </c>
      <c r="M34" s="350">
        <f t="shared" si="1"/>
        <v>13</v>
      </c>
      <c r="N34" s="352">
        <f t="shared" si="2"/>
        <v>29379</v>
      </c>
      <c r="O34" s="351">
        <v>29391</v>
      </c>
      <c r="P34" s="350">
        <f t="shared" si="3"/>
        <v>12</v>
      </c>
      <c r="Q34" s="350">
        <f t="shared" si="4"/>
        <v>34808</v>
      </c>
      <c r="R34" s="351">
        <v>34808</v>
      </c>
      <c r="S34" s="350">
        <f t="shared" si="5"/>
        <v>0</v>
      </c>
      <c r="T34" s="350">
        <f t="shared" si="6"/>
        <v>32182</v>
      </c>
      <c r="U34" s="351">
        <v>32182</v>
      </c>
      <c r="V34" s="350">
        <f t="shared" si="7"/>
        <v>0</v>
      </c>
      <c r="W34" s="352">
        <f t="shared" si="8"/>
        <v>19928</v>
      </c>
      <c r="X34" s="351">
        <v>19928</v>
      </c>
      <c r="Y34" s="350">
        <f t="shared" si="9"/>
        <v>0</v>
      </c>
      <c r="Z34" s="353">
        <f t="shared" si="10"/>
        <v>25</v>
      </c>
      <c r="AA34" s="102">
        <v>167</v>
      </c>
      <c r="AB34" s="102">
        <v>70</v>
      </c>
      <c r="AC34" s="304">
        <f>Gen!T39</f>
        <v>691.09</v>
      </c>
    </row>
    <row r="35" spans="1:29" ht="20.100000000000001" customHeight="1">
      <c r="A35" s="299">
        <f>Gen!B40</f>
        <v>43951</v>
      </c>
      <c r="B35" s="380">
        <f>Gen!C40</f>
        <v>0</v>
      </c>
      <c r="C35" s="351">
        <v>18032.25</v>
      </c>
      <c r="D35" s="351">
        <v>25996.2</v>
      </c>
      <c r="E35" s="351"/>
      <c r="F35" s="351"/>
      <c r="G35" s="351"/>
      <c r="H35" s="351"/>
      <c r="I35" s="351">
        <v>30626.400000000001</v>
      </c>
      <c r="J35" s="351">
        <v>20265.5</v>
      </c>
      <c r="K35" s="350">
        <f t="shared" si="0"/>
        <v>34288</v>
      </c>
      <c r="L35" s="351">
        <v>34300</v>
      </c>
      <c r="M35" s="350">
        <f t="shared" si="1"/>
        <v>12</v>
      </c>
      <c r="N35" s="352">
        <f t="shared" si="2"/>
        <v>29391</v>
      </c>
      <c r="O35" s="351">
        <v>29391</v>
      </c>
      <c r="P35" s="350">
        <f t="shared" si="3"/>
        <v>0</v>
      </c>
      <c r="Q35" s="350">
        <f t="shared" si="4"/>
        <v>34808</v>
      </c>
      <c r="R35" s="351">
        <v>34808</v>
      </c>
      <c r="S35" s="350">
        <f t="shared" si="5"/>
        <v>0</v>
      </c>
      <c r="T35" s="350">
        <f t="shared" si="6"/>
        <v>32182</v>
      </c>
      <c r="U35" s="351">
        <v>32182</v>
      </c>
      <c r="V35" s="350">
        <f t="shared" si="7"/>
        <v>0</v>
      </c>
      <c r="W35" s="352">
        <f t="shared" si="8"/>
        <v>19928</v>
      </c>
      <c r="X35" s="351">
        <v>19940</v>
      </c>
      <c r="Y35" s="350">
        <f t="shared" si="9"/>
        <v>12</v>
      </c>
      <c r="Z35" s="353">
        <f t="shared" si="10"/>
        <v>24</v>
      </c>
      <c r="AA35" s="102">
        <v>168</v>
      </c>
      <c r="AB35" s="102">
        <v>75</v>
      </c>
      <c r="AC35" s="304">
        <f>Gen!T40</f>
        <v>660.76</v>
      </c>
    </row>
    <row r="36" spans="1:29" ht="20.100000000000001" customHeight="1">
      <c r="A36" s="299">
        <f>Gen!B41</f>
        <v>0</v>
      </c>
      <c r="B36" s="380">
        <f>Gen!C41</f>
        <v>0</v>
      </c>
      <c r="C36" s="351">
        <v>17371.490000000002</v>
      </c>
      <c r="D36" s="351">
        <v>25996.2</v>
      </c>
      <c r="E36" s="351"/>
      <c r="F36" s="351"/>
      <c r="G36" s="351"/>
      <c r="H36" s="351"/>
      <c r="I36" s="351"/>
      <c r="J36" s="351"/>
      <c r="K36" s="350">
        <f t="shared" si="0"/>
        <v>34300</v>
      </c>
      <c r="L36" s="351"/>
      <c r="M36" s="350">
        <f t="shared" si="1"/>
        <v>-34300</v>
      </c>
      <c r="N36" s="352">
        <f t="shared" si="2"/>
        <v>29391</v>
      </c>
      <c r="O36" s="351"/>
      <c r="P36" s="350">
        <f t="shared" si="3"/>
        <v>-29391</v>
      </c>
      <c r="Q36" s="350">
        <f t="shared" si="4"/>
        <v>34808</v>
      </c>
      <c r="R36" s="351"/>
      <c r="S36" s="350">
        <f t="shared" si="5"/>
        <v>-34808</v>
      </c>
      <c r="T36" s="350">
        <f t="shared" si="6"/>
        <v>32182</v>
      </c>
      <c r="U36" s="351"/>
      <c r="V36" s="350">
        <f t="shared" si="7"/>
        <v>-32182</v>
      </c>
      <c r="W36" s="352">
        <f t="shared" si="8"/>
        <v>19940</v>
      </c>
      <c r="X36" s="351"/>
      <c r="Y36" s="350">
        <f t="shared" si="9"/>
        <v>-19940</v>
      </c>
      <c r="Z36" s="353">
        <f t="shared" si="10"/>
        <v>-150621</v>
      </c>
      <c r="AA36" s="102"/>
      <c r="AB36" s="102"/>
      <c r="AC36" s="304">
        <f>Gen!T41</f>
        <v>0</v>
      </c>
    </row>
    <row r="37" spans="1:29" ht="21" customHeight="1">
      <c r="A37" s="299">
        <f>Gen!B42</f>
        <v>0</v>
      </c>
      <c r="B37" s="380">
        <f>Gen!C42</f>
        <v>0</v>
      </c>
      <c r="C37" s="351"/>
      <c r="D37" s="351"/>
      <c r="E37" s="351"/>
      <c r="F37" s="351"/>
      <c r="G37" s="351"/>
      <c r="H37" s="351"/>
      <c r="I37" s="351"/>
      <c r="J37" s="351"/>
      <c r="K37" s="350">
        <f t="shared" si="0"/>
        <v>0</v>
      </c>
      <c r="L37" s="351"/>
      <c r="M37" s="350">
        <f t="shared" si="1"/>
        <v>0</v>
      </c>
      <c r="N37" s="352">
        <f t="shared" si="2"/>
        <v>0</v>
      </c>
      <c r="O37" s="351"/>
      <c r="P37" s="350">
        <f t="shared" si="3"/>
        <v>0</v>
      </c>
      <c r="Q37" s="350">
        <f t="shared" si="4"/>
        <v>0</v>
      </c>
      <c r="R37" s="351"/>
      <c r="S37" s="350">
        <f t="shared" si="5"/>
        <v>0</v>
      </c>
      <c r="T37" s="350">
        <f t="shared" si="6"/>
        <v>0</v>
      </c>
      <c r="U37" s="351"/>
      <c r="V37" s="350">
        <f t="shared" si="7"/>
        <v>0</v>
      </c>
      <c r="W37" s="352">
        <f t="shared" si="8"/>
        <v>0</v>
      </c>
      <c r="X37" s="351"/>
      <c r="Y37" s="350">
        <f t="shared" si="9"/>
        <v>0</v>
      </c>
      <c r="Z37" s="353">
        <f t="shared" si="10"/>
        <v>0</v>
      </c>
      <c r="AA37" s="102"/>
      <c r="AB37" s="102"/>
      <c r="AC37" s="304">
        <f>Gen!T42</f>
        <v>0</v>
      </c>
    </row>
    <row r="38" spans="1:29">
      <c r="A38" s="299"/>
      <c r="B38" s="299"/>
      <c r="C38" s="299"/>
      <c r="D38" s="299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8"/>
  <sheetViews>
    <sheetView topLeftCell="A28" zoomScale="110" zoomScaleNormal="110" workbookViewId="0">
      <pane xSplit="2" topLeftCell="C1" activePane="topRight" state="frozen"/>
      <selection pane="topRight" activeCell="S42" sqref="S42"/>
    </sheetView>
  </sheetViews>
  <sheetFormatPr defaultColWidth="9.140625" defaultRowHeight="11.25"/>
  <cols>
    <col min="1" max="1" width="9.140625" style="217"/>
    <col min="2" max="2" width="9.85546875" style="478" customWidth="1"/>
    <col min="3" max="3" width="11.140625" style="478" customWidth="1"/>
    <col min="4" max="4" width="9" style="478" customWidth="1"/>
    <col min="5" max="5" width="9.140625" style="478" bestFit="1" customWidth="1"/>
    <col min="6" max="6" width="10.140625" style="478" bestFit="1" customWidth="1"/>
    <col min="7" max="7" width="10.7109375" style="478" customWidth="1"/>
    <col min="8" max="8" width="11.28515625" style="478" customWidth="1"/>
    <col min="9" max="9" width="9.7109375" style="478" customWidth="1"/>
    <col min="10" max="10" width="8" style="478" customWidth="1"/>
    <col min="11" max="11" width="8.7109375" style="478" customWidth="1"/>
    <col min="12" max="12" width="8.28515625" style="478" customWidth="1"/>
    <col min="13" max="13" width="10.140625" style="478" customWidth="1"/>
    <col min="14" max="14" width="9.28515625" style="478" customWidth="1"/>
    <col min="15" max="15" width="10" style="478" customWidth="1"/>
    <col min="16" max="16" width="10.140625" style="478" customWidth="1"/>
    <col min="17" max="17" width="9.28515625" style="478" customWidth="1"/>
    <col min="18" max="18" width="10.7109375" style="478" customWidth="1"/>
    <col min="19" max="19" width="13.140625" style="478" customWidth="1"/>
    <col min="20" max="20" width="11.7109375" style="219" customWidth="1"/>
    <col min="21" max="21" width="12.42578125" style="219" customWidth="1"/>
    <col min="22" max="22" width="13.140625" style="219" customWidth="1"/>
    <col min="23" max="23" width="11.42578125" style="219" customWidth="1"/>
    <col min="24" max="24" width="13" style="219" customWidth="1"/>
    <col min="25" max="25" width="12.7109375" style="219" customWidth="1"/>
    <col min="26" max="26" width="13.140625" style="219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79"/>
      <c r="C1" s="779"/>
    </row>
    <row r="2" spans="2:47" ht="26.25">
      <c r="B2" s="779"/>
      <c r="C2" s="779"/>
      <c r="E2" s="780" t="s">
        <v>294</v>
      </c>
      <c r="F2" s="780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  <c r="W2" s="781"/>
      <c r="X2" s="781"/>
      <c r="Y2" s="781"/>
      <c r="Z2" s="781"/>
      <c r="AA2" s="781"/>
      <c r="AB2" s="781"/>
      <c r="AC2" s="781"/>
      <c r="AD2" s="781"/>
      <c r="AE2" s="781"/>
      <c r="AF2" s="781"/>
      <c r="AG2" s="781"/>
      <c r="AH2" s="781"/>
      <c r="AI2" s="781"/>
      <c r="AJ2" s="781"/>
      <c r="AK2" s="781"/>
      <c r="AL2" s="781"/>
      <c r="AM2" s="781"/>
      <c r="AN2" s="781"/>
      <c r="AO2" s="781"/>
      <c r="AP2" s="781"/>
      <c r="AQ2" s="781"/>
      <c r="AR2" s="781"/>
      <c r="AS2" s="781"/>
      <c r="AT2" s="781"/>
      <c r="AU2" s="781"/>
    </row>
    <row r="3" spans="2:47">
      <c r="B3" s="779"/>
      <c r="C3" s="779"/>
      <c r="L3" s="218"/>
      <c r="R3" s="218"/>
    </row>
    <row r="4" spans="2:47">
      <c r="B4" s="779"/>
      <c r="C4" s="779"/>
      <c r="L4" s="218"/>
      <c r="R4" s="218"/>
    </row>
    <row r="5" spans="2:47" ht="12" thickBot="1">
      <c r="B5" s="779"/>
      <c r="C5" s="779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79"/>
      <c r="C6" s="779"/>
      <c r="D6" s="223"/>
      <c r="G6" s="788" t="s">
        <v>47</v>
      </c>
      <c r="H6" s="789"/>
      <c r="I6" s="789"/>
      <c r="J6" s="789"/>
      <c r="K6" s="789"/>
      <c r="L6" s="789"/>
      <c r="M6" s="790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82" t="s">
        <v>182</v>
      </c>
      <c r="H7" s="783"/>
      <c r="I7" s="783"/>
      <c r="J7" s="783"/>
      <c r="K7" s="783"/>
      <c r="L7" s="783"/>
      <c r="M7" s="784"/>
      <c r="N7" s="785" t="s">
        <v>39</v>
      </c>
      <c r="O7" s="786"/>
      <c r="P7" s="786"/>
      <c r="Q7" s="786"/>
      <c r="R7" s="786"/>
      <c r="S7" s="787"/>
      <c r="T7" s="402"/>
      <c r="U7" s="403"/>
      <c r="V7" s="404"/>
      <c r="W7" s="405" t="s">
        <v>61</v>
      </c>
      <c r="X7" s="406" t="s">
        <v>61</v>
      </c>
      <c r="Y7" s="406" t="s">
        <v>5</v>
      </c>
      <c r="Z7" s="406" t="s">
        <v>62</v>
      </c>
      <c r="AA7" s="406" t="s">
        <v>64</v>
      </c>
      <c r="AB7" s="406" t="s">
        <v>63</v>
      </c>
      <c r="AC7" s="406" t="s">
        <v>63</v>
      </c>
      <c r="AD7" s="407" t="s">
        <v>180</v>
      </c>
      <c r="AE7" s="406" t="s">
        <v>30</v>
      </c>
      <c r="AF7" s="406" t="s">
        <v>78</v>
      </c>
      <c r="AG7" s="408" t="s">
        <v>22</v>
      </c>
      <c r="AH7" s="409" t="s">
        <v>29</v>
      </c>
      <c r="AI7" s="406" t="s">
        <v>65</v>
      </c>
      <c r="AJ7" s="410" t="s">
        <v>171</v>
      </c>
      <c r="AK7" s="419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28" t="s">
        <v>0</v>
      </c>
      <c r="C8" s="429" t="s">
        <v>297</v>
      </c>
      <c r="D8" s="430" t="s">
        <v>2</v>
      </c>
      <c r="E8" s="431" t="s">
        <v>37</v>
      </c>
      <c r="F8" s="431" t="s">
        <v>77</v>
      </c>
      <c r="G8" s="432" t="s">
        <v>288</v>
      </c>
      <c r="H8" s="588">
        <v>1</v>
      </c>
      <c r="I8" s="422">
        <v>2</v>
      </c>
      <c r="J8" s="422">
        <v>3</v>
      </c>
      <c r="K8" s="422">
        <v>4</v>
      </c>
      <c r="L8" s="422">
        <v>5</v>
      </c>
      <c r="M8" s="423">
        <v>6</v>
      </c>
      <c r="N8" s="424">
        <v>1</v>
      </c>
      <c r="O8" s="425">
        <v>2</v>
      </c>
      <c r="P8" s="425">
        <v>3</v>
      </c>
      <c r="Q8" s="425">
        <v>4</v>
      </c>
      <c r="R8" s="425">
        <v>5</v>
      </c>
      <c r="S8" s="425">
        <v>6</v>
      </c>
      <c r="T8" s="426" t="s">
        <v>38</v>
      </c>
      <c r="U8" s="426" t="s">
        <v>40</v>
      </c>
      <c r="V8" s="427" t="s">
        <v>179</v>
      </c>
      <c r="W8" s="412" t="s">
        <v>33</v>
      </c>
      <c r="X8" s="413" t="s">
        <v>32</v>
      </c>
      <c r="Y8" s="413" t="s">
        <v>35</v>
      </c>
      <c r="Z8" s="414" t="s">
        <v>189</v>
      </c>
      <c r="AA8" s="414" t="s">
        <v>188</v>
      </c>
      <c r="AB8" s="414" t="s">
        <v>190</v>
      </c>
      <c r="AC8" s="413" t="s">
        <v>230</v>
      </c>
      <c r="AD8" s="415" t="s">
        <v>34</v>
      </c>
      <c r="AE8" s="413" t="s">
        <v>31</v>
      </c>
      <c r="AF8" s="413" t="s">
        <v>191</v>
      </c>
      <c r="AG8" s="413" t="s">
        <v>192</v>
      </c>
      <c r="AH8" s="416" t="s">
        <v>66</v>
      </c>
      <c r="AI8" s="417" t="s">
        <v>28</v>
      </c>
      <c r="AJ8" s="418" t="s">
        <v>28</v>
      </c>
      <c r="AK8" s="665"/>
      <c r="AL8" s="315"/>
      <c r="AM8" s="52"/>
      <c r="AN8" s="52"/>
      <c r="AO8" s="52"/>
      <c r="AP8" s="52"/>
      <c r="AQ8" s="229"/>
      <c r="AR8" s="420"/>
      <c r="AS8" s="668" t="s">
        <v>181</v>
      </c>
      <c r="AT8" s="668" t="s">
        <v>42</v>
      </c>
      <c r="AU8" s="674" t="s">
        <v>3</v>
      </c>
    </row>
    <row r="9" spans="2:47" ht="14.25">
      <c r="B9" s="589"/>
      <c r="C9" s="231"/>
      <c r="D9" s="690">
        <f>[5]Gen!$D$43</f>
        <v>41048.869999999995</v>
      </c>
      <c r="E9" s="691"/>
      <c r="F9" s="692"/>
      <c r="G9" s="421"/>
      <c r="H9" s="638"/>
      <c r="I9" s="639"/>
      <c r="J9" s="640"/>
      <c r="K9" s="641"/>
      <c r="L9" s="642"/>
      <c r="M9" s="643"/>
      <c r="N9" s="646"/>
      <c r="O9" s="647"/>
      <c r="P9" s="647"/>
      <c r="Q9" s="647"/>
      <c r="R9" s="647"/>
      <c r="S9" s="648"/>
      <c r="T9" s="655">
        <f t="shared" ref="T9:T45" si="0">SUM(G9:M9)</f>
        <v>0</v>
      </c>
      <c r="U9" s="656">
        <f t="shared" ref="U9:U43" si="1">SUM(N9:S9)</f>
        <v>0</v>
      </c>
      <c r="V9" s="657"/>
      <c r="W9" s="653"/>
      <c r="X9" s="237"/>
      <c r="Y9" s="411"/>
      <c r="Z9" s="411"/>
      <c r="AA9" s="411"/>
      <c r="AB9" s="237"/>
      <c r="AC9" s="235"/>
      <c r="AD9" s="237"/>
      <c r="AE9" s="238"/>
      <c r="AF9" s="238"/>
      <c r="AG9" s="239"/>
      <c r="AH9" s="235"/>
      <c r="AI9" s="237"/>
      <c r="AJ9" s="662"/>
      <c r="AK9" s="666"/>
      <c r="AL9" s="240"/>
      <c r="AM9" s="240"/>
      <c r="AN9" s="240"/>
      <c r="AO9" s="240"/>
      <c r="AP9" s="240"/>
      <c r="AQ9" s="240"/>
      <c r="AR9" s="240"/>
      <c r="AS9" s="675">
        <f t="shared" ref="AS9:AS43" si="2">SUM(AK9+T9)</f>
        <v>0</v>
      </c>
      <c r="AT9" s="679"/>
      <c r="AU9" s="677">
        <v>38784.699999999997</v>
      </c>
    </row>
    <row r="10" spans="2:47" ht="13.5" customHeight="1">
      <c r="B10" s="590"/>
      <c r="C10" s="682"/>
      <c r="D10" s="693"/>
      <c r="E10" s="232"/>
      <c r="F10" s="694"/>
      <c r="G10" s="342"/>
      <c r="H10" s="644"/>
      <c r="I10" s="243"/>
      <c r="J10" s="244"/>
      <c r="K10" s="243"/>
      <c r="L10" s="243"/>
      <c r="M10" s="342"/>
      <c r="N10" s="649"/>
      <c r="O10" s="246"/>
      <c r="P10" s="245"/>
      <c r="Q10" s="245"/>
      <c r="R10" s="245"/>
      <c r="S10" s="634"/>
      <c r="T10" s="658">
        <f t="shared" si="0"/>
        <v>0</v>
      </c>
      <c r="U10" s="255">
        <f t="shared" si="1"/>
        <v>0</v>
      </c>
      <c r="V10" s="659">
        <f>SUM(O10:T10)</f>
        <v>0</v>
      </c>
      <c r="W10" s="250"/>
      <c r="X10" s="256"/>
      <c r="Y10" s="236"/>
      <c r="Z10" s="248"/>
      <c r="AA10" s="243"/>
      <c r="AB10" s="248"/>
      <c r="AC10" s="249"/>
      <c r="AD10" s="248"/>
      <c r="AE10" s="250"/>
      <c r="AF10" s="250"/>
      <c r="AG10" s="248"/>
      <c r="AH10" s="251"/>
      <c r="AI10" s="256"/>
      <c r="AJ10" s="662"/>
      <c r="AK10" s="667">
        <f t="shared" ref="AK10:AK44" si="3">SUM(W10:AJ10)</f>
        <v>0</v>
      </c>
      <c r="AL10" s="263"/>
      <c r="AM10" s="252"/>
      <c r="AN10" s="252"/>
      <c r="AO10" s="252"/>
      <c r="AP10" s="252"/>
      <c r="AQ10" s="252"/>
      <c r="AR10" s="253"/>
      <c r="AS10" s="676">
        <f t="shared" si="2"/>
        <v>0</v>
      </c>
      <c r="AT10" s="680"/>
      <c r="AU10" s="678"/>
    </row>
    <row r="11" spans="2:47" s="258" customFormat="1" ht="13.5" customHeight="1">
      <c r="B11" s="592">
        <v>43922</v>
      </c>
      <c r="C11" s="683"/>
      <c r="D11" s="695">
        <f>SUM(D9+E11)</f>
        <v>41048.869999999995</v>
      </c>
      <c r="E11" s="259"/>
      <c r="F11" s="694"/>
      <c r="G11" s="342"/>
      <c r="H11" s="644"/>
      <c r="I11" s="243">
        <v>289.75</v>
      </c>
      <c r="J11" s="244"/>
      <c r="K11" s="243">
        <v>291</v>
      </c>
      <c r="L11" s="243"/>
      <c r="M11" s="342">
        <v>270.20999999999998</v>
      </c>
      <c r="N11" s="649"/>
      <c r="O11" s="245">
        <v>656</v>
      </c>
      <c r="P11" s="245"/>
      <c r="Q11" s="245">
        <v>727</v>
      </c>
      <c r="R11" s="245"/>
      <c r="S11" s="634">
        <v>668</v>
      </c>
      <c r="T11" s="658">
        <f t="shared" si="0"/>
        <v>850.96</v>
      </c>
      <c r="U11" s="255">
        <f t="shared" si="1"/>
        <v>2051</v>
      </c>
      <c r="V11" s="659">
        <f t="shared" ref="V11:V41" si="4">T11/U11</f>
        <v>0.41490004875670405</v>
      </c>
      <c r="W11" s="250"/>
      <c r="X11" s="248"/>
      <c r="Y11" s="248">
        <v>49.37</v>
      </c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662"/>
      <c r="AK11" s="667">
        <f t="shared" si="3"/>
        <v>49.37</v>
      </c>
      <c r="AL11" s="262"/>
      <c r="AM11" s="257"/>
      <c r="AN11" s="257"/>
      <c r="AO11" s="257"/>
      <c r="AP11" s="257"/>
      <c r="AQ11" s="257"/>
      <c r="AR11" s="669"/>
      <c r="AS11" s="676">
        <f t="shared" si="2"/>
        <v>900.33</v>
      </c>
      <c r="AT11" s="681">
        <f>AS11*AV11</f>
        <v>0</v>
      </c>
      <c r="AU11" s="678">
        <f t="shared" ref="AU11:AU43" si="5">D11</f>
        <v>41048.869999999995</v>
      </c>
    </row>
    <row r="12" spans="2:47" ht="13.5" customHeight="1">
      <c r="B12" s="592">
        <v>43923</v>
      </c>
      <c r="C12" s="683"/>
      <c r="D12" s="695">
        <f t="shared" ref="D12:D43" si="6">SUM(D11-AS11+E12)</f>
        <v>40148.539999999994</v>
      </c>
      <c r="E12" s="259"/>
      <c r="F12" s="694"/>
      <c r="G12" s="342"/>
      <c r="H12" s="644"/>
      <c r="I12" s="243"/>
      <c r="J12" s="260"/>
      <c r="K12" s="243">
        <v>212.16</v>
      </c>
      <c r="L12" s="243">
        <v>302.41000000000003</v>
      </c>
      <c r="M12" s="342">
        <v>351.68</v>
      </c>
      <c r="N12" s="649"/>
      <c r="O12" s="245"/>
      <c r="P12" s="245"/>
      <c r="Q12" s="245">
        <v>582</v>
      </c>
      <c r="R12" s="245">
        <v>715</v>
      </c>
      <c r="S12" s="634">
        <v>791</v>
      </c>
      <c r="T12" s="658">
        <f t="shared" si="0"/>
        <v>866.25</v>
      </c>
      <c r="U12" s="255">
        <f t="shared" si="1"/>
        <v>2088</v>
      </c>
      <c r="V12" s="659">
        <f t="shared" si="4"/>
        <v>0.41487068965517243</v>
      </c>
      <c r="W12" s="250"/>
      <c r="X12" s="248"/>
      <c r="Y12" s="248"/>
      <c r="Z12" s="248"/>
      <c r="AA12" s="248">
        <v>9.39</v>
      </c>
      <c r="AB12" s="248"/>
      <c r="AC12" s="248"/>
      <c r="AD12" s="248"/>
      <c r="AE12" s="248"/>
      <c r="AF12" s="248"/>
      <c r="AG12" s="248"/>
      <c r="AH12" s="248"/>
      <c r="AI12" s="248"/>
      <c r="AJ12" s="662"/>
      <c r="AK12" s="667">
        <f t="shared" si="3"/>
        <v>9.39</v>
      </c>
      <c r="AL12" s="263"/>
      <c r="AM12" s="252"/>
      <c r="AN12" s="252"/>
      <c r="AO12" s="252"/>
      <c r="AP12" s="252"/>
      <c r="AQ12" s="252"/>
      <c r="AR12" s="253"/>
      <c r="AS12" s="676">
        <f t="shared" si="2"/>
        <v>875.64</v>
      </c>
      <c r="AT12" s="681">
        <f t="shared" ref="AT12:AT44" si="7">AS12*AV12</f>
        <v>0</v>
      </c>
      <c r="AU12" s="678">
        <f t="shared" si="5"/>
        <v>40148.539999999994</v>
      </c>
    </row>
    <row r="13" spans="2:47" ht="13.5" customHeight="1">
      <c r="B13" s="592">
        <v>43924</v>
      </c>
      <c r="C13" s="683"/>
      <c r="D13" s="695">
        <f t="shared" si="6"/>
        <v>39272.899999999994</v>
      </c>
      <c r="E13" s="259"/>
      <c r="F13" s="694"/>
      <c r="G13" s="685"/>
      <c r="H13" s="644"/>
      <c r="I13" s="243">
        <v>330.06</v>
      </c>
      <c r="J13" s="260"/>
      <c r="K13" s="243">
        <v>304.45999999999998</v>
      </c>
      <c r="L13" s="243">
        <v>198.4</v>
      </c>
      <c r="M13" s="342"/>
      <c r="N13" s="649"/>
      <c r="O13" s="245">
        <v>716</v>
      </c>
      <c r="P13" s="245"/>
      <c r="Q13" s="245">
        <v>632</v>
      </c>
      <c r="R13" s="245">
        <v>550</v>
      </c>
      <c r="S13" s="634"/>
      <c r="T13" s="658">
        <f t="shared" si="0"/>
        <v>832.92</v>
      </c>
      <c r="U13" s="255">
        <f t="shared" si="1"/>
        <v>1898</v>
      </c>
      <c r="V13" s="659">
        <f t="shared" si="4"/>
        <v>0.438840885142255</v>
      </c>
      <c r="W13" s="250"/>
      <c r="X13" s="256">
        <v>18.02</v>
      </c>
      <c r="Y13" s="585"/>
      <c r="Z13" s="585"/>
      <c r="AA13" s="243"/>
      <c r="AB13" s="316"/>
      <c r="AC13" s="256"/>
      <c r="AD13" s="256"/>
      <c r="AE13" s="256"/>
      <c r="AF13" s="256"/>
      <c r="AG13" s="256"/>
      <c r="AH13" s="256"/>
      <c r="AI13" s="256"/>
      <c r="AJ13" s="662"/>
      <c r="AK13" s="667">
        <f t="shared" si="3"/>
        <v>18.02</v>
      </c>
      <c r="AL13" s="663"/>
      <c r="AM13" s="261"/>
      <c r="AN13" s="261"/>
      <c r="AO13" s="261"/>
      <c r="AP13" s="261"/>
      <c r="AQ13" s="261"/>
      <c r="AR13" s="670"/>
      <c r="AS13" s="676">
        <f t="shared" si="2"/>
        <v>850.93999999999994</v>
      </c>
      <c r="AT13" s="681">
        <f t="shared" si="7"/>
        <v>0</v>
      </c>
      <c r="AU13" s="678">
        <f t="shared" si="5"/>
        <v>39272.899999999994</v>
      </c>
    </row>
    <row r="14" spans="2:47" ht="13.5" customHeight="1">
      <c r="B14" s="592">
        <v>43925</v>
      </c>
      <c r="C14" s="683"/>
      <c r="D14" s="695">
        <f t="shared" si="6"/>
        <v>38421.959999999992</v>
      </c>
      <c r="E14" s="259"/>
      <c r="F14" s="694"/>
      <c r="G14" s="685"/>
      <c r="H14" s="644"/>
      <c r="I14" s="243">
        <v>219.03</v>
      </c>
      <c r="J14" s="260"/>
      <c r="K14" s="243"/>
      <c r="L14" s="243">
        <v>276.5</v>
      </c>
      <c r="M14" s="342">
        <v>294.02</v>
      </c>
      <c r="N14" s="649"/>
      <c r="O14" s="245">
        <v>537</v>
      </c>
      <c r="P14" s="245"/>
      <c r="Q14" s="245"/>
      <c r="R14" s="245">
        <v>627</v>
      </c>
      <c r="S14" s="634">
        <v>651</v>
      </c>
      <c r="T14" s="658">
        <f t="shared" si="0"/>
        <v>789.55</v>
      </c>
      <c r="U14" s="255">
        <f t="shared" si="1"/>
        <v>1815</v>
      </c>
      <c r="V14" s="659">
        <f t="shared" si="4"/>
        <v>0.43501377410468317</v>
      </c>
      <c r="W14" s="250"/>
      <c r="X14" s="256"/>
      <c r="Z14" s="585">
        <v>35.53</v>
      </c>
      <c r="AA14" s="243">
        <v>24.84</v>
      </c>
      <c r="AB14" s="316"/>
      <c r="AC14" s="256"/>
      <c r="AD14" s="256"/>
      <c r="AE14" s="256"/>
      <c r="AF14" s="256"/>
      <c r="AG14" s="256"/>
      <c r="AH14" s="256">
        <v>600</v>
      </c>
      <c r="AI14" s="256"/>
      <c r="AJ14" s="662"/>
      <c r="AK14" s="667">
        <f t="shared" si="3"/>
        <v>660.37</v>
      </c>
      <c r="AL14" s="262"/>
      <c r="AM14" s="257"/>
      <c r="AN14" s="257"/>
      <c r="AO14" s="257"/>
      <c r="AP14" s="257"/>
      <c r="AQ14" s="257"/>
      <c r="AR14" s="669"/>
      <c r="AS14" s="676">
        <f t="shared" si="2"/>
        <v>1449.92</v>
      </c>
      <c r="AT14" s="681">
        <f t="shared" si="7"/>
        <v>0</v>
      </c>
      <c r="AU14" s="678">
        <f t="shared" si="5"/>
        <v>38421.959999999992</v>
      </c>
    </row>
    <row r="15" spans="2:47" ht="13.5" customHeight="1">
      <c r="B15" s="592">
        <v>43926</v>
      </c>
      <c r="C15" s="683"/>
      <c r="D15" s="695">
        <f t="shared" si="6"/>
        <v>36972.039999999994</v>
      </c>
      <c r="E15" s="259"/>
      <c r="F15" s="694"/>
      <c r="G15" s="685"/>
      <c r="H15" s="644"/>
      <c r="I15" s="243">
        <v>299.83999999999997</v>
      </c>
      <c r="J15" s="260"/>
      <c r="K15" s="243">
        <v>290.92</v>
      </c>
      <c r="L15" s="243">
        <v>222.58</v>
      </c>
      <c r="M15" s="342"/>
      <c r="N15" s="649"/>
      <c r="O15" s="245">
        <v>601</v>
      </c>
      <c r="P15" s="245"/>
      <c r="Q15" s="245">
        <v>664</v>
      </c>
      <c r="R15" s="245">
        <v>576</v>
      </c>
      <c r="S15" s="634"/>
      <c r="T15" s="658">
        <f t="shared" si="0"/>
        <v>813.34</v>
      </c>
      <c r="U15" s="255">
        <f t="shared" si="1"/>
        <v>1841</v>
      </c>
      <c r="V15" s="659">
        <f t="shared" si="4"/>
        <v>0.44179250407387294</v>
      </c>
      <c r="W15" s="250"/>
      <c r="X15" s="256"/>
      <c r="Y15" s="236"/>
      <c r="Z15" s="256"/>
      <c r="AA15" s="243">
        <v>34.28</v>
      </c>
      <c r="AB15" s="316"/>
      <c r="AC15" s="256"/>
      <c r="AD15" s="256"/>
      <c r="AE15" s="256"/>
      <c r="AF15" s="256"/>
      <c r="AG15" s="256"/>
      <c r="AH15" s="256"/>
      <c r="AI15" s="256"/>
      <c r="AJ15" s="662"/>
      <c r="AK15" s="667">
        <f t="shared" si="3"/>
        <v>34.28</v>
      </c>
      <c r="AL15" s="262"/>
      <c r="AM15" s="257"/>
      <c r="AN15" s="257"/>
      <c r="AO15" s="257"/>
      <c r="AP15" s="257"/>
      <c r="AQ15" s="257"/>
      <c r="AR15" s="669"/>
      <c r="AS15" s="676">
        <f t="shared" si="2"/>
        <v>847.62</v>
      </c>
      <c r="AT15" s="681">
        <f t="shared" si="7"/>
        <v>0</v>
      </c>
      <c r="AU15" s="678">
        <f t="shared" si="5"/>
        <v>36972.039999999994</v>
      </c>
    </row>
    <row r="16" spans="2:47" ht="13.5" customHeight="1">
      <c r="B16" s="592">
        <v>43927</v>
      </c>
      <c r="C16" s="683"/>
      <c r="D16" s="695">
        <f t="shared" si="6"/>
        <v>36124.419999999991</v>
      </c>
      <c r="E16" s="259"/>
      <c r="F16" s="694">
        <v>15000</v>
      </c>
      <c r="G16" s="686" t="s">
        <v>295</v>
      </c>
      <c r="H16" s="644"/>
      <c r="I16" s="243"/>
      <c r="J16" s="260"/>
      <c r="K16" s="243">
        <v>303.20999999999998</v>
      </c>
      <c r="L16" s="243">
        <v>236.21</v>
      </c>
      <c r="M16" s="342">
        <v>218.11</v>
      </c>
      <c r="N16" s="649"/>
      <c r="O16" s="245"/>
      <c r="P16" s="245"/>
      <c r="Q16" s="245">
        <v>691</v>
      </c>
      <c r="R16" s="245">
        <v>493</v>
      </c>
      <c r="S16" s="634">
        <v>605</v>
      </c>
      <c r="T16" s="658">
        <f t="shared" si="0"/>
        <v>757.53</v>
      </c>
      <c r="U16" s="255">
        <f t="shared" si="1"/>
        <v>1789</v>
      </c>
      <c r="V16" s="659">
        <f t="shared" si="4"/>
        <v>0.42343767467859139</v>
      </c>
      <c r="W16" s="250"/>
      <c r="X16" s="256"/>
      <c r="Y16" s="236"/>
      <c r="Z16" s="256"/>
      <c r="AA16" s="243"/>
      <c r="AB16" s="316"/>
      <c r="AC16" s="256"/>
      <c r="AD16" s="256"/>
      <c r="AE16" s="256"/>
      <c r="AF16" s="256"/>
      <c r="AG16" s="256"/>
      <c r="AH16" s="256"/>
      <c r="AI16" s="256"/>
      <c r="AJ16" s="662"/>
      <c r="AK16" s="667">
        <f t="shared" si="3"/>
        <v>0</v>
      </c>
      <c r="AL16" s="262"/>
      <c r="AM16" s="257"/>
      <c r="AN16" s="257"/>
      <c r="AO16" s="257"/>
      <c r="AP16" s="257"/>
      <c r="AQ16" s="257"/>
      <c r="AR16" s="669"/>
      <c r="AS16" s="676">
        <f t="shared" si="2"/>
        <v>757.53</v>
      </c>
      <c r="AT16" s="681">
        <f t="shared" si="7"/>
        <v>0</v>
      </c>
      <c r="AU16" s="678">
        <f t="shared" si="5"/>
        <v>36124.419999999991</v>
      </c>
    </row>
    <row r="17" spans="2:47" ht="13.5" customHeight="1">
      <c r="B17" s="592">
        <v>43928</v>
      </c>
      <c r="C17" s="683"/>
      <c r="D17" s="695">
        <f t="shared" si="6"/>
        <v>50366.889999999992</v>
      </c>
      <c r="E17" s="259">
        <v>15000</v>
      </c>
      <c r="F17" s="694"/>
      <c r="G17" s="685"/>
      <c r="H17" s="644"/>
      <c r="I17" s="243">
        <v>282.75</v>
      </c>
      <c r="J17" s="260"/>
      <c r="K17" s="243">
        <v>195.24</v>
      </c>
      <c r="L17" s="243"/>
      <c r="M17" s="342">
        <v>305.56</v>
      </c>
      <c r="N17" s="649"/>
      <c r="O17" s="245">
        <v>655</v>
      </c>
      <c r="P17" s="245"/>
      <c r="Q17" s="245">
        <v>568</v>
      </c>
      <c r="R17" s="245"/>
      <c r="S17" s="634">
        <v>644</v>
      </c>
      <c r="T17" s="658">
        <f t="shared" si="0"/>
        <v>783.55</v>
      </c>
      <c r="U17" s="255">
        <f t="shared" si="1"/>
        <v>1867</v>
      </c>
      <c r="V17" s="659">
        <f t="shared" si="4"/>
        <v>0.41968398500267806</v>
      </c>
      <c r="W17" s="250"/>
      <c r="X17" s="256">
        <v>24.64</v>
      </c>
      <c r="Y17" s="236"/>
      <c r="Z17" s="256"/>
      <c r="AA17" s="243">
        <v>83.56</v>
      </c>
      <c r="AB17" s="316"/>
      <c r="AC17" s="256"/>
      <c r="AD17" s="256"/>
      <c r="AE17" s="256"/>
      <c r="AF17" s="256"/>
      <c r="AG17" s="256"/>
      <c r="AH17" s="256"/>
      <c r="AI17" s="256"/>
      <c r="AJ17" s="662"/>
      <c r="AK17" s="667">
        <f t="shared" si="3"/>
        <v>108.2</v>
      </c>
      <c r="AL17" s="262"/>
      <c r="AM17" s="257"/>
      <c r="AN17" s="257"/>
      <c r="AO17" s="257"/>
      <c r="AP17" s="257"/>
      <c r="AQ17" s="257"/>
      <c r="AR17" s="669"/>
      <c r="AS17" s="676">
        <f t="shared" si="2"/>
        <v>891.75</v>
      </c>
      <c r="AT17" s="681">
        <f t="shared" si="7"/>
        <v>0</v>
      </c>
      <c r="AU17" s="678">
        <f t="shared" si="5"/>
        <v>50366.889999999992</v>
      </c>
    </row>
    <row r="18" spans="2:47" ht="13.5" customHeight="1">
      <c r="B18" s="592">
        <v>43929</v>
      </c>
      <c r="C18" s="683"/>
      <c r="D18" s="695">
        <f t="shared" si="6"/>
        <v>49475.139999999992</v>
      </c>
      <c r="E18" s="259"/>
      <c r="F18" s="694"/>
      <c r="G18" s="685"/>
      <c r="H18" s="644"/>
      <c r="I18" s="243"/>
      <c r="J18" s="260"/>
      <c r="K18" s="243">
        <v>217.14</v>
      </c>
      <c r="L18" s="243">
        <v>295.58999999999997</v>
      </c>
      <c r="M18" s="342">
        <v>318.54000000000002</v>
      </c>
      <c r="N18" s="649"/>
      <c r="O18" s="245"/>
      <c r="P18" s="245"/>
      <c r="Q18" s="245">
        <v>480</v>
      </c>
      <c r="R18" s="245">
        <v>705</v>
      </c>
      <c r="S18" s="634">
        <v>755</v>
      </c>
      <c r="T18" s="658">
        <f t="shared" si="0"/>
        <v>831.27</v>
      </c>
      <c r="U18" s="255">
        <f t="shared" si="1"/>
        <v>1940</v>
      </c>
      <c r="V18" s="659">
        <f t="shared" si="4"/>
        <v>0.4284896907216495</v>
      </c>
      <c r="W18" s="250"/>
      <c r="X18" s="256"/>
      <c r="Y18" s="236"/>
      <c r="Z18" s="243"/>
      <c r="AA18" s="243"/>
      <c r="AB18" s="316"/>
      <c r="AC18" s="256"/>
      <c r="AD18" s="256"/>
      <c r="AE18" s="256"/>
      <c r="AF18" s="256"/>
      <c r="AG18" s="256"/>
      <c r="AH18" s="256"/>
      <c r="AI18" s="256"/>
      <c r="AJ18" s="662"/>
      <c r="AK18" s="667">
        <f t="shared" si="3"/>
        <v>0</v>
      </c>
      <c r="AL18" s="262"/>
      <c r="AM18" s="257"/>
      <c r="AN18" s="257"/>
      <c r="AO18" s="257"/>
      <c r="AP18" s="257"/>
      <c r="AQ18" s="257"/>
      <c r="AR18" s="669"/>
      <c r="AS18" s="676">
        <f t="shared" si="2"/>
        <v>831.27</v>
      </c>
      <c r="AT18" s="681">
        <f t="shared" si="7"/>
        <v>0</v>
      </c>
      <c r="AU18" s="678">
        <f t="shared" si="5"/>
        <v>49475.139999999992</v>
      </c>
    </row>
    <row r="19" spans="2:47" ht="13.5" customHeight="1">
      <c r="B19" s="592">
        <v>43930</v>
      </c>
      <c r="C19" s="683"/>
      <c r="D19" s="695">
        <f t="shared" si="6"/>
        <v>48643.869999999995</v>
      </c>
      <c r="E19" s="259"/>
      <c r="F19" s="694"/>
      <c r="G19" s="685"/>
      <c r="H19" s="644"/>
      <c r="I19" s="243">
        <v>242.98</v>
      </c>
      <c r="J19" s="260"/>
      <c r="K19" s="243"/>
      <c r="L19" s="243">
        <v>258.63</v>
      </c>
      <c r="M19" s="342">
        <v>304.70999999999998</v>
      </c>
      <c r="N19" s="649"/>
      <c r="O19" s="245">
        <v>564</v>
      </c>
      <c r="P19" s="245"/>
      <c r="Q19" s="245"/>
      <c r="R19" s="245">
        <v>613</v>
      </c>
      <c r="S19" s="634">
        <v>705</v>
      </c>
      <c r="T19" s="658">
        <f t="shared" si="0"/>
        <v>806.31999999999994</v>
      </c>
      <c r="U19" s="255">
        <f t="shared" si="1"/>
        <v>1882</v>
      </c>
      <c r="V19" s="659">
        <f t="shared" si="4"/>
        <v>0.42843783209351749</v>
      </c>
      <c r="W19" s="250"/>
      <c r="X19" s="256"/>
      <c r="Y19" s="236"/>
      <c r="Z19" s="256"/>
      <c r="AA19" s="243"/>
      <c r="AB19" s="316"/>
      <c r="AC19" s="256"/>
      <c r="AD19" s="256"/>
      <c r="AE19" s="256"/>
      <c r="AF19" s="256"/>
      <c r="AG19" s="256"/>
      <c r="AH19" s="256"/>
      <c r="AI19" s="256"/>
      <c r="AJ19" s="662"/>
      <c r="AK19" s="667">
        <f t="shared" si="3"/>
        <v>0</v>
      </c>
      <c r="AL19" s="262"/>
      <c r="AM19" s="253"/>
      <c r="AN19" s="257"/>
      <c r="AO19" s="262"/>
      <c r="AP19" s="262"/>
      <c r="AQ19" s="262"/>
      <c r="AR19" s="671"/>
      <c r="AS19" s="676">
        <f t="shared" si="2"/>
        <v>806.31999999999994</v>
      </c>
      <c r="AT19" s="681">
        <f t="shared" si="7"/>
        <v>0</v>
      </c>
      <c r="AU19" s="678">
        <f t="shared" si="5"/>
        <v>48643.869999999995</v>
      </c>
    </row>
    <row r="20" spans="2:47" ht="14.25">
      <c r="B20" s="592">
        <v>43931</v>
      </c>
      <c r="C20" s="683"/>
      <c r="D20" s="695">
        <f t="shared" si="6"/>
        <v>47837.549999999996</v>
      </c>
      <c r="E20" s="259"/>
      <c r="F20" s="694"/>
      <c r="G20" s="685"/>
      <c r="H20" s="644"/>
      <c r="I20" s="256">
        <v>361.49</v>
      </c>
      <c r="J20" s="260"/>
      <c r="K20" s="243"/>
      <c r="L20" s="243">
        <v>165.05</v>
      </c>
      <c r="M20" s="633">
        <v>297.20999999999998</v>
      </c>
      <c r="N20" s="649"/>
      <c r="O20" s="245">
        <v>791</v>
      </c>
      <c r="P20" s="245"/>
      <c r="Q20" s="245"/>
      <c r="R20" s="245">
        <v>462</v>
      </c>
      <c r="S20" s="650">
        <v>682</v>
      </c>
      <c r="T20" s="658">
        <f t="shared" si="0"/>
        <v>823.75</v>
      </c>
      <c r="U20" s="255">
        <f t="shared" si="1"/>
        <v>1935</v>
      </c>
      <c r="V20" s="659">
        <f t="shared" si="4"/>
        <v>0.42571059431524549</v>
      </c>
      <c r="W20" s="250"/>
      <c r="X20" s="256"/>
      <c r="Y20" s="236"/>
      <c r="Z20" s="256"/>
      <c r="AA20" s="243"/>
      <c r="AB20" s="316"/>
      <c r="AC20" s="256"/>
      <c r="AD20" s="256"/>
      <c r="AE20" s="256"/>
      <c r="AF20" s="256"/>
      <c r="AG20" s="256"/>
      <c r="AH20" s="256"/>
      <c r="AI20" s="256"/>
      <c r="AJ20" s="662"/>
      <c r="AK20" s="667">
        <f t="shared" si="3"/>
        <v>0</v>
      </c>
      <c r="AL20" s="262"/>
      <c r="AM20" s="253"/>
      <c r="AN20" s="257"/>
      <c r="AO20" s="262"/>
      <c r="AP20" s="262"/>
      <c r="AQ20" s="262"/>
      <c r="AR20" s="671"/>
      <c r="AS20" s="676">
        <f t="shared" si="2"/>
        <v>823.75</v>
      </c>
      <c r="AT20" s="681">
        <f t="shared" si="7"/>
        <v>0</v>
      </c>
      <c r="AU20" s="678">
        <f t="shared" si="5"/>
        <v>47837.549999999996</v>
      </c>
    </row>
    <row r="21" spans="2:47" ht="14.25">
      <c r="B21" s="592">
        <v>43932</v>
      </c>
      <c r="C21" s="683"/>
      <c r="D21" s="695">
        <f t="shared" si="6"/>
        <v>47013.799999999996</v>
      </c>
      <c r="E21" s="259"/>
      <c r="F21" s="694"/>
      <c r="G21" s="685"/>
      <c r="H21" s="644"/>
      <c r="I21" s="256">
        <v>291.7</v>
      </c>
      <c r="J21" s="260"/>
      <c r="K21" s="243"/>
      <c r="L21" s="243">
        <v>231.87</v>
      </c>
      <c r="M21" s="591">
        <v>259.10000000000002</v>
      </c>
      <c r="N21" s="649"/>
      <c r="O21" s="341">
        <v>714</v>
      </c>
      <c r="P21" s="245"/>
      <c r="Q21" s="245"/>
      <c r="R21" s="245">
        <v>555</v>
      </c>
      <c r="S21" s="634">
        <v>614</v>
      </c>
      <c r="T21" s="658">
        <f t="shared" si="0"/>
        <v>782.67</v>
      </c>
      <c r="U21" s="255">
        <f t="shared" si="1"/>
        <v>1883</v>
      </c>
      <c r="V21" s="659">
        <f t="shared" si="4"/>
        <v>0.41565055762081782</v>
      </c>
      <c r="W21" s="250"/>
      <c r="X21" s="256"/>
      <c r="Y21" s="236"/>
      <c r="Z21" s="256"/>
      <c r="AA21" s="243"/>
      <c r="AB21" s="316"/>
      <c r="AC21" s="256"/>
      <c r="AD21" s="256"/>
      <c r="AE21" s="256"/>
      <c r="AF21" s="256"/>
      <c r="AG21" s="256"/>
      <c r="AH21" s="256"/>
      <c r="AI21" s="256"/>
      <c r="AJ21" s="662"/>
      <c r="AK21" s="667">
        <f t="shared" si="3"/>
        <v>0</v>
      </c>
      <c r="AL21" s="263"/>
      <c r="AM21" s="253"/>
      <c r="AN21" s="257"/>
      <c r="AO21" s="262"/>
      <c r="AP21" s="262"/>
      <c r="AQ21" s="262"/>
      <c r="AR21" s="671"/>
      <c r="AS21" s="676">
        <f>SUM(AK21+T21)</f>
        <v>782.67</v>
      </c>
      <c r="AT21" s="681">
        <f t="shared" si="7"/>
        <v>0</v>
      </c>
      <c r="AU21" s="678">
        <f t="shared" si="5"/>
        <v>47013.799999999996</v>
      </c>
    </row>
    <row r="22" spans="2:47" ht="14.25">
      <c r="B22" s="592">
        <v>43933</v>
      </c>
      <c r="C22" s="683"/>
      <c r="D22" s="695">
        <f t="shared" si="6"/>
        <v>46231.13</v>
      </c>
      <c r="E22" s="259"/>
      <c r="F22" s="694"/>
      <c r="G22" s="685"/>
      <c r="H22" s="644"/>
      <c r="I22" s="243">
        <v>417.51</v>
      </c>
      <c r="J22" s="260"/>
      <c r="K22" s="243"/>
      <c r="L22" s="243"/>
      <c r="M22" s="633">
        <v>359.29</v>
      </c>
      <c r="N22" s="649"/>
      <c r="O22" s="341">
        <v>1018</v>
      </c>
      <c r="P22" s="245"/>
      <c r="Q22" s="245"/>
      <c r="R22" s="245"/>
      <c r="S22" s="634">
        <v>859</v>
      </c>
      <c r="T22" s="658">
        <f t="shared" si="0"/>
        <v>776.8</v>
      </c>
      <c r="U22" s="255">
        <f t="shared" si="1"/>
        <v>1877</v>
      </c>
      <c r="V22" s="659">
        <f t="shared" si="4"/>
        <v>0.41385189131592964</v>
      </c>
      <c r="W22" s="250"/>
      <c r="X22" s="256"/>
      <c r="Y22" s="236"/>
      <c r="Z22" s="256"/>
      <c r="AA22" s="243"/>
      <c r="AB22" s="316"/>
      <c r="AC22" s="256"/>
      <c r="AD22" s="256"/>
      <c r="AE22" s="256"/>
      <c r="AF22" s="256"/>
      <c r="AG22" s="256"/>
      <c r="AH22" s="256"/>
      <c r="AI22" s="256"/>
      <c r="AJ22" s="662"/>
      <c r="AK22" s="667">
        <f t="shared" si="3"/>
        <v>0</v>
      </c>
      <c r="AL22" s="263"/>
      <c r="AM22" s="253"/>
      <c r="AN22" s="257"/>
      <c r="AO22" s="262"/>
      <c r="AP22" s="262"/>
      <c r="AQ22" s="262"/>
      <c r="AR22" s="671"/>
      <c r="AS22" s="676">
        <f t="shared" si="2"/>
        <v>776.8</v>
      </c>
      <c r="AT22" s="681">
        <f t="shared" si="7"/>
        <v>0</v>
      </c>
      <c r="AU22" s="678">
        <f t="shared" si="5"/>
        <v>46231.13</v>
      </c>
    </row>
    <row r="23" spans="2:47" ht="14.25">
      <c r="B23" s="592">
        <v>43934</v>
      </c>
      <c r="C23" s="683"/>
      <c r="D23" s="695">
        <f t="shared" si="6"/>
        <v>45454.329999999994</v>
      </c>
      <c r="E23" s="259"/>
      <c r="F23" s="694"/>
      <c r="G23" s="685"/>
      <c r="H23" s="644"/>
      <c r="I23" s="256">
        <v>395.24</v>
      </c>
      <c r="J23" s="260"/>
      <c r="K23" s="243"/>
      <c r="L23" s="243">
        <v>376.48</v>
      </c>
      <c r="M23" s="633"/>
      <c r="N23" s="649"/>
      <c r="O23" s="245">
        <v>929</v>
      </c>
      <c r="P23" s="245"/>
      <c r="Q23" s="245"/>
      <c r="R23" s="245">
        <v>867</v>
      </c>
      <c r="S23" s="634"/>
      <c r="T23" s="658">
        <f t="shared" si="0"/>
        <v>771.72</v>
      </c>
      <c r="U23" s="255">
        <f t="shared" si="1"/>
        <v>1796</v>
      </c>
      <c r="V23" s="659">
        <f t="shared" si="4"/>
        <v>0.42968819599109132</v>
      </c>
      <c r="W23" s="250"/>
      <c r="X23" s="256"/>
      <c r="Y23" s="236"/>
      <c r="Z23" s="256"/>
      <c r="AA23" s="243">
        <v>19.86</v>
      </c>
      <c r="AB23" s="316"/>
      <c r="AC23" s="256"/>
      <c r="AD23" s="256"/>
      <c r="AE23" s="256"/>
      <c r="AF23" s="256"/>
      <c r="AG23" s="256"/>
      <c r="AH23" s="256"/>
      <c r="AI23" s="256"/>
      <c r="AJ23" s="662"/>
      <c r="AK23" s="667">
        <f t="shared" si="3"/>
        <v>19.86</v>
      </c>
      <c r="AL23" s="263"/>
      <c r="AM23" s="252"/>
      <c r="AN23" s="252"/>
      <c r="AO23" s="252"/>
      <c r="AP23" s="252"/>
      <c r="AQ23" s="252"/>
      <c r="AR23" s="253"/>
      <c r="AS23" s="676">
        <f t="shared" si="2"/>
        <v>791.58</v>
      </c>
      <c r="AT23" s="681">
        <f t="shared" si="7"/>
        <v>0</v>
      </c>
      <c r="AU23" s="678">
        <f t="shared" si="5"/>
        <v>45454.329999999994</v>
      </c>
    </row>
    <row r="24" spans="2:47" ht="14.25">
      <c r="B24" s="592">
        <v>43935</v>
      </c>
      <c r="C24" s="683"/>
      <c r="D24" s="695">
        <f t="shared" si="6"/>
        <v>44662.749999999993</v>
      </c>
      <c r="E24" s="242"/>
      <c r="F24" s="694"/>
      <c r="G24" s="685"/>
      <c r="H24" s="644"/>
      <c r="I24" s="256">
        <v>344.04</v>
      </c>
      <c r="J24" s="260"/>
      <c r="K24" s="243"/>
      <c r="L24" s="243"/>
      <c r="M24" s="633">
        <v>416.58</v>
      </c>
      <c r="N24" s="649"/>
      <c r="O24" s="341">
        <v>828</v>
      </c>
      <c r="P24" s="245"/>
      <c r="Q24" s="245"/>
      <c r="R24" s="245"/>
      <c r="S24" s="634">
        <v>961</v>
      </c>
      <c r="T24" s="658">
        <f t="shared" si="0"/>
        <v>760.62</v>
      </c>
      <c r="U24" s="255">
        <f t="shared" si="1"/>
        <v>1789</v>
      </c>
      <c r="V24" s="659">
        <f t="shared" si="4"/>
        <v>0.4251648965902739</v>
      </c>
      <c r="W24" s="250"/>
      <c r="X24" s="256"/>
      <c r="Y24" s="236"/>
      <c r="Z24" s="256"/>
      <c r="AA24" s="243"/>
      <c r="AB24" s="316"/>
      <c r="AC24" s="256"/>
      <c r="AD24" s="256"/>
      <c r="AE24" s="256"/>
      <c r="AF24" s="256"/>
      <c r="AG24" s="256"/>
      <c r="AH24" s="256"/>
      <c r="AI24" s="256"/>
      <c r="AJ24" s="662"/>
      <c r="AK24" s="667">
        <f t="shared" si="3"/>
        <v>0</v>
      </c>
      <c r="AL24" s="263"/>
      <c r="AM24" s="252"/>
      <c r="AN24" s="252"/>
      <c r="AO24" s="252"/>
      <c r="AP24" s="252"/>
      <c r="AQ24" s="252"/>
      <c r="AR24" s="253"/>
      <c r="AS24" s="676">
        <f t="shared" si="2"/>
        <v>760.62</v>
      </c>
      <c r="AT24" s="681">
        <f t="shared" si="7"/>
        <v>0</v>
      </c>
      <c r="AU24" s="678">
        <f t="shared" si="5"/>
        <v>44662.749999999993</v>
      </c>
    </row>
    <row r="25" spans="2:47" ht="14.25">
      <c r="B25" s="592">
        <v>43936</v>
      </c>
      <c r="C25" s="683"/>
      <c r="D25" s="695">
        <f t="shared" si="6"/>
        <v>43902.12999999999</v>
      </c>
      <c r="E25" s="259"/>
      <c r="F25" s="694"/>
      <c r="G25" s="685"/>
      <c r="H25" s="644"/>
      <c r="I25" s="256"/>
      <c r="J25" s="260"/>
      <c r="K25" s="243">
        <v>356.88</v>
      </c>
      <c r="L25" s="243">
        <v>429.31</v>
      </c>
      <c r="M25" s="633"/>
      <c r="N25" s="649"/>
      <c r="O25" s="245"/>
      <c r="P25" s="245"/>
      <c r="Q25" s="245">
        <v>817</v>
      </c>
      <c r="R25" s="245">
        <v>1006</v>
      </c>
      <c r="S25" s="634"/>
      <c r="T25" s="658">
        <f t="shared" si="0"/>
        <v>786.19</v>
      </c>
      <c r="U25" s="255">
        <f t="shared" si="1"/>
        <v>1823</v>
      </c>
      <c r="V25" s="659">
        <f t="shared" si="4"/>
        <v>0.43126165660998356</v>
      </c>
      <c r="W25" s="250"/>
      <c r="X25" s="256"/>
      <c r="Y25" s="236"/>
      <c r="Z25" s="256"/>
      <c r="AA25" s="243"/>
      <c r="AB25" s="316"/>
      <c r="AC25" s="256"/>
      <c r="AD25" s="256"/>
      <c r="AE25" s="256"/>
      <c r="AF25" s="256"/>
      <c r="AG25" s="256"/>
      <c r="AH25" s="256"/>
      <c r="AI25" s="256"/>
      <c r="AJ25" s="662"/>
      <c r="AK25" s="667">
        <f t="shared" si="3"/>
        <v>0</v>
      </c>
      <c r="AL25" s="263"/>
      <c r="AM25" s="252"/>
      <c r="AN25" s="252"/>
      <c r="AO25" s="252"/>
      <c r="AP25" s="252"/>
      <c r="AQ25" s="252"/>
      <c r="AR25" s="253"/>
      <c r="AS25" s="676">
        <f t="shared" si="2"/>
        <v>786.19</v>
      </c>
      <c r="AT25" s="681">
        <f t="shared" si="7"/>
        <v>0</v>
      </c>
      <c r="AU25" s="678">
        <f t="shared" si="5"/>
        <v>43902.12999999999</v>
      </c>
    </row>
    <row r="26" spans="2:47" ht="14.25">
      <c r="B26" s="592">
        <v>43937</v>
      </c>
      <c r="C26" s="683"/>
      <c r="D26" s="695">
        <f t="shared" si="6"/>
        <v>43115.939999999988</v>
      </c>
      <c r="E26" s="259"/>
      <c r="F26" s="694"/>
      <c r="G26" s="685"/>
      <c r="H26" s="644"/>
      <c r="I26" s="256">
        <v>321.24</v>
      </c>
      <c r="J26" s="260"/>
      <c r="K26" s="243"/>
      <c r="L26" s="243"/>
      <c r="M26" s="633">
        <v>433.03</v>
      </c>
      <c r="N26" s="649"/>
      <c r="O26" s="245">
        <v>745</v>
      </c>
      <c r="P26" s="245"/>
      <c r="Q26" s="245"/>
      <c r="R26" s="245"/>
      <c r="S26" s="634">
        <v>1037</v>
      </c>
      <c r="T26" s="658">
        <f t="shared" si="0"/>
        <v>754.27</v>
      </c>
      <c r="U26" s="255">
        <f t="shared" si="1"/>
        <v>1782</v>
      </c>
      <c r="V26" s="659">
        <f t="shared" si="4"/>
        <v>0.4232716049382716</v>
      </c>
      <c r="W26" s="250"/>
      <c r="X26" s="256"/>
      <c r="Y26" s="236"/>
      <c r="Z26" s="256"/>
      <c r="AA26" s="256"/>
      <c r="AB26" s="316"/>
      <c r="AC26" s="256"/>
      <c r="AD26" s="256"/>
      <c r="AE26" s="256"/>
      <c r="AF26" s="256"/>
      <c r="AG26" s="256"/>
      <c r="AH26" s="256"/>
      <c r="AI26" s="256"/>
      <c r="AJ26" s="662"/>
      <c r="AK26" s="667">
        <f t="shared" si="3"/>
        <v>0</v>
      </c>
      <c r="AL26" s="263"/>
      <c r="AM26" s="252"/>
      <c r="AN26" s="252"/>
      <c r="AO26" s="252"/>
      <c r="AP26" s="252"/>
      <c r="AQ26" s="252"/>
      <c r="AR26" s="253"/>
      <c r="AS26" s="676">
        <f t="shared" si="2"/>
        <v>754.27</v>
      </c>
      <c r="AT26" s="681">
        <f t="shared" si="7"/>
        <v>0</v>
      </c>
      <c r="AU26" s="678">
        <f t="shared" si="5"/>
        <v>43115.939999999988</v>
      </c>
    </row>
    <row r="27" spans="2:47" ht="14.25">
      <c r="B27" s="592">
        <v>43938</v>
      </c>
      <c r="C27" s="683"/>
      <c r="D27" s="695">
        <f t="shared" si="6"/>
        <v>42361.669999999991</v>
      </c>
      <c r="E27" s="259"/>
      <c r="F27" s="694"/>
      <c r="G27" s="685"/>
      <c r="H27" s="644"/>
      <c r="I27" s="256"/>
      <c r="J27" s="260"/>
      <c r="K27" s="243">
        <v>441.25</v>
      </c>
      <c r="L27" s="243">
        <v>340.68</v>
      </c>
      <c r="M27" s="633"/>
      <c r="N27" s="649"/>
      <c r="O27" s="245"/>
      <c r="P27" s="245"/>
      <c r="Q27" s="245">
        <v>1042</v>
      </c>
      <c r="R27" s="245">
        <v>815</v>
      </c>
      <c r="S27" s="634"/>
      <c r="T27" s="658">
        <f t="shared" si="0"/>
        <v>781.93000000000006</v>
      </c>
      <c r="U27" s="255">
        <f t="shared" si="1"/>
        <v>1857</v>
      </c>
      <c r="V27" s="659">
        <f t="shared" si="4"/>
        <v>0.42107162089391498</v>
      </c>
      <c r="W27" s="250"/>
      <c r="X27" s="256"/>
      <c r="Y27" s="236"/>
      <c r="Z27" s="256"/>
      <c r="AA27" s="243">
        <v>18.45</v>
      </c>
      <c r="AB27" s="316"/>
      <c r="AC27" s="256"/>
      <c r="AD27" s="256"/>
      <c r="AE27" s="256"/>
      <c r="AF27" s="256"/>
      <c r="AG27" s="256"/>
      <c r="AH27" s="256"/>
      <c r="AI27" s="256"/>
      <c r="AJ27" s="662"/>
      <c r="AK27" s="667">
        <f t="shared" si="3"/>
        <v>18.45</v>
      </c>
      <c r="AL27" s="263"/>
      <c r="AM27" s="252"/>
      <c r="AN27" s="252"/>
      <c r="AO27" s="252"/>
      <c r="AP27" s="252"/>
      <c r="AQ27" s="252"/>
      <c r="AR27" s="253"/>
      <c r="AS27" s="676">
        <f t="shared" si="2"/>
        <v>800.38000000000011</v>
      </c>
      <c r="AT27" s="681">
        <f t="shared" si="7"/>
        <v>0</v>
      </c>
      <c r="AU27" s="678">
        <f t="shared" si="5"/>
        <v>42361.669999999991</v>
      </c>
    </row>
    <row r="28" spans="2:47" ht="14.25">
      <c r="B28" s="592">
        <v>43939</v>
      </c>
      <c r="C28" s="683"/>
      <c r="D28" s="695">
        <f t="shared" si="6"/>
        <v>41561.289999999994</v>
      </c>
      <c r="E28" s="259"/>
      <c r="F28" s="694"/>
      <c r="G28" s="685"/>
      <c r="H28" s="644"/>
      <c r="I28" s="256">
        <v>408.61</v>
      </c>
      <c r="J28" s="244"/>
      <c r="K28" s="243"/>
      <c r="L28" s="243"/>
      <c r="M28" s="633">
        <v>335.61</v>
      </c>
      <c r="N28" s="649"/>
      <c r="O28" s="245">
        <v>963</v>
      </c>
      <c r="P28" s="245"/>
      <c r="Q28" s="245"/>
      <c r="R28" s="245"/>
      <c r="S28" s="634">
        <v>793</v>
      </c>
      <c r="T28" s="658">
        <f t="shared" si="0"/>
        <v>744.22</v>
      </c>
      <c r="U28" s="255">
        <f t="shared" si="1"/>
        <v>1756</v>
      </c>
      <c r="V28" s="659">
        <f t="shared" si="4"/>
        <v>0.42381548974943056</v>
      </c>
      <c r="W28" s="250"/>
      <c r="X28" s="256"/>
      <c r="Y28" s="236"/>
      <c r="Z28" s="256"/>
      <c r="AA28" s="243"/>
      <c r="AB28" s="316"/>
      <c r="AC28" s="256"/>
      <c r="AD28" s="256"/>
      <c r="AE28" s="256"/>
      <c r="AF28" s="256"/>
      <c r="AG28" s="256"/>
      <c r="AH28" s="256"/>
      <c r="AI28" s="256"/>
      <c r="AJ28" s="662"/>
      <c r="AK28" s="667">
        <f>SUM(W28:AJ28)</f>
        <v>0</v>
      </c>
      <c r="AL28" s="263"/>
      <c r="AM28" s="252"/>
      <c r="AN28" s="252"/>
      <c r="AO28" s="252"/>
      <c r="AP28" s="252"/>
      <c r="AQ28" s="252"/>
      <c r="AR28" s="253"/>
      <c r="AS28" s="676">
        <f t="shared" si="2"/>
        <v>744.22</v>
      </c>
      <c r="AT28" s="681">
        <f t="shared" si="7"/>
        <v>0</v>
      </c>
      <c r="AU28" s="678">
        <f t="shared" si="5"/>
        <v>41561.289999999994</v>
      </c>
    </row>
    <row r="29" spans="2:47" ht="14.25">
      <c r="B29" s="592">
        <v>43940</v>
      </c>
      <c r="C29" s="683"/>
      <c r="D29" s="695">
        <f t="shared" si="6"/>
        <v>40817.069999999992</v>
      </c>
      <c r="E29" s="259"/>
      <c r="F29" s="694"/>
      <c r="G29" s="685"/>
      <c r="H29" s="644"/>
      <c r="I29" s="256"/>
      <c r="J29" s="244"/>
      <c r="K29" s="243">
        <v>369.03</v>
      </c>
      <c r="L29" s="243">
        <v>371.02</v>
      </c>
      <c r="M29" s="633"/>
      <c r="N29" s="649"/>
      <c r="O29" s="245"/>
      <c r="P29" s="245"/>
      <c r="Q29" s="245">
        <v>890</v>
      </c>
      <c r="R29" s="245">
        <v>838</v>
      </c>
      <c r="S29" s="634"/>
      <c r="T29" s="658">
        <f t="shared" si="0"/>
        <v>740.05</v>
      </c>
      <c r="U29" s="255">
        <f t="shared" si="1"/>
        <v>1728</v>
      </c>
      <c r="V29" s="659">
        <f t="shared" si="4"/>
        <v>0.42826967592592591</v>
      </c>
      <c r="W29" s="250"/>
      <c r="X29" s="256"/>
      <c r="Y29" s="236">
        <v>32.549999999999997</v>
      </c>
      <c r="Z29" s="256"/>
      <c r="AA29" s="243">
        <v>19.489999999999998</v>
      </c>
      <c r="AB29" s="316"/>
      <c r="AC29" s="256"/>
      <c r="AD29" s="256"/>
      <c r="AE29" s="256"/>
      <c r="AF29" s="256"/>
      <c r="AG29" s="256"/>
      <c r="AH29" s="256"/>
      <c r="AI29" s="256"/>
      <c r="AJ29" s="662"/>
      <c r="AK29" s="667">
        <f t="shared" si="3"/>
        <v>52.039999999999992</v>
      </c>
      <c r="AL29" s="263"/>
      <c r="AM29" s="252"/>
      <c r="AN29" s="252"/>
      <c r="AO29" s="252"/>
      <c r="AP29" s="252"/>
      <c r="AQ29" s="252"/>
      <c r="AR29" s="253"/>
      <c r="AS29" s="676">
        <f t="shared" si="2"/>
        <v>792.08999999999992</v>
      </c>
      <c r="AT29" s="681">
        <f t="shared" si="7"/>
        <v>0</v>
      </c>
      <c r="AU29" s="678">
        <f t="shared" si="5"/>
        <v>40817.069999999992</v>
      </c>
    </row>
    <row r="30" spans="2:47" ht="14.25">
      <c r="B30" s="592">
        <v>43941</v>
      </c>
      <c r="C30" s="683"/>
      <c r="D30" s="695">
        <f t="shared" si="6"/>
        <v>40024.979999999996</v>
      </c>
      <c r="E30" s="259"/>
      <c r="F30" s="694"/>
      <c r="G30" s="685"/>
      <c r="H30" s="644"/>
      <c r="I30" s="256">
        <v>368.39</v>
      </c>
      <c r="J30" s="244"/>
      <c r="K30" s="243"/>
      <c r="L30" s="243"/>
      <c r="M30" s="633">
        <v>363.08</v>
      </c>
      <c r="N30" s="649"/>
      <c r="O30" s="245">
        <v>884</v>
      </c>
      <c r="P30" s="245"/>
      <c r="Q30" s="245"/>
      <c r="R30" s="245"/>
      <c r="S30" s="634">
        <v>809</v>
      </c>
      <c r="T30" s="658">
        <f t="shared" si="0"/>
        <v>731.47</v>
      </c>
      <c r="U30" s="255">
        <f t="shared" si="1"/>
        <v>1693</v>
      </c>
      <c r="V30" s="659">
        <f t="shared" si="4"/>
        <v>0.43205552274069703</v>
      </c>
      <c r="W30" s="250"/>
      <c r="X30" s="256"/>
      <c r="Y30" s="236"/>
      <c r="Z30" s="256"/>
      <c r="AA30" s="243"/>
      <c r="AB30" s="316"/>
      <c r="AC30" s="256"/>
      <c r="AD30" s="256"/>
      <c r="AE30" s="256"/>
      <c r="AF30" s="256"/>
      <c r="AG30" s="256"/>
      <c r="AH30" s="256"/>
      <c r="AI30" s="256"/>
      <c r="AJ30" s="662"/>
      <c r="AK30" s="667">
        <f t="shared" si="3"/>
        <v>0</v>
      </c>
      <c r="AL30" s="263"/>
      <c r="AM30" s="252"/>
      <c r="AN30" s="252"/>
      <c r="AO30" s="252"/>
      <c r="AP30" s="252"/>
      <c r="AQ30" s="252"/>
      <c r="AR30" s="253"/>
      <c r="AS30" s="676">
        <f t="shared" si="2"/>
        <v>731.47</v>
      </c>
      <c r="AT30" s="681">
        <f t="shared" si="7"/>
        <v>0</v>
      </c>
      <c r="AU30" s="678">
        <f t="shared" si="5"/>
        <v>40024.979999999996</v>
      </c>
    </row>
    <row r="31" spans="2:47" ht="14.25">
      <c r="B31" s="592">
        <v>43942</v>
      </c>
      <c r="C31" s="683"/>
      <c r="D31" s="695">
        <f t="shared" si="6"/>
        <v>39293.509999999995</v>
      </c>
      <c r="E31" s="259"/>
      <c r="F31" s="694"/>
      <c r="G31" s="685"/>
      <c r="H31" s="644"/>
      <c r="I31" s="256"/>
      <c r="J31" s="244"/>
      <c r="K31" s="243">
        <v>376.22</v>
      </c>
      <c r="L31" s="243">
        <v>371.05</v>
      </c>
      <c r="M31" s="633"/>
      <c r="N31" s="649"/>
      <c r="O31" s="245"/>
      <c r="P31" s="245"/>
      <c r="Q31" s="245">
        <v>870</v>
      </c>
      <c r="R31" s="245">
        <v>857</v>
      </c>
      <c r="S31" s="634"/>
      <c r="T31" s="658">
        <f t="shared" si="0"/>
        <v>747.27</v>
      </c>
      <c r="U31" s="255">
        <f t="shared" si="1"/>
        <v>1727</v>
      </c>
      <c r="V31" s="659">
        <f t="shared" si="4"/>
        <v>0.43269832078749276</v>
      </c>
      <c r="W31" s="250"/>
      <c r="X31" s="256"/>
      <c r="Y31" s="236"/>
      <c r="Z31" s="256"/>
      <c r="AA31" s="243"/>
      <c r="AB31" s="316"/>
      <c r="AC31" s="256"/>
      <c r="AD31" s="256"/>
      <c r="AE31" s="256"/>
      <c r="AF31" s="256"/>
      <c r="AG31" s="256"/>
      <c r="AH31" s="256"/>
      <c r="AI31" s="256"/>
      <c r="AJ31" s="662">
        <v>180</v>
      </c>
      <c r="AK31" s="667">
        <f t="shared" si="3"/>
        <v>180</v>
      </c>
      <c r="AL31" s="263"/>
      <c r="AM31" s="252"/>
      <c r="AN31" s="252"/>
      <c r="AO31" s="252"/>
      <c r="AP31" s="252"/>
      <c r="AQ31" s="252"/>
      <c r="AR31" s="253"/>
      <c r="AS31" s="676">
        <f t="shared" si="2"/>
        <v>927.27</v>
      </c>
      <c r="AT31" s="681">
        <f t="shared" si="7"/>
        <v>0</v>
      </c>
      <c r="AU31" s="678">
        <f t="shared" si="5"/>
        <v>39293.509999999995</v>
      </c>
    </row>
    <row r="32" spans="2:47" ht="14.25">
      <c r="B32" s="592">
        <v>43943</v>
      </c>
      <c r="C32" s="683"/>
      <c r="D32" s="695">
        <f t="shared" si="6"/>
        <v>38366.239999999998</v>
      </c>
      <c r="E32" s="259"/>
      <c r="F32" s="694"/>
      <c r="G32" s="685"/>
      <c r="H32" s="644"/>
      <c r="I32" s="256">
        <v>362.98</v>
      </c>
      <c r="J32" s="244"/>
      <c r="K32" s="243"/>
      <c r="L32" s="243"/>
      <c r="M32" s="633">
        <v>346.15</v>
      </c>
      <c r="N32" s="649"/>
      <c r="O32" s="245">
        <v>895</v>
      </c>
      <c r="P32" s="245"/>
      <c r="Q32" s="245"/>
      <c r="R32" s="245"/>
      <c r="S32" s="634">
        <v>825</v>
      </c>
      <c r="T32" s="658">
        <f t="shared" si="0"/>
        <v>709.13</v>
      </c>
      <c r="U32" s="255">
        <f t="shared" si="1"/>
        <v>1720</v>
      </c>
      <c r="V32" s="659">
        <f t="shared" si="4"/>
        <v>0.41228488372093025</v>
      </c>
      <c r="W32" s="250"/>
      <c r="X32" s="256"/>
      <c r="Y32" s="236">
        <v>23.51</v>
      </c>
      <c r="Z32" s="256"/>
      <c r="AA32" s="243"/>
      <c r="AB32" s="316"/>
      <c r="AC32" s="256"/>
      <c r="AD32" s="256"/>
      <c r="AE32" s="256"/>
      <c r="AF32" s="256"/>
      <c r="AG32" s="256"/>
      <c r="AH32" s="256"/>
      <c r="AI32" s="256"/>
      <c r="AJ32" s="662">
        <v>100</v>
      </c>
      <c r="AK32" s="667">
        <f t="shared" si="3"/>
        <v>123.51</v>
      </c>
      <c r="AL32" s="263"/>
      <c r="AM32" s="252"/>
      <c r="AN32" s="252"/>
      <c r="AO32" s="252"/>
      <c r="AP32" s="252"/>
      <c r="AQ32" s="252"/>
      <c r="AR32" s="253"/>
      <c r="AS32" s="676">
        <f t="shared" si="2"/>
        <v>832.64</v>
      </c>
      <c r="AT32" s="681">
        <f t="shared" si="7"/>
        <v>0</v>
      </c>
      <c r="AU32" s="678">
        <f t="shared" si="5"/>
        <v>38366.239999999998</v>
      </c>
    </row>
    <row r="33" spans="2:48" ht="14.25">
      <c r="B33" s="592">
        <v>43944</v>
      </c>
      <c r="C33" s="683"/>
      <c r="D33" s="695">
        <f t="shared" si="6"/>
        <v>49533.599999999999</v>
      </c>
      <c r="E33" s="259">
        <v>12000</v>
      </c>
      <c r="F33" s="694">
        <v>12000</v>
      </c>
      <c r="G33" s="687" t="s">
        <v>296</v>
      </c>
      <c r="H33" s="644"/>
      <c r="I33" s="256"/>
      <c r="J33" s="244"/>
      <c r="K33" s="243">
        <v>319.12</v>
      </c>
      <c r="L33" s="243">
        <v>351.73</v>
      </c>
      <c r="M33" s="633"/>
      <c r="N33" s="649"/>
      <c r="O33" s="245"/>
      <c r="P33" s="245"/>
      <c r="Q33" s="245">
        <v>739</v>
      </c>
      <c r="R33" s="245">
        <v>815</v>
      </c>
      <c r="S33" s="634"/>
      <c r="T33" s="658">
        <f t="shared" si="0"/>
        <v>670.85</v>
      </c>
      <c r="U33" s="255">
        <f t="shared" si="1"/>
        <v>1554</v>
      </c>
      <c r="V33" s="659">
        <f t="shared" si="4"/>
        <v>0.43169240669240672</v>
      </c>
      <c r="W33" s="250"/>
      <c r="X33" s="256"/>
      <c r="Y33" s="236"/>
      <c r="Z33" s="256"/>
      <c r="AA33" s="243"/>
      <c r="AB33" s="316"/>
      <c r="AC33" s="256"/>
      <c r="AD33" s="256"/>
      <c r="AE33" s="256"/>
      <c r="AF33" s="256"/>
      <c r="AG33" s="256"/>
      <c r="AH33" s="256"/>
      <c r="AI33" s="256"/>
      <c r="AJ33" s="662"/>
      <c r="AK33" s="667">
        <f t="shared" si="3"/>
        <v>0</v>
      </c>
      <c r="AL33" s="263"/>
      <c r="AM33" s="252"/>
      <c r="AN33" s="252"/>
      <c r="AO33" s="252"/>
      <c r="AP33" s="252"/>
      <c r="AQ33" s="252"/>
      <c r="AR33" s="253"/>
      <c r="AS33" s="676">
        <f t="shared" si="2"/>
        <v>670.85</v>
      </c>
      <c r="AT33" s="681">
        <f t="shared" si="7"/>
        <v>0</v>
      </c>
      <c r="AU33" s="678">
        <f t="shared" si="5"/>
        <v>49533.599999999999</v>
      </c>
      <c r="AV33" s="217">
        <f t="shared" ref="AV33:AV41" si="8">SUM(AV32)</f>
        <v>0</v>
      </c>
    </row>
    <row r="34" spans="2:48" ht="14.25">
      <c r="B34" s="592">
        <v>43945</v>
      </c>
      <c r="C34" s="683"/>
      <c r="D34" s="695">
        <f t="shared" si="6"/>
        <v>48862.75</v>
      </c>
      <c r="E34" s="259"/>
      <c r="F34" s="694"/>
      <c r="G34" s="633"/>
      <c r="H34" s="644"/>
      <c r="I34" s="256">
        <v>356.44</v>
      </c>
      <c r="J34" s="244"/>
      <c r="K34" s="243"/>
      <c r="L34" s="243"/>
      <c r="M34" s="633">
        <v>378.33</v>
      </c>
      <c r="N34" s="649"/>
      <c r="O34" s="245">
        <v>889</v>
      </c>
      <c r="P34" s="245"/>
      <c r="Q34" s="245"/>
      <c r="R34" s="245"/>
      <c r="S34" s="634">
        <v>833</v>
      </c>
      <c r="T34" s="658">
        <f t="shared" si="0"/>
        <v>734.77</v>
      </c>
      <c r="U34" s="255">
        <f t="shared" si="1"/>
        <v>1722</v>
      </c>
      <c r="V34" s="659">
        <f t="shared" si="4"/>
        <v>0.4266957026713124</v>
      </c>
      <c r="W34" s="250"/>
      <c r="X34" s="256"/>
      <c r="Y34" s="236"/>
      <c r="Z34" s="256"/>
      <c r="AA34" s="243">
        <v>74.150000000000006</v>
      </c>
      <c r="AB34" s="316"/>
      <c r="AC34" s="256"/>
      <c r="AD34" s="256"/>
      <c r="AE34" s="256"/>
      <c r="AF34" s="256"/>
      <c r="AG34" s="256"/>
      <c r="AH34" s="256"/>
      <c r="AI34" s="256"/>
      <c r="AJ34" s="662">
        <v>180</v>
      </c>
      <c r="AK34" s="667">
        <f t="shared" si="3"/>
        <v>254.15</v>
      </c>
      <c r="AL34" s="263"/>
      <c r="AM34" s="252"/>
      <c r="AN34" s="252"/>
      <c r="AO34" s="252"/>
      <c r="AP34" s="252"/>
      <c r="AQ34" s="252"/>
      <c r="AR34" s="253"/>
      <c r="AS34" s="676">
        <f t="shared" si="2"/>
        <v>988.92</v>
      </c>
      <c r="AT34" s="681">
        <f t="shared" si="7"/>
        <v>0</v>
      </c>
      <c r="AU34" s="678">
        <f t="shared" si="5"/>
        <v>48862.75</v>
      </c>
      <c r="AV34" s="217">
        <f t="shared" si="8"/>
        <v>0</v>
      </c>
    </row>
    <row r="35" spans="2:48" ht="14.25">
      <c r="B35" s="592">
        <v>43946</v>
      </c>
      <c r="C35" s="683"/>
      <c r="D35" s="695">
        <f t="shared" si="6"/>
        <v>47873.83</v>
      </c>
      <c r="E35" s="259"/>
      <c r="F35" s="694"/>
      <c r="G35" s="685"/>
      <c r="H35" s="644"/>
      <c r="I35" s="256"/>
      <c r="J35" s="244"/>
      <c r="K35" s="243">
        <v>350.48</v>
      </c>
      <c r="L35" s="243">
        <v>357.77</v>
      </c>
      <c r="M35" s="633"/>
      <c r="N35" s="649"/>
      <c r="O35" s="245"/>
      <c r="P35" s="245"/>
      <c r="Q35" s="245">
        <v>854</v>
      </c>
      <c r="R35" s="245">
        <v>858</v>
      </c>
      <c r="S35" s="634"/>
      <c r="T35" s="658">
        <f t="shared" si="0"/>
        <v>708.25</v>
      </c>
      <c r="U35" s="255">
        <f t="shared" si="1"/>
        <v>1712</v>
      </c>
      <c r="V35" s="659">
        <f t="shared" si="4"/>
        <v>0.41369742990654207</v>
      </c>
      <c r="W35" s="250"/>
      <c r="X35" s="256"/>
      <c r="Y35" s="236"/>
      <c r="Z35" s="256"/>
      <c r="AA35" s="243"/>
      <c r="AB35" s="316"/>
      <c r="AC35" s="256"/>
      <c r="AD35" s="256"/>
      <c r="AE35" s="256"/>
      <c r="AF35" s="256"/>
      <c r="AG35" s="256"/>
      <c r="AH35" s="256"/>
      <c r="AI35" s="256"/>
      <c r="AJ35" s="662">
        <v>133.02000000000001</v>
      </c>
      <c r="AK35" s="667">
        <f t="shared" si="3"/>
        <v>133.02000000000001</v>
      </c>
      <c r="AL35" s="263"/>
      <c r="AM35" s="252"/>
      <c r="AN35" s="252"/>
      <c r="AO35" s="252"/>
      <c r="AP35" s="252"/>
      <c r="AQ35" s="252"/>
      <c r="AR35" s="253"/>
      <c r="AS35" s="676">
        <f t="shared" si="2"/>
        <v>841.27</v>
      </c>
      <c r="AT35" s="681">
        <f t="shared" si="7"/>
        <v>0</v>
      </c>
      <c r="AU35" s="678">
        <f t="shared" si="5"/>
        <v>47873.83</v>
      </c>
      <c r="AV35" s="217">
        <f t="shared" si="8"/>
        <v>0</v>
      </c>
    </row>
    <row r="36" spans="2:48" ht="14.25">
      <c r="B36" s="592">
        <v>43947</v>
      </c>
      <c r="C36" s="683"/>
      <c r="D36" s="695">
        <f t="shared" si="6"/>
        <v>47032.560000000005</v>
      </c>
      <c r="E36" s="259"/>
      <c r="F36" s="694"/>
      <c r="G36" s="342"/>
      <c r="H36" s="644"/>
      <c r="I36" s="256">
        <v>351.88</v>
      </c>
      <c r="J36" s="244"/>
      <c r="K36" s="243"/>
      <c r="L36" s="243"/>
      <c r="M36" s="633">
        <v>356.06</v>
      </c>
      <c r="N36" s="649"/>
      <c r="O36" s="245">
        <v>884</v>
      </c>
      <c r="P36" s="245"/>
      <c r="Q36" s="245"/>
      <c r="R36" s="245"/>
      <c r="S36" s="634">
        <v>796</v>
      </c>
      <c r="T36" s="658">
        <f t="shared" si="0"/>
        <v>707.94</v>
      </c>
      <c r="U36" s="255">
        <f t="shared" si="1"/>
        <v>1680</v>
      </c>
      <c r="V36" s="659">
        <f t="shared" si="4"/>
        <v>0.42139285714285718</v>
      </c>
      <c r="W36" s="250"/>
      <c r="X36" s="256"/>
      <c r="Y36" s="236"/>
      <c r="Z36" s="256">
        <v>52.26</v>
      </c>
      <c r="AA36" s="243"/>
      <c r="AB36" s="316"/>
      <c r="AC36" s="256"/>
      <c r="AD36" s="256"/>
      <c r="AE36" s="256"/>
      <c r="AF36" s="256"/>
      <c r="AG36" s="256"/>
      <c r="AH36" s="256"/>
      <c r="AI36" s="256"/>
      <c r="AJ36" s="662"/>
      <c r="AK36" s="667">
        <f t="shared" si="3"/>
        <v>52.26</v>
      </c>
      <c r="AL36" s="263"/>
      <c r="AM36" s="252"/>
      <c r="AN36" s="252"/>
      <c r="AO36" s="252"/>
      <c r="AP36" s="252"/>
      <c r="AQ36" s="252"/>
      <c r="AR36" s="253"/>
      <c r="AS36" s="676">
        <f t="shared" si="2"/>
        <v>760.2</v>
      </c>
      <c r="AT36" s="681">
        <f t="shared" si="7"/>
        <v>0</v>
      </c>
      <c r="AU36" s="678">
        <f t="shared" si="5"/>
        <v>47032.560000000005</v>
      </c>
      <c r="AV36" s="217">
        <f t="shared" si="8"/>
        <v>0</v>
      </c>
    </row>
    <row r="37" spans="2:48" ht="14.25">
      <c r="B37" s="592">
        <v>43948</v>
      </c>
      <c r="C37" s="683"/>
      <c r="D37" s="695">
        <f t="shared" si="6"/>
        <v>46272.360000000008</v>
      </c>
      <c r="E37" s="259"/>
      <c r="F37" s="694"/>
      <c r="G37" s="342"/>
      <c r="H37" s="644"/>
      <c r="I37" s="256"/>
      <c r="J37" s="244"/>
      <c r="K37" s="243">
        <v>372.38</v>
      </c>
      <c r="L37" s="243">
        <v>344.4</v>
      </c>
      <c r="M37" s="633"/>
      <c r="N37" s="649"/>
      <c r="O37" s="245"/>
      <c r="P37" s="245"/>
      <c r="Q37" s="245">
        <v>897</v>
      </c>
      <c r="R37" s="245">
        <v>824</v>
      </c>
      <c r="S37" s="634"/>
      <c r="T37" s="658">
        <f t="shared" si="0"/>
        <v>716.78</v>
      </c>
      <c r="U37" s="255">
        <f t="shared" si="1"/>
        <v>1721</v>
      </c>
      <c r="V37" s="659">
        <f t="shared" si="4"/>
        <v>0.41649041255084251</v>
      </c>
      <c r="W37" s="250"/>
      <c r="X37" s="256"/>
      <c r="Y37" s="236"/>
      <c r="Z37" s="256"/>
      <c r="AA37" s="243">
        <v>7.38</v>
      </c>
      <c r="AB37" s="316"/>
      <c r="AC37" s="256"/>
      <c r="AD37" s="256"/>
      <c r="AE37" s="256"/>
      <c r="AF37" s="256"/>
      <c r="AG37" s="256"/>
      <c r="AH37" s="502"/>
      <c r="AI37" s="256"/>
      <c r="AJ37" s="662"/>
      <c r="AK37" s="667">
        <f t="shared" si="3"/>
        <v>7.38</v>
      </c>
      <c r="AL37" s="263"/>
      <c r="AM37" s="252"/>
      <c r="AN37" s="252"/>
      <c r="AO37" s="252"/>
      <c r="AP37" s="252"/>
      <c r="AQ37" s="252"/>
      <c r="AR37" s="253"/>
      <c r="AS37" s="676">
        <f t="shared" si="2"/>
        <v>724.16</v>
      </c>
      <c r="AT37" s="681">
        <f t="shared" si="7"/>
        <v>0</v>
      </c>
      <c r="AU37" s="678">
        <f t="shared" si="5"/>
        <v>46272.360000000008</v>
      </c>
      <c r="AV37" s="217">
        <f t="shared" si="8"/>
        <v>0</v>
      </c>
    </row>
    <row r="38" spans="2:48" ht="14.25">
      <c r="B38" s="592">
        <v>43949</v>
      </c>
      <c r="C38" s="683"/>
      <c r="D38" s="695">
        <f t="shared" si="6"/>
        <v>45548.200000000004</v>
      </c>
      <c r="E38" s="259"/>
      <c r="F38" s="694"/>
      <c r="G38" s="342"/>
      <c r="H38" s="644"/>
      <c r="I38" s="256">
        <v>339.69</v>
      </c>
      <c r="J38" s="244"/>
      <c r="K38" s="243"/>
      <c r="L38" s="243"/>
      <c r="M38" s="633">
        <v>350.86</v>
      </c>
      <c r="N38" s="649"/>
      <c r="O38" s="245">
        <v>835</v>
      </c>
      <c r="P38" s="245"/>
      <c r="Q38" s="245"/>
      <c r="R38" s="245"/>
      <c r="S38" s="634">
        <v>802</v>
      </c>
      <c r="T38" s="658">
        <f t="shared" si="0"/>
        <v>690.55</v>
      </c>
      <c r="U38" s="255">
        <f t="shared" si="1"/>
        <v>1637</v>
      </c>
      <c r="V38" s="659">
        <f t="shared" si="4"/>
        <v>0.4218387293830177</v>
      </c>
      <c r="W38" s="250"/>
      <c r="X38" s="256"/>
      <c r="Y38" s="236"/>
      <c r="Z38" s="256"/>
      <c r="AA38" s="243"/>
      <c r="AB38" s="316"/>
      <c r="AC38" s="256"/>
      <c r="AD38" s="256"/>
      <c r="AE38" s="256"/>
      <c r="AF38" s="256"/>
      <c r="AG38" s="256"/>
      <c r="AH38" s="502"/>
      <c r="AI38" s="256"/>
      <c r="AJ38" s="662">
        <v>100</v>
      </c>
      <c r="AK38" s="667">
        <f t="shared" si="3"/>
        <v>100</v>
      </c>
      <c r="AL38" s="263"/>
      <c r="AM38" s="252"/>
      <c r="AN38" s="252"/>
      <c r="AO38" s="252"/>
      <c r="AP38" s="252"/>
      <c r="AQ38" s="252"/>
      <c r="AR38" s="253"/>
      <c r="AS38" s="676">
        <f t="shared" si="2"/>
        <v>790.55</v>
      </c>
      <c r="AT38" s="681">
        <f t="shared" si="7"/>
        <v>0</v>
      </c>
      <c r="AU38" s="678">
        <f t="shared" si="5"/>
        <v>45548.200000000004</v>
      </c>
      <c r="AV38" s="217">
        <f t="shared" si="8"/>
        <v>0</v>
      </c>
    </row>
    <row r="39" spans="2:48" ht="14.25">
      <c r="B39" s="592">
        <v>43950</v>
      </c>
      <c r="C39" s="683"/>
      <c r="D39" s="695">
        <f t="shared" si="6"/>
        <v>44757.65</v>
      </c>
      <c r="E39" s="259"/>
      <c r="F39" s="694"/>
      <c r="G39" s="342"/>
      <c r="H39" s="644">
        <v>352.6</v>
      </c>
      <c r="I39" s="256">
        <v>338.49</v>
      </c>
      <c r="J39" s="264"/>
      <c r="K39" s="243"/>
      <c r="L39" s="243"/>
      <c r="M39" s="633"/>
      <c r="N39" s="649">
        <v>816</v>
      </c>
      <c r="O39" s="245">
        <v>828</v>
      </c>
      <c r="P39" s="265"/>
      <c r="Q39" s="245"/>
      <c r="R39" s="245"/>
      <c r="S39" s="634"/>
      <c r="T39" s="658">
        <f t="shared" si="0"/>
        <v>691.09</v>
      </c>
      <c r="U39" s="255">
        <f t="shared" si="1"/>
        <v>1644</v>
      </c>
      <c r="V39" s="659">
        <f t="shared" si="4"/>
        <v>0.42037104622871047</v>
      </c>
      <c r="W39" s="250"/>
      <c r="X39" s="256">
        <v>38.11</v>
      </c>
      <c r="Y39" s="236"/>
      <c r="Z39" s="256"/>
      <c r="AA39" s="243"/>
      <c r="AB39" s="316"/>
      <c r="AC39" s="256"/>
      <c r="AD39" s="256"/>
      <c r="AE39" s="256"/>
      <c r="AF39" s="256"/>
      <c r="AG39" s="256"/>
      <c r="AH39" s="502"/>
      <c r="AI39" s="256"/>
      <c r="AJ39" s="662"/>
      <c r="AK39" s="667">
        <f t="shared" si="3"/>
        <v>38.11</v>
      </c>
      <c r="AL39" s="263"/>
      <c r="AM39" s="252"/>
      <c r="AN39" s="252"/>
      <c r="AO39" s="252"/>
      <c r="AP39" s="252"/>
      <c r="AQ39" s="252"/>
      <c r="AR39" s="253"/>
      <c r="AS39" s="676">
        <f t="shared" si="2"/>
        <v>729.2</v>
      </c>
      <c r="AT39" s="681">
        <f t="shared" si="7"/>
        <v>0</v>
      </c>
      <c r="AU39" s="678">
        <f t="shared" si="5"/>
        <v>44757.65</v>
      </c>
      <c r="AV39" s="217">
        <f t="shared" si="8"/>
        <v>0</v>
      </c>
    </row>
    <row r="40" spans="2:48" ht="14.25">
      <c r="B40" s="592">
        <v>43951</v>
      </c>
      <c r="C40" s="683"/>
      <c r="D40" s="695">
        <f t="shared" si="6"/>
        <v>44028.450000000004</v>
      </c>
      <c r="E40" s="259"/>
      <c r="F40" s="694"/>
      <c r="G40" s="688"/>
      <c r="H40" s="644">
        <v>326.31</v>
      </c>
      <c r="I40" s="256"/>
      <c r="J40" s="244"/>
      <c r="K40" s="243"/>
      <c r="L40" s="243"/>
      <c r="M40" s="633">
        <v>334.45</v>
      </c>
      <c r="N40" s="649">
        <v>778</v>
      </c>
      <c r="O40" s="245"/>
      <c r="P40" s="245"/>
      <c r="Q40" s="245"/>
      <c r="R40" s="245"/>
      <c r="S40" s="634">
        <v>786</v>
      </c>
      <c r="T40" s="658">
        <f t="shared" si="0"/>
        <v>660.76</v>
      </c>
      <c r="U40" s="255">
        <f t="shared" si="1"/>
        <v>1564</v>
      </c>
      <c r="V40" s="659">
        <f t="shared" si="4"/>
        <v>0.42248081841432222</v>
      </c>
      <c r="W40" s="250"/>
      <c r="X40" s="256"/>
      <c r="Y40" s="236"/>
      <c r="Z40" s="256"/>
      <c r="AA40" s="243"/>
      <c r="AB40" s="316"/>
      <c r="AC40" s="256"/>
      <c r="AD40" s="256"/>
      <c r="AE40" s="256"/>
      <c r="AF40" s="256"/>
      <c r="AG40" s="256"/>
      <c r="AH40" s="502"/>
      <c r="AI40" s="256"/>
      <c r="AJ40" s="662"/>
      <c r="AK40" s="667">
        <f t="shared" si="3"/>
        <v>0</v>
      </c>
      <c r="AL40" s="263"/>
      <c r="AM40" s="252"/>
      <c r="AN40" s="252"/>
      <c r="AO40" s="252"/>
      <c r="AP40" s="252"/>
      <c r="AQ40" s="252"/>
      <c r="AR40" s="253"/>
      <c r="AS40" s="676">
        <f t="shared" si="2"/>
        <v>660.76</v>
      </c>
      <c r="AT40" s="681">
        <f t="shared" si="7"/>
        <v>0</v>
      </c>
      <c r="AU40" s="678">
        <f t="shared" si="5"/>
        <v>44028.450000000004</v>
      </c>
      <c r="AV40" s="217">
        <f t="shared" si="8"/>
        <v>0</v>
      </c>
    </row>
    <row r="41" spans="2:48" ht="14.25">
      <c r="B41" s="592"/>
      <c r="C41" s="683"/>
      <c r="D41" s="695">
        <f t="shared" si="6"/>
        <v>43367.69</v>
      </c>
      <c r="E41" s="259"/>
      <c r="F41" s="694"/>
      <c r="G41" s="342"/>
      <c r="H41" s="644"/>
      <c r="I41" s="243"/>
      <c r="J41" s="243"/>
      <c r="K41" s="243"/>
      <c r="L41" s="243"/>
      <c r="M41" s="633"/>
      <c r="N41" s="649"/>
      <c r="O41" s="245"/>
      <c r="P41" s="245"/>
      <c r="Q41" s="245"/>
      <c r="R41" s="245"/>
      <c r="S41" s="634"/>
      <c r="T41" s="658">
        <f t="shared" si="0"/>
        <v>0</v>
      </c>
      <c r="U41" s="255">
        <f t="shared" si="1"/>
        <v>0</v>
      </c>
      <c r="V41" s="659" t="e">
        <f t="shared" si="4"/>
        <v>#DIV/0!</v>
      </c>
      <c r="W41" s="250"/>
      <c r="X41" s="256"/>
      <c r="Y41" s="236"/>
      <c r="Z41" s="256"/>
      <c r="AA41" s="243"/>
      <c r="AB41" s="316"/>
      <c r="AC41" s="256"/>
      <c r="AD41" s="256"/>
      <c r="AE41" s="256"/>
      <c r="AF41" s="256"/>
      <c r="AG41" s="256"/>
      <c r="AH41" s="502"/>
      <c r="AI41" s="256"/>
      <c r="AJ41" s="662"/>
      <c r="AK41" s="667">
        <f t="shared" si="3"/>
        <v>0</v>
      </c>
      <c r="AL41" s="263"/>
      <c r="AM41" s="252"/>
      <c r="AN41" s="252"/>
      <c r="AO41" s="252"/>
      <c r="AP41" s="252"/>
      <c r="AQ41" s="252"/>
      <c r="AR41" s="253"/>
      <c r="AS41" s="676">
        <f t="shared" si="2"/>
        <v>0</v>
      </c>
      <c r="AT41" s="681">
        <f t="shared" si="7"/>
        <v>0</v>
      </c>
      <c r="AU41" s="678">
        <f t="shared" si="5"/>
        <v>43367.69</v>
      </c>
      <c r="AV41" s="217">
        <f t="shared" si="8"/>
        <v>0</v>
      </c>
    </row>
    <row r="42" spans="2:48" ht="14.25">
      <c r="B42" s="592"/>
      <c r="C42" s="684"/>
      <c r="D42" s="695">
        <f t="shared" si="6"/>
        <v>43367.69</v>
      </c>
      <c r="E42" s="241"/>
      <c r="F42" s="694"/>
      <c r="G42" s="342"/>
      <c r="H42" s="644"/>
      <c r="I42" s="243"/>
      <c r="J42" s="243"/>
      <c r="K42" s="243"/>
      <c r="L42" s="243"/>
      <c r="M42" s="633"/>
      <c r="N42" s="649"/>
      <c r="O42" s="245"/>
      <c r="P42" s="245"/>
      <c r="Q42" s="245"/>
      <c r="R42" s="245"/>
      <c r="S42" s="634"/>
      <c r="T42" s="658">
        <f t="shared" si="0"/>
        <v>0</v>
      </c>
      <c r="U42" s="255">
        <f t="shared" si="1"/>
        <v>0</v>
      </c>
      <c r="V42" s="659"/>
      <c r="W42" s="250"/>
      <c r="X42" s="256"/>
      <c r="Y42" s="236"/>
      <c r="Z42" s="256"/>
      <c r="AA42" s="243"/>
      <c r="AB42" s="316"/>
      <c r="AC42" s="256"/>
      <c r="AD42" s="247"/>
      <c r="AE42" s="256"/>
      <c r="AF42" s="256"/>
      <c r="AG42" s="256"/>
      <c r="AH42" s="502"/>
      <c r="AI42" s="256"/>
      <c r="AJ42" s="662"/>
      <c r="AK42" s="667">
        <f t="shared" si="3"/>
        <v>0</v>
      </c>
      <c r="AL42" s="664"/>
      <c r="AM42" s="266"/>
      <c r="AN42" s="266"/>
      <c r="AO42" s="266"/>
      <c r="AP42" s="266"/>
      <c r="AQ42" s="266"/>
      <c r="AR42" s="672"/>
      <c r="AS42" s="676">
        <f t="shared" si="2"/>
        <v>0</v>
      </c>
      <c r="AT42" s="681">
        <f t="shared" si="7"/>
        <v>0</v>
      </c>
      <c r="AU42" s="678">
        <f t="shared" si="5"/>
        <v>43367.69</v>
      </c>
    </row>
    <row r="43" spans="2:48" ht="14.25">
      <c r="B43" s="593" t="s">
        <v>25</v>
      </c>
      <c r="C43" s="539" t="e">
        <f>AVERAGE(C11:C42)</f>
        <v>#DIV/0!</v>
      </c>
      <c r="D43" s="693">
        <f t="shared" si="6"/>
        <v>43367.69</v>
      </c>
      <c r="E43" s="241"/>
      <c r="F43" s="694"/>
      <c r="G43" s="342"/>
      <c r="H43" s="612"/>
      <c r="I43" s="243"/>
      <c r="J43" s="243"/>
      <c r="K43" s="243"/>
      <c r="L43" s="243"/>
      <c r="M43" s="633"/>
      <c r="N43" s="649"/>
      <c r="O43" s="245"/>
      <c r="P43" s="245"/>
      <c r="Q43" s="245"/>
      <c r="R43" s="245"/>
      <c r="S43" s="634"/>
      <c r="T43" s="658">
        <f t="shared" si="0"/>
        <v>0</v>
      </c>
      <c r="U43" s="255">
        <f t="shared" si="1"/>
        <v>0</v>
      </c>
      <c r="V43" s="659"/>
      <c r="W43" s="250"/>
      <c r="X43" s="256"/>
      <c r="Y43" s="243"/>
      <c r="Z43" s="247"/>
      <c r="AA43" s="247"/>
      <c r="AB43" s="316"/>
      <c r="AC43" s="247"/>
      <c r="AD43" s="269"/>
      <c r="AE43" s="269"/>
      <c r="AF43" s="256"/>
      <c r="AG43" s="256"/>
      <c r="AH43" s="502"/>
      <c r="AI43" s="247"/>
      <c r="AJ43" s="662"/>
      <c r="AK43" s="667">
        <f t="shared" si="3"/>
        <v>0</v>
      </c>
      <c r="AL43" s="267"/>
      <c r="AM43" s="267"/>
      <c r="AN43" s="267"/>
      <c r="AO43" s="267"/>
      <c r="AP43" s="267"/>
      <c r="AQ43" s="267"/>
      <c r="AR43" s="267"/>
      <c r="AS43" s="676">
        <f t="shared" si="2"/>
        <v>0</v>
      </c>
      <c r="AT43" s="681">
        <f t="shared" si="7"/>
        <v>0</v>
      </c>
      <c r="AU43" s="678">
        <f t="shared" si="5"/>
        <v>43367.69</v>
      </c>
    </row>
    <row r="44" spans="2:48" ht="15" thickBot="1">
      <c r="B44" s="594"/>
      <c r="C44" s="595"/>
      <c r="D44" s="696"/>
      <c r="E44" s="355"/>
      <c r="F44" s="697"/>
      <c r="G44" s="343"/>
      <c r="H44" s="645"/>
      <c r="I44" s="233"/>
      <c r="J44" s="233"/>
      <c r="K44" s="233"/>
      <c r="L44" s="233"/>
      <c r="M44" s="343"/>
      <c r="N44" s="651"/>
      <c r="O44" s="234"/>
      <c r="P44" s="234"/>
      <c r="Q44" s="234"/>
      <c r="R44" s="234"/>
      <c r="S44" s="652"/>
      <c r="T44" s="698">
        <f t="shared" si="0"/>
        <v>0</v>
      </c>
      <c r="U44" s="268"/>
      <c r="V44" s="660"/>
      <c r="W44" s="654"/>
      <c r="X44" s="224"/>
      <c r="Y44" s="269"/>
      <c r="Z44" s="269"/>
      <c r="AA44" s="269"/>
      <c r="AB44" s="270"/>
      <c r="AC44" s="269"/>
      <c r="AD44" s="269"/>
      <c r="AE44" s="269"/>
      <c r="AF44" s="269"/>
      <c r="AG44" s="269"/>
      <c r="AH44" s="271"/>
      <c r="AI44" s="224"/>
      <c r="AJ44" s="710"/>
      <c r="AK44" s="700">
        <f t="shared" si="3"/>
        <v>0</v>
      </c>
      <c r="AL44" s="356"/>
      <c r="AM44" s="356"/>
      <c r="AN44" s="356"/>
      <c r="AO44" s="356"/>
      <c r="AP44" s="356"/>
      <c r="AQ44" s="356"/>
      <c r="AR44" s="356"/>
      <c r="AS44" s="702">
        <f>T44+AK44</f>
        <v>0</v>
      </c>
      <c r="AT44" s="704">
        <f t="shared" si="7"/>
        <v>0</v>
      </c>
      <c r="AU44" s="706"/>
    </row>
    <row r="45" spans="2:48" s="273" customFormat="1" ht="13.5" thickBot="1">
      <c r="B45" s="712"/>
      <c r="C45" s="711"/>
      <c r="D45" s="713"/>
      <c r="E45" s="354">
        <f>SUM(E11:E44)</f>
        <v>27000</v>
      </c>
      <c r="F45" s="689">
        <f>SUM(F11:F42)</f>
        <v>27000</v>
      </c>
      <c r="G45" s="689">
        <f t="shared" ref="G45" si="9">SUM(G11:G44)</f>
        <v>0</v>
      </c>
      <c r="H45" s="354">
        <f>SUM(H11:H44)</f>
        <v>678.91000000000008</v>
      </c>
      <c r="I45" s="354">
        <f t="shared" ref="I45:P45" si="10">SUM(I11:I44)</f>
        <v>6322.1099999999979</v>
      </c>
      <c r="J45" s="354">
        <f t="shared" si="10"/>
        <v>0</v>
      </c>
      <c r="K45" s="708">
        <f t="shared" si="10"/>
        <v>4399.49</v>
      </c>
      <c r="L45" s="354">
        <f>SUM(L11:L44)</f>
        <v>5129.68</v>
      </c>
      <c r="M45" s="689">
        <f t="shared" si="10"/>
        <v>6292.579999999999</v>
      </c>
      <c r="N45" s="708">
        <f t="shared" si="10"/>
        <v>1594</v>
      </c>
      <c r="O45" s="709">
        <f t="shared" si="10"/>
        <v>14932</v>
      </c>
      <c r="P45" s="357">
        <f t="shared" si="10"/>
        <v>0</v>
      </c>
      <c r="Q45" s="354">
        <f>SUM(Q11:Q43)</f>
        <v>10453</v>
      </c>
      <c r="R45" s="357">
        <f>SUM(R11:R44)</f>
        <v>12176</v>
      </c>
      <c r="S45" s="354">
        <f>SUM(S11:S44)</f>
        <v>14616</v>
      </c>
      <c r="T45" s="699">
        <f t="shared" si="0"/>
        <v>22822.769999999997</v>
      </c>
      <c r="U45" s="354">
        <f>SUM(N45:S45)</f>
        <v>53771</v>
      </c>
      <c r="V45" s="701" t="e">
        <f>SUM(V11:V42)</f>
        <v>#DIV/0!</v>
      </c>
      <c r="W45" s="701">
        <f>SUM(W9:W44)</f>
        <v>0</v>
      </c>
      <c r="X45" s="272">
        <f t="shared" ref="X45:AK45" si="11">SUM(X9:X44)</f>
        <v>80.77</v>
      </c>
      <c r="Y45" s="701">
        <f t="shared" si="11"/>
        <v>105.42999999999999</v>
      </c>
      <c r="Z45" s="272">
        <f t="shared" si="11"/>
        <v>87.789999999999992</v>
      </c>
      <c r="AA45" s="701">
        <f t="shared" si="11"/>
        <v>291.39999999999998</v>
      </c>
      <c r="AB45" s="272">
        <f t="shared" si="11"/>
        <v>0</v>
      </c>
      <c r="AC45" s="701">
        <f t="shared" si="11"/>
        <v>0</v>
      </c>
      <c r="AD45" s="272">
        <f>SUM(AD10:AD44)</f>
        <v>0</v>
      </c>
      <c r="AE45" s="701">
        <f>SUM(AE10:AE44)</f>
        <v>0</v>
      </c>
      <c r="AF45" s="272">
        <f t="shared" si="11"/>
        <v>0</v>
      </c>
      <c r="AG45" s="701">
        <f t="shared" si="11"/>
        <v>0</v>
      </c>
      <c r="AH45" s="272">
        <f t="shared" si="11"/>
        <v>600</v>
      </c>
      <c r="AI45" s="701">
        <f>SUM(AI9:AI43)</f>
        <v>0</v>
      </c>
      <c r="AJ45" s="661">
        <f>SUM(AJ9:AJ39)</f>
        <v>693.02</v>
      </c>
      <c r="AK45" s="701">
        <f t="shared" si="11"/>
        <v>1858.41</v>
      </c>
      <c r="AL45" s="272"/>
      <c r="AM45" s="272"/>
      <c r="AN45" s="272"/>
      <c r="AO45" s="272"/>
      <c r="AP45" s="272"/>
      <c r="AQ45" s="272"/>
      <c r="AR45" s="673"/>
      <c r="AS45" s="703">
        <f>SUM(AS11:AS43)</f>
        <v>24681.179999999997</v>
      </c>
      <c r="AT45" s="705">
        <f>SUM(AT11:AT44)</f>
        <v>0</v>
      </c>
      <c r="AU45" s="707"/>
    </row>
    <row r="46" spans="2:48" ht="14.25" thickBot="1">
      <c r="B46" s="478" t="s">
        <v>53</v>
      </c>
      <c r="X46" s="228"/>
      <c r="Y46" s="228"/>
      <c r="Z46" s="228"/>
      <c r="AA46" s="228"/>
      <c r="AB46" s="228"/>
      <c r="AS46" s="218"/>
      <c r="AT46" s="274"/>
      <c r="AU46" s="217"/>
    </row>
    <row r="47" spans="2:48" ht="14.25" thickBot="1">
      <c r="B47" s="368"/>
      <c r="G47" s="275"/>
      <c r="S47" s="218"/>
      <c r="T47" s="218"/>
      <c r="U47" s="360">
        <f>T45*2315</f>
        <v>52834712.54999999</v>
      </c>
      <c r="V47" s="361" t="s">
        <v>225</v>
      </c>
      <c r="AS47" s="623">
        <f>AS45*2143</f>
        <v>52891768.739999995</v>
      </c>
      <c r="AT47" s="622" t="s">
        <v>225</v>
      </c>
      <c r="AU47" s="217"/>
    </row>
    <row r="48" spans="2:48" ht="14.25" thickBot="1">
      <c r="B48" s="369" t="s">
        <v>228</v>
      </c>
      <c r="C48" s="276"/>
      <c r="U48" s="360">
        <f>U47/2289</f>
        <v>23082.006356487545</v>
      </c>
      <c r="V48" s="361" t="s">
        <v>226</v>
      </c>
      <c r="X48" s="228"/>
      <c r="Y48" s="228"/>
      <c r="Z48" s="228"/>
      <c r="AA48" s="228"/>
      <c r="AB48" s="228"/>
      <c r="AS48" s="360">
        <f>AS47/2289</f>
        <v>23106.932608125815</v>
      </c>
      <c r="AT48" s="624" t="s">
        <v>226</v>
      </c>
      <c r="AU48" s="274"/>
    </row>
    <row r="49" spans="3:47" ht="14.25" thickBot="1">
      <c r="H49" s="587"/>
      <c r="V49" s="277"/>
      <c r="X49" s="228"/>
      <c r="Y49" s="228"/>
      <c r="Z49" s="228"/>
      <c r="AA49" s="228"/>
      <c r="AB49" s="228"/>
      <c r="AC49" s="221"/>
      <c r="AS49" s="277"/>
      <c r="AU49" s="274"/>
    </row>
    <row r="50" spans="3:47" ht="13.5" customHeight="1" thickBot="1">
      <c r="C50" s="773" t="s">
        <v>222</v>
      </c>
      <c r="D50" s="774"/>
      <c r="E50" s="774"/>
      <c r="F50" s="774"/>
      <c r="G50" s="775"/>
      <c r="H50" s="637"/>
      <c r="I50" s="776" t="s">
        <v>194</v>
      </c>
      <c r="J50" s="777"/>
      <c r="K50" s="777"/>
      <c r="L50" s="777"/>
      <c r="M50" s="778"/>
      <c r="N50" s="637"/>
      <c r="O50" s="791" t="s">
        <v>291</v>
      </c>
      <c r="P50" s="792"/>
      <c r="Q50" s="792"/>
      <c r="R50" s="792"/>
      <c r="S50" s="793"/>
      <c r="U50" s="794" t="s">
        <v>207</v>
      </c>
      <c r="V50" s="795"/>
      <c r="W50" s="795"/>
      <c r="X50" s="795"/>
      <c r="Y50" s="795"/>
      <c r="Z50" s="796"/>
    </row>
    <row r="51" spans="3:47" ht="25.5" customHeight="1" thickBot="1">
      <c r="C51" s="599" t="s">
        <v>79</v>
      </c>
      <c r="D51" s="477" t="s">
        <v>177</v>
      </c>
      <c r="E51" s="600" t="s">
        <v>178</v>
      </c>
      <c r="F51" s="600" t="s">
        <v>193</v>
      </c>
      <c r="G51" s="601" t="s">
        <v>290</v>
      </c>
      <c r="H51" s="637"/>
      <c r="I51" s="603" t="s">
        <v>79</v>
      </c>
      <c r="J51" s="477" t="s">
        <v>177</v>
      </c>
      <c r="K51" s="596" t="s">
        <v>178</v>
      </c>
      <c r="L51" s="604" t="s">
        <v>193</v>
      </c>
      <c r="M51" s="601" t="s">
        <v>290</v>
      </c>
      <c r="N51" s="637"/>
      <c r="O51" s="734" t="s">
        <v>79</v>
      </c>
      <c r="P51" s="728" t="s">
        <v>177</v>
      </c>
      <c r="Q51" s="735" t="s">
        <v>178</v>
      </c>
      <c r="R51" s="729" t="s">
        <v>193</v>
      </c>
      <c r="S51" s="730" t="s">
        <v>196</v>
      </c>
      <c r="U51" s="724" t="s">
        <v>0</v>
      </c>
      <c r="V51" s="725" t="s">
        <v>177</v>
      </c>
      <c r="W51" s="725" t="s">
        <v>208</v>
      </c>
      <c r="X51" s="725" t="s">
        <v>193</v>
      </c>
      <c r="Y51" s="726" t="s">
        <v>209</v>
      </c>
      <c r="Z51" s="727" t="s">
        <v>210</v>
      </c>
    </row>
    <row r="52" spans="3:47" ht="11.25" customHeight="1">
      <c r="C52" s="401"/>
      <c r="D52" s="714"/>
      <c r="E52" s="715"/>
      <c r="F52" s="714"/>
      <c r="G52" s="716"/>
      <c r="H52" s="637"/>
      <c r="I52" s="720"/>
      <c r="J52" s="605"/>
      <c r="K52" s="605"/>
      <c r="L52" s="605"/>
      <c r="M52" s="716"/>
      <c r="N52" s="637"/>
      <c r="O52" s="401"/>
      <c r="P52" s="605"/>
      <c r="Q52" s="625"/>
      <c r="R52" s="625"/>
      <c r="S52" s="609"/>
      <c r="U52" s="597">
        <v>43942</v>
      </c>
      <c r="V52" s="598" t="s">
        <v>303</v>
      </c>
      <c r="W52" s="239">
        <v>180</v>
      </c>
      <c r="X52" s="598" t="s">
        <v>304</v>
      </c>
      <c r="Y52" s="598" t="s">
        <v>305</v>
      </c>
      <c r="Z52" s="723" t="s">
        <v>306</v>
      </c>
    </row>
    <row r="53" spans="3:47" ht="11.25" customHeight="1">
      <c r="C53" s="396"/>
      <c r="D53" s="348"/>
      <c r="E53" s="434"/>
      <c r="F53" s="348"/>
      <c r="G53" s="717"/>
      <c r="H53" s="637"/>
      <c r="I53" s="616"/>
      <c r="J53" s="305"/>
      <c r="K53" s="305"/>
      <c r="L53" s="305"/>
      <c r="M53" s="717"/>
      <c r="N53" s="637"/>
      <c r="O53" s="396"/>
      <c r="P53" s="305"/>
      <c r="Q53" s="476"/>
      <c r="R53" s="476"/>
      <c r="S53" s="610"/>
      <c r="U53" s="396">
        <v>43943</v>
      </c>
      <c r="V53" s="348" t="s">
        <v>307</v>
      </c>
      <c r="W53" s="438">
        <v>100</v>
      </c>
      <c r="X53" s="348" t="s">
        <v>304</v>
      </c>
      <c r="Y53" s="348" t="s">
        <v>305</v>
      </c>
      <c r="Z53" s="397" t="s">
        <v>306</v>
      </c>
    </row>
    <row r="54" spans="3:47" ht="11.25" customHeight="1">
      <c r="C54" s="396"/>
      <c r="D54" s="348"/>
      <c r="E54" s="434"/>
      <c r="F54" s="348"/>
      <c r="G54" s="717"/>
      <c r="H54" s="637"/>
      <c r="I54" s="616"/>
      <c r="J54" s="305"/>
      <c r="K54" s="305"/>
      <c r="L54" s="305"/>
      <c r="M54" s="718"/>
      <c r="N54" s="637"/>
      <c r="O54" s="396"/>
      <c r="P54" s="305"/>
      <c r="Q54" s="476"/>
      <c r="R54" s="476"/>
      <c r="S54" s="610"/>
      <c r="U54" s="396">
        <v>43945</v>
      </c>
      <c r="V54" s="348" t="s">
        <v>303</v>
      </c>
      <c r="W54" s="438">
        <v>180</v>
      </c>
      <c r="X54" s="348" t="s">
        <v>304</v>
      </c>
      <c r="Y54" s="348" t="s">
        <v>305</v>
      </c>
      <c r="Z54" s="397" t="s">
        <v>306</v>
      </c>
    </row>
    <row r="55" spans="3:47" ht="11.25" customHeight="1">
      <c r="C55" s="396"/>
      <c r="D55" s="348"/>
      <c r="E55" s="434"/>
      <c r="F55" s="348"/>
      <c r="G55" s="717"/>
      <c r="H55" s="637"/>
      <c r="I55" s="606"/>
      <c r="J55" s="305"/>
      <c r="K55" s="305"/>
      <c r="L55" s="305"/>
      <c r="M55" s="718"/>
      <c r="N55" s="637"/>
      <c r="O55" s="612"/>
      <c r="P55" s="305"/>
      <c r="Q55" s="476"/>
      <c r="R55" s="476"/>
      <c r="S55" s="610"/>
      <c r="U55" s="396">
        <v>43946</v>
      </c>
      <c r="V55" s="348" t="s">
        <v>307</v>
      </c>
      <c r="W55" s="438">
        <v>133.02000000000001</v>
      </c>
      <c r="X55" s="348" t="s">
        <v>304</v>
      </c>
      <c r="Y55" s="348" t="s">
        <v>305</v>
      </c>
      <c r="Z55" s="397" t="s">
        <v>306</v>
      </c>
    </row>
    <row r="56" spans="3:47" ht="11.25" customHeight="1">
      <c r="C56" s="396"/>
      <c r="D56" s="348"/>
      <c r="E56" s="434"/>
      <c r="F56" s="348"/>
      <c r="G56" s="717"/>
      <c r="H56" s="637"/>
      <c r="I56" s="606"/>
      <c r="J56" s="305"/>
      <c r="K56" s="305"/>
      <c r="L56" s="305"/>
      <c r="M56" s="718"/>
      <c r="N56" s="637"/>
      <c r="O56" s="612"/>
      <c r="P56" s="305"/>
      <c r="Q56" s="476"/>
      <c r="R56" s="476"/>
      <c r="S56" s="610"/>
      <c r="U56" s="396">
        <v>43949</v>
      </c>
      <c r="V56" s="348" t="s">
        <v>308</v>
      </c>
      <c r="W56" s="438">
        <v>100</v>
      </c>
      <c r="X56" s="348" t="s">
        <v>304</v>
      </c>
      <c r="Y56" s="348" t="s">
        <v>305</v>
      </c>
      <c r="Z56" s="397" t="s">
        <v>306</v>
      </c>
    </row>
    <row r="57" spans="3:47" ht="11.25" customHeight="1">
      <c r="C57" s="396"/>
      <c r="D57" s="348"/>
      <c r="E57" s="434"/>
      <c r="F57" s="348"/>
      <c r="G57" s="717"/>
      <c r="H57" s="637"/>
      <c r="I57" s="606"/>
      <c r="J57" s="305"/>
      <c r="K57" s="305"/>
      <c r="L57" s="305"/>
      <c r="M57" s="718"/>
      <c r="N57" s="637"/>
      <c r="O57" s="612"/>
      <c r="P57" s="305"/>
      <c r="Q57" s="476"/>
      <c r="R57" s="476"/>
      <c r="S57" s="610"/>
      <c r="U57" s="396"/>
      <c r="V57" s="348"/>
      <c r="W57" s="348"/>
      <c r="X57" s="348"/>
      <c r="Y57" s="348"/>
      <c r="Z57" s="721"/>
    </row>
    <row r="58" spans="3:47" ht="11.25" customHeight="1">
      <c r="C58" s="396"/>
      <c r="D58" s="348"/>
      <c r="E58" s="434"/>
      <c r="F58" s="348"/>
      <c r="G58" s="718"/>
      <c r="H58" s="637"/>
      <c r="I58" s="606"/>
      <c r="J58" s="305"/>
      <c r="K58" s="305"/>
      <c r="L58" s="305"/>
      <c r="M58" s="718"/>
      <c r="N58" s="637"/>
      <c r="O58" s="612"/>
      <c r="P58" s="305"/>
      <c r="Q58" s="476"/>
      <c r="R58" s="476"/>
      <c r="S58" s="610"/>
      <c r="U58" s="396"/>
      <c r="V58" s="438"/>
      <c r="W58" s="348"/>
      <c r="X58" s="348"/>
      <c r="Y58" s="348"/>
      <c r="Z58" s="721"/>
    </row>
    <row r="59" spans="3:47" ht="11.25" customHeight="1">
      <c r="C59" s="396"/>
      <c r="D59" s="348"/>
      <c r="E59" s="434"/>
      <c r="F59" s="348"/>
      <c r="G59" s="718"/>
      <c r="H59" s="637"/>
      <c r="I59" s="606"/>
      <c r="J59" s="305"/>
      <c r="K59" s="305"/>
      <c r="L59" s="305"/>
      <c r="M59" s="718"/>
      <c r="N59" s="637"/>
      <c r="O59" s="612"/>
      <c r="P59" s="305"/>
      <c r="Q59" s="476"/>
      <c r="R59" s="476"/>
      <c r="S59" s="610"/>
      <c r="U59" s="396"/>
      <c r="V59" s="438"/>
      <c r="W59" s="348"/>
      <c r="X59" s="348"/>
      <c r="Y59" s="348"/>
      <c r="Z59" s="721"/>
    </row>
    <row r="60" spans="3:47" ht="11.25" customHeight="1">
      <c r="C60" s="396"/>
      <c r="D60" s="348"/>
      <c r="E60" s="434"/>
      <c r="F60" s="348"/>
      <c r="G60" s="718"/>
      <c r="H60" s="637"/>
      <c r="I60" s="606"/>
      <c r="J60" s="305"/>
      <c r="K60" s="305"/>
      <c r="L60" s="305"/>
      <c r="M60" s="718"/>
      <c r="N60" s="637"/>
      <c r="O60" s="612"/>
      <c r="P60" s="305"/>
      <c r="Q60" s="476"/>
      <c r="R60" s="476"/>
      <c r="S60" s="610"/>
      <c r="U60" s="396"/>
      <c r="V60" s="438"/>
      <c r="W60" s="348"/>
      <c r="X60" s="348"/>
      <c r="Y60" s="348"/>
      <c r="Z60" s="721"/>
    </row>
    <row r="61" spans="3:47" ht="11.25" customHeight="1">
      <c r="C61" s="396"/>
      <c r="D61" s="348"/>
      <c r="E61" s="434"/>
      <c r="F61" s="348"/>
      <c r="G61" s="718"/>
      <c r="H61" s="637"/>
      <c r="I61" s="606"/>
      <c r="J61" s="305"/>
      <c r="K61" s="305"/>
      <c r="L61" s="305"/>
      <c r="M61" s="718"/>
      <c r="N61" s="637"/>
      <c r="O61" s="612"/>
      <c r="P61" s="305"/>
      <c r="Q61" s="476"/>
      <c r="R61" s="476"/>
      <c r="S61" s="610"/>
      <c r="U61" s="396"/>
      <c r="V61" s="438"/>
      <c r="W61" s="348"/>
      <c r="X61" s="348"/>
      <c r="Y61" s="348"/>
      <c r="Z61" s="721"/>
    </row>
    <row r="62" spans="3:47" ht="11.25" customHeight="1">
      <c r="C62" s="396"/>
      <c r="D62" s="348"/>
      <c r="E62" s="434"/>
      <c r="F62" s="348"/>
      <c r="G62" s="718"/>
      <c r="H62" s="637"/>
      <c r="I62" s="606"/>
      <c r="J62" s="305"/>
      <c r="K62" s="305"/>
      <c r="L62" s="305"/>
      <c r="M62" s="718"/>
      <c r="N62" s="637"/>
      <c r="O62" s="612"/>
      <c r="P62" s="305"/>
      <c r="Q62" s="476"/>
      <c r="R62" s="476"/>
      <c r="S62" s="610"/>
      <c r="U62" s="396"/>
      <c r="V62" s="438"/>
      <c r="W62" s="348"/>
      <c r="X62" s="348"/>
      <c r="Y62" s="348"/>
      <c r="Z62" s="721"/>
    </row>
    <row r="63" spans="3:47" ht="11.25" customHeight="1">
      <c r="C63" s="396"/>
      <c r="D63" s="348"/>
      <c r="E63" s="434"/>
      <c r="F63" s="348"/>
      <c r="G63" s="718"/>
      <c r="H63" s="637"/>
      <c r="I63" s="606"/>
      <c r="J63" s="305"/>
      <c r="K63" s="305"/>
      <c r="L63" s="305"/>
      <c r="M63" s="718"/>
      <c r="N63" s="637"/>
      <c r="O63" s="612"/>
      <c r="P63" s="305"/>
      <c r="Q63" s="476"/>
      <c r="R63" s="476"/>
      <c r="S63" s="610"/>
      <c r="U63" s="396"/>
      <c r="V63" s="438"/>
      <c r="W63" s="348"/>
      <c r="X63" s="348"/>
      <c r="Y63" s="348"/>
      <c r="Z63" s="721"/>
    </row>
    <row r="64" spans="3:47" ht="11.25" customHeight="1">
      <c r="C64" s="396"/>
      <c r="D64" s="348"/>
      <c r="E64" s="434"/>
      <c r="F64" s="348"/>
      <c r="G64" s="718"/>
      <c r="H64" s="637"/>
      <c r="I64" s="606"/>
      <c r="J64" s="305"/>
      <c r="K64" s="305"/>
      <c r="L64" s="305"/>
      <c r="M64" s="718"/>
      <c r="N64" s="637"/>
      <c r="O64" s="612"/>
      <c r="P64" s="305"/>
      <c r="Q64" s="476"/>
      <c r="R64" s="476"/>
      <c r="S64" s="610"/>
      <c r="U64" s="396"/>
      <c r="V64" s="438"/>
      <c r="W64" s="348"/>
      <c r="X64" s="348"/>
      <c r="Y64" s="348"/>
      <c r="Z64" s="721"/>
    </row>
    <row r="65" spans="3:26" ht="11.25" customHeight="1">
      <c r="C65" s="396"/>
      <c r="D65" s="348"/>
      <c r="E65" s="434"/>
      <c r="F65" s="348"/>
      <c r="G65" s="718"/>
      <c r="H65" s="637"/>
      <c r="I65" s="606"/>
      <c r="J65" s="305"/>
      <c r="K65" s="305"/>
      <c r="L65" s="305"/>
      <c r="M65" s="718"/>
      <c r="N65" s="637"/>
      <c r="O65" s="612"/>
      <c r="P65" s="305"/>
      <c r="Q65" s="476"/>
      <c r="R65" s="476"/>
      <c r="S65" s="610"/>
      <c r="U65" s="396"/>
      <c r="V65" s="438"/>
      <c r="W65" s="348"/>
      <c r="X65" s="348"/>
      <c r="Y65" s="348"/>
      <c r="Z65" s="721"/>
    </row>
    <row r="66" spans="3:26" ht="11.25" customHeight="1">
      <c r="C66" s="396"/>
      <c r="D66" s="348"/>
      <c r="E66" s="434"/>
      <c r="F66" s="348"/>
      <c r="G66" s="718"/>
      <c r="H66" s="637"/>
      <c r="I66" s="606"/>
      <c r="J66" s="305"/>
      <c r="K66" s="305"/>
      <c r="L66" s="305"/>
      <c r="M66" s="718"/>
      <c r="N66" s="637"/>
      <c r="O66" s="612"/>
      <c r="P66" s="305"/>
      <c r="Q66" s="305"/>
      <c r="R66" s="731"/>
      <c r="S66" s="610"/>
      <c r="U66" s="396"/>
      <c r="V66" s="438"/>
      <c r="W66" s="348"/>
      <c r="X66" s="348"/>
      <c r="Y66" s="348"/>
      <c r="Z66" s="721"/>
    </row>
    <row r="67" spans="3:26" ht="11.25" customHeight="1">
      <c r="C67" s="396"/>
      <c r="D67" s="348"/>
      <c r="E67" s="434"/>
      <c r="F67" s="348"/>
      <c r="G67" s="718"/>
      <c r="H67" s="637"/>
      <c r="I67" s="606"/>
      <c r="J67" s="305"/>
      <c r="K67" s="305"/>
      <c r="L67" s="305"/>
      <c r="M67" s="718"/>
      <c r="N67" s="637"/>
      <c r="O67" s="612"/>
      <c r="P67" s="305"/>
      <c r="Q67" s="305"/>
      <c r="R67" s="731"/>
      <c r="S67" s="610"/>
      <c r="U67" s="396"/>
      <c r="V67" s="438"/>
      <c r="W67" s="348"/>
      <c r="X67" s="348"/>
      <c r="Y67" s="348"/>
      <c r="Z67" s="721"/>
    </row>
    <row r="68" spans="3:26" ht="11.25" customHeight="1">
      <c r="C68" s="396"/>
      <c r="D68" s="348"/>
      <c r="E68" s="434"/>
      <c r="F68" s="348"/>
      <c r="G68" s="718"/>
      <c r="H68" s="637"/>
      <c r="I68" s="606"/>
      <c r="J68" s="305"/>
      <c r="K68" s="305"/>
      <c r="L68" s="305"/>
      <c r="M68" s="718"/>
      <c r="N68" s="637"/>
      <c r="O68" s="612"/>
      <c r="P68" s="305"/>
      <c r="Q68" s="305"/>
      <c r="R68" s="476"/>
      <c r="S68" s="610"/>
      <c r="U68" s="396"/>
      <c r="V68" s="438"/>
      <c r="W68" s="348"/>
      <c r="X68" s="348"/>
      <c r="Y68" s="348"/>
      <c r="Z68" s="721"/>
    </row>
    <row r="69" spans="3:26" ht="11.25" customHeight="1">
      <c r="C69" s="396"/>
      <c r="D69" s="348"/>
      <c r="E69" s="434"/>
      <c r="F69" s="348"/>
      <c r="G69" s="718"/>
      <c r="H69" s="637"/>
      <c r="I69" s="606"/>
      <c r="J69" s="305"/>
      <c r="K69" s="305"/>
      <c r="L69" s="305"/>
      <c r="M69" s="718"/>
      <c r="N69" s="637"/>
      <c r="O69" s="612"/>
      <c r="P69" s="305"/>
      <c r="Q69" s="305"/>
      <c r="R69" s="476"/>
      <c r="S69" s="610"/>
      <c r="U69" s="396"/>
      <c r="V69" s="438"/>
      <c r="W69" s="348"/>
      <c r="X69" s="348"/>
      <c r="Y69" s="348"/>
      <c r="Z69" s="721"/>
    </row>
    <row r="70" spans="3:26" ht="11.25" customHeight="1">
      <c r="C70" s="396"/>
      <c r="D70" s="348"/>
      <c r="E70" s="434"/>
      <c r="F70" s="348"/>
      <c r="G70" s="718"/>
      <c r="H70" s="637"/>
      <c r="I70" s="606"/>
      <c r="J70" s="305"/>
      <c r="K70" s="305"/>
      <c r="L70" s="305"/>
      <c r="M70" s="718"/>
      <c r="N70" s="637"/>
      <c r="O70" s="612"/>
      <c r="P70" s="305"/>
      <c r="Q70" s="305"/>
      <c r="R70" s="476"/>
      <c r="S70" s="610"/>
      <c r="U70" s="396"/>
      <c r="V70" s="438"/>
      <c r="W70" s="348"/>
      <c r="X70" s="348"/>
      <c r="Y70" s="348"/>
      <c r="Z70" s="721"/>
    </row>
    <row r="71" spans="3:26" ht="11.25" customHeight="1">
      <c r="C71" s="396"/>
      <c r="D71" s="348"/>
      <c r="E71" s="434"/>
      <c r="F71" s="348"/>
      <c r="G71" s="718"/>
      <c r="H71" s="637"/>
      <c r="I71" s="606"/>
      <c r="J71" s="305"/>
      <c r="K71" s="305"/>
      <c r="L71" s="305"/>
      <c r="M71" s="718"/>
      <c r="N71" s="637"/>
      <c r="O71" s="612"/>
      <c r="P71" s="305"/>
      <c r="Q71" s="305"/>
      <c r="R71" s="476"/>
      <c r="S71" s="610"/>
      <c r="U71" s="396"/>
      <c r="V71" s="438"/>
      <c r="W71" s="348"/>
      <c r="X71" s="348"/>
      <c r="Y71" s="348"/>
      <c r="Z71" s="721"/>
    </row>
    <row r="72" spans="3:26" ht="11.25" customHeight="1">
      <c r="C72" s="396"/>
      <c r="D72" s="348"/>
      <c r="E72" s="434"/>
      <c r="F72" s="348"/>
      <c r="G72" s="718"/>
      <c r="H72" s="637"/>
      <c r="I72" s="607"/>
      <c r="J72" s="309"/>
      <c r="K72" s="309"/>
      <c r="L72" s="309"/>
      <c r="M72" s="718"/>
      <c r="N72" s="637"/>
      <c r="O72" s="612"/>
      <c r="P72" s="305"/>
      <c r="Q72" s="305"/>
      <c r="R72" s="732"/>
      <c r="S72" s="610"/>
      <c r="U72" s="396"/>
      <c r="V72" s="438"/>
      <c r="W72" s="348"/>
      <c r="X72" s="348"/>
      <c r="Y72" s="348"/>
      <c r="Z72" s="721"/>
    </row>
    <row r="73" spans="3:26" ht="11.25" customHeight="1">
      <c r="C73" s="396"/>
      <c r="D73" s="348"/>
      <c r="E73" s="434"/>
      <c r="F73" s="348"/>
      <c r="G73" s="718"/>
      <c r="H73" s="637"/>
      <c r="I73" s="606"/>
      <c r="J73" s="305"/>
      <c r="K73" s="305"/>
      <c r="L73" s="305"/>
      <c r="M73" s="718"/>
      <c r="N73" s="637"/>
      <c r="O73" s="612"/>
      <c r="P73" s="305"/>
      <c r="Q73" s="305"/>
      <c r="R73" s="476"/>
      <c r="S73" s="610"/>
      <c r="U73" s="396"/>
      <c r="V73" s="438"/>
      <c r="W73" s="348"/>
      <c r="X73" s="348"/>
      <c r="Y73" s="348"/>
      <c r="Z73" s="721"/>
    </row>
    <row r="74" spans="3:26" ht="11.25" customHeight="1">
      <c r="C74" s="396"/>
      <c r="D74" s="348"/>
      <c r="E74" s="434"/>
      <c r="F74" s="348"/>
      <c r="G74" s="718"/>
      <c r="H74" s="637"/>
      <c r="I74" s="606"/>
      <c r="J74" s="305"/>
      <c r="K74" s="305"/>
      <c r="L74" s="305"/>
      <c r="M74" s="718"/>
      <c r="N74" s="637"/>
      <c r="O74" s="612"/>
      <c r="P74" s="305"/>
      <c r="Q74" s="305"/>
      <c r="R74" s="476"/>
      <c r="S74" s="610"/>
      <c r="U74" s="396"/>
      <c r="V74" s="438"/>
      <c r="W74" s="348"/>
      <c r="X74" s="348"/>
      <c r="Y74" s="348"/>
      <c r="Z74" s="721"/>
    </row>
    <row r="75" spans="3:26" ht="11.25" customHeight="1">
      <c r="C75" s="396"/>
      <c r="D75" s="348"/>
      <c r="E75" s="434"/>
      <c r="F75" s="348"/>
      <c r="G75" s="718"/>
      <c r="H75" s="637"/>
      <c r="I75" s="606"/>
      <c r="J75" s="305"/>
      <c r="K75" s="305"/>
      <c r="L75" s="305"/>
      <c r="M75" s="718"/>
      <c r="N75" s="637"/>
      <c r="O75" s="612"/>
      <c r="P75" s="305"/>
      <c r="Q75" s="305"/>
      <c r="R75" s="476"/>
      <c r="S75" s="610"/>
      <c r="U75" s="396"/>
      <c r="V75" s="438"/>
      <c r="W75" s="348"/>
      <c r="X75" s="348"/>
      <c r="Y75" s="348"/>
      <c r="Z75" s="721"/>
    </row>
    <row r="76" spans="3:26" ht="9.75" customHeight="1">
      <c r="C76" s="396"/>
      <c r="D76" s="348"/>
      <c r="E76" s="434"/>
      <c r="F76" s="348"/>
      <c r="G76" s="718"/>
      <c r="H76" s="637"/>
      <c r="I76" s="606"/>
      <c r="J76" s="305"/>
      <c r="K76" s="305"/>
      <c r="L76" s="305"/>
      <c r="M76" s="718"/>
      <c r="N76" s="637"/>
      <c r="O76" s="612"/>
      <c r="P76" s="305"/>
      <c r="Q76" s="305"/>
      <c r="R76" s="476"/>
      <c r="S76" s="610"/>
      <c r="U76" s="396"/>
      <c r="V76" s="438"/>
      <c r="W76" s="348"/>
      <c r="X76" s="348"/>
      <c r="Y76" s="348"/>
      <c r="Z76" s="721"/>
    </row>
    <row r="77" spans="3:26" ht="11.25" hidden="1" customHeight="1">
      <c r="C77" s="396"/>
      <c r="D77" s="348"/>
      <c r="E77" s="434"/>
      <c r="F77" s="348"/>
      <c r="G77" s="718"/>
      <c r="H77" s="637"/>
      <c r="I77" s="606"/>
      <c r="J77" s="476"/>
      <c r="K77" s="476"/>
      <c r="L77" s="305"/>
      <c r="M77" s="718"/>
      <c r="N77" s="637"/>
      <c r="O77" s="612"/>
      <c r="P77" s="305"/>
      <c r="Q77" s="305"/>
      <c r="R77" s="476"/>
      <c r="S77" s="610"/>
      <c r="U77" s="396"/>
      <c r="V77" s="438"/>
      <c r="W77" s="348"/>
      <c r="X77" s="348"/>
      <c r="Y77" s="348"/>
      <c r="Z77" s="721"/>
    </row>
    <row r="78" spans="3:26" ht="11.25" customHeight="1">
      <c r="C78" s="396"/>
      <c r="D78" s="348"/>
      <c r="E78" s="434"/>
      <c r="F78" s="348"/>
      <c r="G78" s="718"/>
      <c r="H78" s="637"/>
      <c r="I78" s="606"/>
      <c r="J78" s="305"/>
      <c r="K78" s="305"/>
      <c r="L78" s="305"/>
      <c r="M78" s="718"/>
      <c r="N78" s="637"/>
      <c r="O78" s="612"/>
      <c r="P78" s="305"/>
      <c r="Q78" s="305"/>
      <c r="R78" s="476"/>
      <c r="S78" s="610"/>
      <c r="U78" s="396"/>
      <c r="V78" s="438"/>
      <c r="W78" s="348"/>
      <c r="X78" s="348"/>
      <c r="Y78" s="348"/>
      <c r="Z78" s="721"/>
    </row>
    <row r="79" spans="3:26" ht="11.25" customHeight="1">
      <c r="C79" s="396"/>
      <c r="D79" s="348"/>
      <c r="E79" s="434"/>
      <c r="F79" s="348"/>
      <c r="G79" s="718"/>
      <c r="H79" s="637"/>
      <c r="I79" s="606"/>
      <c r="J79" s="305"/>
      <c r="K79" s="305"/>
      <c r="L79" s="305"/>
      <c r="M79" s="718"/>
      <c r="N79" s="637"/>
      <c r="O79" s="612"/>
      <c r="P79" s="305"/>
      <c r="Q79" s="305"/>
      <c r="R79" s="476"/>
      <c r="S79" s="610"/>
      <c r="U79" s="396"/>
      <c r="V79" s="438"/>
      <c r="W79" s="348"/>
      <c r="X79" s="348"/>
      <c r="Y79" s="348"/>
      <c r="Z79" s="721"/>
    </row>
    <row r="80" spans="3:26" ht="11.25" customHeight="1">
      <c r="C80" s="396"/>
      <c r="D80" s="348"/>
      <c r="E80" s="434"/>
      <c r="F80" s="348"/>
      <c r="G80" s="718"/>
      <c r="H80" s="637"/>
      <c r="I80" s="606"/>
      <c r="J80" s="305"/>
      <c r="K80" s="305"/>
      <c r="L80" s="305"/>
      <c r="M80" s="718"/>
      <c r="N80" s="637"/>
      <c r="O80" s="612"/>
      <c r="P80" s="305"/>
      <c r="Q80" s="305"/>
      <c r="R80" s="476"/>
      <c r="S80" s="610"/>
      <c r="U80" s="396"/>
      <c r="V80" s="438"/>
      <c r="W80" s="348"/>
      <c r="X80" s="348"/>
      <c r="Y80" s="348"/>
      <c r="Z80" s="721"/>
    </row>
    <row r="81" spans="3:26" ht="11.25" customHeight="1">
      <c r="C81" s="396"/>
      <c r="D81" s="348"/>
      <c r="E81" s="434"/>
      <c r="F81" s="348"/>
      <c r="G81" s="718"/>
      <c r="H81" s="637"/>
      <c r="I81" s="606"/>
      <c r="J81" s="305"/>
      <c r="K81" s="305"/>
      <c r="L81" s="305"/>
      <c r="M81" s="718"/>
      <c r="N81" s="637"/>
      <c r="O81" s="612"/>
      <c r="P81" s="305"/>
      <c r="Q81" s="305"/>
      <c r="R81" s="476"/>
      <c r="S81" s="610"/>
      <c r="U81" s="396"/>
      <c r="V81" s="438"/>
      <c r="W81" s="348"/>
      <c r="X81" s="348"/>
      <c r="Y81" s="348"/>
      <c r="Z81" s="721"/>
    </row>
    <row r="82" spans="3:26" ht="11.25" customHeight="1">
      <c r="C82" s="396"/>
      <c r="D82" s="348"/>
      <c r="E82" s="434"/>
      <c r="F82" s="348"/>
      <c r="G82" s="718"/>
      <c r="H82" s="637"/>
      <c r="I82" s="606"/>
      <c r="J82" s="305"/>
      <c r="K82" s="305"/>
      <c r="L82" s="305"/>
      <c r="M82" s="718"/>
      <c r="N82" s="637"/>
      <c r="O82" s="612"/>
      <c r="P82" s="305"/>
      <c r="Q82" s="305"/>
      <c r="R82" s="476"/>
      <c r="S82" s="610"/>
      <c r="U82" s="396"/>
      <c r="V82" s="438"/>
      <c r="W82" s="348"/>
      <c r="X82" s="348"/>
      <c r="Y82" s="348"/>
      <c r="Z82" s="721"/>
    </row>
    <row r="83" spans="3:26" ht="11.25" customHeight="1">
      <c r="C83" s="396"/>
      <c r="D83" s="348"/>
      <c r="E83" s="434"/>
      <c r="F83" s="348"/>
      <c r="G83" s="718"/>
      <c r="H83" s="637"/>
      <c r="I83" s="606"/>
      <c r="J83" s="305"/>
      <c r="K83" s="305"/>
      <c r="L83" s="305"/>
      <c r="M83" s="718"/>
      <c r="N83" s="637"/>
      <c r="O83" s="612"/>
      <c r="P83" s="305"/>
      <c r="Q83" s="305"/>
      <c r="R83" s="476"/>
      <c r="S83" s="610"/>
      <c r="U83" s="396"/>
      <c r="V83" s="438"/>
      <c r="W83" s="348"/>
      <c r="X83" s="348"/>
      <c r="Y83" s="348"/>
      <c r="Z83" s="721"/>
    </row>
    <row r="84" spans="3:26" ht="11.25" customHeight="1">
      <c r="C84" s="396"/>
      <c r="D84" s="348"/>
      <c r="E84" s="434"/>
      <c r="F84" s="348"/>
      <c r="G84" s="718"/>
      <c r="H84" s="637"/>
      <c r="I84" s="606"/>
      <c r="J84" s="305"/>
      <c r="K84" s="305"/>
      <c r="L84" s="305"/>
      <c r="M84" s="718"/>
      <c r="N84" s="637"/>
      <c r="O84" s="612"/>
      <c r="P84" s="305"/>
      <c r="Q84" s="305"/>
      <c r="R84" s="476"/>
      <c r="S84" s="610"/>
      <c r="U84" s="396"/>
      <c r="V84" s="348"/>
      <c r="W84" s="348"/>
      <c r="X84" s="348"/>
      <c r="Y84" s="348"/>
      <c r="Z84" s="721"/>
    </row>
    <row r="85" spans="3:26" ht="11.25" customHeight="1">
      <c r="C85" s="396"/>
      <c r="D85" s="348"/>
      <c r="E85" s="434"/>
      <c r="F85" s="348"/>
      <c r="G85" s="718"/>
      <c r="H85" s="637"/>
      <c r="I85" s="606"/>
      <c r="J85" s="305"/>
      <c r="K85" s="305"/>
      <c r="L85" s="305"/>
      <c r="M85" s="718"/>
      <c r="N85" s="637"/>
      <c r="O85" s="612"/>
      <c r="P85" s="305"/>
      <c r="Q85" s="305"/>
      <c r="R85" s="476"/>
      <c r="S85" s="610"/>
      <c r="U85" s="396"/>
      <c r="V85" s="348"/>
      <c r="W85" s="348"/>
      <c r="X85" s="348"/>
      <c r="Y85" s="348"/>
      <c r="Z85" s="721"/>
    </row>
    <row r="86" spans="3:26" ht="11.25" customHeight="1">
      <c r="C86" s="396"/>
      <c r="D86" s="348"/>
      <c r="E86" s="434"/>
      <c r="F86" s="348"/>
      <c r="G86" s="718"/>
      <c r="H86" s="637"/>
      <c r="I86" s="606"/>
      <c r="J86" s="305"/>
      <c r="K86" s="305"/>
      <c r="L86" s="305"/>
      <c r="M86" s="718"/>
      <c r="N86" s="637"/>
      <c r="O86" s="612"/>
      <c r="P86" s="305"/>
      <c r="Q86" s="305"/>
      <c r="R86" s="476"/>
      <c r="S86" s="610"/>
      <c r="U86" s="396"/>
      <c r="V86" s="348"/>
      <c r="W86" s="348"/>
      <c r="X86" s="348"/>
      <c r="Y86" s="348"/>
      <c r="Z86" s="721"/>
    </row>
    <row r="87" spans="3:26" ht="11.25" customHeight="1">
      <c r="C87" s="396"/>
      <c r="D87" s="348"/>
      <c r="E87" s="434"/>
      <c r="F87" s="348"/>
      <c r="G87" s="718"/>
      <c r="H87" s="637"/>
      <c r="I87" s="606"/>
      <c r="J87" s="305"/>
      <c r="K87" s="305"/>
      <c r="L87" s="305"/>
      <c r="M87" s="718"/>
      <c r="N87" s="637"/>
      <c r="O87" s="612"/>
      <c r="P87" s="305"/>
      <c r="Q87" s="305"/>
      <c r="R87" s="476"/>
      <c r="S87" s="610"/>
      <c r="U87" s="396"/>
      <c r="V87" s="348"/>
      <c r="W87" s="348"/>
      <c r="X87" s="348"/>
      <c r="Y87" s="348"/>
      <c r="Z87" s="721"/>
    </row>
    <row r="88" spans="3:26" ht="11.25" customHeight="1">
      <c r="C88" s="396"/>
      <c r="D88" s="348"/>
      <c r="E88" s="434"/>
      <c r="F88" s="348"/>
      <c r="G88" s="718"/>
      <c r="H88" s="637"/>
      <c r="I88" s="606"/>
      <c r="J88" s="305"/>
      <c r="K88" s="305"/>
      <c r="L88" s="305"/>
      <c r="M88" s="718"/>
      <c r="N88" s="637"/>
      <c r="O88" s="612"/>
      <c r="P88" s="305"/>
      <c r="Q88" s="305"/>
      <c r="R88" s="476"/>
      <c r="S88" s="610"/>
      <c r="U88" s="396"/>
      <c r="V88" s="348"/>
      <c r="W88" s="348"/>
      <c r="X88" s="348"/>
      <c r="Y88" s="348"/>
      <c r="Z88" s="721"/>
    </row>
    <row r="89" spans="3:26" ht="11.25" customHeight="1">
      <c r="C89" s="396"/>
      <c r="D89" s="348"/>
      <c r="E89" s="434"/>
      <c r="F89" s="348"/>
      <c r="G89" s="718"/>
      <c r="H89" s="637"/>
      <c r="I89" s="606"/>
      <c r="J89" s="305"/>
      <c r="K89" s="305"/>
      <c r="L89" s="305"/>
      <c r="M89" s="718"/>
      <c r="N89" s="637"/>
      <c r="O89" s="612"/>
      <c r="P89" s="305"/>
      <c r="Q89" s="305"/>
      <c r="R89" s="476"/>
      <c r="S89" s="610"/>
      <c r="U89" s="396"/>
      <c r="V89" s="348"/>
      <c r="W89" s="348"/>
      <c r="X89" s="348"/>
      <c r="Y89" s="348"/>
      <c r="Z89" s="721"/>
    </row>
    <row r="90" spans="3:26" ht="11.25" customHeight="1">
      <c r="C90" s="396"/>
      <c r="D90" s="348"/>
      <c r="E90" s="434"/>
      <c r="F90" s="348"/>
      <c r="G90" s="718"/>
      <c r="H90" s="637"/>
      <c r="I90" s="606"/>
      <c r="J90" s="305"/>
      <c r="K90" s="305"/>
      <c r="L90" s="305"/>
      <c r="M90" s="718"/>
      <c r="N90" s="637"/>
      <c r="O90" s="612"/>
      <c r="P90" s="305"/>
      <c r="Q90" s="305"/>
      <c r="R90" s="476"/>
      <c r="S90" s="610"/>
      <c r="U90" s="396"/>
      <c r="V90" s="348"/>
      <c r="W90" s="348"/>
      <c r="X90" s="348"/>
      <c r="Y90" s="348"/>
      <c r="Z90" s="721"/>
    </row>
    <row r="91" spans="3:26">
      <c r="C91" s="396"/>
      <c r="D91" s="348"/>
      <c r="E91" s="434"/>
      <c r="F91" s="348"/>
      <c r="G91" s="718"/>
      <c r="H91" s="637"/>
      <c r="I91" s="606"/>
      <c r="J91" s="305"/>
      <c r="K91" s="305"/>
      <c r="L91" s="305"/>
      <c r="M91" s="718"/>
      <c r="N91" s="637"/>
      <c r="O91" s="612"/>
      <c r="P91" s="305"/>
      <c r="Q91" s="305"/>
      <c r="R91" s="476"/>
      <c r="S91" s="610"/>
      <c r="U91" s="396"/>
      <c r="V91" s="348"/>
      <c r="W91" s="348"/>
      <c r="X91" s="348"/>
      <c r="Y91" s="348"/>
      <c r="Z91" s="721"/>
    </row>
    <row r="92" spans="3:26">
      <c r="C92" s="396"/>
      <c r="D92" s="348"/>
      <c r="E92" s="434"/>
      <c r="F92" s="348"/>
      <c r="G92" s="718"/>
      <c r="H92" s="637"/>
      <c r="I92" s="606"/>
      <c r="J92" s="305"/>
      <c r="K92" s="305"/>
      <c r="L92" s="305"/>
      <c r="M92" s="718"/>
      <c r="N92" s="637"/>
      <c r="O92" s="612"/>
      <c r="P92" s="305"/>
      <c r="Q92" s="305"/>
      <c r="R92" s="476"/>
      <c r="S92" s="610"/>
      <c r="U92" s="396"/>
      <c r="V92" s="348"/>
      <c r="W92" s="348"/>
      <c r="X92" s="348"/>
      <c r="Y92" s="348"/>
      <c r="Z92" s="721"/>
    </row>
    <row r="93" spans="3:26">
      <c r="C93" s="396"/>
      <c r="D93" s="348"/>
      <c r="E93" s="434"/>
      <c r="F93" s="348"/>
      <c r="G93" s="718"/>
      <c r="H93" s="637"/>
      <c r="I93" s="606"/>
      <c r="J93" s="305"/>
      <c r="K93" s="305"/>
      <c r="L93" s="305"/>
      <c r="M93" s="718"/>
      <c r="N93" s="637"/>
      <c r="O93" s="612"/>
      <c r="P93" s="305"/>
      <c r="Q93" s="305"/>
      <c r="R93" s="476"/>
      <c r="S93" s="610"/>
      <c r="U93" s="396"/>
      <c r="V93" s="348"/>
      <c r="W93" s="348"/>
      <c r="X93" s="348"/>
      <c r="Y93" s="348"/>
      <c r="Z93" s="721"/>
    </row>
    <row r="94" spans="3:26">
      <c r="C94" s="396"/>
      <c r="D94" s="348"/>
      <c r="E94" s="434"/>
      <c r="F94" s="348"/>
      <c r="G94" s="718"/>
      <c r="H94" s="637"/>
      <c r="I94" s="606"/>
      <c r="J94" s="305"/>
      <c r="K94" s="305"/>
      <c r="L94" s="305"/>
      <c r="M94" s="718"/>
      <c r="N94" s="637"/>
      <c r="O94" s="612"/>
      <c r="P94" s="305"/>
      <c r="Q94" s="305"/>
      <c r="R94" s="476"/>
      <c r="S94" s="610"/>
      <c r="U94" s="396"/>
      <c r="V94" s="348"/>
      <c r="W94" s="348"/>
      <c r="X94" s="348"/>
      <c r="Y94" s="348"/>
      <c r="Z94" s="721"/>
    </row>
    <row r="95" spans="3:26">
      <c r="C95" s="396"/>
      <c r="D95" s="348"/>
      <c r="E95" s="434"/>
      <c r="F95" s="348"/>
      <c r="G95" s="718"/>
      <c r="H95" s="637"/>
      <c r="I95" s="606"/>
      <c r="J95" s="305"/>
      <c r="K95" s="305"/>
      <c r="L95" s="305"/>
      <c r="M95" s="718"/>
      <c r="N95" s="637"/>
      <c r="O95" s="612"/>
      <c r="P95" s="305"/>
      <c r="Q95" s="305"/>
      <c r="R95" s="476"/>
      <c r="S95" s="610"/>
      <c r="U95" s="396"/>
      <c r="V95" s="348"/>
      <c r="W95" s="348"/>
      <c r="X95" s="348"/>
      <c r="Y95" s="348"/>
      <c r="Z95" s="721"/>
    </row>
    <row r="96" spans="3:26">
      <c r="C96" s="396"/>
      <c r="D96" s="348"/>
      <c r="E96" s="434"/>
      <c r="F96" s="348"/>
      <c r="G96" s="718"/>
      <c r="H96" s="637"/>
      <c r="I96" s="606"/>
      <c r="J96" s="305"/>
      <c r="K96" s="305"/>
      <c r="L96" s="305"/>
      <c r="M96" s="718"/>
      <c r="N96" s="637"/>
      <c r="O96" s="612"/>
      <c r="P96" s="305"/>
      <c r="Q96" s="305"/>
      <c r="R96" s="476"/>
      <c r="S96" s="610"/>
      <c r="U96" s="396"/>
      <c r="V96" s="348"/>
      <c r="W96" s="348"/>
      <c r="X96" s="348"/>
      <c r="Y96" s="348"/>
      <c r="Z96" s="721"/>
    </row>
    <row r="97" spans="3:26" ht="12" thickBot="1">
      <c r="C97" s="398"/>
      <c r="D97" s="399"/>
      <c r="E97" s="400"/>
      <c r="F97" s="399"/>
      <c r="G97" s="719"/>
      <c r="H97" s="637"/>
      <c r="I97" s="608"/>
      <c r="J97" s="602"/>
      <c r="K97" s="602"/>
      <c r="L97" s="602"/>
      <c r="M97" s="719"/>
      <c r="N97" s="637"/>
      <c r="O97" s="613"/>
      <c r="P97" s="602"/>
      <c r="Q97" s="602"/>
      <c r="R97" s="733"/>
      <c r="S97" s="611"/>
      <c r="U97" s="398"/>
      <c r="V97" s="399"/>
      <c r="W97" s="399"/>
      <c r="X97" s="399"/>
      <c r="Y97" s="399"/>
      <c r="Z97" s="722"/>
    </row>
    <row r="98" spans="3:26">
      <c r="H98" s="637"/>
      <c r="N98" s="637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K21" sqref="K21"/>
    </sheetView>
  </sheetViews>
  <sheetFormatPr defaultRowHeight="12.75"/>
  <cols>
    <col min="2" max="2" width="10.28515625" style="12" bestFit="1" customWidth="1"/>
    <col min="4" max="4" width="11.5703125" customWidth="1"/>
    <col min="5" max="5" width="13.140625" customWidth="1"/>
  </cols>
  <sheetData>
    <row r="1" spans="1:6" s="15" customFormat="1" ht="38.25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1756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1728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1693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1727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1720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1554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1722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1712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1680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1721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1637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1644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1564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K39" sqref="K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13.710937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617" t="s">
        <v>54</v>
      </c>
      <c r="D3" s="618"/>
      <c r="E3" s="618"/>
      <c r="F3" s="619"/>
      <c r="G3" s="620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98"/>
      <c r="D6" s="799"/>
      <c r="E6" s="800"/>
      <c r="F6" s="800"/>
      <c r="G6" s="49" t="s">
        <v>4</v>
      </c>
      <c r="H6" s="47" t="s">
        <v>14</v>
      </c>
      <c r="I6" s="42"/>
      <c r="J6" s="96"/>
    </row>
    <row r="7" spans="1:15" ht="18" customHeight="1">
      <c r="A7" s="801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802"/>
      <c r="B8" s="338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81"/>
      <c r="B9" s="310"/>
      <c r="C9" s="310"/>
      <c r="D9" s="310"/>
      <c r="E9" s="310"/>
      <c r="F9" s="310">
        <v>70924</v>
      </c>
      <c r="G9" s="310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10">
        <v>16</v>
      </c>
      <c r="C10" s="310">
        <v>85</v>
      </c>
      <c r="D10" s="310">
        <v>66</v>
      </c>
      <c r="E10" s="310"/>
      <c r="F10" s="310">
        <v>70938</v>
      </c>
      <c r="G10" s="310">
        <f t="shared" ref="G10:G40" si="0">(F10-F9)*4.4</f>
        <v>61.600000000000009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10">
        <v>16</v>
      </c>
      <c r="C11" s="310">
        <v>85</v>
      </c>
      <c r="D11" s="310">
        <v>66</v>
      </c>
      <c r="E11" s="310"/>
      <c r="F11" s="310">
        <v>70953</v>
      </c>
      <c r="G11" s="310">
        <f t="shared" si="0"/>
        <v>66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10">
        <v>15</v>
      </c>
      <c r="C12" s="310">
        <v>85</v>
      </c>
      <c r="D12" s="310">
        <v>66</v>
      </c>
      <c r="E12" s="310"/>
      <c r="F12" s="310">
        <v>70961.53</v>
      </c>
      <c r="G12" s="310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10">
        <v>14</v>
      </c>
      <c r="C13" s="310">
        <v>85</v>
      </c>
      <c r="D13" s="310">
        <v>66</v>
      </c>
      <c r="E13" s="310">
        <v>85</v>
      </c>
      <c r="F13" s="310">
        <v>70968.679999999993</v>
      </c>
      <c r="G13" s="310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10">
        <v>13</v>
      </c>
      <c r="C14" s="310">
        <v>85</v>
      </c>
      <c r="D14" s="310">
        <v>66</v>
      </c>
      <c r="E14" s="310">
        <v>85</v>
      </c>
      <c r="F14" s="310">
        <v>70975</v>
      </c>
      <c r="G14" s="310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10">
        <v>13</v>
      </c>
      <c r="C15" s="310">
        <v>85</v>
      </c>
      <c r="D15" s="310">
        <v>66</v>
      </c>
      <c r="E15" s="310"/>
      <c r="F15" s="310">
        <v>70978.320000000007</v>
      </c>
      <c r="G15" s="310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10">
        <v>13</v>
      </c>
      <c r="C16" s="310">
        <v>85</v>
      </c>
      <c r="D16" s="310">
        <v>66</v>
      </c>
      <c r="E16" s="310"/>
      <c r="F16" s="310">
        <v>70984.05</v>
      </c>
      <c r="G16" s="310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10">
        <v>13</v>
      </c>
      <c r="C17" s="310">
        <v>85</v>
      </c>
      <c r="D17" s="310">
        <v>66</v>
      </c>
      <c r="E17" s="310"/>
      <c r="F17" s="310">
        <v>70992.3</v>
      </c>
      <c r="G17" s="310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10">
        <v>13</v>
      </c>
      <c r="C18" s="310">
        <v>85</v>
      </c>
      <c r="D18" s="310">
        <v>66</v>
      </c>
      <c r="E18" s="310"/>
      <c r="F18" s="310">
        <v>70998.19</v>
      </c>
      <c r="G18" s="310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10">
        <v>12</v>
      </c>
      <c r="C19" s="310">
        <v>85</v>
      </c>
      <c r="D19" s="310">
        <v>66</v>
      </c>
      <c r="E19" s="310"/>
      <c r="F19" s="310">
        <v>71006.039999999994</v>
      </c>
      <c r="G19" s="310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10">
        <v>12</v>
      </c>
      <c r="C20" s="310">
        <v>85</v>
      </c>
      <c r="D20" s="310">
        <v>66</v>
      </c>
      <c r="E20" s="310"/>
      <c r="F20" s="310">
        <v>71014.77</v>
      </c>
      <c r="G20" s="310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10">
        <v>8</v>
      </c>
      <c r="C21" s="310">
        <v>85</v>
      </c>
      <c r="D21" s="310">
        <v>66</v>
      </c>
      <c r="E21" s="310"/>
      <c r="F21" s="310">
        <v>71022.77</v>
      </c>
      <c r="G21" s="310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10">
        <v>8</v>
      </c>
      <c r="C22" s="310">
        <v>85</v>
      </c>
      <c r="D22" s="310">
        <v>66</v>
      </c>
      <c r="E22" s="310">
        <v>75</v>
      </c>
      <c r="F22" s="310">
        <v>71030.960000000006</v>
      </c>
      <c r="G22" s="310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10">
        <v>6</v>
      </c>
      <c r="C23" s="310">
        <v>85</v>
      </c>
      <c r="D23" s="310">
        <v>66</v>
      </c>
      <c r="E23" s="310">
        <v>75</v>
      </c>
      <c r="F23" s="310">
        <v>71039</v>
      </c>
      <c r="G23" s="310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10">
        <v>5</v>
      </c>
      <c r="C24" s="310">
        <v>85</v>
      </c>
      <c r="D24" s="310">
        <v>66</v>
      </c>
      <c r="E24" s="310"/>
      <c r="F24" s="310">
        <v>71047.09</v>
      </c>
      <c r="G24" s="310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10">
        <v>5</v>
      </c>
      <c r="C25" s="310">
        <v>85</v>
      </c>
      <c r="D25" s="310">
        <v>66</v>
      </c>
      <c r="E25" s="310"/>
      <c r="F25" s="310">
        <v>71054.03</v>
      </c>
      <c r="G25" s="310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10">
        <v>5</v>
      </c>
      <c r="C26" s="310">
        <v>85</v>
      </c>
      <c r="D26" s="310">
        <v>66</v>
      </c>
      <c r="E26" s="310"/>
      <c r="F26" s="310">
        <v>71061.09</v>
      </c>
      <c r="G26" s="310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10">
        <v>4</v>
      </c>
      <c r="C27" s="310">
        <v>85</v>
      </c>
      <c r="D27" s="310">
        <v>66</v>
      </c>
      <c r="E27" s="310"/>
      <c r="F27" s="310">
        <v>71068.5</v>
      </c>
      <c r="G27" s="310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10">
        <v>2</v>
      </c>
      <c r="C28" s="310">
        <v>85</v>
      </c>
      <c r="D28" s="310">
        <v>66</v>
      </c>
      <c r="E28" s="310"/>
      <c r="F28" s="310">
        <v>71075.570000000007</v>
      </c>
      <c r="G28" s="310">
        <f t="shared" si="0"/>
        <v>31.108000000030735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10">
        <v>2</v>
      </c>
      <c r="C29" s="310">
        <v>85</v>
      </c>
      <c r="D29" s="310">
        <v>66</v>
      </c>
      <c r="E29" s="310"/>
      <c r="F29" s="310">
        <v>71082.210000000006</v>
      </c>
      <c r="G29" s="310">
        <f t="shared" si="0"/>
        <v>29.21599999999744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10">
        <v>2</v>
      </c>
      <c r="C30" s="310">
        <v>85</v>
      </c>
      <c r="D30" s="310">
        <v>66</v>
      </c>
      <c r="E30" s="310"/>
      <c r="F30" s="310">
        <v>71089.81</v>
      </c>
      <c r="G30" s="310">
        <f t="shared" si="0"/>
        <v>33.439999999961586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10">
        <v>85</v>
      </c>
      <c r="C31" s="310">
        <v>85</v>
      </c>
      <c r="D31" s="310">
        <v>64</v>
      </c>
      <c r="E31" s="310"/>
      <c r="F31" s="310">
        <v>71096.259999999995</v>
      </c>
      <c r="G31" s="310">
        <f t="shared" si="0"/>
        <v>28.379999999987195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10">
        <v>85</v>
      </c>
      <c r="C32" s="310">
        <v>85</v>
      </c>
      <c r="D32" s="310">
        <v>62</v>
      </c>
      <c r="E32" s="310"/>
      <c r="F32" s="310">
        <v>71104.259999999995</v>
      </c>
      <c r="G32" s="310">
        <f t="shared" si="0"/>
        <v>35.200000000000003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10">
        <v>85</v>
      </c>
      <c r="C33" s="310">
        <v>85</v>
      </c>
      <c r="D33" s="310">
        <v>60</v>
      </c>
      <c r="E33" s="310"/>
      <c r="F33" s="310">
        <v>71112.92</v>
      </c>
      <c r="G33" s="310">
        <f t="shared" si="0"/>
        <v>38.104000000015368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10">
        <v>85</v>
      </c>
      <c r="C34" s="310">
        <v>85</v>
      </c>
      <c r="D34" s="310">
        <v>58</v>
      </c>
      <c r="E34" s="310"/>
      <c r="F34" s="310">
        <v>71119.360000000001</v>
      </c>
      <c r="G34" s="310">
        <f t="shared" si="0"/>
        <v>28.336000000010248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10">
        <v>85</v>
      </c>
      <c r="C35" s="310">
        <v>85</v>
      </c>
      <c r="D35" s="310">
        <v>56</v>
      </c>
      <c r="E35" s="310"/>
      <c r="F35" s="310">
        <v>71126.789999999994</v>
      </c>
      <c r="G35" s="310">
        <f t="shared" si="0"/>
        <v>32.691999999969269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10">
        <v>85</v>
      </c>
      <c r="C36" s="310">
        <v>85</v>
      </c>
      <c r="D36" s="310">
        <v>55</v>
      </c>
      <c r="E36" s="310"/>
      <c r="F36" s="310">
        <v>71133.289999999994</v>
      </c>
      <c r="G36" s="310">
        <f t="shared" si="0"/>
        <v>28.6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10">
        <v>85</v>
      </c>
      <c r="C37" s="310">
        <v>85</v>
      </c>
      <c r="D37" s="310">
        <v>53</v>
      </c>
      <c r="E37" s="310"/>
      <c r="F37" s="310">
        <v>71140.39</v>
      </c>
      <c r="G37" s="310">
        <f t="shared" si="0"/>
        <v>31.240000000025614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10">
        <v>85</v>
      </c>
      <c r="C38" s="310">
        <v>85</v>
      </c>
      <c r="D38" s="310">
        <v>50</v>
      </c>
      <c r="E38" s="310"/>
      <c r="F38" s="310">
        <v>71149.69</v>
      </c>
      <c r="G38" s="310">
        <f t="shared" si="0"/>
        <v>40.920000000012806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10">
        <v>85</v>
      </c>
      <c r="C39" s="310">
        <v>85</v>
      </c>
      <c r="D39" s="310">
        <v>48</v>
      </c>
      <c r="E39" s="310"/>
      <c r="F39" s="310">
        <v>71153.649999999994</v>
      </c>
      <c r="G39" s="310">
        <f t="shared" si="0"/>
        <v>17.423999999964146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10">
        <v>85</v>
      </c>
      <c r="C40" s="310">
        <v>85</v>
      </c>
      <c r="D40" s="310">
        <v>45</v>
      </c>
      <c r="E40" s="310"/>
      <c r="F40" s="310">
        <v>71159.98</v>
      </c>
      <c r="G40" s="310">
        <f t="shared" si="0"/>
        <v>27.852000000007685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10"/>
      <c r="C41" s="310"/>
      <c r="D41" s="310"/>
      <c r="E41" s="310"/>
      <c r="F41" s="310"/>
      <c r="G41" s="310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97" t="s">
        <v>6</v>
      </c>
      <c r="D42" s="797"/>
      <c r="E42" s="2">
        <f t="shared" ref="E42:F42" si="4">SUM(E10:E40)</f>
        <v>320</v>
      </c>
      <c r="F42" s="2">
        <f t="shared" si="4"/>
        <v>2202637.5000000005</v>
      </c>
      <c r="G42" s="84">
        <f>SUM(G10:G40)</f>
        <v>1038.3119999999822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635">
        <f>Gen!C11</f>
        <v>0</v>
      </c>
    </row>
    <row r="2" spans="1:3">
      <c r="A2" s="76">
        <f>Gen!B11</f>
        <v>43922</v>
      </c>
      <c r="B2" s="13">
        <f>'Lpg (2)'!G10</f>
        <v>61.600000000000009</v>
      </c>
      <c r="C2" s="74">
        <f>Gen!C11</f>
        <v>0</v>
      </c>
    </row>
    <row r="3" spans="1:3">
      <c r="A3" s="76">
        <f>Gen!B12</f>
        <v>43923</v>
      </c>
      <c r="B3" s="13">
        <f>'Lpg (2)'!G11</f>
        <v>66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31.108000000030735</v>
      </c>
      <c r="C20" s="74">
        <f>Gen!C29</f>
        <v>0</v>
      </c>
    </row>
    <row r="21" spans="1:3">
      <c r="A21" s="76">
        <f>Gen!B30</f>
        <v>43941</v>
      </c>
      <c r="B21" s="13">
        <f>'Lpg (2)'!G29</f>
        <v>29.21599999999744</v>
      </c>
      <c r="C21" s="74">
        <f>Gen!C30</f>
        <v>0</v>
      </c>
    </row>
    <row r="22" spans="1:3">
      <c r="A22" s="76">
        <f>Gen!B31</f>
        <v>43942</v>
      </c>
      <c r="B22" s="13">
        <f>'Lpg (2)'!G30</f>
        <v>33.439999999961586</v>
      </c>
      <c r="C22" s="74">
        <f>Gen!C31</f>
        <v>0</v>
      </c>
    </row>
    <row r="23" spans="1:3">
      <c r="A23" s="76">
        <f>Gen!B32</f>
        <v>43943</v>
      </c>
      <c r="B23" s="13">
        <f>'Lpg (2)'!G31</f>
        <v>28.379999999987195</v>
      </c>
      <c r="C23" s="74">
        <f>Gen!C32</f>
        <v>0</v>
      </c>
    </row>
    <row r="24" spans="1:3">
      <c r="A24" s="76">
        <f>Gen!B33</f>
        <v>43944</v>
      </c>
      <c r="B24" s="13">
        <f>'Lpg (2)'!G32</f>
        <v>35.200000000000003</v>
      </c>
      <c r="C24" s="74">
        <f>Gen!C33</f>
        <v>0</v>
      </c>
    </row>
    <row r="25" spans="1:3">
      <c r="A25" s="76">
        <f>Gen!B34</f>
        <v>43945</v>
      </c>
      <c r="B25" s="13">
        <f>'Lpg (2)'!G33</f>
        <v>38.104000000015368</v>
      </c>
      <c r="C25" s="74">
        <f>Gen!C34</f>
        <v>0</v>
      </c>
    </row>
    <row r="26" spans="1:3">
      <c r="A26" s="76">
        <f>Gen!B35</f>
        <v>43946</v>
      </c>
      <c r="B26" s="13">
        <f>'Lpg (2)'!G34</f>
        <v>28.336000000010248</v>
      </c>
      <c r="C26" s="74">
        <f>Gen!C35</f>
        <v>0</v>
      </c>
    </row>
    <row r="27" spans="1:3">
      <c r="A27" s="76">
        <f>Gen!B36</f>
        <v>43947</v>
      </c>
      <c r="B27" s="13">
        <f>'Lpg (2)'!G35</f>
        <v>32.691999999969269</v>
      </c>
      <c r="C27" s="74">
        <f>Gen!C36</f>
        <v>0</v>
      </c>
    </row>
    <row r="28" spans="1:3">
      <c r="A28" s="76">
        <f>Gen!B37</f>
        <v>43948</v>
      </c>
      <c r="B28" s="13">
        <f>'Lpg (2)'!G36</f>
        <v>28.6</v>
      </c>
      <c r="C28" s="74">
        <f>Gen!C37</f>
        <v>0</v>
      </c>
    </row>
    <row r="29" spans="1:3">
      <c r="A29" s="76">
        <f>Gen!B38</f>
        <v>43949</v>
      </c>
      <c r="B29" s="13">
        <f>'Lpg (2)'!G37</f>
        <v>31.240000000025614</v>
      </c>
      <c r="C29" s="74">
        <f>Gen!C38</f>
        <v>0</v>
      </c>
    </row>
    <row r="30" spans="1:3">
      <c r="A30" s="76">
        <f>Gen!B39</f>
        <v>43950</v>
      </c>
      <c r="B30" s="13">
        <f>'Lpg (2)'!G38</f>
        <v>40.920000000012806</v>
      </c>
      <c r="C30" s="74">
        <f>Gen!C39</f>
        <v>0</v>
      </c>
    </row>
    <row r="31" spans="1:3">
      <c r="A31" s="76">
        <f>Gen!B40</f>
        <v>43951</v>
      </c>
      <c r="B31" s="13">
        <f>'Lpg (2)'!G39</f>
        <v>17.423999999964146</v>
      </c>
      <c r="C31" s="74">
        <f>Gen!C40</f>
        <v>0</v>
      </c>
    </row>
    <row r="32" spans="1:3">
      <c r="A32" s="76">
        <f>Gen!B41</f>
        <v>0</v>
      </c>
      <c r="B32" s="13">
        <f>'Lpg (2)'!G40</f>
        <v>27.852000000007685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6" zoomScale="94" zoomScaleNormal="94" workbookViewId="0">
      <pane xSplit="1" topLeftCell="R1" activePane="topRight" state="frozen"/>
      <selection pane="topRight" activeCell="AF35" sqref="AF3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07" t="s">
        <v>298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  <c r="O1" s="808"/>
      <c r="P1" s="808"/>
      <c r="Q1" s="808"/>
      <c r="R1" s="808"/>
      <c r="S1" s="808"/>
      <c r="T1" s="808"/>
      <c r="U1" s="808"/>
      <c r="V1" s="808"/>
      <c r="W1" s="808"/>
      <c r="X1" s="808"/>
      <c r="Y1" s="808"/>
      <c r="Z1" s="808"/>
      <c r="AA1" s="808"/>
      <c r="AB1" s="808"/>
      <c r="AC1" s="808"/>
      <c r="AD1" s="808"/>
      <c r="AE1" s="808"/>
      <c r="AF1" s="808"/>
      <c r="AG1" s="808"/>
      <c r="AH1" s="808"/>
      <c r="AI1" s="808"/>
      <c r="AJ1" s="808"/>
      <c r="AK1" s="808"/>
      <c r="AL1" s="808"/>
      <c r="AM1" s="808"/>
      <c r="AN1" s="808"/>
    </row>
    <row r="2" spans="1:40" ht="13.5" customHeight="1" thickTop="1">
      <c r="A2" s="30"/>
      <c r="B2" s="30"/>
      <c r="C2" s="804" t="s">
        <v>45</v>
      </c>
      <c r="D2" s="804"/>
      <c r="E2" s="804"/>
      <c r="F2" s="804" t="s">
        <v>17</v>
      </c>
      <c r="G2" s="804"/>
      <c r="H2" s="804"/>
      <c r="I2" s="804" t="s">
        <v>112</v>
      </c>
      <c r="J2" s="804"/>
      <c r="K2" s="804"/>
      <c r="L2" s="804" t="s">
        <v>115</v>
      </c>
      <c r="M2" s="804"/>
      <c r="N2" s="804"/>
      <c r="O2" s="804" t="s">
        <v>113</v>
      </c>
      <c r="P2" s="804"/>
      <c r="Q2" s="804"/>
      <c r="R2" s="290"/>
      <c r="S2" s="815" t="s">
        <v>162</v>
      </c>
      <c r="T2" s="816"/>
      <c r="U2" s="817"/>
      <c r="V2" s="815" t="s">
        <v>163</v>
      </c>
      <c r="W2" s="816"/>
      <c r="X2" s="817"/>
      <c r="Y2" s="815" t="s">
        <v>164</v>
      </c>
      <c r="Z2" s="816"/>
      <c r="AA2" s="817"/>
      <c r="AB2" s="815" t="s">
        <v>165</v>
      </c>
      <c r="AC2" s="816"/>
      <c r="AD2" s="817"/>
      <c r="AE2" s="809" t="s">
        <v>220</v>
      </c>
      <c r="AF2" s="810"/>
      <c r="AG2" s="821"/>
      <c r="AH2" s="809" t="s">
        <v>224</v>
      </c>
      <c r="AI2" s="810"/>
      <c r="AJ2" s="821"/>
      <c r="AK2" s="809" t="s">
        <v>221</v>
      </c>
      <c r="AL2" s="810"/>
      <c r="AM2" s="810"/>
      <c r="AN2" s="813" t="s">
        <v>170</v>
      </c>
    </row>
    <row r="3" spans="1:40" ht="21.75" customHeight="1" thickBot="1">
      <c r="A3" s="805" t="s">
        <v>7</v>
      </c>
      <c r="B3" s="30"/>
      <c r="C3" s="804" t="s">
        <v>114</v>
      </c>
      <c r="D3" s="804" t="s">
        <v>15</v>
      </c>
      <c r="E3" s="804" t="s">
        <v>16</v>
      </c>
      <c r="F3" s="804" t="s">
        <v>114</v>
      </c>
      <c r="G3" s="804" t="s">
        <v>15</v>
      </c>
      <c r="H3" s="804" t="s">
        <v>16</v>
      </c>
      <c r="I3" s="804" t="s">
        <v>114</v>
      </c>
      <c r="J3" s="804" t="s">
        <v>15</v>
      </c>
      <c r="K3" s="804" t="s">
        <v>16</v>
      </c>
      <c r="L3" s="804" t="s">
        <v>114</v>
      </c>
      <c r="M3" s="804" t="s">
        <v>15</v>
      </c>
      <c r="N3" s="804" t="s">
        <v>16</v>
      </c>
      <c r="O3" s="804" t="s">
        <v>114</v>
      </c>
      <c r="P3" s="804" t="s">
        <v>15</v>
      </c>
      <c r="Q3" s="804" t="s">
        <v>16</v>
      </c>
      <c r="R3" s="823" t="s">
        <v>166</v>
      </c>
      <c r="S3" s="818"/>
      <c r="T3" s="819"/>
      <c r="U3" s="820"/>
      <c r="V3" s="818"/>
      <c r="W3" s="819"/>
      <c r="X3" s="820"/>
      <c r="Y3" s="818"/>
      <c r="Z3" s="819"/>
      <c r="AA3" s="820"/>
      <c r="AB3" s="818"/>
      <c r="AC3" s="819"/>
      <c r="AD3" s="820"/>
      <c r="AE3" s="811"/>
      <c r="AF3" s="812"/>
      <c r="AG3" s="822"/>
      <c r="AH3" s="811"/>
      <c r="AI3" s="812"/>
      <c r="AJ3" s="822"/>
      <c r="AK3" s="811"/>
      <c r="AL3" s="812"/>
      <c r="AM3" s="812"/>
      <c r="AN3" s="814"/>
    </row>
    <row r="4" spans="1:40" ht="15.75" thickTop="1">
      <c r="A4" s="806"/>
      <c r="B4" s="282"/>
      <c r="C4" s="804"/>
      <c r="D4" s="804"/>
      <c r="E4" s="804"/>
      <c r="F4" s="804"/>
      <c r="G4" s="804"/>
      <c r="H4" s="804"/>
      <c r="I4" s="804"/>
      <c r="J4" s="804"/>
      <c r="K4" s="804"/>
      <c r="L4" s="804"/>
      <c r="M4" s="804"/>
      <c r="N4" s="804"/>
      <c r="O4" s="804"/>
      <c r="P4" s="804"/>
      <c r="Q4" s="804"/>
      <c r="R4" s="823"/>
      <c r="S4" s="296" t="s">
        <v>167</v>
      </c>
      <c r="T4" s="297" t="s">
        <v>168</v>
      </c>
      <c r="U4" s="294" t="s">
        <v>169</v>
      </c>
      <c r="V4" s="292" t="s">
        <v>167</v>
      </c>
      <c r="W4" s="293" t="s">
        <v>168</v>
      </c>
      <c r="X4" s="294" t="s">
        <v>169</v>
      </c>
      <c r="Y4" s="292" t="s">
        <v>167</v>
      </c>
      <c r="Z4" s="293" t="s">
        <v>168</v>
      </c>
      <c r="AA4" s="294" t="s">
        <v>169</v>
      </c>
      <c r="AB4" s="292" t="s">
        <v>167</v>
      </c>
      <c r="AC4" s="293" t="s">
        <v>168</v>
      </c>
      <c r="AD4" s="334" t="s">
        <v>100</v>
      </c>
      <c r="AE4" s="292" t="s">
        <v>167</v>
      </c>
      <c r="AF4" s="293" t="s">
        <v>168</v>
      </c>
      <c r="AG4" s="335" t="s">
        <v>100</v>
      </c>
      <c r="AH4" s="292" t="s">
        <v>167</v>
      </c>
      <c r="AI4" s="293" t="s">
        <v>168</v>
      </c>
      <c r="AJ4" s="335" t="s">
        <v>100</v>
      </c>
      <c r="AK4" s="292" t="s">
        <v>167</v>
      </c>
      <c r="AL4" s="293" t="s">
        <v>168</v>
      </c>
      <c r="AM4" s="335" t="s">
        <v>100</v>
      </c>
      <c r="AN4" s="336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40">
        <f>'[4]Water-Meter'!$G$36</f>
        <v>38000</v>
      </c>
      <c r="H5" s="544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544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544">
        <f t="shared" ref="N5:N24" si="7">IF((M5-M4)&lt;0,"0",(M5-M4))</f>
        <v>11978</v>
      </c>
      <c r="O5" s="78">
        <f t="shared" ref="O5:O24" si="8">P4</f>
        <v>0</v>
      </c>
      <c r="P5" s="435">
        <v>20100</v>
      </c>
      <c r="Q5" s="544">
        <f t="shared" ref="Q5:Q24" si="9">IF((P5-P4)&lt;0,"0",(P5-P4))</f>
        <v>20100</v>
      </c>
      <c r="R5" s="284"/>
      <c r="S5" s="283"/>
      <c r="T5" s="436">
        <f>'[4]Water-Meter'!$T$36</f>
        <v>51712</v>
      </c>
      <c r="U5" s="283" t="str">
        <f t="shared" ref="U5:V20" si="10">V4</f>
        <v xml:space="preserve">OPEN </v>
      </c>
      <c r="V5" s="283" t="str">
        <f t="shared" si="10"/>
        <v>FINAL</v>
      </c>
      <c r="W5" s="436">
        <f>'[4]Water-Meter'!$W$36</f>
        <v>71260</v>
      </c>
      <c r="X5" s="284"/>
      <c r="Y5" s="283" t="str">
        <f t="shared" ref="Y5:Y37" si="11">Z4</f>
        <v>FINAL</v>
      </c>
      <c r="Z5" s="436">
        <f>'[4]Water-Meter'!$Z$36</f>
        <v>80332</v>
      </c>
      <c r="AA5" s="284"/>
      <c r="AB5" s="283" t="str">
        <f t="shared" ref="AB5:AB37" si="12">AC4</f>
        <v>FINAL</v>
      </c>
      <c r="AC5" s="614">
        <f>'[4]Water-Meter'!$AC$36</f>
        <v>13184</v>
      </c>
      <c r="AD5" s="298"/>
      <c r="AE5" s="283" t="str">
        <f t="shared" ref="AE5:AE37" si="13">AF4</f>
        <v>FINAL</v>
      </c>
      <c r="AF5" s="615">
        <f>'[4]Water-Meter'!$AF$36</f>
        <v>17313</v>
      </c>
      <c r="AG5" s="298"/>
      <c r="AH5" s="283" t="str">
        <f t="shared" ref="AH5:AH37" si="14">AI4</f>
        <v>FINAL</v>
      </c>
      <c r="AI5" s="615">
        <f>'[4]Water-Meter'!$AI$36</f>
        <v>24546</v>
      </c>
      <c r="AJ5" s="298"/>
      <c r="AK5" s="359" t="str">
        <f t="shared" ref="AK5:AK37" si="15">AL4</f>
        <v>FINAL</v>
      </c>
      <c r="AL5" s="436">
        <f>'[4]Water-Meter'!$AL$36</f>
        <v>15154</v>
      </c>
      <c r="AM5" s="298"/>
      <c r="AN5" s="442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40">
        <v>38000</v>
      </c>
      <c r="H6" s="544">
        <f t="shared" si="3"/>
        <v>0</v>
      </c>
      <c r="I6" s="78">
        <f t="shared" si="4"/>
        <v>7890</v>
      </c>
      <c r="J6" s="1">
        <v>7891</v>
      </c>
      <c r="K6" s="544">
        <f t="shared" si="5"/>
        <v>1</v>
      </c>
      <c r="L6" s="78">
        <f t="shared" si="6"/>
        <v>11978</v>
      </c>
      <c r="M6" s="1">
        <f>'[4]Water-Meter'!$M$36</f>
        <v>11978</v>
      </c>
      <c r="N6" s="544">
        <f t="shared" si="7"/>
        <v>0</v>
      </c>
      <c r="O6" s="78">
        <f t="shared" si="8"/>
        <v>20100</v>
      </c>
      <c r="P6" s="435">
        <v>20101</v>
      </c>
      <c r="Q6" s="544">
        <f t="shared" si="9"/>
        <v>1</v>
      </c>
      <c r="R6" s="288"/>
      <c r="S6" s="283">
        <f t="shared" ref="S6:S24" si="16">T5</f>
        <v>51712</v>
      </c>
      <c r="T6" s="436">
        <v>51787</v>
      </c>
      <c r="U6" s="545">
        <f t="shared" ref="U6:U37" si="17">IF((T6-T5)&lt;0,"0",(T6-T5))</f>
        <v>75</v>
      </c>
      <c r="V6" s="283">
        <f t="shared" si="10"/>
        <v>71260</v>
      </c>
      <c r="W6" s="436">
        <v>71260</v>
      </c>
      <c r="X6" s="545">
        <f t="shared" ref="X6:X37" si="18">IF((W6-W5)&lt;0,"0",(W6-W5))</f>
        <v>0</v>
      </c>
      <c r="Y6" s="283">
        <f t="shared" si="11"/>
        <v>80332</v>
      </c>
      <c r="Z6" s="436">
        <v>80332</v>
      </c>
      <c r="AA6" s="545">
        <f t="shared" ref="AA6:AA37" si="19">IF((Z6-Z5)&lt;0,"0",(Z6-Z5))</f>
        <v>0</v>
      </c>
      <c r="AB6" s="283">
        <f t="shared" si="12"/>
        <v>13184</v>
      </c>
      <c r="AC6" s="548">
        <v>13184</v>
      </c>
      <c r="AD6" s="545">
        <f t="shared" ref="AD6:AD37" si="20">IF((AC6-AC5)&lt;0,"0",(AC6-AC5))</f>
        <v>0</v>
      </c>
      <c r="AE6" s="283">
        <f t="shared" si="13"/>
        <v>17313</v>
      </c>
      <c r="AF6" s="437">
        <v>17337</v>
      </c>
      <c r="AG6" s="545">
        <f t="shared" ref="AG6:AG37" si="21">IF((AF6-AF5)&lt;0,"0",(AF6-AF5))</f>
        <v>24</v>
      </c>
      <c r="AH6" s="283">
        <f t="shared" si="14"/>
        <v>24546</v>
      </c>
      <c r="AI6" s="615">
        <v>24546</v>
      </c>
      <c r="AJ6" s="545">
        <f>IF((AI7-AI5)&lt;0,"0",(AI7-AI5))</f>
        <v>0</v>
      </c>
      <c r="AK6" s="359">
        <f t="shared" si="15"/>
        <v>15154</v>
      </c>
      <c r="AL6" s="436">
        <v>15154</v>
      </c>
      <c r="AM6" s="545">
        <f t="shared" ref="AM6:AM37" si="22">IF((AL6-AL5)&lt;0,"0",(AL6-AL5))</f>
        <v>0</v>
      </c>
      <c r="AN6" s="442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40">
        <v>38000</v>
      </c>
      <c r="H7" s="544">
        <f t="shared" si="3"/>
        <v>0</v>
      </c>
      <c r="I7" s="78">
        <f t="shared" si="4"/>
        <v>7891</v>
      </c>
      <c r="J7" s="1">
        <v>7892</v>
      </c>
      <c r="K7" s="544">
        <f t="shared" si="5"/>
        <v>1</v>
      </c>
      <c r="L7" s="78">
        <f t="shared" si="6"/>
        <v>11978</v>
      </c>
      <c r="M7" s="1">
        <v>11978</v>
      </c>
      <c r="N7" s="544">
        <f t="shared" si="7"/>
        <v>0</v>
      </c>
      <c r="O7" s="78">
        <f t="shared" si="8"/>
        <v>20101</v>
      </c>
      <c r="P7" s="435">
        <v>20103</v>
      </c>
      <c r="Q7" s="544">
        <f t="shared" si="9"/>
        <v>2</v>
      </c>
      <c r="R7" s="288"/>
      <c r="S7" s="283">
        <f t="shared" si="16"/>
        <v>51787</v>
      </c>
      <c r="T7" s="436">
        <v>51852</v>
      </c>
      <c r="U7" s="545">
        <f t="shared" si="17"/>
        <v>65</v>
      </c>
      <c r="V7" s="283">
        <f t="shared" si="10"/>
        <v>71260</v>
      </c>
      <c r="W7" s="436">
        <v>71260</v>
      </c>
      <c r="X7" s="545">
        <f t="shared" si="18"/>
        <v>0</v>
      </c>
      <c r="Y7" s="283">
        <f t="shared" si="11"/>
        <v>80332</v>
      </c>
      <c r="Z7" s="436">
        <v>80332</v>
      </c>
      <c r="AA7" s="545">
        <f t="shared" si="19"/>
        <v>0</v>
      </c>
      <c r="AB7" s="283">
        <f t="shared" si="12"/>
        <v>13184</v>
      </c>
      <c r="AC7" s="548">
        <v>13184</v>
      </c>
      <c r="AD7" s="545">
        <f t="shared" si="20"/>
        <v>0</v>
      </c>
      <c r="AE7" s="283">
        <f t="shared" si="13"/>
        <v>17337</v>
      </c>
      <c r="AF7" s="437">
        <v>17361</v>
      </c>
      <c r="AG7" s="545">
        <f t="shared" si="21"/>
        <v>24</v>
      </c>
      <c r="AH7" s="283">
        <f t="shared" si="14"/>
        <v>24546</v>
      </c>
      <c r="AI7" s="615">
        <v>24546</v>
      </c>
      <c r="AJ7" s="545">
        <f t="shared" ref="AJ7:AJ37" si="23">IF((AI8-AI6)&lt;0,"0",(AI8-AI6))</f>
        <v>0</v>
      </c>
      <c r="AK7" s="359">
        <f t="shared" si="15"/>
        <v>15154</v>
      </c>
      <c r="AL7" s="436">
        <v>15154</v>
      </c>
      <c r="AM7" s="545">
        <f t="shared" si="22"/>
        <v>0</v>
      </c>
      <c r="AN7" s="442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40">
        <v>38000</v>
      </c>
      <c r="H8" s="544">
        <f t="shared" si="3"/>
        <v>0</v>
      </c>
      <c r="I8" s="78">
        <f t="shared" si="4"/>
        <v>7892</v>
      </c>
      <c r="J8" s="1">
        <v>7893</v>
      </c>
      <c r="K8" s="544">
        <f t="shared" si="5"/>
        <v>1</v>
      </c>
      <c r="L8" s="78">
        <f t="shared" si="6"/>
        <v>11978</v>
      </c>
      <c r="M8" s="1">
        <v>11978</v>
      </c>
      <c r="N8" s="544">
        <f t="shared" si="7"/>
        <v>0</v>
      </c>
      <c r="O8" s="78">
        <f t="shared" si="8"/>
        <v>20103</v>
      </c>
      <c r="P8" s="435">
        <v>20104</v>
      </c>
      <c r="Q8" s="544">
        <f t="shared" si="9"/>
        <v>1</v>
      </c>
      <c r="R8" s="288"/>
      <c r="S8" s="283">
        <f t="shared" si="16"/>
        <v>51852</v>
      </c>
      <c r="T8" s="436">
        <v>51912</v>
      </c>
      <c r="U8" s="545">
        <f t="shared" si="17"/>
        <v>60</v>
      </c>
      <c r="V8" s="283">
        <f t="shared" si="10"/>
        <v>71260</v>
      </c>
      <c r="W8" s="436">
        <v>71260</v>
      </c>
      <c r="X8" s="545">
        <f t="shared" si="18"/>
        <v>0</v>
      </c>
      <c r="Y8" s="283">
        <f t="shared" si="11"/>
        <v>80332</v>
      </c>
      <c r="Z8" s="436">
        <v>80332</v>
      </c>
      <c r="AA8" s="545">
        <f t="shared" si="19"/>
        <v>0</v>
      </c>
      <c r="AB8" s="283">
        <f t="shared" si="12"/>
        <v>13184</v>
      </c>
      <c r="AC8" s="548">
        <v>13184</v>
      </c>
      <c r="AD8" s="545">
        <f t="shared" si="20"/>
        <v>0</v>
      </c>
      <c r="AE8" s="283">
        <f t="shared" si="13"/>
        <v>17361</v>
      </c>
      <c r="AF8" s="437">
        <v>17385</v>
      </c>
      <c r="AG8" s="545">
        <f t="shared" si="21"/>
        <v>24</v>
      </c>
      <c r="AH8" s="283">
        <f t="shared" si="14"/>
        <v>24546</v>
      </c>
      <c r="AI8" s="615">
        <v>24546</v>
      </c>
      <c r="AJ8" s="545">
        <f t="shared" si="23"/>
        <v>0</v>
      </c>
      <c r="AK8" s="359">
        <f t="shared" si="15"/>
        <v>15154</v>
      </c>
      <c r="AL8" s="436">
        <v>15154</v>
      </c>
      <c r="AM8" s="545">
        <f t="shared" si="22"/>
        <v>0</v>
      </c>
      <c r="AN8" s="442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40">
        <v>38000</v>
      </c>
      <c r="H9" s="544">
        <f t="shared" si="3"/>
        <v>0</v>
      </c>
      <c r="I9" s="78">
        <f t="shared" si="4"/>
        <v>7893</v>
      </c>
      <c r="J9" s="1">
        <v>7894</v>
      </c>
      <c r="K9" s="544">
        <f t="shared" si="5"/>
        <v>1</v>
      </c>
      <c r="L9" s="78">
        <f t="shared" si="6"/>
        <v>11978</v>
      </c>
      <c r="M9" s="1">
        <v>11978</v>
      </c>
      <c r="N9" s="544">
        <f t="shared" si="7"/>
        <v>0</v>
      </c>
      <c r="O9" s="78">
        <f t="shared" si="8"/>
        <v>20104</v>
      </c>
      <c r="P9" s="435">
        <v>20106</v>
      </c>
      <c r="Q9" s="544">
        <f t="shared" si="9"/>
        <v>2</v>
      </c>
      <c r="R9" s="288"/>
      <c r="S9" s="283">
        <f t="shared" si="16"/>
        <v>51912</v>
      </c>
      <c r="T9" s="436">
        <v>51964</v>
      </c>
      <c r="U9" s="545">
        <f t="shared" si="17"/>
        <v>52</v>
      </c>
      <c r="V9" s="283">
        <f t="shared" si="10"/>
        <v>71260</v>
      </c>
      <c r="W9" s="436">
        <v>71260</v>
      </c>
      <c r="X9" s="545">
        <f t="shared" si="18"/>
        <v>0</v>
      </c>
      <c r="Y9" s="283">
        <f t="shared" si="11"/>
        <v>80332</v>
      </c>
      <c r="Z9" s="436">
        <v>80332</v>
      </c>
      <c r="AA9" s="545">
        <f t="shared" si="19"/>
        <v>0</v>
      </c>
      <c r="AB9" s="283">
        <f t="shared" si="12"/>
        <v>13184</v>
      </c>
      <c r="AC9" s="548">
        <v>13184</v>
      </c>
      <c r="AD9" s="545">
        <f t="shared" si="20"/>
        <v>0</v>
      </c>
      <c r="AE9" s="283">
        <f t="shared" si="13"/>
        <v>17385</v>
      </c>
      <c r="AF9" s="437">
        <v>17409</v>
      </c>
      <c r="AG9" s="545">
        <f t="shared" si="21"/>
        <v>24</v>
      </c>
      <c r="AH9" s="283">
        <f t="shared" ref="AH9" si="25">AI9</f>
        <v>24546</v>
      </c>
      <c r="AI9" s="437">
        <v>24546</v>
      </c>
      <c r="AJ9" s="545">
        <f t="shared" si="23"/>
        <v>0</v>
      </c>
      <c r="AK9" s="359">
        <f t="shared" si="15"/>
        <v>15154</v>
      </c>
      <c r="AL9" s="436">
        <v>15154</v>
      </c>
      <c r="AM9" s="545">
        <f t="shared" si="22"/>
        <v>0</v>
      </c>
      <c r="AN9" s="442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40">
        <v>38000</v>
      </c>
      <c r="H10" s="544">
        <f t="shared" si="3"/>
        <v>0</v>
      </c>
      <c r="I10" s="78">
        <f t="shared" si="4"/>
        <v>7894</v>
      </c>
      <c r="J10" s="1">
        <v>7894</v>
      </c>
      <c r="K10" s="544">
        <f t="shared" si="5"/>
        <v>0</v>
      </c>
      <c r="L10" s="78">
        <f t="shared" si="6"/>
        <v>11978</v>
      </c>
      <c r="M10" s="1">
        <v>11978</v>
      </c>
      <c r="N10" s="544">
        <f t="shared" si="7"/>
        <v>0</v>
      </c>
      <c r="O10" s="78">
        <f t="shared" si="8"/>
        <v>20106</v>
      </c>
      <c r="P10" s="435">
        <v>20107</v>
      </c>
      <c r="Q10" s="544">
        <f t="shared" si="9"/>
        <v>1</v>
      </c>
      <c r="R10" s="288"/>
      <c r="S10" s="283">
        <f t="shared" si="16"/>
        <v>51964</v>
      </c>
      <c r="T10" s="436">
        <v>52046</v>
      </c>
      <c r="U10" s="545">
        <f t="shared" si="17"/>
        <v>82</v>
      </c>
      <c r="V10" s="283">
        <f t="shared" si="10"/>
        <v>71260</v>
      </c>
      <c r="W10" s="436">
        <v>71260</v>
      </c>
      <c r="X10" s="545">
        <f t="shared" si="18"/>
        <v>0</v>
      </c>
      <c r="Y10" s="283">
        <f t="shared" si="11"/>
        <v>80332</v>
      </c>
      <c r="Z10" s="436">
        <v>80332</v>
      </c>
      <c r="AA10" s="545">
        <f t="shared" si="19"/>
        <v>0</v>
      </c>
      <c r="AB10" s="283">
        <f t="shared" si="12"/>
        <v>13184</v>
      </c>
      <c r="AC10" s="549">
        <v>13195</v>
      </c>
      <c r="AD10" s="545">
        <f t="shared" si="20"/>
        <v>11</v>
      </c>
      <c r="AE10" s="283">
        <f t="shared" si="13"/>
        <v>17409</v>
      </c>
      <c r="AF10" s="437">
        <v>17365</v>
      </c>
      <c r="AG10" s="545" t="str">
        <f t="shared" si="21"/>
        <v>0</v>
      </c>
      <c r="AH10" s="283">
        <f t="shared" si="14"/>
        <v>24546</v>
      </c>
      <c r="AI10" s="437">
        <v>24546</v>
      </c>
      <c r="AJ10" s="545">
        <f t="shared" si="23"/>
        <v>0</v>
      </c>
      <c r="AK10" s="359">
        <f t="shared" si="15"/>
        <v>15154</v>
      </c>
      <c r="AL10" s="436">
        <v>15154</v>
      </c>
      <c r="AM10" s="545">
        <f t="shared" si="22"/>
        <v>0</v>
      </c>
      <c r="AN10" s="442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40">
        <v>38000</v>
      </c>
      <c r="H11" s="544">
        <f t="shared" si="3"/>
        <v>0</v>
      </c>
      <c r="I11" s="78">
        <f t="shared" si="4"/>
        <v>7894</v>
      </c>
      <c r="J11" s="1">
        <v>7894</v>
      </c>
      <c r="K11" s="544">
        <f t="shared" si="5"/>
        <v>0</v>
      </c>
      <c r="L11" s="78">
        <f t="shared" si="6"/>
        <v>11978</v>
      </c>
      <c r="M11" s="1">
        <v>11978</v>
      </c>
      <c r="N11" s="544">
        <f t="shared" si="7"/>
        <v>0</v>
      </c>
      <c r="O11" s="78">
        <f t="shared" si="8"/>
        <v>20107</v>
      </c>
      <c r="P11" s="435">
        <v>20108</v>
      </c>
      <c r="Q11" s="544">
        <f t="shared" si="9"/>
        <v>1</v>
      </c>
      <c r="R11" s="288"/>
      <c r="S11" s="283">
        <f t="shared" si="16"/>
        <v>52046</v>
      </c>
      <c r="T11" s="436">
        <v>52111</v>
      </c>
      <c r="U11" s="545">
        <f t="shared" si="17"/>
        <v>65</v>
      </c>
      <c r="V11" s="283">
        <f t="shared" si="10"/>
        <v>71260</v>
      </c>
      <c r="W11" s="436">
        <v>71260</v>
      </c>
      <c r="X11" s="545">
        <f t="shared" si="18"/>
        <v>0</v>
      </c>
      <c r="Y11" s="283">
        <f t="shared" si="11"/>
        <v>80332</v>
      </c>
      <c r="Z11" s="436">
        <v>80332</v>
      </c>
      <c r="AA11" s="545">
        <f t="shared" si="19"/>
        <v>0</v>
      </c>
      <c r="AB11" s="283">
        <f t="shared" si="12"/>
        <v>13195</v>
      </c>
      <c r="AC11" s="549">
        <v>13206</v>
      </c>
      <c r="AD11" s="545">
        <f t="shared" si="20"/>
        <v>11</v>
      </c>
      <c r="AE11" s="283">
        <f t="shared" si="13"/>
        <v>17365</v>
      </c>
      <c r="AF11" s="437">
        <v>17365</v>
      </c>
      <c r="AG11" s="545">
        <f t="shared" si="21"/>
        <v>0</v>
      </c>
      <c r="AH11" s="283">
        <f t="shared" si="14"/>
        <v>24546</v>
      </c>
      <c r="AI11" s="437">
        <v>24546</v>
      </c>
      <c r="AJ11" s="545">
        <f t="shared" si="23"/>
        <v>0</v>
      </c>
      <c r="AK11" s="359">
        <f t="shared" si="15"/>
        <v>15154</v>
      </c>
      <c r="AL11" s="436">
        <v>15154</v>
      </c>
      <c r="AM11" s="545">
        <f t="shared" si="22"/>
        <v>0</v>
      </c>
      <c r="AN11" s="442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40">
        <v>38000</v>
      </c>
      <c r="H12" s="544">
        <f t="shared" si="3"/>
        <v>0</v>
      </c>
      <c r="I12" s="78">
        <f t="shared" si="4"/>
        <v>7894</v>
      </c>
      <c r="J12" s="1">
        <v>7894</v>
      </c>
      <c r="K12" s="544">
        <f t="shared" si="5"/>
        <v>0</v>
      </c>
      <c r="L12" s="78">
        <f t="shared" si="6"/>
        <v>11978</v>
      </c>
      <c r="M12" s="1">
        <v>11978</v>
      </c>
      <c r="N12" s="544">
        <f t="shared" si="7"/>
        <v>0</v>
      </c>
      <c r="O12" s="78">
        <f t="shared" si="8"/>
        <v>20108</v>
      </c>
      <c r="P12" s="435">
        <v>20110</v>
      </c>
      <c r="Q12" s="544">
        <f t="shared" si="9"/>
        <v>2</v>
      </c>
      <c r="R12" s="288"/>
      <c r="S12" s="283">
        <f t="shared" si="16"/>
        <v>52111</v>
      </c>
      <c r="T12" s="436">
        <v>52160</v>
      </c>
      <c r="U12" s="545">
        <f t="shared" si="17"/>
        <v>49</v>
      </c>
      <c r="V12" s="283">
        <f t="shared" si="10"/>
        <v>71260</v>
      </c>
      <c r="W12" s="436">
        <v>71260</v>
      </c>
      <c r="X12" s="545">
        <f t="shared" si="18"/>
        <v>0</v>
      </c>
      <c r="Y12" s="283">
        <f t="shared" si="11"/>
        <v>80332</v>
      </c>
      <c r="Z12" s="436">
        <v>80376</v>
      </c>
      <c r="AA12" s="545">
        <f t="shared" si="19"/>
        <v>44</v>
      </c>
      <c r="AB12" s="283">
        <f t="shared" si="12"/>
        <v>13206</v>
      </c>
      <c r="AC12" s="549">
        <v>13216</v>
      </c>
      <c r="AD12" s="545">
        <f t="shared" si="20"/>
        <v>10</v>
      </c>
      <c r="AE12" s="283">
        <f t="shared" si="13"/>
        <v>17365</v>
      </c>
      <c r="AF12" s="437">
        <v>17365</v>
      </c>
      <c r="AG12" s="545">
        <f t="shared" si="21"/>
        <v>0</v>
      </c>
      <c r="AH12" s="283">
        <f t="shared" si="14"/>
        <v>24546</v>
      </c>
      <c r="AI12" s="437">
        <v>24546</v>
      </c>
      <c r="AJ12" s="545">
        <f t="shared" si="23"/>
        <v>0</v>
      </c>
      <c r="AK12" s="359">
        <f t="shared" si="15"/>
        <v>15154</v>
      </c>
      <c r="AL12" s="436">
        <v>15154</v>
      </c>
      <c r="AM12" s="545">
        <f t="shared" si="22"/>
        <v>0</v>
      </c>
      <c r="AN12" s="442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40">
        <v>38000</v>
      </c>
      <c r="H13" s="544">
        <f t="shared" si="3"/>
        <v>0</v>
      </c>
      <c r="I13" s="78">
        <f t="shared" si="4"/>
        <v>7894</v>
      </c>
      <c r="J13" s="1">
        <v>7894</v>
      </c>
      <c r="K13" s="544">
        <f t="shared" si="5"/>
        <v>0</v>
      </c>
      <c r="L13" s="78">
        <f t="shared" si="6"/>
        <v>11978</v>
      </c>
      <c r="M13" s="1">
        <v>11978</v>
      </c>
      <c r="N13" s="544">
        <f t="shared" si="7"/>
        <v>0</v>
      </c>
      <c r="O13" s="78">
        <f t="shared" si="8"/>
        <v>20110</v>
      </c>
      <c r="P13" s="435">
        <v>20111</v>
      </c>
      <c r="Q13" s="544">
        <f t="shared" si="9"/>
        <v>1</v>
      </c>
      <c r="R13" s="288"/>
      <c r="S13" s="283">
        <f t="shared" si="16"/>
        <v>52160</v>
      </c>
      <c r="T13" s="436">
        <v>52226</v>
      </c>
      <c r="U13" s="545">
        <f t="shared" si="17"/>
        <v>66</v>
      </c>
      <c r="V13" s="283">
        <f t="shared" si="10"/>
        <v>71260</v>
      </c>
      <c r="W13" s="436">
        <v>71260</v>
      </c>
      <c r="X13" s="545">
        <f t="shared" si="18"/>
        <v>0</v>
      </c>
      <c r="Y13" s="283">
        <f t="shared" si="11"/>
        <v>80376</v>
      </c>
      <c r="Z13" s="436">
        <v>80428</v>
      </c>
      <c r="AA13" s="545">
        <f t="shared" si="19"/>
        <v>52</v>
      </c>
      <c r="AB13" s="283">
        <f t="shared" si="12"/>
        <v>13216</v>
      </c>
      <c r="AC13" s="549">
        <v>13227</v>
      </c>
      <c r="AD13" s="545">
        <f t="shared" si="20"/>
        <v>11</v>
      </c>
      <c r="AE13" s="283">
        <f>AF12</f>
        <v>17365</v>
      </c>
      <c r="AF13" s="437">
        <v>17365</v>
      </c>
      <c r="AG13" s="545">
        <f t="shared" si="21"/>
        <v>0</v>
      </c>
      <c r="AH13" s="283">
        <f t="shared" si="14"/>
        <v>24546</v>
      </c>
      <c r="AI13" s="437">
        <v>24546</v>
      </c>
      <c r="AJ13" s="545">
        <f t="shared" si="23"/>
        <v>0</v>
      </c>
      <c r="AK13" s="359">
        <f t="shared" si="15"/>
        <v>15154</v>
      </c>
      <c r="AL13" s="436">
        <v>15154</v>
      </c>
      <c r="AM13" s="545">
        <f t="shared" si="22"/>
        <v>0</v>
      </c>
      <c r="AN13" s="442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40">
        <v>38000</v>
      </c>
      <c r="H14" s="544">
        <f t="shared" si="3"/>
        <v>0</v>
      </c>
      <c r="I14" s="78">
        <f t="shared" si="4"/>
        <v>7894</v>
      </c>
      <c r="J14" s="1">
        <v>7894</v>
      </c>
      <c r="K14" s="544">
        <f t="shared" si="5"/>
        <v>0</v>
      </c>
      <c r="L14" s="78">
        <f t="shared" si="6"/>
        <v>11978</v>
      </c>
      <c r="M14" s="1">
        <v>11978</v>
      </c>
      <c r="N14" s="544">
        <f t="shared" si="7"/>
        <v>0</v>
      </c>
      <c r="O14" s="78">
        <f t="shared" si="8"/>
        <v>20111</v>
      </c>
      <c r="P14" s="435">
        <v>20112</v>
      </c>
      <c r="Q14" s="544">
        <f t="shared" si="9"/>
        <v>1</v>
      </c>
      <c r="R14" s="288"/>
      <c r="S14" s="283">
        <f t="shared" si="16"/>
        <v>52226</v>
      </c>
      <c r="T14" s="436">
        <v>52291</v>
      </c>
      <c r="U14" s="545">
        <f t="shared" si="17"/>
        <v>65</v>
      </c>
      <c r="V14" s="283">
        <f t="shared" si="10"/>
        <v>71260</v>
      </c>
      <c r="W14" s="436">
        <v>71260</v>
      </c>
      <c r="X14" s="545">
        <f t="shared" si="18"/>
        <v>0</v>
      </c>
      <c r="Y14" s="283">
        <f t="shared" si="11"/>
        <v>80428</v>
      </c>
      <c r="Z14" s="436">
        <v>80481</v>
      </c>
      <c r="AA14" s="545">
        <f t="shared" si="19"/>
        <v>53</v>
      </c>
      <c r="AB14" s="283">
        <f t="shared" si="12"/>
        <v>13227</v>
      </c>
      <c r="AC14" s="549">
        <v>13244</v>
      </c>
      <c r="AD14" s="545">
        <f t="shared" si="20"/>
        <v>17</v>
      </c>
      <c r="AE14" s="283">
        <f t="shared" si="13"/>
        <v>17365</v>
      </c>
      <c r="AF14" s="437">
        <v>17365</v>
      </c>
      <c r="AG14" s="545">
        <f t="shared" si="21"/>
        <v>0</v>
      </c>
      <c r="AH14" s="283">
        <f t="shared" si="14"/>
        <v>24546</v>
      </c>
      <c r="AI14" s="437">
        <v>24546</v>
      </c>
      <c r="AJ14" s="545">
        <f t="shared" si="23"/>
        <v>0</v>
      </c>
      <c r="AK14" s="359">
        <f t="shared" si="15"/>
        <v>15154</v>
      </c>
      <c r="AL14" s="436">
        <v>15154</v>
      </c>
      <c r="AM14" s="545">
        <f t="shared" si="22"/>
        <v>0</v>
      </c>
      <c r="AN14" s="442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40">
        <v>38000</v>
      </c>
      <c r="H15" s="544">
        <f t="shared" si="3"/>
        <v>0</v>
      </c>
      <c r="I15" s="78">
        <f t="shared" si="4"/>
        <v>7894</v>
      </c>
      <c r="J15" s="1">
        <v>7894</v>
      </c>
      <c r="K15" s="544">
        <f t="shared" si="5"/>
        <v>0</v>
      </c>
      <c r="L15" s="78">
        <f t="shared" si="6"/>
        <v>11978</v>
      </c>
      <c r="M15" s="1">
        <v>11978</v>
      </c>
      <c r="N15" s="544">
        <f t="shared" si="7"/>
        <v>0</v>
      </c>
      <c r="O15" s="78">
        <f t="shared" si="8"/>
        <v>20112</v>
      </c>
      <c r="P15" s="435">
        <v>20114</v>
      </c>
      <c r="Q15" s="544">
        <f t="shared" si="9"/>
        <v>2</v>
      </c>
      <c r="R15" s="288"/>
      <c r="S15" s="283">
        <f t="shared" si="16"/>
        <v>52291</v>
      </c>
      <c r="T15" s="436">
        <v>52292</v>
      </c>
      <c r="U15" s="545">
        <f t="shared" si="17"/>
        <v>1</v>
      </c>
      <c r="V15" s="283">
        <f t="shared" si="10"/>
        <v>71260</v>
      </c>
      <c r="W15" s="436">
        <v>71260</v>
      </c>
      <c r="X15" s="545">
        <f t="shared" si="18"/>
        <v>0</v>
      </c>
      <c r="Y15" s="283">
        <f t="shared" si="11"/>
        <v>80481</v>
      </c>
      <c r="Z15" s="436">
        <v>80534</v>
      </c>
      <c r="AA15" s="545">
        <f t="shared" si="19"/>
        <v>53</v>
      </c>
      <c r="AB15" s="283">
        <f t="shared" si="12"/>
        <v>13244</v>
      </c>
      <c r="AC15" s="549">
        <v>13261</v>
      </c>
      <c r="AD15" s="545">
        <f t="shared" si="20"/>
        <v>17</v>
      </c>
      <c r="AE15" s="283">
        <f t="shared" si="13"/>
        <v>17365</v>
      </c>
      <c r="AF15" s="437">
        <v>17385</v>
      </c>
      <c r="AG15" s="545">
        <f t="shared" si="21"/>
        <v>20</v>
      </c>
      <c r="AH15" s="283">
        <f t="shared" si="14"/>
        <v>24546</v>
      </c>
      <c r="AI15" s="437">
        <v>24546</v>
      </c>
      <c r="AJ15" s="545">
        <f t="shared" si="23"/>
        <v>0</v>
      </c>
      <c r="AK15" s="359">
        <f t="shared" si="15"/>
        <v>15154</v>
      </c>
      <c r="AL15" s="436">
        <v>15154</v>
      </c>
      <c r="AM15" s="545">
        <f t="shared" si="22"/>
        <v>0</v>
      </c>
      <c r="AN15" s="442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40">
        <v>38000</v>
      </c>
      <c r="H16" s="544">
        <f t="shared" si="3"/>
        <v>0</v>
      </c>
      <c r="I16" s="78">
        <f t="shared" si="4"/>
        <v>7894</v>
      </c>
      <c r="J16" s="1">
        <v>7894</v>
      </c>
      <c r="K16" s="544">
        <f t="shared" si="5"/>
        <v>0</v>
      </c>
      <c r="L16" s="78"/>
      <c r="M16" s="1">
        <v>11978</v>
      </c>
      <c r="N16" s="544">
        <f t="shared" si="7"/>
        <v>0</v>
      </c>
      <c r="O16" s="78">
        <f t="shared" si="8"/>
        <v>20114</v>
      </c>
      <c r="P16" s="435">
        <v>20115</v>
      </c>
      <c r="Q16" s="544">
        <f t="shared" si="9"/>
        <v>1</v>
      </c>
      <c r="R16" s="288"/>
      <c r="S16" s="283">
        <f t="shared" si="16"/>
        <v>52292</v>
      </c>
      <c r="T16" s="436">
        <v>52292</v>
      </c>
      <c r="U16" s="545">
        <f t="shared" si="17"/>
        <v>0</v>
      </c>
      <c r="V16" s="283">
        <f t="shared" si="10"/>
        <v>71260</v>
      </c>
      <c r="W16" s="436">
        <v>71260</v>
      </c>
      <c r="X16" s="545">
        <f t="shared" si="18"/>
        <v>0</v>
      </c>
      <c r="Y16" s="283">
        <f t="shared" si="11"/>
        <v>80534</v>
      </c>
      <c r="Z16" s="436">
        <v>80538</v>
      </c>
      <c r="AA16" s="545">
        <f t="shared" si="19"/>
        <v>4</v>
      </c>
      <c r="AB16" s="283">
        <f t="shared" si="12"/>
        <v>13261</v>
      </c>
      <c r="AC16" s="549">
        <v>13278</v>
      </c>
      <c r="AD16" s="545">
        <f t="shared" si="20"/>
        <v>17</v>
      </c>
      <c r="AE16" s="283">
        <f t="shared" si="13"/>
        <v>17385</v>
      </c>
      <c r="AF16" s="437">
        <v>17410</v>
      </c>
      <c r="AG16" s="545">
        <f t="shared" si="21"/>
        <v>25</v>
      </c>
      <c r="AH16" s="283">
        <f t="shared" si="14"/>
        <v>24546</v>
      </c>
      <c r="AI16" s="437">
        <v>24546</v>
      </c>
      <c r="AJ16" s="545">
        <f t="shared" si="23"/>
        <v>0</v>
      </c>
      <c r="AK16" s="359">
        <f t="shared" si="15"/>
        <v>15154</v>
      </c>
      <c r="AL16" s="436">
        <v>15154</v>
      </c>
      <c r="AM16" s="545">
        <f t="shared" si="22"/>
        <v>0</v>
      </c>
      <c r="AN16" s="442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544">
        <f>IF((D17-D16)&lt;0,"0",(D17-D16))</f>
        <v>41</v>
      </c>
      <c r="F17" s="78">
        <f t="shared" si="2"/>
        <v>38000</v>
      </c>
      <c r="G17" s="440">
        <v>38000</v>
      </c>
      <c r="H17" s="544">
        <f t="shared" si="3"/>
        <v>0</v>
      </c>
      <c r="I17" s="78">
        <f t="shared" si="4"/>
        <v>7894</v>
      </c>
      <c r="J17" s="1">
        <v>7895</v>
      </c>
      <c r="K17" s="544">
        <f t="shared" si="5"/>
        <v>1</v>
      </c>
      <c r="L17" s="78"/>
      <c r="M17" s="1">
        <v>11978</v>
      </c>
      <c r="N17" s="544">
        <f t="shared" si="7"/>
        <v>0</v>
      </c>
      <c r="O17" s="78">
        <f t="shared" si="8"/>
        <v>20115</v>
      </c>
      <c r="P17" s="435">
        <v>20116</v>
      </c>
      <c r="Q17" s="544">
        <f t="shared" si="9"/>
        <v>1</v>
      </c>
      <c r="R17" s="288"/>
      <c r="S17" s="283">
        <f t="shared" si="16"/>
        <v>52292</v>
      </c>
      <c r="T17" s="436">
        <v>52292</v>
      </c>
      <c r="U17" s="545">
        <f>IF((T17-T16)&lt;0,"0",(T17-T16))</f>
        <v>0</v>
      </c>
      <c r="V17" s="283">
        <f t="shared" si="10"/>
        <v>71260</v>
      </c>
      <c r="W17" s="436">
        <v>71260</v>
      </c>
      <c r="X17" s="545">
        <f>IF((W17-W16)&lt;0,"0",(W17-W16))</f>
        <v>0</v>
      </c>
      <c r="Y17" s="283">
        <f t="shared" si="11"/>
        <v>80538</v>
      </c>
      <c r="Z17" s="436">
        <v>80538</v>
      </c>
      <c r="AA17" s="545">
        <f>IF((Z17-Z16)&lt;0,"0",(Z17-Z16))</f>
        <v>0</v>
      </c>
      <c r="AB17" s="283">
        <f t="shared" si="12"/>
        <v>13278</v>
      </c>
      <c r="AC17" s="549">
        <v>13294</v>
      </c>
      <c r="AD17" s="545">
        <f>IF((AC17-AC16)&lt;0,"0",(AC17-AC16))</f>
        <v>16</v>
      </c>
      <c r="AE17" s="283">
        <f t="shared" si="13"/>
        <v>17410</v>
      </c>
      <c r="AF17" s="437">
        <v>17435</v>
      </c>
      <c r="AG17" s="545">
        <f>IF((AF17-AF16)&lt;0,"0",(AF17-AF16))</f>
        <v>25</v>
      </c>
      <c r="AH17" s="283">
        <f t="shared" si="14"/>
        <v>24546</v>
      </c>
      <c r="AI17" s="437">
        <v>24546</v>
      </c>
      <c r="AJ17" s="545">
        <f t="shared" si="23"/>
        <v>0</v>
      </c>
      <c r="AK17" s="359">
        <f t="shared" si="15"/>
        <v>15154</v>
      </c>
      <c r="AL17" s="436">
        <v>15154</v>
      </c>
      <c r="AM17" s="545">
        <f>IF((AL17-AL16)&lt;0,"0",(AL17-AL16))</f>
        <v>0</v>
      </c>
      <c r="AN17" s="442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544">
        <f t="shared" ref="E18:E37" si="26">IF((D18-D17)&lt;0,"0",(D18-D17))</f>
        <v>45</v>
      </c>
      <c r="F18" s="78">
        <f t="shared" si="2"/>
        <v>38000</v>
      </c>
      <c r="G18" s="440">
        <v>38000</v>
      </c>
      <c r="H18" s="544">
        <f t="shared" si="3"/>
        <v>0</v>
      </c>
      <c r="I18" s="78"/>
      <c r="J18" s="1">
        <v>7895</v>
      </c>
      <c r="K18" s="544">
        <f t="shared" si="5"/>
        <v>0</v>
      </c>
      <c r="L18" s="78">
        <f t="shared" si="6"/>
        <v>11978</v>
      </c>
      <c r="M18" s="1">
        <v>11978</v>
      </c>
      <c r="N18" s="544">
        <f t="shared" si="7"/>
        <v>0</v>
      </c>
      <c r="O18" s="78">
        <f t="shared" si="8"/>
        <v>20116</v>
      </c>
      <c r="P18" s="435">
        <v>20117</v>
      </c>
      <c r="Q18" s="544">
        <f t="shared" si="9"/>
        <v>1</v>
      </c>
      <c r="R18" s="288"/>
      <c r="S18" s="283">
        <f t="shared" si="16"/>
        <v>52292</v>
      </c>
      <c r="T18" s="436">
        <v>52292</v>
      </c>
      <c r="U18" s="545">
        <f t="shared" si="17"/>
        <v>0</v>
      </c>
      <c r="V18" s="283">
        <f t="shared" si="10"/>
        <v>71260</v>
      </c>
      <c r="W18" s="436">
        <v>71260</v>
      </c>
      <c r="X18" s="545">
        <f t="shared" si="18"/>
        <v>0</v>
      </c>
      <c r="Y18" s="283">
        <f t="shared" si="11"/>
        <v>80538</v>
      </c>
      <c r="Z18" s="436">
        <v>80538</v>
      </c>
      <c r="AA18" s="545">
        <f t="shared" si="19"/>
        <v>0</v>
      </c>
      <c r="AB18" s="283">
        <f t="shared" si="12"/>
        <v>13294</v>
      </c>
      <c r="AC18" s="549">
        <v>13310</v>
      </c>
      <c r="AD18" s="545">
        <f t="shared" si="20"/>
        <v>16</v>
      </c>
      <c r="AE18" s="283">
        <f t="shared" si="13"/>
        <v>17435</v>
      </c>
      <c r="AF18" s="437">
        <v>17460</v>
      </c>
      <c r="AG18" s="545">
        <f t="shared" si="21"/>
        <v>25</v>
      </c>
      <c r="AH18" s="283">
        <f t="shared" si="14"/>
        <v>24546</v>
      </c>
      <c r="AI18" s="437">
        <v>24546</v>
      </c>
      <c r="AJ18" s="545">
        <f t="shared" si="23"/>
        <v>0</v>
      </c>
      <c r="AK18" s="359">
        <f t="shared" si="15"/>
        <v>15154</v>
      </c>
      <c r="AL18" s="436">
        <v>15154</v>
      </c>
      <c r="AM18" s="545">
        <f t="shared" ref="AM18:AM26" si="27">IF((AL18-AL17)&lt;0,"0",(AL18-AL17))</f>
        <v>0</v>
      </c>
      <c r="AN18" s="442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544">
        <f t="shared" si="26"/>
        <v>51</v>
      </c>
      <c r="F19" s="78">
        <f t="shared" si="2"/>
        <v>38000</v>
      </c>
      <c r="G19" s="440">
        <v>38000</v>
      </c>
      <c r="H19" s="544">
        <f t="shared" si="3"/>
        <v>0</v>
      </c>
      <c r="I19" s="78">
        <f t="shared" si="4"/>
        <v>7895</v>
      </c>
      <c r="J19" s="1">
        <v>7896</v>
      </c>
      <c r="K19" s="544">
        <f t="shared" si="5"/>
        <v>1</v>
      </c>
      <c r="L19" s="78">
        <f t="shared" si="6"/>
        <v>11978</v>
      </c>
      <c r="M19" s="1">
        <v>11978</v>
      </c>
      <c r="N19" s="544">
        <f t="shared" si="7"/>
        <v>0</v>
      </c>
      <c r="O19" s="78">
        <f t="shared" si="8"/>
        <v>20117</v>
      </c>
      <c r="P19" s="435">
        <v>20118</v>
      </c>
      <c r="Q19" s="544">
        <f t="shared" si="9"/>
        <v>1</v>
      </c>
      <c r="R19" s="288"/>
      <c r="S19" s="283">
        <f t="shared" si="16"/>
        <v>52292</v>
      </c>
      <c r="T19" s="436">
        <v>52292</v>
      </c>
      <c r="U19" s="545">
        <f t="shared" si="17"/>
        <v>0</v>
      </c>
      <c r="V19" s="283">
        <f t="shared" si="10"/>
        <v>71260</v>
      </c>
      <c r="W19" s="436">
        <v>71260</v>
      </c>
      <c r="X19" s="545">
        <f t="shared" si="18"/>
        <v>0</v>
      </c>
      <c r="Y19" s="283">
        <f t="shared" si="11"/>
        <v>80538</v>
      </c>
      <c r="Z19" s="436">
        <v>80538</v>
      </c>
      <c r="AA19" s="545">
        <f t="shared" si="19"/>
        <v>0</v>
      </c>
      <c r="AB19" s="283">
        <f t="shared" si="12"/>
        <v>13310</v>
      </c>
      <c r="AC19" s="549">
        <v>13327</v>
      </c>
      <c r="AD19" s="545">
        <f t="shared" si="20"/>
        <v>17</v>
      </c>
      <c r="AE19" s="283">
        <f t="shared" si="13"/>
        <v>17460</v>
      </c>
      <c r="AF19" s="437">
        <v>17484</v>
      </c>
      <c r="AG19" s="545">
        <f t="shared" si="21"/>
        <v>24</v>
      </c>
      <c r="AH19" s="283">
        <f t="shared" si="14"/>
        <v>24546</v>
      </c>
      <c r="AI19" s="437">
        <v>24546</v>
      </c>
      <c r="AJ19" s="545">
        <f t="shared" si="23"/>
        <v>0</v>
      </c>
      <c r="AK19" s="359">
        <f t="shared" si="15"/>
        <v>15154</v>
      </c>
      <c r="AL19" s="436">
        <v>15154</v>
      </c>
      <c r="AM19" s="545">
        <f t="shared" si="27"/>
        <v>0</v>
      </c>
      <c r="AN19" s="442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544">
        <f t="shared" si="26"/>
        <v>54</v>
      </c>
      <c r="F20" s="78">
        <f t="shared" si="2"/>
        <v>38000</v>
      </c>
      <c r="G20" s="440">
        <v>38000</v>
      </c>
      <c r="H20" s="544">
        <f t="shared" si="3"/>
        <v>0</v>
      </c>
      <c r="I20" s="78">
        <f t="shared" si="4"/>
        <v>7896</v>
      </c>
      <c r="J20" s="1">
        <v>7896</v>
      </c>
      <c r="K20" s="544">
        <f t="shared" si="5"/>
        <v>0</v>
      </c>
      <c r="L20" s="78">
        <f t="shared" si="6"/>
        <v>11978</v>
      </c>
      <c r="M20" s="1">
        <v>11978</v>
      </c>
      <c r="N20" s="544">
        <f t="shared" si="7"/>
        <v>0</v>
      </c>
      <c r="O20" s="78">
        <f t="shared" si="8"/>
        <v>20118</v>
      </c>
      <c r="P20" s="435">
        <v>20119</v>
      </c>
      <c r="Q20" s="544">
        <f t="shared" si="9"/>
        <v>1</v>
      </c>
      <c r="R20" s="288"/>
      <c r="S20" s="283">
        <f t="shared" si="16"/>
        <v>52292</v>
      </c>
      <c r="T20" s="436">
        <v>52292</v>
      </c>
      <c r="U20" s="545">
        <f t="shared" si="17"/>
        <v>0</v>
      </c>
      <c r="V20" s="283">
        <f t="shared" si="10"/>
        <v>71260</v>
      </c>
      <c r="W20" s="436">
        <v>71260</v>
      </c>
      <c r="X20" s="545">
        <f t="shared" si="18"/>
        <v>0</v>
      </c>
      <c r="Y20" s="283">
        <f t="shared" si="11"/>
        <v>80538</v>
      </c>
      <c r="Z20" s="436">
        <v>80538</v>
      </c>
      <c r="AA20" s="545">
        <f t="shared" si="19"/>
        <v>0</v>
      </c>
      <c r="AB20" s="283">
        <f t="shared" si="12"/>
        <v>13327</v>
      </c>
      <c r="AC20" s="549">
        <v>13344</v>
      </c>
      <c r="AD20" s="545">
        <f t="shared" si="20"/>
        <v>17</v>
      </c>
      <c r="AE20" s="283">
        <f t="shared" si="13"/>
        <v>17484</v>
      </c>
      <c r="AF20" s="437">
        <v>17509</v>
      </c>
      <c r="AG20" s="545">
        <f t="shared" si="21"/>
        <v>25</v>
      </c>
      <c r="AH20" s="283">
        <f t="shared" si="14"/>
        <v>24546</v>
      </c>
      <c r="AI20" s="437">
        <v>24546</v>
      </c>
      <c r="AJ20" s="545">
        <f t="shared" si="23"/>
        <v>0</v>
      </c>
      <c r="AK20" s="359">
        <f t="shared" si="15"/>
        <v>15154</v>
      </c>
      <c r="AL20" s="436">
        <v>15154</v>
      </c>
      <c r="AM20" s="545">
        <f t="shared" si="27"/>
        <v>0</v>
      </c>
      <c r="AN20" s="442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544">
        <f t="shared" si="26"/>
        <v>54</v>
      </c>
      <c r="F21" s="78">
        <f t="shared" si="2"/>
        <v>38000</v>
      </c>
      <c r="G21" s="440">
        <v>38000</v>
      </c>
      <c r="H21" s="544">
        <f t="shared" si="3"/>
        <v>0</v>
      </c>
      <c r="I21" s="78">
        <f t="shared" si="4"/>
        <v>7896</v>
      </c>
      <c r="J21" s="1">
        <v>7897</v>
      </c>
      <c r="K21" s="544">
        <f t="shared" si="5"/>
        <v>1</v>
      </c>
      <c r="L21" s="78">
        <f t="shared" si="6"/>
        <v>11978</v>
      </c>
      <c r="M21" s="1">
        <v>11978</v>
      </c>
      <c r="N21" s="544">
        <f t="shared" si="7"/>
        <v>0</v>
      </c>
      <c r="O21" s="78">
        <f t="shared" si="8"/>
        <v>20119</v>
      </c>
      <c r="P21" s="435">
        <v>20119</v>
      </c>
      <c r="Q21" s="544">
        <f t="shared" si="9"/>
        <v>0</v>
      </c>
      <c r="R21" s="288"/>
      <c r="S21" s="283">
        <f t="shared" si="16"/>
        <v>52292</v>
      </c>
      <c r="T21" s="436">
        <v>52292</v>
      </c>
      <c r="U21" s="545">
        <f t="shared" si="17"/>
        <v>0</v>
      </c>
      <c r="V21" s="283">
        <f t="shared" ref="V21:V37" si="28">W20</f>
        <v>71260</v>
      </c>
      <c r="W21" s="436">
        <v>71260</v>
      </c>
      <c r="X21" s="545">
        <f t="shared" si="18"/>
        <v>0</v>
      </c>
      <c r="Y21" s="283">
        <f t="shared" si="11"/>
        <v>80538</v>
      </c>
      <c r="Z21" s="436">
        <v>80538</v>
      </c>
      <c r="AA21" s="545">
        <f t="shared" si="19"/>
        <v>0</v>
      </c>
      <c r="AB21" s="283">
        <f t="shared" si="12"/>
        <v>13344</v>
      </c>
      <c r="AC21" s="549">
        <v>13361</v>
      </c>
      <c r="AD21" s="545">
        <f t="shared" si="20"/>
        <v>17</v>
      </c>
      <c r="AE21" s="283">
        <f t="shared" si="13"/>
        <v>17509</v>
      </c>
      <c r="AF21" s="437">
        <v>17533</v>
      </c>
      <c r="AG21" s="545">
        <f t="shared" si="21"/>
        <v>24</v>
      </c>
      <c r="AH21" s="283">
        <f t="shared" si="14"/>
        <v>24546</v>
      </c>
      <c r="AI21" s="437">
        <v>24546</v>
      </c>
      <c r="AJ21" s="545">
        <f t="shared" si="23"/>
        <v>0</v>
      </c>
      <c r="AK21" s="359">
        <f t="shared" si="15"/>
        <v>15154</v>
      </c>
      <c r="AL21" s="436">
        <v>15154</v>
      </c>
      <c r="AM21" s="545">
        <f t="shared" si="27"/>
        <v>0</v>
      </c>
      <c r="AN21" s="442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544">
        <f t="shared" si="26"/>
        <v>42</v>
      </c>
      <c r="F22" s="78">
        <f t="shared" si="2"/>
        <v>38000</v>
      </c>
      <c r="G22" s="440">
        <v>38000</v>
      </c>
      <c r="H22" s="544">
        <f t="shared" si="3"/>
        <v>0</v>
      </c>
      <c r="I22" s="78">
        <f t="shared" si="4"/>
        <v>7897</v>
      </c>
      <c r="J22" s="1">
        <v>7897</v>
      </c>
      <c r="K22" s="544">
        <f t="shared" si="5"/>
        <v>0</v>
      </c>
      <c r="L22" s="78">
        <f t="shared" si="6"/>
        <v>11978</v>
      </c>
      <c r="M22" s="1">
        <v>11978</v>
      </c>
      <c r="N22" s="544">
        <f t="shared" si="7"/>
        <v>0</v>
      </c>
      <c r="O22" s="78">
        <f t="shared" si="8"/>
        <v>20119</v>
      </c>
      <c r="P22" s="435">
        <v>20121</v>
      </c>
      <c r="Q22" s="544">
        <f t="shared" si="9"/>
        <v>2</v>
      </c>
      <c r="R22" s="288"/>
      <c r="S22" s="283">
        <f t="shared" si="16"/>
        <v>52292</v>
      </c>
      <c r="T22" s="436">
        <v>52292</v>
      </c>
      <c r="U22" s="545">
        <f t="shared" si="17"/>
        <v>0</v>
      </c>
      <c r="V22" s="283">
        <f t="shared" si="28"/>
        <v>71260</v>
      </c>
      <c r="W22" s="436">
        <v>71260</v>
      </c>
      <c r="X22" s="545">
        <f t="shared" si="18"/>
        <v>0</v>
      </c>
      <c r="Y22" s="283">
        <f t="shared" si="11"/>
        <v>80538</v>
      </c>
      <c r="Z22" s="436">
        <v>80538</v>
      </c>
      <c r="AA22" s="545">
        <f t="shared" si="19"/>
        <v>0</v>
      </c>
      <c r="AB22" s="283">
        <f t="shared" si="12"/>
        <v>13361</v>
      </c>
      <c r="AC22" s="549">
        <v>13377</v>
      </c>
      <c r="AD22" s="545">
        <f t="shared" si="20"/>
        <v>16</v>
      </c>
      <c r="AE22" s="283">
        <f t="shared" si="13"/>
        <v>17533</v>
      </c>
      <c r="AF22" s="437">
        <v>17557</v>
      </c>
      <c r="AG22" s="545">
        <f t="shared" si="21"/>
        <v>24</v>
      </c>
      <c r="AH22" s="283">
        <f t="shared" si="14"/>
        <v>24546</v>
      </c>
      <c r="AI22" s="437">
        <v>24546</v>
      </c>
      <c r="AJ22" s="545">
        <f t="shared" si="23"/>
        <v>0</v>
      </c>
      <c r="AK22" s="359">
        <f t="shared" si="15"/>
        <v>15154</v>
      </c>
      <c r="AL22" s="436">
        <v>15154</v>
      </c>
      <c r="AM22" s="545">
        <f t="shared" si="27"/>
        <v>0</v>
      </c>
      <c r="AN22" s="442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>
        <v>233384</v>
      </c>
      <c r="E23" s="544">
        <f t="shared" si="26"/>
        <v>30</v>
      </c>
      <c r="F23" s="78">
        <f t="shared" si="2"/>
        <v>38000</v>
      </c>
      <c r="G23" s="440">
        <v>38000</v>
      </c>
      <c r="H23" s="544">
        <f t="shared" si="3"/>
        <v>0</v>
      </c>
      <c r="I23" s="78">
        <f t="shared" si="4"/>
        <v>7897</v>
      </c>
      <c r="J23" s="1">
        <v>7898</v>
      </c>
      <c r="K23" s="544">
        <f t="shared" si="5"/>
        <v>1</v>
      </c>
      <c r="L23" s="78">
        <f t="shared" si="6"/>
        <v>11978</v>
      </c>
      <c r="M23" s="1">
        <v>11978</v>
      </c>
      <c r="N23" s="544">
        <f t="shared" si="7"/>
        <v>0</v>
      </c>
      <c r="O23" s="78">
        <f t="shared" si="8"/>
        <v>20121</v>
      </c>
      <c r="P23" s="435">
        <v>20122</v>
      </c>
      <c r="Q23" s="544">
        <f t="shared" si="9"/>
        <v>1</v>
      </c>
      <c r="R23" s="288"/>
      <c r="S23" s="283">
        <f t="shared" si="16"/>
        <v>52292</v>
      </c>
      <c r="T23" s="436">
        <v>52292</v>
      </c>
      <c r="U23" s="545">
        <f t="shared" si="17"/>
        <v>0</v>
      </c>
      <c r="V23" s="283">
        <f t="shared" si="28"/>
        <v>71260</v>
      </c>
      <c r="W23" s="436">
        <v>71260</v>
      </c>
      <c r="X23" s="545">
        <f t="shared" si="18"/>
        <v>0</v>
      </c>
      <c r="Y23" s="283">
        <f t="shared" si="11"/>
        <v>80538</v>
      </c>
      <c r="Z23" s="436">
        <v>80538</v>
      </c>
      <c r="AA23" s="545">
        <f t="shared" si="19"/>
        <v>0</v>
      </c>
      <c r="AB23" s="283">
        <f t="shared" si="12"/>
        <v>13377</v>
      </c>
      <c r="AC23" s="284">
        <v>13393</v>
      </c>
      <c r="AD23" s="545">
        <f t="shared" si="20"/>
        <v>16</v>
      </c>
      <c r="AE23" s="283">
        <f t="shared" si="13"/>
        <v>17557</v>
      </c>
      <c r="AF23" s="437">
        <v>17582</v>
      </c>
      <c r="AG23" s="545">
        <f t="shared" si="21"/>
        <v>25</v>
      </c>
      <c r="AH23" s="283">
        <f t="shared" si="14"/>
        <v>24546</v>
      </c>
      <c r="AI23" s="437">
        <v>24546</v>
      </c>
      <c r="AJ23" s="545">
        <f t="shared" si="23"/>
        <v>0</v>
      </c>
      <c r="AK23" s="359">
        <f t="shared" si="15"/>
        <v>15154</v>
      </c>
      <c r="AL23" s="436">
        <v>15154</v>
      </c>
      <c r="AM23" s="545">
        <f t="shared" si="27"/>
        <v>0</v>
      </c>
      <c r="AN23" s="442">
        <f t="shared" si="24"/>
        <v>41</v>
      </c>
    </row>
    <row r="24" spans="1:40" ht="23.1" customHeight="1">
      <c r="A24" s="56">
        <f>Gen!B29</f>
        <v>43940</v>
      </c>
      <c r="B24" s="4"/>
      <c r="C24" s="78">
        <f t="shared" si="0"/>
        <v>233384</v>
      </c>
      <c r="D24" s="1">
        <v>233435</v>
      </c>
      <c r="E24" s="544">
        <f t="shared" si="26"/>
        <v>51</v>
      </c>
      <c r="F24" s="78">
        <f t="shared" si="2"/>
        <v>38000</v>
      </c>
      <c r="G24" s="440">
        <v>38000</v>
      </c>
      <c r="H24" s="544">
        <f t="shared" si="3"/>
        <v>0</v>
      </c>
      <c r="I24" s="78">
        <f t="shared" si="4"/>
        <v>7898</v>
      </c>
      <c r="J24" s="1">
        <v>7898</v>
      </c>
      <c r="K24" s="544">
        <f t="shared" si="5"/>
        <v>0</v>
      </c>
      <c r="L24" s="78">
        <f t="shared" si="6"/>
        <v>11978</v>
      </c>
      <c r="M24" s="1">
        <v>11978</v>
      </c>
      <c r="N24" s="544">
        <f t="shared" si="7"/>
        <v>0</v>
      </c>
      <c r="O24" s="78">
        <f t="shared" si="8"/>
        <v>20122</v>
      </c>
      <c r="P24" s="435">
        <v>20123</v>
      </c>
      <c r="Q24" s="544">
        <f t="shared" si="9"/>
        <v>1</v>
      </c>
      <c r="R24" s="288"/>
      <c r="S24" s="283">
        <f t="shared" si="16"/>
        <v>52292</v>
      </c>
      <c r="T24" s="436">
        <v>52292</v>
      </c>
      <c r="U24" s="545">
        <f t="shared" si="17"/>
        <v>0</v>
      </c>
      <c r="V24" s="283">
        <f t="shared" si="28"/>
        <v>71260</v>
      </c>
      <c r="W24" s="436">
        <v>71260</v>
      </c>
      <c r="X24" s="545">
        <f t="shared" si="18"/>
        <v>0</v>
      </c>
      <c r="Y24" s="283">
        <f t="shared" si="11"/>
        <v>80538</v>
      </c>
      <c r="Z24" s="436">
        <v>80538</v>
      </c>
      <c r="AA24" s="545">
        <f t="shared" si="19"/>
        <v>0</v>
      </c>
      <c r="AB24" s="283">
        <f t="shared" si="12"/>
        <v>13393</v>
      </c>
      <c r="AC24" s="284">
        <v>13412</v>
      </c>
      <c r="AD24" s="545">
        <f t="shared" si="20"/>
        <v>19</v>
      </c>
      <c r="AE24" s="283">
        <f t="shared" si="13"/>
        <v>17582</v>
      </c>
      <c r="AF24" s="437">
        <v>17606</v>
      </c>
      <c r="AG24" s="545">
        <f t="shared" si="21"/>
        <v>24</v>
      </c>
      <c r="AH24" s="283">
        <f t="shared" si="14"/>
        <v>24546</v>
      </c>
      <c r="AI24" s="437">
        <v>24546</v>
      </c>
      <c r="AJ24" s="545">
        <f t="shared" si="23"/>
        <v>0</v>
      </c>
      <c r="AK24" s="359">
        <f t="shared" si="15"/>
        <v>15154</v>
      </c>
      <c r="AL24" s="436">
        <v>15154</v>
      </c>
      <c r="AM24" s="545">
        <f t="shared" si="27"/>
        <v>0</v>
      </c>
      <c r="AN24" s="442">
        <f t="shared" si="24"/>
        <v>43</v>
      </c>
    </row>
    <row r="25" spans="1:40" ht="23.1" customHeight="1">
      <c r="A25" s="56">
        <f>Gen!B30</f>
        <v>43941</v>
      </c>
      <c r="B25" s="4"/>
      <c r="C25" s="78">
        <f>D24</f>
        <v>233435</v>
      </c>
      <c r="D25" s="1">
        <v>233470</v>
      </c>
      <c r="E25" s="544">
        <f t="shared" si="26"/>
        <v>35</v>
      </c>
      <c r="F25" s="78">
        <f t="shared" si="2"/>
        <v>38000</v>
      </c>
      <c r="G25" s="440">
        <v>38000</v>
      </c>
      <c r="H25" s="544">
        <f t="shared" si="3"/>
        <v>0</v>
      </c>
      <c r="I25" s="78">
        <f t="shared" ref="I25:I37" si="29">J24</f>
        <v>7898</v>
      </c>
      <c r="J25" s="1">
        <v>7899</v>
      </c>
      <c r="K25" s="544">
        <f t="shared" ref="K25:K37" si="30">IF((J25-J24)&lt;0,"0",(J25-J24))</f>
        <v>1</v>
      </c>
      <c r="L25" s="78">
        <f t="shared" ref="L25:L37" si="31">M24</f>
        <v>11978</v>
      </c>
      <c r="M25" s="1">
        <v>11978</v>
      </c>
      <c r="N25" s="544">
        <f t="shared" ref="N25:N37" si="32">IF((M25-M24)&lt;0,"0",(M25-M24))</f>
        <v>0</v>
      </c>
      <c r="O25" s="78">
        <f t="shared" ref="O25:O37" si="33">P24</f>
        <v>20123</v>
      </c>
      <c r="P25" s="435">
        <v>20123</v>
      </c>
      <c r="Q25" s="544">
        <f t="shared" ref="Q25:Q37" si="34">IF((P25-P24)&lt;0,"0",(P25-P24))</f>
        <v>0</v>
      </c>
      <c r="R25" s="288"/>
      <c r="S25" s="283">
        <f t="shared" ref="S25:S37" si="35">T24</f>
        <v>52292</v>
      </c>
      <c r="T25" s="436">
        <v>52292</v>
      </c>
      <c r="U25" s="545">
        <f t="shared" si="17"/>
        <v>0</v>
      </c>
      <c r="V25" s="283">
        <f t="shared" si="28"/>
        <v>71260</v>
      </c>
      <c r="W25" s="436">
        <v>71260</v>
      </c>
      <c r="X25" s="545">
        <f t="shared" si="18"/>
        <v>0</v>
      </c>
      <c r="Y25" s="283">
        <f t="shared" si="11"/>
        <v>80538</v>
      </c>
      <c r="Z25" s="436">
        <v>80538</v>
      </c>
      <c r="AA25" s="545">
        <f t="shared" si="19"/>
        <v>0</v>
      </c>
      <c r="AB25" s="283">
        <f t="shared" si="12"/>
        <v>13412</v>
      </c>
      <c r="AC25" s="284">
        <v>13429</v>
      </c>
      <c r="AD25" s="545">
        <f t="shared" si="20"/>
        <v>17</v>
      </c>
      <c r="AE25" s="283">
        <f t="shared" si="13"/>
        <v>17606</v>
      </c>
      <c r="AF25" s="437">
        <v>17631</v>
      </c>
      <c r="AG25" s="545">
        <f t="shared" si="21"/>
        <v>25</v>
      </c>
      <c r="AH25" s="283">
        <f t="shared" si="14"/>
        <v>24546</v>
      </c>
      <c r="AI25" s="437">
        <v>24546</v>
      </c>
      <c r="AJ25" s="545">
        <f t="shared" si="23"/>
        <v>0</v>
      </c>
      <c r="AK25" s="359">
        <f t="shared" si="15"/>
        <v>15154</v>
      </c>
      <c r="AL25" s="436">
        <v>15154</v>
      </c>
      <c r="AM25" s="545">
        <f t="shared" si="27"/>
        <v>0</v>
      </c>
      <c r="AN25" s="442">
        <f t="shared" si="24"/>
        <v>42</v>
      </c>
    </row>
    <row r="26" spans="1:40" ht="23.1" customHeight="1">
      <c r="A26" s="56">
        <f>Gen!B31</f>
        <v>43942</v>
      </c>
      <c r="B26" s="4"/>
      <c r="C26" s="78">
        <f>D25</f>
        <v>233470</v>
      </c>
      <c r="D26" s="1">
        <v>233497</v>
      </c>
      <c r="E26" s="544">
        <f t="shared" si="26"/>
        <v>27</v>
      </c>
      <c r="F26" s="78">
        <f t="shared" si="2"/>
        <v>38000</v>
      </c>
      <c r="G26" s="440">
        <v>38000</v>
      </c>
      <c r="H26" s="544">
        <f t="shared" ref="H26:H37" si="36">IF((G26-G25)&lt;0,"0",(G26-G25))</f>
        <v>0</v>
      </c>
      <c r="I26" s="78">
        <f t="shared" si="29"/>
        <v>7899</v>
      </c>
      <c r="J26" s="1">
        <v>7899</v>
      </c>
      <c r="K26" s="544">
        <f t="shared" si="30"/>
        <v>0</v>
      </c>
      <c r="L26" s="78">
        <f t="shared" si="31"/>
        <v>11978</v>
      </c>
      <c r="M26" s="1">
        <v>11978</v>
      </c>
      <c r="N26" s="544">
        <f t="shared" si="32"/>
        <v>0</v>
      </c>
      <c r="O26" s="78">
        <f t="shared" si="33"/>
        <v>20123</v>
      </c>
      <c r="P26" s="435">
        <v>20124</v>
      </c>
      <c r="Q26" s="544">
        <f t="shared" si="34"/>
        <v>1</v>
      </c>
      <c r="R26" s="288"/>
      <c r="S26" s="283">
        <f t="shared" si="35"/>
        <v>52292</v>
      </c>
      <c r="T26" s="436">
        <v>52292</v>
      </c>
      <c r="U26" s="545">
        <f t="shared" si="17"/>
        <v>0</v>
      </c>
      <c r="V26" s="283">
        <f t="shared" si="28"/>
        <v>71260</v>
      </c>
      <c r="W26" s="436">
        <v>71260</v>
      </c>
      <c r="X26" s="545">
        <f t="shared" si="18"/>
        <v>0</v>
      </c>
      <c r="Y26" s="283">
        <f t="shared" si="11"/>
        <v>80538</v>
      </c>
      <c r="Z26" s="436">
        <v>80538</v>
      </c>
      <c r="AA26" s="545">
        <f t="shared" si="19"/>
        <v>0</v>
      </c>
      <c r="AB26" s="283">
        <f t="shared" si="12"/>
        <v>13429</v>
      </c>
      <c r="AC26" s="284">
        <v>13447</v>
      </c>
      <c r="AD26" s="545">
        <f t="shared" si="20"/>
        <v>18</v>
      </c>
      <c r="AE26" s="283">
        <f t="shared" si="13"/>
        <v>17631</v>
      </c>
      <c r="AF26" s="437">
        <v>17655</v>
      </c>
      <c r="AG26" s="545">
        <f t="shared" si="21"/>
        <v>24</v>
      </c>
      <c r="AH26" s="283">
        <f t="shared" si="14"/>
        <v>24546</v>
      </c>
      <c r="AI26" s="437">
        <v>24546</v>
      </c>
      <c r="AJ26" s="545">
        <f t="shared" si="23"/>
        <v>0</v>
      </c>
      <c r="AK26" s="359">
        <f t="shared" si="15"/>
        <v>15154</v>
      </c>
      <c r="AL26" s="436">
        <v>15154</v>
      </c>
      <c r="AM26" s="545">
        <f t="shared" si="27"/>
        <v>0</v>
      </c>
      <c r="AN26" s="442">
        <f t="shared" si="24"/>
        <v>42</v>
      </c>
    </row>
    <row r="27" spans="1:40" ht="23.1" customHeight="1">
      <c r="A27" s="56">
        <f>Gen!B32</f>
        <v>43943</v>
      </c>
      <c r="B27" s="4"/>
      <c r="C27" s="78">
        <f>D26</f>
        <v>233497</v>
      </c>
      <c r="D27" s="1">
        <v>233525</v>
      </c>
      <c r="E27" s="544">
        <f t="shared" si="26"/>
        <v>28</v>
      </c>
      <c r="F27" s="78">
        <f t="shared" si="2"/>
        <v>38000</v>
      </c>
      <c r="G27" s="440">
        <v>38000</v>
      </c>
      <c r="H27" s="544">
        <f t="shared" si="36"/>
        <v>0</v>
      </c>
      <c r="I27" s="78">
        <f t="shared" si="29"/>
        <v>7899</v>
      </c>
      <c r="J27" s="1">
        <v>7899</v>
      </c>
      <c r="K27" s="544">
        <f t="shared" si="30"/>
        <v>0</v>
      </c>
      <c r="L27" s="78">
        <f t="shared" si="31"/>
        <v>11978</v>
      </c>
      <c r="M27" s="1">
        <v>11978</v>
      </c>
      <c r="N27" s="544">
        <f t="shared" si="32"/>
        <v>0</v>
      </c>
      <c r="O27" s="78">
        <f t="shared" si="33"/>
        <v>20124</v>
      </c>
      <c r="P27" s="435">
        <v>20125</v>
      </c>
      <c r="Q27" s="544">
        <f t="shared" si="34"/>
        <v>1</v>
      </c>
      <c r="R27" s="288"/>
      <c r="S27" s="283">
        <f t="shared" si="35"/>
        <v>52292</v>
      </c>
      <c r="T27" s="436">
        <v>52292</v>
      </c>
      <c r="U27" s="545">
        <f t="shared" si="17"/>
        <v>0</v>
      </c>
      <c r="V27" s="283">
        <f t="shared" si="28"/>
        <v>71260</v>
      </c>
      <c r="W27" s="436">
        <v>71260</v>
      </c>
      <c r="X27" s="545">
        <f t="shared" si="18"/>
        <v>0</v>
      </c>
      <c r="Y27" s="283">
        <f t="shared" si="11"/>
        <v>80538</v>
      </c>
      <c r="Z27" s="436">
        <v>80538</v>
      </c>
      <c r="AA27" s="545">
        <f t="shared" si="19"/>
        <v>0</v>
      </c>
      <c r="AB27" s="283">
        <f t="shared" si="12"/>
        <v>13447</v>
      </c>
      <c r="AC27" s="284">
        <v>13464</v>
      </c>
      <c r="AD27" s="545">
        <f t="shared" si="20"/>
        <v>17</v>
      </c>
      <c r="AE27" s="283">
        <f t="shared" si="13"/>
        <v>17655</v>
      </c>
      <c r="AF27" s="437">
        <v>17680</v>
      </c>
      <c r="AG27" s="545">
        <f t="shared" si="21"/>
        <v>25</v>
      </c>
      <c r="AH27" s="283">
        <f t="shared" si="14"/>
        <v>24546</v>
      </c>
      <c r="AI27" s="437">
        <v>24546</v>
      </c>
      <c r="AJ27" s="545">
        <f t="shared" si="23"/>
        <v>0</v>
      </c>
      <c r="AK27" s="359">
        <f t="shared" si="15"/>
        <v>15154</v>
      </c>
      <c r="AL27" s="436">
        <v>15154</v>
      </c>
      <c r="AM27" s="545">
        <f t="shared" si="22"/>
        <v>0</v>
      </c>
      <c r="AN27" s="442">
        <f t="shared" si="24"/>
        <v>42</v>
      </c>
    </row>
    <row r="28" spans="1:40" ht="23.1" customHeight="1">
      <c r="A28" s="56">
        <f>Gen!B33</f>
        <v>43944</v>
      </c>
      <c r="B28" s="4"/>
      <c r="C28" s="78">
        <f t="shared" ref="C28:C37" si="37">D27</f>
        <v>233525</v>
      </c>
      <c r="D28" s="1">
        <v>233554</v>
      </c>
      <c r="E28" s="544">
        <f t="shared" si="26"/>
        <v>29</v>
      </c>
      <c r="F28" s="78">
        <f t="shared" si="2"/>
        <v>38000</v>
      </c>
      <c r="G28" s="440">
        <v>38000</v>
      </c>
      <c r="H28" s="544">
        <f t="shared" si="36"/>
        <v>0</v>
      </c>
      <c r="I28" s="78">
        <f t="shared" si="29"/>
        <v>7899</v>
      </c>
      <c r="J28" s="1">
        <v>7899</v>
      </c>
      <c r="K28" s="544">
        <f t="shared" si="30"/>
        <v>0</v>
      </c>
      <c r="L28" s="78">
        <f t="shared" si="31"/>
        <v>11978</v>
      </c>
      <c r="M28" s="1">
        <v>11978</v>
      </c>
      <c r="N28" s="544">
        <f t="shared" si="32"/>
        <v>0</v>
      </c>
      <c r="O28" s="78">
        <f t="shared" si="33"/>
        <v>20125</v>
      </c>
      <c r="P28" s="435">
        <v>20125</v>
      </c>
      <c r="Q28" s="544">
        <f t="shared" si="34"/>
        <v>0</v>
      </c>
      <c r="R28" s="288"/>
      <c r="S28" s="283">
        <f t="shared" si="35"/>
        <v>52292</v>
      </c>
      <c r="T28" s="436">
        <v>52292</v>
      </c>
      <c r="U28" s="545">
        <f t="shared" si="17"/>
        <v>0</v>
      </c>
      <c r="V28" s="283">
        <f t="shared" si="28"/>
        <v>71260</v>
      </c>
      <c r="W28" s="436">
        <v>71260</v>
      </c>
      <c r="X28" s="545">
        <f t="shared" si="18"/>
        <v>0</v>
      </c>
      <c r="Y28" s="283">
        <f t="shared" si="11"/>
        <v>80538</v>
      </c>
      <c r="Z28" s="436">
        <v>80538</v>
      </c>
      <c r="AA28" s="545">
        <f t="shared" si="19"/>
        <v>0</v>
      </c>
      <c r="AB28" s="283">
        <f t="shared" si="12"/>
        <v>13464</v>
      </c>
      <c r="AC28" s="284">
        <v>13483</v>
      </c>
      <c r="AD28" s="545">
        <f t="shared" si="20"/>
        <v>19</v>
      </c>
      <c r="AE28" s="283">
        <f t="shared" si="13"/>
        <v>17680</v>
      </c>
      <c r="AF28" s="437">
        <v>17705</v>
      </c>
      <c r="AG28" s="545">
        <f t="shared" si="21"/>
        <v>25</v>
      </c>
      <c r="AH28" s="283">
        <f t="shared" si="14"/>
        <v>24546</v>
      </c>
      <c r="AI28" s="437">
        <v>24546</v>
      </c>
      <c r="AJ28" s="545">
        <f t="shared" si="23"/>
        <v>0</v>
      </c>
      <c r="AK28" s="359">
        <f t="shared" si="15"/>
        <v>15154</v>
      </c>
      <c r="AL28" s="436">
        <v>15154</v>
      </c>
      <c r="AM28" s="545">
        <f t="shared" si="22"/>
        <v>0</v>
      </c>
      <c r="AN28" s="442">
        <f t="shared" si="24"/>
        <v>44</v>
      </c>
    </row>
    <row r="29" spans="1:40" ht="23.1" customHeight="1">
      <c r="A29" s="56">
        <f>Gen!B34</f>
        <v>43945</v>
      </c>
      <c r="B29" s="4"/>
      <c r="C29" s="78">
        <f t="shared" si="37"/>
        <v>233554</v>
      </c>
      <c r="D29" s="1">
        <v>233585</v>
      </c>
      <c r="E29" s="544">
        <f t="shared" si="26"/>
        <v>31</v>
      </c>
      <c r="F29" s="78">
        <f t="shared" si="2"/>
        <v>38000</v>
      </c>
      <c r="G29" s="440">
        <v>38000</v>
      </c>
      <c r="H29" s="544">
        <f t="shared" si="36"/>
        <v>0</v>
      </c>
      <c r="I29" s="78">
        <f t="shared" si="29"/>
        <v>7899</v>
      </c>
      <c r="J29" s="1">
        <v>7900</v>
      </c>
      <c r="K29" s="544">
        <f t="shared" si="30"/>
        <v>1</v>
      </c>
      <c r="L29" s="78">
        <f t="shared" si="31"/>
        <v>11978</v>
      </c>
      <c r="M29" s="1">
        <v>11978</v>
      </c>
      <c r="N29" s="544">
        <f t="shared" si="32"/>
        <v>0</v>
      </c>
      <c r="O29" s="78">
        <f t="shared" si="33"/>
        <v>20125</v>
      </c>
      <c r="P29" s="435">
        <v>20126</v>
      </c>
      <c r="Q29" s="544">
        <f t="shared" si="34"/>
        <v>1</v>
      </c>
      <c r="R29" s="288"/>
      <c r="S29" s="283">
        <f t="shared" si="35"/>
        <v>52292</v>
      </c>
      <c r="T29" s="436">
        <v>52292</v>
      </c>
      <c r="U29" s="545">
        <f t="shared" si="17"/>
        <v>0</v>
      </c>
      <c r="V29" s="283">
        <f t="shared" si="28"/>
        <v>71260</v>
      </c>
      <c r="W29" s="436">
        <v>71260</v>
      </c>
      <c r="X29" s="545">
        <f t="shared" si="18"/>
        <v>0</v>
      </c>
      <c r="Y29" s="283">
        <f t="shared" si="11"/>
        <v>80538</v>
      </c>
      <c r="Z29" s="436">
        <v>80538</v>
      </c>
      <c r="AA29" s="545">
        <f t="shared" si="19"/>
        <v>0</v>
      </c>
      <c r="AB29" s="283">
        <f t="shared" si="12"/>
        <v>13483</v>
      </c>
      <c r="AC29" s="284">
        <v>13502</v>
      </c>
      <c r="AD29" s="545">
        <f t="shared" si="20"/>
        <v>19</v>
      </c>
      <c r="AE29" s="283">
        <f t="shared" si="13"/>
        <v>17705</v>
      </c>
      <c r="AF29" s="437">
        <v>17730</v>
      </c>
      <c r="AG29" s="545">
        <f t="shared" si="21"/>
        <v>25</v>
      </c>
      <c r="AH29" s="283">
        <f t="shared" si="14"/>
        <v>24546</v>
      </c>
      <c r="AI29" s="437">
        <v>24546</v>
      </c>
      <c r="AJ29" s="545">
        <f t="shared" si="23"/>
        <v>0</v>
      </c>
      <c r="AK29" s="359">
        <f t="shared" si="15"/>
        <v>15154</v>
      </c>
      <c r="AL29" s="436">
        <v>15154</v>
      </c>
      <c r="AM29" s="545">
        <f t="shared" si="22"/>
        <v>0</v>
      </c>
      <c r="AN29" s="442">
        <f t="shared" si="24"/>
        <v>44</v>
      </c>
    </row>
    <row r="30" spans="1:40" ht="23.1" customHeight="1">
      <c r="A30" s="56">
        <f>Gen!B35</f>
        <v>43946</v>
      </c>
      <c r="B30" s="4"/>
      <c r="C30" s="78">
        <f t="shared" si="37"/>
        <v>233585</v>
      </c>
      <c r="D30" s="1">
        <v>233617</v>
      </c>
      <c r="E30" s="544">
        <f t="shared" si="26"/>
        <v>32</v>
      </c>
      <c r="F30" s="78">
        <f t="shared" si="2"/>
        <v>38000</v>
      </c>
      <c r="G30" s="440">
        <v>38000</v>
      </c>
      <c r="H30" s="544">
        <f t="shared" si="36"/>
        <v>0</v>
      </c>
      <c r="I30" s="78">
        <f t="shared" si="29"/>
        <v>7900</v>
      </c>
      <c r="J30" s="1">
        <v>7900</v>
      </c>
      <c r="K30" s="544">
        <f t="shared" si="30"/>
        <v>0</v>
      </c>
      <c r="L30" s="78">
        <f t="shared" si="31"/>
        <v>11978</v>
      </c>
      <c r="M30" s="1">
        <v>11978</v>
      </c>
      <c r="N30" s="544">
        <f t="shared" si="32"/>
        <v>0</v>
      </c>
      <c r="O30" s="78">
        <f t="shared" si="33"/>
        <v>20126</v>
      </c>
      <c r="P30" s="435">
        <v>20127</v>
      </c>
      <c r="Q30" s="544">
        <f t="shared" si="34"/>
        <v>1</v>
      </c>
      <c r="R30" s="288"/>
      <c r="S30" s="283">
        <f t="shared" si="35"/>
        <v>52292</v>
      </c>
      <c r="T30" s="436">
        <v>52292</v>
      </c>
      <c r="U30" s="545">
        <f t="shared" si="17"/>
        <v>0</v>
      </c>
      <c r="V30" s="283">
        <f t="shared" si="28"/>
        <v>71260</v>
      </c>
      <c r="W30" s="436">
        <v>71260</v>
      </c>
      <c r="X30" s="545">
        <f t="shared" si="18"/>
        <v>0</v>
      </c>
      <c r="Y30" s="283">
        <f t="shared" si="11"/>
        <v>80538</v>
      </c>
      <c r="Z30" s="436">
        <v>80538</v>
      </c>
      <c r="AA30" s="545">
        <f t="shared" si="19"/>
        <v>0</v>
      </c>
      <c r="AB30" s="283">
        <f t="shared" si="12"/>
        <v>13502</v>
      </c>
      <c r="AC30" s="284">
        <v>13522</v>
      </c>
      <c r="AD30" s="545">
        <f t="shared" si="20"/>
        <v>20</v>
      </c>
      <c r="AE30" s="283">
        <f t="shared" si="13"/>
        <v>17730</v>
      </c>
      <c r="AF30" s="437">
        <v>17752</v>
      </c>
      <c r="AG30" s="545">
        <f t="shared" si="21"/>
        <v>22</v>
      </c>
      <c r="AH30" s="283">
        <f t="shared" si="14"/>
        <v>24546</v>
      </c>
      <c r="AI30" s="437">
        <v>24546</v>
      </c>
      <c r="AJ30" s="545">
        <f t="shared" si="23"/>
        <v>0</v>
      </c>
      <c r="AK30" s="359">
        <f t="shared" si="15"/>
        <v>15154</v>
      </c>
      <c r="AL30" s="436">
        <v>15154</v>
      </c>
      <c r="AM30" s="545">
        <f t="shared" si="22"/>
        <v>0</v>
      </c>
      <c r="AN30" s="442">
        <f t="shared" si="24"/>
        <v>42</v>
      </c>
    </row>
    <row r="31" spans="1:40" ht="23.1" customHeight="1">
      <c r="A31" s="56">
        <f>Gen!B36</f>
        <v>43947</v>
      </c>
      <c r="B31" s="4"/>
      <c r="C31" s="78">
        <f t="shared" si="37"/>
        <v>233617</v>
      </c>
      <c r="D31" s="1">
        <v>233648</v>
      </c>
      <c r="E31" s="544">
        <f t="shared" si="26"/>
        <v>31</v>
      </c>
      <c r="F31" s="78">
        <f t="shared" si="2"/>
        <v>38000</v>
      </c>
      <c r="G31" s="440">
        <v>38000</v>
      </c>
      <c r="H31" s="544">
        <f t="shared" si="36"/>
        <v>0</v>
      </c>
      <c r="I31" s="78">
        <f t="shared" si="29"/>
        <v>7900</v>
      </c>
      <c r="J31" s="1">
        <v>7901</v>
      </c>
      <c r="K31" s="544">
        <f t="shared" si="30"/>
        <v>1</v>
      </c>
      <c r="L31" s="78">
        <f t="shared" si="31"/>
        <v>11978</v>
      </c>
      <c r="M31" s="1">
        <v>11978</v>
      </c>
      <c r="N31" s="544">
        <f t="shared" si="32"/>
        <v>0</v>
      </c>
      <c r="O31" s="78">
        <f t="shared" si="33"/>
        <v>20127</v>
      </c>
      <c r="P31" s="435">
        <v>20128</v>
      </c>
      <c r="Q31" s="544">
        <f t="shared" si="34"/>
        <v>1</v>
      </c>
      <c r="R31" s="288"/>
      <c r="S31" s="283">
        <f t="shared" si="35"/>
        <v>52292</v>
      </c>
      <c r="T31" s="436">
        <v>52370</v>
      </c>
      <c r="U31" s="545">
        <f t="shared" si="17"/>
        <v>78</v>
      </c>
      <c r="V31" s="283">
        <f t="shared" si="28"/>
        <v>71260</v>
      </c>
      <c r="W31" s="436">
        <v>71260</v>
      </c>
      <c r="X31" s="545">
        <f t="shared" si="18"/>
        <v>0</v>
      </c>
      <c r="Y31" s="283">
        <f t="shared" si="11"/>
        <v>80538</v>
      </c>
      <c r="Z31" s="436">
        <v>80538</v>
      </c>
      <c r="AA31" s="545">
        <f t="shared" si="19"/>
        <v>0</v>
      </c>
      <c r="AB31" s="283">
        <f t="shared" si="12"/>
        <v>13522</v>
      </c>
      <c r="AC31" s="284">
        <v>13547</v>
      </c>
      <c r="AD31" s="545">
        <f t="shared" si="20"/>
        <v>25</v>
      </c>
      <c r="AE31" s="283">
        <f t="shared" si="13"/>
        <v>17752</v>
      </c>
      <c r="AF31" s="437">
        <v>17780</v>
      </c>
      <c r="AG31" s="545">
        <f t="shared" si="21"/>
        <v>28</v>
      </c>
      <c r="AH31" s="283">
        <f t="shared" si="14"/>
        <v>24546</v>
      </c>
      <c r="AI31" s="437">
        <v>24546</v>
      </c>
      <c r="AJ31" s="545">
        <f t="shared" si="23"/>
        <v>0</v>
      </c>
      <c r="AK31" s="359">
        <f t="shared" si="15"/>
        <v>15154</v>
      </c>
      <c r="AL31" s="436">
        <v>15154</v>
      </c>
      <c r="AM31" s="545">
        <f t="shared" si="22"/>
        <v>0</v>
      </c>
      <c r="AN31" s="442">
        <f t="shared" si="24"/>
        <v>131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233648</v>
      </c>
      <c r="D32" s="1">
        <v>233678</v>
      </c>
      <c r="E32" s="544">
        <f t="shared" si="26"/>
        <v>30</v>
      </c>
      <c r="F32" s="78">
        <f t="shared" si="2"/>
        <v>38000</v>
      </c>
      <c r="G32" s="440">
        <v>38000</v>
      </c>
      <c r="H32" s="544">
        <f t="shared" si="36"/>
        <v>0</v>
      </c>
      <c r="I32" s="78">
        <f t="shared" si="29"/>
        <v>7901</v>
      </c>
      <c r="J32" s="1">
        <v>7902</v>
      </c>
      <c r="K32" s="544">
        <f t="shared" si="30"/>
        <v>1</v>
      </c>
      <c r="L32" s="78">
        <f t="shared" si="31"/>
        <v>11978</v>
      </c>
      <c r="M32" s="1">
        <v>11978</v>
      </c>
      <c r="N32" s="544">
        <f t="shared" si="32"/>
        <v>0</v>
      </c>
      <c r="O32" s="78">
        <f t="shared" si="33"/>
        <v>20128</v>
      </c>
      <c r="P32" s="435">
        <v>20129</v>
      </c>
      <c r="Q32" s="544">
        <f t="shared" si="34"/>
        <v>1</v>
      </c>
      <c r="R32" s="288"/>
      <c r="S32" s="283">
        <f t="shared" si="35"/>
        <v>52370</v>
      </c>
      <c r="T32" s="436">
        <v>52447</v>
      </c>
      <c r="U32" s="545">
        <f t="shared" si="17"/>
        <v>77</v>
      </c>
      <c r="V32" s="283">
        <f t="shared" si="28"/>
        <v>71260</v>
      </c>
      <c r="W32" s="436">
        <v>71260</v>
      </c>
      <c r="X32" s="545">
        <f t="shared" si="18"/>
        <v>0</v>
      </c>
      <c r="Y32" s="283">
        <f t="shared" si="11"/>
        <v>80538</v>
      </c>
      <c r="Z32" s="436">
        <v>80538</v>
      </c>
      <c r="AA32" s="545">
        <f t="shared" si="19"/>
        <v>0</v>
      </c>
      <c r="AB32" s="283">
        <f t="shared" si="12"/>
        <v>13547</v>
      </c>
      <c r="AC32" s="284">
        <v>13562</v>
      </c>
      <c r="AD32" s="545">
        <f t="shared" si="20"/>
        <v>15</v>
      </c>
      <c r="AE32" s="283">
        <f t="shared" si="13"/>
        <v>17780</v>
      </c>
      <c r="AF32" s="437">
        <v>17805</v>
      </c>
      <c r="AG32" s="545">
        <f t="shared" si="21"/>
        <v>25</v>
      </c>
      <c r="AH32" s="283">
        <f t="shared" si="14"/>
        <v>24546</v>
      </c>
      <c r="AI32" s="437">
        <v>24546</v>
      </c>
      <c r="AJ32" s="545">
        <f t="shared" si="23"/>
        <v>0</v>
      </c>
      <c r="AK32" s="359">
        <f t="shared" si="15"/>
        <v>15154</v>
      </c>
      <c r="AL32" s="436">
        <v>15154</v>
      </c>
      <c r="AM32" s="545">
        <f t="shared" si="22"/>
        <v>0</v>
      </c>
      <c r="AN32" s="442">
        <f t="shared" si="24"/>
        <v>117</v>
      </c>
    </row>
    <row r="33" spans="1:41" ht="23.1" customHeight="1">
      <c r="A33" s="56">
        <f>Gen!B38</f>
        <v>43949</v>
      </c>
      <c r="B33" s="4"/>
      <c r="C33" s="78">
        <f t="shared" si="37"/>
        <v>233678</v>
      </c>
      <c r="D33" s="1">
        <v>233709</v>
      </c>
      <c r="E33" s="544">
        <f t="shared" si="26"/>
        <v>31</v>
      </c>
      <c r="F33" s="78">
        <f t="shared" si="2"/>
        <v>38000</v>
      </c>
      <c r="G33" s="440">
        <v>38000</v>
      </c>
      <c r="H33" s="544">
        <f t="shared" si="36"/>
        <v>0</v>
      </c>
      <c r="I33" s="78">
        <f t="shared" si="29"/>
        <v>7902</v>
      </c>
      <c r="J33" s="1">
        <v>7902</v>
      </c>
      <c r="K33" s="544">
        <f t="shared" si="30"/>
        <v>0</v>
      </c>
      <c r="L33" s="78">
        <f t="shared" si="31"/>
        <v>11978</v>
      </c>
      <c r="M33" s="1">
        <v>11978</v>
      </c>
      <c r="N33" s="544">
        <f t="shared" si="32"/>
        <v>0</v>
      </c>
      <c r="O33" s="78">
        <f t="shared" si="33"/>
        <v>20129</v>
      </c>
      <c r="P33" s="435">
        <v>20129</v>
      </c>
      <c r="Q33" s="544">
        <f t="shared" si="34"/>
        <v>0</v>
      </c>
      <c r="R33" s="288"/>
      <c r="S33" s="283">
        <f t="shared" si="35"/>
        <v>52447</v>
      </c>
      <c r="T33" s="436">
        <v>52462</v>
      </c>
      <c r="U33" s="545">
        <f t="shared" si="17"/>
        <v>15</v>
      </c>
      <c r="V33" s="283">
        <f t="shared" si="28"/>
        <v>71260</v>
      </c>
      <c r="W33" s="436">
        <v>71260</v>
      </c>
      <c r="X33" s="545">
        <f t="shared" si="18"/>
        <v>0</v>
      </c>
      <c r="Y33" s="283">
        <f t="shared" si="11"/>
        <v>80538</v>
      </c>
      <c r="Z33" s="436">
        <v>80538</v>
      </c>
      <c r="AA33" s="545">
        <f t="shared" si="19"/>
        <v>0</v>
      </c>
      <c r="AB33" s="283">
        <f t="shared" si="12"/>
        <v>13562</v>
      </c>
      <c r="AC33" s="284">
        <v>13583</v>
      </c>
      <c r="AD33" s="545">
        <f t="shared" si="20"/>
        <v>21</v>
      </c>
      <c r="AE33" s="283">
        <f t="shared" si="13"/>
        <v>17805</v>
      </c>
      <c r="AF33" s="437">
        <v>17830</v>
      </c>
      <c r="AG33" s="545">
        <f t="shared" si="21"/>
        <v>25</v>
      </c>
      <c r="AH33" s="283">
        <f t="shared" si="14"/>
        <v>24546</v>
      </c>
      <c r="AI33" s="437">
        <v>24546</v>
      </c>
      <c r="AJ33" s="545">
        <f t="shared" si="23"/>
        <v>0</v>
      </c>
      <c r="AK33" s="359">
        <f t="shared" si="15"/>
        <v>15154</v>
      </c>
      <c r="AL33" s="436">
        <v>15154</v>
      </c>
      <c r="AM33" s="545">
        <f t="shared" si="22"/>
        <v>0</v>
      </c>
      <c r="AN33" s="442">
        <f t="shared" si="24"/>
        <v>61</v>
      </c>
    </row>
    <row r="34" spans="1:41" ht="23.1" customHeight="1">
      <c r="A34" s="56">
        <f>Gen!B39</f>
        <v>43950</v>
      </c>
      <c r="B34" s="144"/>
      <c r="C34" s="78">
        <f t="shared" si="37"/>
        <v>233709</v>
      </c>
      <c r="D34" s="1">
        <v>233738</v>
      </c>
      <c r="E34" s="544">
        <f t="shared" si="26"/>
        <v>29</v>
      </c>
      <c r="F34" s="78">
        <f t="shared" si="2"/>
        <v>38000</v>
      </c>
      <c r="G34" s="440">
        <v>38000</v>
      </c>
      <c r="H34" s="544">
        <f t="shared" si="36"/>
        <v>0</v>
      </c>
      <c r="I34" s="78">
        <f t="shared" si="29"/>
        <v>7902</v>
      </c>
      <c r="J34" s="1">
        <v>7903</v>
      </c>
      <c r="K34" s="544">
        <f t="shared" si="30"/>
        <v>1</v>
      </c>
      <c r="L34" s="78">
        <f t="shared" si="31"/>
        <v>11978</v>
      </c>
      <c r="M34" s="1">
        <v>11978</v>
      </c>
      <c r="N34" s="544">
        <f t="shared" si="32"/>
        <v>0</v>
      </c>
      <c r="O34" s="78">
        <f t="shared" si="33"/>
        <v>20129</v>
      </c>
      <c r="P34" s="435">
        <v>20130</v>
      </c>
      <c r="Q34" s="544">
        <f t="shared" si="34"/>
        <v>1</v>
      </c>
      <c r="R34" s="288"/>
      <c r="S34" s="283">
        <f t="shared" si="35"/>
        <v>52462</v>
      </c>
      <c r="T34" s="436">
        <v>52462</v>
      </c>
      <c r="U34" s="545">
        <f t="shared" si="17"/>
        <v>0</v>
      </c>
      <c r="V34" s="283">
        <f t="shared" si="28"/>
        <v>71260</v>
      </c>
      <c r="W34" s="436">
        <v>71260</v>
      </c>
      <c r="X34" s="545">
        <f t="shared" si="18"/>
        <v>0</v>
      </c>
      <c r="Y34" s="283">
        <f t="shared" si="11"/>
        <v>80538</v>
      </c>
      <c r="Z34" s="436">
        <v>80538</v>
      </c>
      <c r="AA34" s="545">
        <f t="shared" si="19"/>
        <v>0</v>
      </c>
      <c r="AB34" s="283">
        <f t="shared" si="12"/>
        <v>13583</v>
      </c>
      <c r="AC34" s="284">
        <v>13603</v>
      </c>
      <c r="AD34" s="545">
        <f t="shared" si="20"/>
        <v>20</v>
      </c>
      <c r="AE34" s="283">
        <f t="shared" si="13"/>
        <v>17830</v>
      </c>
      <c r="AF34" s="437">
        <v>17855</v>
      </c>
      <c r="AG34" s="545">
        <f t="shared" si="21"/>
        <v>25</v>
      </c>
      <c r="AH34" s="283">
        <f t="shared" si="14"/>
        <v>24546</v>
      </c>
      <c r="AI34" s="437">
        <v>24546</v>
      </c>
      <c r="AJ34" s="545">
        <f t="shared" si="23"/>
        <v>0</v>
      </c>
      <c r="AK34" s="359">
        <f t="shared" si="15"/>
        <v>15154</v>
      </c>
      <c r="AL34" s="436">
        <v>15154</v>
      </c>
      <c r="AM34" s="545">
        <f t="shared" si="22"/>
        <v>0</v>
      </c>
      <c r="AN34" s="442">
        <f t="shared" si="24"/>
        <v>45</v>
      </c>
    </row>
    <row r="35" spans="1:41" ht="23.1" customHeight="1">
      <c r="A35" s="56">
        <f>Gen!B40</f>
        <v>43951</v>
      </c>
      <c r="B35" s="144"/>
      <c r="C35" s="78">
        <f t="shared" si="37"/>
        <v>233738</v>
      </c>
      <c r="D35" s="1">
        <v>233767</v>
      </c>
      <c r="E35" s="544">
        <f t="shared" si="26"/>
        <v>29</v>
      </c>
      <c r="F35" s="78">
        <f t="shared" si="2"/>
        <v>38000</v>
      </c>
      <c r="G35" s="440">
        <v>38000</v>
      </c>
      <c r="H35" s="544">
        <f t="shared" si="36"/>
        <v>0</v>
      </c>
      <c r="I35" s="78">
        <f t="shared" si="29"/>
        <v>7903</v>
      </c>
      <c r="J35" s="1">
        <v>7903</v>
      </c>
      <c r="K35" s="544">
        <f t="shared" si="30"/>
        <v>0</v>
      </c>
      <c r="L35" s="78">
        <f t="shared" si="31"/>
        <v>11978</v>
      </c>
      <c r="M35" s="1">
        <v>11978</v>
      </c>
      <c r="N35" s="544">
        <f t="shared" si="32"/>
        <v>0</v>
      </c>
      <c r="O35" s="78">
        <f t="shared" si="33"/>
        <v>20130</v>
      </c>
      <c r="P35" s="435">
        <v>20131</v>
      </c>
      <c r="Q35" s="544">
        <f t="shared" si="34"/>
        <v>1</v>
      </c>
      <c r="R35" s="288"/>
      <c r="S35" s="283">
        <f t="shared" si="35"/>
        <v>52462</v>
      </c>
      <c r="T35" s="436">
        <v>52462</v>
      </c>
      <c r="U35" s="545">
        <f t="shared" si="17"/>
        <v>0</v>
      </c>
      <c r="V35" s="283">
        <f t="shared" si="28"/>
        <v>71260</v>
      </c>
      <c r="W35" s="436">
        <v>71260</v>
      </c>
      <c r="X35" s="545">
        <f t="shared" si="18"/>
        <v>0</v>
      </c>
      <c r="Y35" s="283">
        <f t="shared" si="11"/>
        <v>80538</v>
      </c>
      <c r="Z35" s="436">
        <v>80538</v>
      </c>
      <c r="AA35" s="545">
        <f t="shared" si="19"/>
        <v>0</v>
      </c>
      <c r="AB35" s="283">
        <f t="shared" si="12"/>
        <v>13603</v>
      </c>
      <c r="AC35" s="284">
        <v>13624</v>
      </c>
      <c r="AD35" s="545">
        <f t="shared" si="20"/>
        <v>21</v>
      </c>
      <c r="AE35" s="283">
        <f t="shared" si="13"/>
        <v>17855</v>
      </c>
      <c r="AF35" s="437">
        <v>17880</v>
      </c>
      <c r="AG35" s="545">
        <f t="shared" si="21"/>
        <v>25</v>
      </c>
      <c r="AH35" s="283">
        <f t="shared" si="14"/>
        <v>24546</v>
      </c>
      <c r="AI35" s="437">
        <v>24546</v>
      </c>
      <c r="AJ35" s="545" t="str">
        <f t="shared" si="23"/>
        <v>0</v>
      </c>
      <c r="AK35" s="359">
        <f t="shared" si="15"/>
        <v>15154</v>
      </c>
      <c r="AL35" s="436">
        <v>15154</v>
      </c>
      <c r="AM35" s="545">
        <f t="shared" si="22"/>
        <v>0</v>
      </c>
      <c r="AN35" s="442">
        <f t="shared" si="24"/>
        <v>46</v>
      </c>
    </row>
    <row r="36" spans="1:41" ht="23.1" customHeight="1">
      <c r="A36" s="56">
        <f>Gen!B41</f>
        <v>0</v>
      </c>
      <c r="B36" s="145"/>
      <c r="C36" s="78">
        <f t="shared" si="37"/>
        <v>233767</v>
      </c>
      <c r="D36" s="1"/>
      <c r="E36" s="544" t="str">
        <f t="shared" si="26"/>
        <v>0</v>
      </c>
      <c r="F36" s="78">
        <f t="shared" si="2"/>
        <v>38000</v>
      </c>
      <c r="G36" s="440"/>
      <c r="H36" s="544" t="str">
        <f t="shared" si="36"/>
        <v>0</v>
      </c>
      <c r="I36" s="78">
        <f t="shared" si="29"/>
        <v>7903</v>
      </c>
      <c r="J36" s="1"/>
      <c r="K36" s="544" t="str">
        <f t="shared" si="30"/>
        <v>0</v>
      </c>
      <c r="L36" s="78">
        <f t="shared" si="31"/>
        <v>11978</v>
      </c>
      <c r="M36" s="1"/>
      <c r="N36" s="544" t="str">
        <f t="shared" si="32"/>
        <v>0</v>
      </c>
      <c r="O36" s="78">
        <f t="shared" si="33"/>
        <v>20131</v>
      </c>
      <c r="P36" s="435"/>
      <c r="Q36" s="544" t="str">
        <f t="shared" si="34"/>
        <v>0</v>
      </c>
      <c r="R36" s="288"/>
      <c r="S36" s="283">
        <f t="shared" si="35"/>
        <v>52462</v>
      </c>
      <c r="T36" s="436"/>
      <c r="U36" s="545" t="str">
        <f t="shared" si="17"/>
        <v>0</v>
      </c>
      <c r="V36" s="283">
        <f t="shared" si="28"/>
        <v>71260</v>
      </c>
      <c r="W36" s="436"/>
      <c r="X36" s="545" t="str">
        <f t="shared" si="18"/>
        <v>0</v>
      </c>
      <c r="Y36" s="283">
        <f t="shared" si="11"/>
        <v>80538</v>
      </c>
      <c r="Z36" s="436"/>
      <c r="AA36" s="545" t="str">
        <f t="shared" si="19"/>
        <v>0</v>
      </c>
      <c r="AB36" s="283">
        <f t="shared" si="12"/>
        <v>13624</v>
      </c>
      <c r="AC36" s="284"/>
      <c r="AD36" s="545" t="str">
        <f t="shared" si="20"/>
        <v>0</v>
      </c>
      <c r="AE36" s="283">
        <f t="shared" si="13"/>
        <v>17880</v>
      </c>
      <c r="AF36" s="437"/>
      <c r="AG36" s="545" t="str">
        <f t="shared" si="21"/>
        <v>0</v>
      </c>
      <c r="AH36" s="283">
        <f t="shared" si="14"/>
        <v>24546</v>
      </c>
      <c r="AI36" s="437"/>
      <c r="AJ36" s="545" t="str">
        <f t="shared" si="23"/>
        <v>0</v>
      </c>
      <c r="AK36" s="359">
        <f t="shared" si="15"/>
        <v>15154</v>
      </c>
      <c r="AL36" s="436"/>
      <c r="AM36" s="545" t="str">
        <f t="shared" si="22"/>
        <v>0</v>
      </c>
      <c r="AN36" s="442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544">
        <f t="shared" si="26"/>
        <v>0</v>
      </c>
      <c r="F37" s="78">
        <f t="shared" si="2"/>
        <v>0</v>
      </c>
      <c r="G37" s="440"/>
      <c r="H37" s="544">
        <f t="shared" si="36"/>
        <v>0</v>
      </c>
      <c r="I37" s="78">
        <f t="shared" si="29"/>
        <v>0</v>
      </c>
      <c r="J37" s="1"/>
      <c r="K37" s="544">
        <f t="shared" si="30"/>
        <v>0</v>
      </c>
      <c r="L37" s="78">
        <f t="shared" si="31"/>
        <v>0</v>
      </c>
      <c r="M37" s="1"/>
      <c r="N37" s="544">
        <f t="shared" si="32"/>
        <v>0</v>
      </c>
      <c r="O37" s="78">
        <f t="shared" si="33"/>
        <v>0</v>
      </c>
      <c r="P37" s="435"/>
      <c r="Q37" s="544">
        <f t="shared" si="34"/>
        <v>0</v>
      </c>
      <c r="R37" s="288"/>
      <c r="S37" s="283">
        <f t="shared" si="35"/>
        <v>0</v>
      </c>
      <c r="T37" s="436"/>
      <c r="U37" s="545">
        <f t="shared" si="17"/>
        <v>0</v>
      </c>
      <c r="V37" s="283">
        <f t="shared" si="28"/>
        <v>0</v>
      </c>
      <c r="W37" s="436"/>
      <c r="X37" s="545">
        <f t="shared" si="18"/>
        <v>0</v>
      </c>
      <c r="Y37" s="283">
        <f t="shared" si="11"/>
        <v>0</v>
      </c>
      <c r="Z37" s="436"/>
      <c r="AA37" s="545">
        <f t="shared" si="19"/>
        <v>0</v>
      </c>
      <c r="AB37" s="283">
        <f t="shared" si="12"/>
        <v>0</v>
      </c>
      <c r="AC37" s="284"/>
      <c r="AD37" s="545">
        <f t="shared" si="20"/>
        <v>0</v>
      </c>
      <c r="AE37" s="283">
        <f t="shared" si="13"/>
        <v>0</v>
      </c>
      <c r="AF37" s="437"/>
      <c r="AG37" s="545">
        <f t="shared" si="21"/>
        <v>0</v>
      </c>
      <c r="AH37" s="283">
        <f t="shared" si="14"/>
        <v>0</v>
      </c>
      <c r="AI37" s="437"/>
      <c r="AJ37" s="545">
        <f t="shared" si="23"/>
        <v>0</v>
      </c>
      <c r="AK37" s="359">
        <f t="shared" si="15"/>
        <v>0</v>
      </c>
      <c r="AL37" s="436"/>
      <c r="AM37" s="545">
        <f t="shared" si="22"/>
        <v>0</v>
      </c>
      <c r="AN37" s="442">
        <f t="shared" ref="AN37" si="38">U38+X38+AA38+AD38+AG38+AJ38+AM38</f>
        <v>750</v>
      </c>
    </row>
    <row r="38" spans="1:41" ht="17.25">
      <c r="A38" s="56"/>
      <c r="B38" s="22"/>
      <c r="C38" s="803" t="s">
        <v>6</v>
      </c>
      <c r="D38" s="803"/>
      <c r="E38" s="23">
        <f>SUM(E6:E36)</f>
        <v>1160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13</v>
      </c>
      <c r="L38" s="143"/>
      <c r="M38" s="143"/>
      <c r="N38" s="29">
        <f t="shared" ref="N38" si="39">M38-M37</f>
        <v>0</v>
      </c>
      <c r="O38" s="27"/>
      <c r="P38" s="285"/>
      <c r="Q38" s="286">
        <f t="shared" ref="Q38" si="40">P38-O38</f>
        <v>0</v>
      </c>
      <c r="R38" s="287">
        <f>E38</f>
        <v>1160</v>
      </c>
      <c r="S38" s="285"/>
      <c r="T38" s="285"/>
      <c r="U38" s="295">
        <f>SUM(U6:U37)</f>
        <v>750</v>
      </c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91">
        <f t="shared" ref="AN38" si="41">U38+X38+AA38+AD38+AG38+AJ38+AM38</f>
        <v>750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829"/>
      <c r="B42" s="320"/>
      <c r="C42" s="826" t="s">
        <v>203</v>
      </c>
      <c r="D42" s="827"/>
      <c r="E42" s="827"/>
      <c r="F42" s="827"/>
      <c r="G42" s="827"/>
      <c r="H42" s="827"/>
      <c r="I42" s="827"/>
      <c r="J42" s="827"/>
      <c r="K42" s="828"/>
      <c r="R42" s="20"/>
    </row>
    <row r="43" spans="1:41" ht="24.75" customHeight="1">
      <c r="A43" s="830"/>
      <c r="B43" s="20"/>
      <c r="C43" s="832" t="s">
        <v>197</v>
      </c>
      <c r="D43" s="833"/>
      <c r="E43" s="834" t="s">
        <v>218</v>
      </c>
      <c r="F43" s="835"/>
      <c r="G43" s="836" t="s">
        <v>198</v>
      </c>
      <c r="H43" s="837"/>
      <c r="I43" s="836" t="s">
        <v>219</v>
      </c>
      <c r="J43" s="837"/>
      <c r="K43" s="824" t="s">
        <v>204</v>
      </c>
      <c r="R43" s="20"/>
      <c r="T43" s="553"/>
      <c r="U43" s="553"/>
      <c r="V43" s="553"/>
      <c r="W43" s="553"/>
      <c r="X43" s="553"/>
      <c r="Y43" s="553"/>
      <c r="Z43" s="553"/>
      <c r="AA43" s="553"/>
      <c r="AB43" s="553"/>
      <c r="AC43" s="553"/>
      <c r="AD43" s="553"/>
      <c r="AE43" s="553"/>
      <c r="AF43" s="553"/>
      <c r="AG43" s="553"/>
      <c r="AH43" s="553"/>
      <c r="AI43" s="553"/>
      <c r="AJ43" s="553"/>
      <c r="AK43" s="553"/>
      <c r="AL43" s="553"/>
      <c r="AM43" s="553"/>
      <c r="AN43" s="553"/>
      <c r="AO43" s="553"/>
    </row>
    <row r="44" spans="1:41" ht="21" customHeight="1" thickBot="1">
      <c r="A44" s="830"/>
      <c r="B44" s="20"/>
      <c r="C44" s="838" t="s">
        <v>199</v>
      </c>
      <c r="D44" s="839"/>
      <c r="E44" s="838" t="s">
        <v>200</v>
      </c>
      <c r="F44" s="839"/>
      <c r="G44" s="838" t="s">
        <v>201</v>
      </c>
      <c r="H44" s="839"/>
      <c r="I44" s="838" t="s">
        <v>202</v>
      </c>
      <c r="J44" s="839"/>
      <c r="K44" s="825"/>
      <c r="R44" s="20"/>
      <c r="T44" s="553"/>
      <c r="U44" s="553"/>
      <c r="V44" s="553"/>
      <c r="W44" s="553"/>
      <c r="X44" s="553"/>
      <c r="Y44" s="553"/>
      <c r="Z44" s="553"/>
      <c r="AA44" s="553"/>
      <c r="AB44" s="553"/>
      <c r="AC44" s="553"/>
      <c r="AD44" s="553"/>
      <c r="AE44" s="553"/>
      <c r="AF44" s="553"/>
      <c r="AG44" s="553"/>
      <c r="AH44" s="553"/>
      <c r="AI44" s="553"/>
      <c r="AJ44" s="553"/>
      <c r="AK44" s="553"/>
      <c r="AL44" s="553"/>
      <c r="AM44" s="553"/>
      <c r="AN44" s="553"/>
      <c r="AO44" s="553"/>
    </row>
    <row r="45" spans="1:41" ht="21" customHeight="1" thickBot="1">
      <c r="A45" s="831"/>
      <c r="B45" s="20"/>
      <c r="C45" s="371" t="s">
        <v>206</v>
      </c>
      <c r="D45" s="372" t="s">
        <v>205</v>
      </c>
      <c r="E45" s="373" t="s">
        <v>206</v>
      </c>
      <c r="F45" s="374" t="s">
        <v>205</v>
      </c>
      <c r="G45" s="546"/>
      <c r="H45" s="374" t="s">
        <v>205</v>
      </c>
      <c r="I45" s="373" t="s">
        <v>206</v>
      </c>
      <c r="J45" s="374" t="s">
        <v>205</v>
      </c>
      <c r="K45" s="375" t="s">
        <v>205</v>
      </c>
      <c r="R45" s="20"/>
      <c r="T45" s="553"/>
      <c r="U45" s="553"/>
      <c r="V45" s="553"/>
      <c r="W45" s="553"/>
      <c r="X45" s="553"/>
      <c r="Y45" s="553"/>
      <c r="Z45" s="553"/>
      <c r="AA45" s="553"/>
      <c r="AB45" s="553"/>
      <c r="AC45" s="553"/>
      <c r="AD45" s="553"/>
      <c r="AE45" s="553"/>
      <c r="AF45" s="553"/>
      <c r="AG45" s="553"/>
      <c r="AH45" s="553"/>
      <c r="AI45" s="553"/>
      <c r="AJ45" s="553"/>
      <c r="AK45" s="553"/>
      <c r="AL45" s="553"/>
      <c r="AM45" s="553"/>
      <c r="AN45" s="553"/>
      <c r="AO45" s="553"/>
    </row>
    <row r="46" spans="1:41" ht="20.25" customHeight="1">
      <c r="A46" s="337">
        <f>Gen!B11</f>
        <v>43922</v>
      </c>
      <c r="B46" s="20"/>
      <c r="C46" s="60">
        <v>135</v>
      </c>
      <c r="D46" s="370">
        <f t="shared" ref="D46:D77" si="42">C46*217/300</f>
        <v>97.65</v>
      </c>
      <c r="E46" s="6">
        <v>120</v>
      </c>
      <c r="F46" s="370">
        <f t="shared" ref="F46:F77" si="43">E46*92/305</f>
        <v>36.196721311475407</v>
      </c>
      <c r="G46" s="547">
        <v>300</v>
      </c>
      <c r="H46" s="370">
        <f>G46*146/383</f>
        <v>114.36031331592689</v>
      </c>
      <c r="I46" s="6">
        <v>270</v>
      </c>
      <c r="J46" s="370">
        <f>I46*213/308</f>
        <v>186.72077922077921</v>
      </c>
      <c r="K46" s="376">
        <f>D46+F46+H46+J46</f>
        <v>434.92781384818153</v>
      </c>
      <c r="T46" s="553"/>
      <c r="U46" s="553"/>
      <c r="V46" s="553"/>
      <c r="W46" s="553"/>
      <c r="X46" s="553"/>
      <c r="Y46" s="553"/>
      <c r="Z46" s="553"/>
      <c r="AA46" s="553"/>
      <c r="AB46" s="553"/>
      <c r="AC46" s="553"/>
      <c r="AD46" s="553"/>
      <c r="AE46" s="553"/>
      <c r="AF46" s="553"/>
      <c r="AG46" s="553"/>
      <c r="AH46" s="553"/>
      <c r="AI46" s="553"/>
      <c r="AJ46" s="553"/>
      <c r="AK46" s="553"/>
      <c r="AL46" s="553"/>
      <c r="AM46" s="553"/>
      <c r="AN46" s="553"/>
      <c r="AO46" s="553"/>
    </row>
    <row r="47" spans="1:41" ht="13.5">
      <c r="A47" s="337">
        <f>Gen!B12</f>
        <v>43923</v>
      </c>
      <c r="B47" s="20"/>
      <c r="C47" s="60">
        <v>220</v>
      </c>
      <c r="D47" s="370">
        <f t="shared" si="42"/>
        <v>159.13333333333333</v>
      </c>
      <c r="E47" s="6">
        <v>195</v>
      </c>
      <c r="F47" s="370">
        <f t="shared" si="43"/>
        <v>58.819672131147541</v>
      </c>
      <c r="G47" s="547">
        <v>240</v>
      </c>
      <c r="H47" s="370">
        <f t="shared" ref="H47:H77" si="44">G47*146/383</f>
        <v>91.488250652741513</v>
      </c>
      <c r="I47" s="6">
        <v>280</v>
      </c>
      <c r="J47" s="370">
        <f t="shared" ref="J47:J77" si="45">I47*213/308</f>
        <v>193.63636363636363</v>
      </c>
      <c r="K47" s="376">
        <f t="shared" ref="K47:K77" si="46">D47+F47+H47+J47</f>
        <v>503.07761975358602</v>
      </c>
      <c r="T47" s="553"/>
      <c r="U47" s="553"/>
      <c r="V47" s="553"/>
      <c r="W47" s="553"/>
      <c r="X47" s="553"/>
      <c r="Y47" s="553"/>
      <c r="Z47" s="553"/>
      <c r="AA47" s="553"/>
      <c r="AB47" s="553"/>
      <c r="AC47" s="553"/>
      <c r="AD47" s="553"/>
      <c r="AE47" s="553"/>
      <c r="AF47" s="553"/>
      <c r="AG47" s="553"/>
      <c r="AH47" s="553"/>
      <c r="AI47" s="553"/>
      <c r="AJ47" s="553"/>
      <c r="AK47" s="553"/>
      <c r="AL47" s="553"/>
      <c r="AM47" s="553"/>
      <c r="AN47" s="553"/>
      <c r="AO47" s="553"/>
    </row>
    <row r="48" spans="1:41" ht="13.5">
      <c r="A48" s="337">
        <f>Gen!B13</f>
        <v>43924</v>
      </c>
      <c r="B48" s="20"/>
      <c r="C48" s="60">
        <v>235</v>
      </c>
      <c r="D48" s="370">
        <f t="shared" si="42"/>
        <v>169.98333333333332</v>
      </c>
      <c r="E48" s="6">
        <v>210</v>
      </c>
      <c r="F48" s="370">
        <f t="shared" si="43"/>
        <v>63.344262295081968</v>
      </c>
      <c r="G48" s="547">
        <v>210</v>
      </c>
      <c r="H48" s="370">
        <f t="shared" si="44"/>
        <v>80.052219321148826</v>
      </c>
      <c r="I48" s="6">
        <v>280</v>
      </c>
      <c r="J48" s="370">
        <f t="shared" si="45"/>
        <v>193.63636363636363</v>
      </c>
      <c r="K48" s="376">
        <f t="shared" si="46"/>
        <v>507.01617858592772</v>
      </c>
      <c r="T48" s="553"/>
      <c r="U48" s="553"/>
      <c r="V48" s="553"/>
      <c r="W48" s="553"/>
      <c r="X48" s="553"/>
      <c r="Y48" s="553"/>
      <c r="Z48" s="553"/>
      <c r="AA48" s="553"/>
      <c r="AB48" s="553"/>
      <c r="AC48" s="553"/>
      <c r="AD48" s="553"/>
      <c r="AE48" s="553"/>
      <c r="AF48" s="553"/>
      <c r="AG48" s="553"/>
      <c r="AH48" s="553"/>
      <c r="AI48" s="553"/>
      <c r="AJ48" s="553"/>
      <c r="AK48" s="553"/>
      <c r="AL48" s="553"/>
      <c r="AM48" s="553"/>
      <c r="AN48" s="553"/>
      <c r="AO48" s="553"/>
    </row>
    <row r="49" spans="1:15" ht="13.5">
      <c r="A49" s="337">
        <f>Gen!B14</f>
        <v>43925</v>
      </c>
      <c r="B49" s="20"/>
      <c r="C49" s="60">
        <v>220</v>
      </c>
      <c r="D49" s="370">
        <f t="shared" si="42"/>
        <v>159.13333333333333</v>
      </c>
      <c r="E49" s="6">
        <v>190</v>
      </c>
      <c r="F49" s="370">
        <f t="shared" si="43"/>
        <v>57.311475409836063</v>
      </c>
      <c r="G49" s="547">
        <v>285</v>
      </c>
      <c r="H49" s="370">
        <f t="shared" si="44"/>
        <v>108.64229765013054</v>
      </c>
      <c r="I49" s="6">
        <v>280</v>
      </c>
      <c r="J49" s="370">
        <f t="shared" si="45"/>
        <v>193.63636363636363</v>
      </c>
      <c r="K49" s="376">
        <f t="shared" si="46"/>
        <v>518.72347002966353</v>
      </c>
    </row>
    <row r="50" spans="1:15" ht="13.5">
      <c r="A50" s="337">
        <f>Gen!B15</f>
        <v>43926</v>
      </c>
      <c r="B50" s="20"/>
      <c r="C50" s="60">
        <v>195</v>
      </c>
      <c r="D50" s="370">
        <f t="shared" si="42"/>
        <v>141.05000000000001</v>
      </c>
      <c r="E50" s="6">
        <v>160</v>
      </c>
      <c r="F50" s="370">
        <f t="shared" si="43"/>
        <v>48.26229508196721</v>
      </c>
      <c r="G50" s="547">
        <v>300</v>
      </c>
      <c r="H50" s="370">
        <f t="shared" si="44"/>
        <v>114.36031331592689</v>
      </c>
      <c r="I50" s="6">
        <v>280</v>
      </c>
      <c r="J50" s="370">
        <f t="shared" si="45"/>
        <v>193.63636363636363</v>
      </c>
      <c r="K50" s="376">
        <f t="shared" si="46"/>
        <v>497.30897203425775</v>
      </c>
    </row>
    <row r="51" spans="1:15" ht="13.5">
      <c r="A51" s="337">
        <f>Gen!B16</f>
        <v>43927</v>
      </c>
      <c r="B51" s="20"/>
      <c r="C51" s="60">
        <v>160</v>
      </c>
      <c r="D51" s="370">
        <f t="shared" si="42"/>
        <v>115.73333333333333</v>
      </c>
      <c r="E51" s="6">
        <v>130</v>
      </c>
      <c r="F51" s="370">
        <f t="shared" si="43"/>
        <v>39.213114754098363</v>
      </c>
      <c r="G51" s="547">
        <v>300</v>
      </c>
      <c r="H51" s="370">
        <f t="shared" si="44"/>
        <v>114.36031331592689</v>
      </c>
      <c r="I51" s="6">
        <v>290</v>
      </c>
      <c r="J51" s="370">
        <f t="shared" si="45"/>
        <v>200.55194805194805</v>
      </c>
      <c r="K51" s="376">
        <f t="shared" si="46"/>
        <v>469.85870945530661</v>
      </c>
    </row>
    <row r="52" spans="1:15" ht="13.5">
      <c r="A52" s="337">
        <f>Gen!B17</f>
        <v>43928</v>
      </c>
      <c r="B52" s="20"/>
      <c r="C52" s="60">
        <v>170</v>
      </c>
      <c r="D52" s="370">
        <f t="shared" si="42"/>
        <v>122.96666666666667</v>
      </c>
      <c r="E52" s="6">
        <v>135</v>
      </c>
      <c r="F52" s="370">
        <f t="shared" si="43"/>
        <v>40.721311475409834</v>
      </c>
      <c r="G52" s="547">
        <v>300</v>
      </c>
      <c r="H52" s="370">
        <f t="shared" si="44"/>
        <v>114.36031331592689</v>
      </c>
      <c r="I52" s="6">
        <v>280</v>
      </c>
      <c r="J52" s="370">
        <f t="shared" si="45"/>
        <v>193.63636363636363</v>
      </c>
      <c r="K52" s="376">
        <f t="shared" si="46"/>
        <v>471.68465509436703</v>
      </c>
    </row>
    <row r="53" spans="1:15" ht="13.5">
      <c r="A53" s="337">
        <f>Gen!B18</f>
        <v>43929</v>
      </c>
      <c r="B53" s="20"/>
      <c r="C53" s="60">
        <v>185</v>
      </c>
      <c r="D53" s="370">
        <f t="shared" si="42"/>
        <v>133.81666666666666</v>
      </c>
      <c r="E53" s="6">
        <v>150</v>
      </c>
      <c r="F53" s="370">
        <f t="shared" si="43"/>
        <v>45.245901639344261</v>
      </c>
      <c r="G53" s="547">
        <v>300</v>
      </c>
      <c r="H53" s="370">
        <f t="shared" si="44"/>
        <v>114.36031331592689</v>
      </c>
      <c r="I53" s="6">
        <v>275</v>
      </c>
      <c r="J53" s="370">
        <f t="shared" si="45"/>
        <v>190.17857142857142</v>
      </c>
      <c r="K53" s="376">
        <f t="shared" si="46"/>
        <v>483.60145305050924</v>
      </c>
    </row>
    <row r="54" spans="1:15" ht="13.5">
      <c r="A54" s="337">
        <f>Gen!B19</f>
        <v>43930</v>
      </c>
      <c r="B54" s="20"/>
      <c r="C54" s="60">
        <v>240</v>
      </c>
      <c r="D54" s="370">
        <f t="shared" si="42"/>
        <v>173.6</v>
      </c>
      <c r="E54" s="6">
        <v>210</v>
      </c>
      <c r="F54" s="370">
        <f t="shared" si="43"/>
        <v>63.344262295081968</v>
      </c>
      <c r="G54" s="547">
        <v>300</v>
      </c>
      <c r="H54" s="370">
        <f t="shared" si="44"/>
        <v>114.36031331592689</v>
      </c>
      <c r="I54" s="6">
        <v>275</v>
      </c>
      <c r="J54" s="370">
        <f t="shared" si="45"/>
        <v>190.17857142857142</v>
      </c>
      <c r="K54" s="376">
        <f t="shared" si="46"/>
        <v>541.48314703958022</v>
      </c>
    </row>
    <row r="55" spans="1:15" ht="13.5">
      <c r="A55" s="337">
        <f>Gen!B20</f>
        <v>43931</v>
      </c>
      <c r="B55" s="20"/>
      <c r="C55" s="60">
        <v>300</v>
      </c>
      <c r="D55" s="370">
        <f t="shared" si="42"/>
        <v>217</v>
      </c>
      <c r="E55" s="6">
        <v>300</v>
      </c>
      <c r="F55" s="370">
        <f t="shared" si="43"/>
        <v>90.491803278688522</v>
      </c>
      <c r="G55" s="547">
        <v>270</v>
      </c>
      <c r="H55" s="370">
        <f t="shared" si="44"/>
        <v>102.9242819843342</v>
      </c>
      <c r="I55" s="6">
        <v>275</v>
      </c>
      <c r="J55" s="370">
        <f t="shared" si="45"/>
        <v>190.17857142857142</v>
      </c>
      <c r="K55" s="376">
        <f t="shared" si="46"/>
        <v>600.59465669159408</v>
      </c>
    </row>
    <row r="56" spans="1:15" ht="13.5">
      <c r="A56" s="337">
        <f>Gen!B21</f>
        <v>43932</v>
      </c>
      <c r="B56" s="20"/>
      <c r="C56" s="60">
        <v>297</v>
      </c>
      <c r="D56" s="370">
        <f t="shared" si="42"/>
        <v>214.83</v>
      </c>
      <c r="E56" s="6">
        <v>300</v>
      </c>
      <c r="F56" s="370">
        <f t="shared" si="43"/>
        <v>90.491803278688522</v>
      </c>
      <c r="G56" s="547">
        <v>235</v>
      </c>
      <c r="H56" s="370">
        <f t="shared" si="44"/>
        <v>89.582245430809394</v>
      </c>
      <c r="I56" s="6">
        <v>280</v>
      </c>
      <c r="J56" s="370">
        <f t="shared" si="45"/>
        <v>193.63636363636363</v>
      </c>
      <c r="K56" s="376">
        <f t="shared" si="46"/>
        <v>588.54041234586157</v>
      </c>
    </row>
    <row r="57" spans="1:15" ht="13.5">
      <c r="A57" s="337">
        <f>Gen!B22</f>
        <v>43933</v>
      </c>
      <c r="B57" s="20"/>
      <c r="C57" s="60">
        <v>265</v>
      </c>
      <c r="D57" s="370">
        <f t="shared" si="42"/>
        <v>191.68333333333334</v>
      </c>
      <c r="E57" s="6">
        <v>235</v>
      </c>
      <c r="F57" s="370">
        <f t="shared" si="43"/>
        <v>70.885245901639351</v>
      </c>
      <c r="G57" s="547">
        <v>265</v>
      </c>
      <c r="H57" s="370">
        <f t="shared" si="44"/>
        <v>101.0182767624021</v>
      </c>
      <c r="I57" s="6">
        <v>280</v>
      </c>
      <c r="J57" s="370">
        <f t="shared" si="45"/>
        <v>193.63636363636363</v>
      </c>
      <c r="K57" s="376">
        <f t="shared" si="46"/>
        <v>557.22321963373838</v>
      </c>
    </row>
    <row r="58" spans="1:15" ht="13.5">
      <c r="A58" s="337">
        <f>Gen!B23</f>
        <v>43934</v>
      </c>
      <c r="B58" s="20"/>
      <c r="C58" s="60">
        <v>235</v>
      </c>
      <c r="D58" s="370">
        <f t="shared" si="42"/>
        <v>169.98333333333332</v>
      </c>
      <c r="E58" s="6">
        <v>205</v>
      </c>
      <c r="F58" s="370">
        <f t="shared" si="43"/>
        <v>61.83606557377049</v>
      </c>
      <c r="G58" s="547">
        <v>300</v>
      </c>
      <c r="H58" s="370">
        <f t="shared" si="44"/>
        <v>114.36031331592689</v>
      </c>
      <c r="I58" s="6">
        <v>285</v>
      </c>
      <c r="J58" s="370">
        <f t="shared" si="45"/>
        <v>197.09415584415584</v>
      </c>
      <c r="K58" s="376">
        <f t="shared" si="46"/>
        <v>543.27386806718653</v>
      </c>
    </row>
    <row r="59" spans="1:15" ht="13.5">
      <c r="A59" s="337">
        <f>Gen!B24</f>
        <v>43935</v>
      </c>
      <c r="B59" s="20"/>
      <c r="C59" s="60">
        <v>240</v>
      </c>
      <c r="D59" s="370">
        <f t="shared" si="42"/>
        <v>173.6</v>
      </c>
      <c r="E59" s="6">
        <v>205</v>
      </c>
      <c r="F59" s="370">
        <f t="shared" si="43"/>
        <v>61.83606557377049</v>
      </c>
      <c r="G59" s="547">
        <v>300</v>
      </c>
      <c r="H59" s="370">
        <f t="shared" si="44"/>
        <v>114.36031331592689</v>
      </c>
      <c r="I59" s="6">
        <v>280</v>
      </c>
      <c r="J59" s="370">
        <f t="shared" si="45"/>
        <v>193.63636363636363</v>
      </c>
      <c r="K59" s="376">
        <f t="shared" si="46"/>
        <v>543.43274252606102</v>
      </c>
    </row>
    <row r="60" spans="1:15" ht="13.5">
      <c r="A60" s="337">
        <f>Gen!B25</f>
        <v>43936</v>
      </c>
      <c r="B60" s="20"/>
      <c r="C60" s="60">
        <v>245</v>
      </c>
      <c r="D60" s="370">
        <f t="shared" si="42"/>
        <v>177.21666666666667</v>
      </c>
      <c r="E60" s="6">
        <v>210</v>
      </c>
      <c r="F60" s="370">
        <f t="shared" si="43"/>
        <v>63.344262295081968</v>
      </c>
      <c r="G60" s="547">
        <v>260</v>
      </c>
      <c r="H60" s="370">
        <f t="shared" si="44"/>
        <v>99.112271540469976</v>
      </c>
      <c r="I60" s="6">
        <v>285</v>
      </c>
      <c r="J60" s="370">
        <f t="shared" si="45"/>
        <v>197.09415584415584</v>
      </c>
      <c r="K60" s="376">
        <f t="shared" si="46"/>
        <v>536.76735634637441</v>
      </c>
      <c r="L60" t="s">
        <v>231</v>
      </c>
      <c r="O60" t="s">
        <v>232</v>
      </c>
    </row>
    <row r="61" spans="1:15" ht="13.5">
      <c r="A61" s="337">
        <f>Gen!B26</f>
        <v>43937</v>
      </c>
      <c r="B61" s="20"/>
      <c r="C61" s="60">
        <v>220</v>
      </c>
      <c r="D61" s="370">
        <f t="shared" si="42"/>
        <v>159.13333333333333</v>
      </c>
      <c r="E61" s="6">
        <v>190</v>
      </c>
      <c r="F61" s="370">
        <f t="shared" si="43"/>
        <v>57.311475409836063</v>
      </c>
      <c r="G61" s="547">
        <v>245</v>
      </c>
      <c r="H61" s="370">
        <f t="shared" si="44"/>
        <v>93.394255874673632</v>
      </c>
      <c r="I61" s="6">
        <v>295</v>
      </c>
      <c r="J61" s="370">
        <f t="shared" si="45"/>
        <v>204.00974025974025</v>
      </c>
      <c r="K61" s="376">
        <f t="shared" si="46"/>
        <v>513.84880487758335</v>
      </c>
      <c r="L61" t="s">
        <v>234</v>
      </c>
      <c r="N61" t="s">
        <v>233</v>
      </c>
    </row>
    <row r="62" spans="1:15" ht="13.5">
      <c r="A62" s="337">
        <f>Gen!B27</f>
        <v>43938</v>
      </c>
      <c r="B62" s="20"/>
      <c r="C62" s="60">
        <v>210</v>
      </c>
      <c r="D62" s="370">
        <f t="shared" si="42"/>
        <v>151.9</v>
      </c>
      <c r="E62" s="6">
        <v>180</v>
      </c>
      <c r="F62" s="370">
        <f t="shared" si="43"/>
        <v>54.295081967213115</v>
      </c>
      <c r="G62" s="547">
        <v>220</v>
      </c>
      <c r="H62" s="370">
        <f t="shared" si="44"/>
        <v>83.86422976501305</v>
      </c>
      <c r="I62" s="6">
        <v>295</v>
      </c>
      <c r="J62" s="370">
        <f t="shared" si="45"/>
        <v>204.00974025974025</v>
      </c>
      <c r="K62" s="376">
        <f t="shared" si="46"/>
        <v>494.06905199196649</v>
      </c>
    </row>
    <row r="63" spans="1:15" ht="13.5">
      <c r="A63" s="337">
        <f>Gen!B28</f>
        <v>43939</v>
      </c>
      <c r="B63" s="20"/>
      <c r="C63" s="60">
        <v>180</v>
      </c>
      <c r="D63" s="370">
        <f t="shared" si="42"/>
        <v>130.19999999999999</v>
      </c>
      <c r="E63" s="6">
        <v>145</v>
      </c>
      <c r="F63" s="370">
        <f t="shared" si="43"/>
        <v>43.73770491803279</v>
      </c>
      <c r="G63" s="547">
        <v>265</v>
      </c>
      <c r="H63" s="370">
        <f t="shared" si="44"/>
        <v>101.0182767624021</v>
      </c>
      <c r="I63" s="6">
        <v>298</v>
      </c>
      <c r="J63" s="370">
        <f t="shared" si="45"/>
        <v>206.08441558441558</v>
      </c>
      <c r="K63" s="376">
        <f t="shared" si="46"/>
        <v>481.04039726485047</v>
      </c>
    </row>
    <row r="64" spans="1:15" ht="13.5">
      <c r="A64" s="337">
        <f>Gen!B29</f>
        <v>43940</v>
      </c>
      <c r="B64" s="20"/>
      <c r="C64" s="60">
        <v>185</v>
      </c>
      <c r="D64" s="370">
        <f t="shared" si="42"/>
        <v>133.81666666666666</v>
      </c>
      <c r="E64" s="6">
        <v>150</v>
      </c>
      <c r="F64" s="370">
        <f t="shared" si="43"/>
        <v>45.245901639344261</v>
      </c>
      <c r="G64" s="547">
        <v>300</v>
      </c>
      <c r="H64" s="370">
        <f t="shared" si="44"/>
        <v>114.36031331592689</v>
      </c>
      <c r="I64" s="6">
        <v>290</v>
      </c>
      <c r="J64" s="370">
        <f t="shared" si="45"/>
        <v>200.55194805194805</v>
      </c>
      <c r="K64" s="376">
        <f t="shared" si="46"/>
        <v>493.97482967388584</v>
      </c>
    </row>
    <row r="65" spans="1:11" ht="13.5">
      <c r="A65" s="337">
        <f>Gen!B30</f>
        <v>43941</v>
      </c>
      <c r="B65" s="20"/>
      <c r="C65" s="60">
        <v>245</v>
      </c>
      <c r="D65" s="370">
        <f t="shared" si="42"/>
        <v>177.21666666666667</v>
      </c>
      <c r="E65" s="6">
        <v>210</v>
      </c>
      <c r="F65" s="370">
        <f t="shared" si="43"/>
        <v>63.344262295081968</v>
      </c>
      <c r="G65" s="547">
        <v>180</v>
      </c>
      <c r="H65" s="370">
        <f t="shared" si="44"/>
        <v>68.616187989556138</v>
      </c>
      <c r="I65" s="6">
        <v>285</v>
      </c>
      <c r="J65" s="370">
        <f t="shared" si="45"/>
        <v>197.09415584415584</v>
      </c>
      <c r="K65" s="376">
        <f t="shared" si="46"/>
        <v>506.27127279546062</v>
      </c>
    </row>
    <row r="66" spans="1:11" ht="13.5">
      <c r="A66" s="337">
        <f>Gen!B31</f>
        <v>43942</v>
      </c>
      <c r="B66" s="20"/>
      <c r="C66" s="60">
        <v>210</v>
      </c>
      <c r="D66" s="370">
        <f t="shared" si="42"/>
        <v>151.9</v>
      </c>
      <c r="E66" s="6">
        <v>180</v>
      </c>
      <c r="F66" s="370">
        <f t="shared" si="43"/>
        <v>54.295081967213115</v>
      </c>
      <c r="G66" s="547">
        <v>185</v>
      </c>
      <c r="H66" s="370">
        <f t="shared" si="44"/>
        <v>70.522193211488258</v>
      </c>
      <c r="I66" s="6">
        <v>300</v>
      </c>
      <c r="J66" s="370">
        <f t="shared" si="45"/>
        <v>207.46753246753246</v>
      </c>
      <c r="K66" s="376">
        <f t="shared" si="46"/>
        <v>484.18480764623382</v>
      </c>
    </row>
    <row r="67" spans="1:11" ht="13.5">
      <c r="A67" s="337">
        <f>Gen!B32</f>
        <v>43943</v>
      </c>
      <c r="B67" s="20"/>
      <c r="C67" s="60">
        <v>180</v>
      </c>
      <c r="D67" s="370">
        <f t="shared" si="42"/>
        <v>130.19999999999999</v>
      </c>
      <c r="E67" s="6">
        <v>145</v>
      </c>
      <c r="F67" s="370">
        <f t="shared" si="43"/>
        <v>43.73770491803279</v>
      </c>
      <c r="G67" s="547">
        <v>225</v>
      </c>
      <c r="H67" s="370">
        <f t="shared" si="44"/>
        <v>85.770234986945169</v>
      </c>
      <c r="I67" s="6">
        <v>290</v>
      </c>
      <c r="J67" s="370">
        <f t="shared" si="45"/>
        <v>200.55194805194805</v>
      </c>
      <c r="K67" s="376">
        <f t="shared" si="46"/>
        <v>460.25988795692598</v>
      </c>
    </row>
    <row r="68" spans="1:11" ht="13.5">
      <c r="A68" s="337">
        <f>Gen!B33</f>
        <v>43944</v>
      </c>
      <c r="B68" s="20"/>
      <c r="C68" s="60">
        <v>135</v>
      </c>
      <c r="D68" s="370">
        <f t="shared" si="42"/>
        <v>97.65</v>
      </c>
      <c r="E68" s="6">
        <v>100</v>
      </c>
      <c r="F68" s="370">
        <f t="shared" si="43"/>
        <v>30.16393442622951</v>
      </c>
      <c r="G68" s="547">
        <v>300</v>
      </c>
      <c r="H68" s="370">
        <f t="shared" si="44"/>
        <v>114.36031331592689</v>
      </c>
      <c r="I68" s="6">
        <v>285</v>
      </c>
      <c r="J68" s="370">
        <f t="shared" si="45"/>
        <v>197.09415584415584</v>
      </c>
      <c r="K68" s="376">
        <f t="shared" si="46"/>
        <v>439.26840358631227</v>
      </c>
    </row>
    <row r="69" spans="1:11" ht="13.5">
      <c r="A69" s="337">
        <f>Gen!B34</f>
        <v>43945</v>
      </c>
      <c r="B69" s="20"/>
      <c r="C69" s="60">
        <v>210</v>
      </c>
      <c r="D69" s="370">
        <f t="shared" si="42"/>
        <v>151.9</v>
      </c>
      <c r="E69" s="6">
        <v>180</v>
      </c>
      <c r="F69" s="370">
        <f t="shared" si="43"/>
        <v>54.295081967213115</v>
      </c>
      <c r="G69" s="547">
        <v>225</v>
      </c>
      <c r="H69" s="370">
        <f t="shared" si="44"/>
        <v>85.770234986945169</v>
      </c>
      <c r="I69" s="6">
        <v>285</v>
      </c>
      <c r="J69" s="370">
        <f t="shared" si="45"/>
        <v>197.09415584415584</v>
      </c>
      <c r="K69" s="376">
        <f t="shared" si="46"/>
        <v>489.05947279831412</v>
      </c>
    </row>
    <row r="70" spans="1:11" ht="13.5">
      <c r="A70" s="337">
        <f>Gen!B35</f>
        <v>43946</v>
      </c>
      <c r="B70" s="20"/>
      <c r="C70" s="60">
        <v>140</v>
      </c>
      <c r="D70" s="370">
        <f t="shared" si="42"/>
        <v>101.26666666666667</v>
      </c>
      <c r="E70" s="6">
        <v>110</v>
      </c>
      <c r="F70" s="370">
        <f t="shared" si="43"/>
        <v>33.180327868852459</v>
      </c>
      <c r="G70" s="547">
        <v>300</v>
      </c>
      <c r="H70" s="370">
        <f t="shared" si="44"/>
        <v>114.36031331592689</v>
      </c>
      <c r="I70" s="6">
        <v>295</v>
      </c>
      <c r="J70" s="370">
        <f t="shared" si="45"/>
        <v>204.00974025974025</v>
      </c>
      <c r="K70" s="376">
        <f t="shared" si="46"/>
        <v>452.8170481111863</v>
      </c>
    </row>
    <row r="71" spans="1:11" ht="13.5">
      <c r="A71" s="337">
        <f>Gen!B36</f>
        <v>43947</v>
      </c>
      <c r="B71" s="20"/>
      <c r="C71" s="60">
        <v>130</v>
      </c>
      <c r="D71" s="370">
        <f t="shared" si="42"/>
        <v>94.033333333333331</v>
      </c>
      <c r="E71" s="6">
        <v>100</v>
      </c>
      <c r="F71" s="370">
        <f t="shared" si="43"/>
        <v>30.16393442622951</v>
      </c>
      <c r="G71" s="547">
        <v>300</v>
      </c>
      <c r="H71" s="370">
        <f t="shared" si="44"/>
        <v>114.36031331592689</v>
      </c>
      <c r="I71" s="6">
        <v>295</v>
      </c>
      <c r="J71" s="370">
        <f t="shared" si="45"/>
        <v>204.00974025974025</v>
      </c>
      <c r="K71" s="376">
        <f t="shared" si="46"/>
        <v>442.56732133522996</v>
      </c>
    </row>
    <row r="72" spans="1:11" ht="13.5">
      <c r="A72" s="337">
        <f>Gen!B37</f>
        <v>43948</v>
      </c>
      <c r="B72" s="20"/>
      <c r="C72" s="60">
        <v>260</v>
      </c>
      <c r="D72" s="370">
        <f t="shared" si="42"/>
        <v>188.06666666666666</v>
      </c>
      <c r="E72" s="6">
        <v>225</v>
      </c>
      <c r="F72" s="370">
        <f t="shared" si="43"/>
        <v>67.868852459016395</v>
      </c>
      <c r="G72" s="547">
        <v>240</v>
      </c>
      <c r="H72" s="370">
        <f t="shared" si="44"/>
        <v>91.488250652741513</v>
      </c>
      <c r="I72" s="6">
        <v>290</v>
      </c>
      <c r="J72" s="370">
        <f t="shared" si="45"/>
        <v>200.55194805194805</v>
      </c>
      <c r="K72" s="376">
        <f t="shared" si="46"/>
        <v>547.97571783037256</v>
      </c>
    </row>
    <row r="73" spans="1:11" ht="13.5">
      <c r="A73" s="337">
        <f>Gen!B38</f>
        <v>43949</v>
      </c>
      <c r="B73" s="20"/>
      <c r="C73" s="60">
        <v>290</v>
      </c>
      <c r="D73" s="370">
        <f t="shared" si="42"/>
        <v>209.76666666666668</v>
      </c>
      <c r="E73" s="6">
        <v>293</v>
      </c>
      <c r="F73" s="370">
        <f t="shared" si="43"/>
        <v>88.380327868852461</v>
      </c>
      <c r="G73" s="547">
        <v>300</v>
      </c>
      <c r="H73" s="370">
        <f t="shared" si="44"/>
        <v>114.36031331592689</v>
      </c>
      <c r="I73" s="6">
        <v>285</v>
      </c>
      <c r="J73" s="370">
        <f t="shared" si="45"/>
        <v>197.09415584415584</v>
      </c>
      <c r="K73" s="376">
        <f t="shared" si="46"/>
        <v>609.60146369560186</v>
      </c>
    </row>
    <row r="74" spans="1:11" ht="13.5">
      <c r="A74" s="337">
        <f>Gen!B39</f>
        <v>43950</v>
      </c>
      <c r="B74" s="20"/>
      <c r="C74" s="60">
        <v>300</v>
      </c>
      <c r="D74" s="370">
        <f t="shared" si="42"/>
        <v>217</v>
      </c>
      <c r="E74" s="6">
        <v>300</v>
      </c>
      <c r="F74" s="370">
        <f t="shared" si="43"/>
        <v>90.491803278688522</v>
      </c>
      <c r="G74" s="547">
        <v>220</v>
      </c>
      <c r="H74" s="370">
        <f t="shared" si="44"/>
        <v>83.86422976501305</v>
      </c>
      <c r="I74" s="6">
        <v>285</v>
      </c>
      <c r="J74" s="370">
        <f t="shared" si="45"/>
        <v>197.09415584415584</v>
      </c>
      <c r="K74" s="376">
        <f t="shared" si="46"/>
        <v>588.45018888785739</v>
      </c>
    </row>
    <row r="75" spans="1:11" ht="14.25" thickBot="1">
      <c r="A75" s="337">
        <f>Gen!B40</f>
        <v>43951</v>
      </c>
      <c r="B75" s="289"/>
      <c r="C75" s="60">
        <v>245</v>
      </c>
      <c r="D75" s="370">
        <f t="shared" si="42"/>
        <v>177.21666666666667</v>
      </c>
      <c r="E75" s="6">
        <v>210</v>
      </c>
      <c r="F75" s="370">
        <f t="shared" si="43"/>
        <v>63.344262295081968</v>
      </c>
      <c r="G75" s="547">
        <v>300</v>
      </c>
      <c r="H75" s="370">
        <f t="shared" si="44"/>
        <v>114.36031331592689</v>
      </c>
      <c r="I75" s="6">
        <v>290</v>
      </c>
      <c r="J75" s="370">
        <f t="shared" si="45"/>
        <v>200.55194805194805</v>
      </c>
      <c r="K75" s="376">
        <f t="shared" si="46"/>
        <v>555.47319032962355</v>
      </c>
    </row>
    <row r="76" spans="1:11" ht="13.5">
      <c r="A76" s="337">
        <f>Gen!B41</f>
        <v>0</v>
      </c>
      <c r="C76" s="60">
        <v>285</v>
      </c>
      <c r="D76" s="370">
        <f t="shared" si="42"/>
        <v>206.15</v>
      </c>
      <c r="E76" s="6">
        <v>270</v>
      </c>
      <c r="F76" s="370">
        <f t="shared" si="43"/>
        <v>81.442622950819668</v>
      </c>
      <c r="G76" s="547">
        <v>225</v>
      </c>
      <c r="H76" s="370">
        <f t="shared" si="44"/>
        <v>85.770234986945169</v>
      </c>
      <c r="I76" s="6">
        <v>290</v>
      </c>
      <c r="J76" s="370">
        <f t="shared" si="45"/>
        <v>200.55194805194805</v>
      </c>
      <c r="K76" s="376">
        <f t="shared" si="46"/>
        <v>573.91480598971293</v>
      </c>
    </row>
    <row r="77" spans="1:11" ht="14.25" thickBot="1">
      <c r="A77" s="337">
        <f>Gen!B42</f>
        <v>0</v>
      </c>
      <c r="C77" s="60"/>
      <c r="D77" s="370">
        <f t="shared" si="42"/>
        <v>0</v>
      </c>
      <c r="E77" s="6"/>
      <c r="F77" s="370">
        <f t="shared" si="43"/>
        <v>0</v>
      </c>
      <c r="G77" s="547"/>
      <c r="H77" s="370">
        <f t="shared" si="44"/>
        <v>0</v>
      </c>
      <c r="I77" s="6"/>
      <c r="J77" s="370">
        <f t="shared" si="45"/>
        <v>0</v>
      </c>
      <c r="K77" s="377">
        <f t="shared" si="46"/>
        <v>0</v>
      </c>
    </row>
    <row r="78" spans="1:11" ht="13.5">
      <c r="A78" s="337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30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51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35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27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28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29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31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32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31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30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31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29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29</v>
      </c>
      <c r="C31" s="74">
        <f>Gen!C40</f>
        <v>0</v>
      </c>
    </row>
    <row r="32" spans="1:3">
      <c r="A32" s="76">
        <f>Gen!B41</f>
        <v>0</v>
      </c>
      <c r="B32" s="13" t="str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40" t="s">
        <v>161</v>
      </c>
      <c r="B1" s="841"/>
      <c r="C1" s="841"/>
      <c r="D1" s="841"/>
      <c r="E1" s="841"/>
      <c r="F1" s="841"/>
      <c r="G1" s="842"/>
    </row>
    <row r="2" spans="1:7" ht="13.5" thickBot="1">
      <c r="A2" s="345"/>
      <c r="B2" s="843" t="s">
        <v>156</v>
      </c>
      <c r="C2" s="844"/>
      <c r="D2" s="845"/>
      <c r="E2" s="843" t="s">
        <v>157</v>
      </c>
      <c r="F2" s="844"/>
      <c r="G2" s="845"/>
    </row>
    <row r="3" spans="1:7" ht="40.5" customHeight="1" thickBot="1">
      <c r="A3" s="363" t="s">
        <v>7</v>
      </c>
      <c r="B3" s="364" t="s">
        <v>158</v>
      </c>
      <c r="C3" s="364" t="s">
        <v>159</v>
      </c>
      <c r="D3" s="364" t="s">
        <v>160</v>
      </c>
      <c r="E3" s="364" t="s">
        <v>158</v>
      </c>
      <c r="F3" s="364" t="s">
        <v>159</v>
      </c>
      <c r="G3" s="365" t="s">
        <v>160</v>
      </c>
    </row>
    <row r="4" spans="1:7">
      <c r="A4" s="554">
        <v>42095</v>
      </c>
      <c r="B4" s="555">
        <v>0</v>
      </c>
      <c r="C4" s="394">
        <v>193</v>
      </c>
      <c r="D4" s="556">
        <f>C4-B4</f>
        <v>193</v>
      </c>
      <c r="E4" s="557">
        <v>0</v>
      </c>
      <c r="F4" s="558">
        <v>0</v>
      </c>
      <c r="G4" s="395">
        <f>F4-E4</f>
        <v>0</v>
      </c>
    </row>
    <row r="5" spans="1:7" ht="12" customHeight="1">
      <c r="A5" s="278">
        <v>42125</v>
      </c>
      <c r="B5" s="559">
        <f>C4</f>
        <v>193</v>
      </c>
      <c r="C5" s="280">
        <v>1158</v>
      </c>
      <c r="D5" s="366">
        <f t="shared" ref="D5:D68" si="0">C5-B5</f>
        <v>965</v>
      </c>
      <c r="E5" s="367">
        <v>145572</v>
      </c>
      <c r="F5" s="346">
        <v>145572</v>
      </c>
      <c r="G5" s="303">
        <f t="shared" ref="G5:G68" si="1">F5-E5</f>
        <v>0</v>
      </c>
    </row>
    <row r="6" spans="1:7">
      <c r="A6" s="278">
        <v>42156</v>
      </c>
      <c r="B6" s="559">
        <f t="shared" ref="B6:B69" si="2">C5</f>
        <v>1158</v>
      </c>
      <c r="C6" s="280">
        <v>2084</v>
      </c>
      <c r="D6" s="366">
        <f t="shared" si="0"/>
        <v>926</v>
      </c>
      <c r="E6" s="367">
        <f>F5</f>
        <v>145572</v>
      </c>
      <c r="F6" s="346">
        <v>147984</v>
      </c>
      <c r="G6" s="303">
        <f t="shared" si="1"/>
        <v>2412</v>
      </c>
    </row>
    <row r="7" spans="1:7">
      <c r="A7" s="278">
        <v>42186</v>
      </c>
      <c r="B7" s="559">
        <f t="shared" si="2"/>
        <v>2084</v>
      </c>
      <c r="C7" s="280">
        <v>3073</v>
      </c>
      <c r="D7" s="366">
        <f t="shared" si="0"/>
        <v>989</v>
      </c>
      <c r="E7" s="367">
        <f>F6</f>
        <v>147984</v>
      </c>
      <c r="F7" s="314">
        <v>150507</v>
      </c>
      <c r="G7" s="303">
        <f t="shared" si="1"/>
        <v>2523</v>
      </c>
    </row>
    <row r="8" spans="1:7">
      <c r="A8" s="278">
        <v>42217</v>
      </c>
      <c r="B8" s="559">
        <f t="shared" si="2"/>
        <v>3073</v>
      </c>
      <c r="C8" s="280">
        <v>4063</v>
      </c>
      <c r="D8" s="366">
        <f t="shared" si="0"/>
        <v>990</v>
      </c>
      <c r="E8" s="367">
        <f t="shared" ref="E8:E71" si="3">F7</f>
        <v>150507</v>
      </c>
      <c r="F8" s="314">
        <v>152986</v>
      </c>
      <c r="G8" s="303">
        <f t="shared" si="1"/>
        <v>2479</v>
      </c>
    </row>
    <row r="9" spans="1:7">
      <c r="A9" s="278">
        <v>42248</v>
      </c>
      <c r="B9" s="559">
        <f t="shared" si="2"/>
        <v>4063</v>
      </c>
      <c r="C9" s="280">
        <v>5058</v>
      </c>
      <c r="D9" s="366">
        <f t="shared" si="0"/>
        <v>995</v>
      </c>
      <c r="E9" s="367">
        <f t="shared" si="3"/>
        <v>152986</v>
      </c>
      <c r="F9" s="314">
        <v>155468</v>
      </c>
      <c r="G9" s="303">
        <f t="shared" si="1"/>
        <v>2482</v>
      </c>
    </row>
    <row r="10" spans="1:7">
      <c r="A10" s="278">
        <v>42278</v>
      </c>
      <c r="B10" s="559">
        <f t="shared" si="2"/>
        <v>5058</v>
      </c>
      <c r="C10" s="280">
        <v>6049</v>
      </c>
      <c r="D10" s="366">
        <f t="shared" si="0"/>
        <v>991</v>
      </c>
      <c r="E10" s="367">
        <f t="shared" si="3"/>
        <v>155468</v>
      </c>
      <c r="F10" s="314">
        <v>157962</v>
      </c>
      <c r="G10" s="303">
        <f t="shared" si="1"/>
        <v>2494</v>
      </c>
    </row>
    <row r="11" spans="1:7">
      <c r="A11" s="278">
        <v>42309</v>
      </c>
      <c r="B11" s="559">
        <f t="shared" si="2"/>
        <v>6049</v>
      </c>
      <c r="C11" s="280">
        <v>7028</v>
      </c>
      <c r="D11" s="366">
        <f t="shared" si="0"/>
        <v>979</v>
      </c>
      <c r="E11" s="367">
        <f t="shared" si="3"/>
        <v>157962</v>
      </c>
      <c r="F11" s="314">
        <v>160323</v>
      </c>
      <c r="G11" s="303">
        <f t="shared" si="1"/>
        <v>2361</v>
      </c>
    </row>
    <row r="12" spans="1:7">
      <c r="A12" s="278">
        <v>42339</v>
      </c>
      <c r="B12" s="559">
        <f t="shared" si="2"/>
        <v>7028</v>
      </c>
      <c r="C12" s="280">
        <v>7985</v>
      </c>
      <c r="D12" s="366">
        <f t="shared" si="0"/>
        <v>957</v>
      </c>
      <c r="E12" s="367">
        <f t="shared" si="3"/>
        <v>160323</v>
      </c>
      <c r="F12" s="314">
        <v>162813</v>
      </c>
      <c r="G12" s="303">
        <f t="shared" si="1"/>
        <v>2490</v>
      </c>
    </row>
    <row r="13" spans="1:7">
      <c r="A13" s="278">
        <v>42370</v>
      </c>
      <c r="B13" s="559">
        <f t="shared" si="2"/>
        <v>7985</v>
      </c>
      <c r="C13" s="280">
        <v>8952</v>
      </c>
      <c r="D13" s="366">
        <f t="shared" si="0"/>
        <v>967</v>
      </c>
      <c r="E13" s="367">
        <f t="shared" si="3"/>
        <v>162813</v>
      </c>
      <c r="F13" s="314">
        <v>165317</v>
      </c>
      <c r="G13" s="303">
        <f t="shared" si="1"/>
        <v>2504</v>
      </c>
    </row>
    <row r="14" spans="1:7">
      <c r="A14" s="278">
        <v>42401</v>
      </c>
      <c r="B14" s="559">
        <f t="shared" si="2"/>
        <v>8952</v>
      </c>
      <c r="C14" s="280">
        <v>9898</v>
      </c>
      <c r="D14" s="366">
        <f t="shared" si="0"/>
        <v>946</v>
      </c>
      <c r="E14" s="367">
        <f t="shared" si="3"/>
        <v>165317</v>
      </c>
      <c r="F14" s="314">
        <v>167679</v>
      </c>
      <c r="G14" s="303">
        <f t="shared" si="1"/>
        <v>2362</v>
      </c>
    </row>
    <row r="15" spans="1:7">
      <c r="A15" s="278">
        <v>42430</v>
      </c>
      <c r="B15" s="559">
        <f t="shared" si="2"/>
        <v>9898</v>
      </c>
      <c r="C15" s="280">
        <v>10637</v>
      </c>
      <c r="D15" s="366">
        <f t="shared" si="0"/>
        <v>739</v>
      </c>
      <c r="E15" s="367">
        <f t="shared" si="3"/>
        <v>167679</v>
      </c>
      <c r="F15" s="314">
        <v>170134</v>
      </c>
      <c r="G15" s="303">
        <f t="shared" si="1"/>
        <v>2455</v>
      </c>
    </row>
    <row r="16" spans="1:7">
      <c r="A16" s="278">
        <v>42461</v>
      </c>
      <c r="B16" s="559">
        <f t="shared" si="2"/>
        <v>10637</v>
      </c>
      <c r="C16" s="280">
        <v>11352</v>
      </c>
      <c r="D16" s="366">
        <f t="shared" si="0"/>
        <v>715</v>
      </c>
      <c r="E16" s="367">
        <f t="shared" si="3"/>
        <v>170134</v>
      </c>
      <c r="F16" s="314">
        <v>172562</v>
      </c>
      <c r="G16" s="303">
        <f t="shared" si="1"/>
        <v>2428</v>
      </c>
    </row>
    <row r="17" spans="1:7">
      <c r="A17" s="278">
        <v>42491</v>
      </c>
      <c r="B17" s="559">
        <f t="shared" si="2"/>
        <v>11352</v>
      </c>
      <c r="C17" s="280">
        <v>12426</v>
      </c>
      <c r="D17" s="366">
        <f t="shared" si="0"/>
        <v>1074</v>
      </c>
      <c r="E17" s="367">
        <f t="shared" si="3"/>
        <v>172562</v>
      </c>
      <c r="F17" s="314">
        <v>175041</v>
      </c>
      <c r="G17" s="303">
        <f t="shared" si="1"/>
        <v>2479</v>
      </c>
    </row>
    <row r="18" spans="1:7">
      <c r="A18" s="278">
        <v>42522</v>
      </c>
      <c r="B18" s="559">
        <f t="shared" si="2"/>
        <v>12426</v>
      </c>
      <c r="C18" s="280">
        <v>14111</v>
      </c>
      <c r="D18" s="366">
        <f t="shared" si="0"/>
        <v>1685</v>
      </c>
      <c r="E18" s="367">
        <f t="shared" si="3"/>
        <v>175041</v>
      </c>
      <c r="F18" s="314">
        <v>177300</v>
      </c>
      <c r="G18" s="303">
        <f t="shared" si="1"/>
        <v>2259</v>
      </c>
    </row>
    <row r="19" spans="1:7">
      <c r="A19" s="278">
        <v>42552</v>
      </c>
      <c r="B19" s="559">
        <f t="shared" si="2"/>
        <v>14111</v>
      </c>
      <c r="C19" s="280">
        <v>15790</v>
      </c>
      <c r="D19" s="366">
        <f t="shared" si="0"/>
        <v>1679</v>
      </c>
      <c r="E19" s="367">
        <f t="shared" si="3"/>
        <v>177300</v>
      </c>
      <c r="F19" s="314">
        <v>179548</v>
      </c>
      <c r="G19" s="303">
        <f t="shared" si="1"/>
        <v>2248</v>
      </c>
    </row>
    <row r="20" spans="1:7">
      <c r="A20" s="278">
        <v>42583</v>
      </c>
      <c r="B20" s="559">
        <f t="shared" si="2"/>
        <v>15790</v>
      </c>
      <c r="C20" s="280">
        <v>17450</v>
      </c>
      <c r="D20" s="366">
        <f t="shared" si="0"/>
        <v>1660</v>
      </c>
      <c r="E20" s="367">
        <f t="shared" si="3"/>
        <v>179548</v>
      </c>
      <c r="F20" s="314">
        <v>181842</v>
      </c>
      <c r="G20" s="303">
        <f t="shared" si="1"/>
        <v>2294</v>
      </c>
    </row>
    <row r="21" spans="1:7">
      <c r="A21" s="278">
        <v>42614</v>
      </c>
      <c r="B21" s="559">
        <f t="shared" si="2"/>
        <v>17450</v>
      </c>
      <c r="C21" s="280">
        <v>19133</v>
      </c>
      <c r="D21" s="366">
        <f t="shared" si="0"/>
        <v>1683</v>
      </c>
      <c r="E21" s="367">
        <f t="shared" si="3"/>
        <v>181842</v>
      </c>
      <c r="F21" s="314">
        <v>184095</v>
      </c>
      <c r="G21" s="303">
        <f t="shared" si="1"/>
        <v>2253</v>
      </c>
    </row>
    <row r="22" spans="1:7">
      <c r="A22" s="278">
        <v>42644</v>
      </c>
      <c r="B22" s="559">
        <f t="shared" si="2"/>
        <v>19133</v>
      </c>
      <c r="C22" s="280">
        <v>20804</v>
      </c>
      <c r="D22" s="366">
        <f t="shared" si="0"/>
        <v>1671</v>
      </c>
      <c r="E22" s="367">
        <f t="shared" si="3"/>
        <v>184095</v>
      </c>
      <c r="F22" s="314">
        <v>186344</v>
      </c>
      <c r="G22" s="303">
        <f t="shared" si="1"/>
        <v>2249</v>
      </c>
    </row>
    <row r="23" spans="1:7">
      <c r="A23" s="278">
        <v>42675</v>
      </c>
      <c r="B23" s="559">
        <f t="shared" si="2"/>
        <v>20804</v>
      </c>
      <c r="C23" s="280">
        <v>22489</v>
      </c>
      <c r="D23" s="366">
        <f t="shared" si="0"/>
        <v>1685</v>
      </c>
      <c r="E23" s="367">
        <f t="shared" si="3"/>
        <v>186344</v>
      </c>
      <c r="F23" s="314">
        <v>188595</v>
      </c>
      <c r="G23" s="303">
        <f t="shared" si="1"/>
        <v>2251</v>
      </c>
    </row>
    <row r="24" spans="1:7">
      <c r="A24" s="278">
        <v>42705</v>
      </c>
      <c r="B24" s="559">
        <f t="shared" si="2"/>
        <v>22489</v>
      </c>
      <c r="C24" s="280">
        <v>24085</v>
      </c>
      <c r="D24" s="366">
        <f t="shared" si="0"/>
        <v>1596</v>
      </c>
      <c r="E24" s="367">
        <f t="shared" si="3"/>
        <v>188595</v>
      </c>
      <c r="F24" s="314">
        <v>190896</v>
      </c>
      <c r="G24" s="303">
        <f t="shared" si="1"/>
        <v>2301</v>
      </c>
    </row>
    <row r="25" spans="1:7">
      <c r="A25" s="278">
        <v>42736</v>
      </c>
      <c r="B25" s="559">
        <f t="shared" si="2"/>
        <v>24085</v>
      </c>
      <c r="C25" s="280">
        <v>25775</v>
      </c>
      <c r="D25" s="366">
        <f t="shared" si="0"/>
        <v>1690</v>
      </c>
      <c r="E25" s="367">
        <f t="shared" si="3"/>
        <v>190896</v>
      </c>
      <c r="F25" s="314">
        <v>193152</v>
      </c>
      <c r="G25" s="303">
        <f t="shared" si="1"/>
        <v>2256</v>
      </c>
    </row>
    <row r="26" spans="1:7">
      <c r="A26" s="278">
        <v>42767</v>
      </c>
      <c r="B26" s="559">
        <f t="shared" si="2"/>
        <v>25775</v>
      </c>
      <c r="C26" s="280">
        <v>27592</v>
      </c>
      <c r="D26" s="366">
        <f t="shared" si="0"/>
        <v>1817</v>
      </c>
      <c r="E26" s="367">
        <f t="shared" si="3"/>
        <v>193152</v>
      </c>
      <c r="F26" s="314">
        <v>195378</v>
      </c>
      <c r="G26" s="303">
        <f t="shared" si="1"/>
        <v>2226</v>
      </c>
    </row>
    <row r="27" spans="1:7">
      <c r="A27" s="278">
        <v>42795</v>
      </c>
      <c r="B27" s="559">
        <f t="shared" si="2"/>
        <v>27592</v>
      </c>
      <c r="C27" s="314">
        <v>29398</v>
      </c>
      <c r="D27" s="366">
        <f t="shared" si="0"/>
        <v>1806</v>
      </c>
      <c r="E27" s="367">
        <f t="shared" si="3"/>
        <v>195378</v>
      </c>
      <c r="F27" s="314">
        <v>197503</v>
      </c>
      <c r="G27" s="303">
        <f t="shared" si="1"/>
        <v>2125</v>
      </c>
    </row>
    <row r="28" spans="1:7">
      <c r="A28" s="278">
        <v>42826</v>
      </c>
      <c r="B28" s="559">
        <f t="shared" si="2"/>
        <v>29398</v>
      </c>
      <c r="C28" s="280">
        <v>31148</v>
      </c>
      <c r="D28" s="366">
        <f t="shared" si="0"/>
        <v>1750</v>
      </c>
      <c r="E28" s="367">
        <f t="shared" si="3"/>
        <v>197503</v>
      </c>
      <c r="F28" s="314">
        <v>199571</v>
      </c>
      <c r="G28" s="303">
        <f t="shared" si="1"/>
        <v>2068</v>
      </c>
    </row>
    <row r="29" spans="1:7">
      <c r="A29" s="278">
        <v>42856</v>
      </c>
      <c r="B29" s="559">
        <f t="shared" si="2"/>
        <v>31148</v>
      </c>
      <c r="C29" s="280">
        <v>32896</v>
      </c>
      <c r="D29" s="366">
        <f t="shared" si="0"/>
        <v>1748</v>
      </c>
      <c r="E29" s="367">
        <f t="shared" si="3"/>
        <v>199571</v>
      </c>
      <c r="F29" s="314">
        <v>201766</v>
      </c>
      <c r="G29" s="303">
        <f t="shared" si="1"/>
        <v>2195</v>
      </c>
    </row>
    <row r="30" spans="1:7">
      <c r="A30" s="278">
        <v>42887</v>
      </c>
      <c r="B30" s="559">
        <f t="shared" si="2"/>
        <v>32896</v>
      </c>
      <c r="C30" s="280">
        <v>34620</v>
      </c>
      <c r="D30" s="366">
        <f t="shared" si="0"/>
        <v>1724</v>
      </c>
      <c r="E30" s="367">
        <f t="shared" si="3"/>
        <v>201766</v>
      </c>
      <c r="F30" s="314">
        <v>203951</v>
      </c>
      <c r="G30" s="303">
        <f t="shared" si="1"/>
        <v>2185</v>
      </c>
    </row>
    <row r="31" spans="1:7">
      <c r="A31" s="278">
        <v>42917</v>
      </c>
      <c r="B31" s="559">
        <f t="shared" si="2"/>
        <v>34620</v>
      </c>
      <c r="C31" s="280">
        <v>36384</v>
      </c>
      <c r="D31" s="366">
        <f t="shared" si="0"/>
        <v>1764</v>
      </c>
      <c r="E31" s="367">
        <f t="shared" si="3"/>
        <v>203951</v>
      </c>
      <c r="F31" s="314">
        <v>206045</v>
      </c>
      <c r="G31" s="303">
        <f t="shared" si="1"/>
        <v>2094</v>
      </c>
    </row>
    <row r="32" spans="1:7">
      <c r="A32" s="278">
        <v>42948</v>
      </c>
      <c r="B32" s="559">
        <f t="shared" si="2"/>
        <v>36384</v>
      </c>
      <c r="C32" s="280">
        <v>38320</v>
      </c>
      <c r="D32" s="366">
        <f t="shared" si="0"/>
        <v>1936</v>
      </c>
      <c r="E32" s="367">
        <f t="shared" si="3"/>
        <v>206045</v>
      </c>
      <c r="F32" s="314">
        <v>208289</v>
      </c>
      <c r="G32" s="303">
        <f t="shared" si="1"/>
        <v>2244</v>
      </c>
    </row>
    <row r="33" spans="1:7">
      <c r="A33" s="278">
        <v>42979</v>
      </c>
      <c r="B33" s="559">
        <f t="shared" si="2"/>
        <v>38320</v>
      </c>
      <c r="C33" s="280">
        <v>40226</v>
      </c>
      <c r="D33" s="366">
        <f t="shared" si="0"/>
        <v>1906</v>
      </c>
      <c r="E33" s="367">
        <f t="shared" si="3"/>
        <v>208289</v>
      </c>
      <c r="F33" s="314">
        <v>210468</v>
      </c>
      <c r="G33" s="303">
        <f t="shared" si="1"/>
        <v>2179</v>
      </c>
    </row>
    <row r="34" spans="1:7">
      <c r="A34" s="278">
        <v>43009</v>
      </c>
      <c r="B34" s="559">
        <f t="shared" si="2"/>
        <v>40226</v>
      </c>
      <c r="C34" s="280">
        <v>41900</v>
      </c>
      <c r="D34" s="366">
        <f t="shared" si="0"/>
        <v>1674</v>
      </c>
      <c r="E34" s="367">
        <f t="shared" si="3"/>
        <v>210468</v>
      </c>
      <c r="F34" s="314">
        <v>212474</v>
      </c>
      <c r="G34" s="303">
        <f t="shared" si="1"/>
        <v>2006</v>
      </c>
    </row>
    <row r="35" spans="1:7">
      <c r="A35" s="278">
        <v>43040</v>
      </c>
      <c r="B35" s="559">
        <f t="shared" si="2"/>
        <v>41900</v>
      </c>
      <c r="C35" s="280">
        <v>43712</v>
      </c>
      <c r="D35" s="366">
        <f t="shared" si="0"/>
        <v>1812</v>
      </c>
      <c r="E35" s="367">
        <f t="shared" si="3"/>
        <v>212474</v>
      </c>
      <c r="F35" s="314">
        <v>214566</v>
      </c>
      <c r="G35" s="303">
        <f t="shared" si="1"/>
        <v>2092</v>
      </c>
    </row>
    <row r="36" spans="1:7">
      <c r="A36" s="278">
        <v>43070</v>
      </c>
      <c r="B36" s="559">
        <f t="shared" si="2"/>
        <v>43712</v>
      </c>
      <c r="C36" s="280">
        <v>46071</v>
      </c>
      <c r="D36" s="366">
        <f t="shared" si="0"/>
        <v>2359</v>
      </c>
      <c r="E36" s="367">
        <f t="shared" si="3"/>
        <v>214566</v>
      </c>
      <c r="F36" s="314">
        <v>216654</v>
      </c>
      <c r="G36" s="303">
        <f t="shared" si="1"/>
        <v>2088</v>
      </c>
    </row>
    <row r="37" spans="1:7">
      <c r="A37" s="278">
        <v>43101</v>
      </c>
      <c r="B37" s="559">
        <f t="shared" si="2"/>
        <v>46071</v>
      </c>
      <c r="C37" s="280">
        <v>48188</v>
      </c>
      <c r="D37" s="366">
        <f t="shared" si="0"/>
        <v>2117</v>
      </c>
      <c r="E37" s="367">
        <f t="shared" si="3"/>
        <v>216654</v>
      </c>
      <c r="F37" s="314">
        <v>218779</v>
      </c>
      <c r="G37" s="303">
        <f t="shared" si="1"/>
        <v>2125</v>
      </c>
    </row>
    <row r="38" spans="1:7">
      <c r="A38" s="278">
        <v>43132</v>
      </c>
      <c r="B38" s="559">
        <f t="shared" si="2"/>
        <v>48188</v>
      </c>
      <c r="C38" s="280">
        <v>50066</v>
      </c>
      <c r="D38" s="366">
        <f t="shared" si="0"/>
        <v>1878</v>
      </c>
      <c r="E38" s="367">
        <f t="shared" si="3"/>
        <v>218779</v>
      </c>
      <c r="F38" s="314">
        <v>220744</v>
      </c>
      <c r="G38" s="303">
        <f t="shared" si="1"/>
        <v>1965</v>
      </c>
    </row>
    <row r="39" spans="1:7">
      <c r="A39" s="278">
        <v>43160</v>
      </c>
      <c r="B39" s="559">
        <f t="shared" si="2"/>
        <v>50066</v>
      </c>
      <c r="C39" s="280">
        <v>51916</v>
      </c>
      <c r="D39" s="366">
        <f t="shared" si="0"/>
        <v>1850</v>
      </c>
      <c r="E39" s="367">
        <f t="shared" si="3"/>
        <v>220744</v>
      </c>
      <c r="F39" s="314">
        <v>222873</v>
      </c>
      <c r="G39" s="303">
        <f t="shared" si="1"/>
        <v>2129</v>
      </c>
    </row>
    <row r="40" spans="1:7">
      <c r="A40" s="278">
        <v>43191</v>
      </c>
      <c r="B40" s="559">
        <f t="shared" si="2"/>
        <v>51916</v>
      </c>
      <c r="C40" s="280">
        <v>53641</v>
      </c>
      <c r="D40" s="366">
        <f t="shared" si="0"/>
        <v>1725</v>
      </c>
      <c r="E40" s="367">
        <f t="shared" si="3"/>
        <v>222873</v>
      </c>
      <c r="F40" s="314">
        <v>224922</v>
      </c>
      <c r="G40" s="303">
        <f t="shared" si="1"/>
        <v>2049</v>
      </c>
    </row>
    <row r="41" spans="1:7">
      <c r="A41" s="278">
        <v>43221</v>
      </c>
      <c r="B41" s="559">
        <f t="shared" si="2"/>
        <v>53641</v>
      </c>
      <c r="C41" s="280">
        <v>55409</v>
      </c>
      <c r="D41" s="366">
        <f t="shared" si="0"/>
        <v>1768</v>
      </c>
      <c r="E41" s="367">
        <f t="shared" si="3"/>
        <v>224922</v>
      </c>
      <c r="F41" s="314">
        <v>227063</v>
      </c>
      <c r="G41" s="303">
        <f t="shared" si="1"/>
        <v>2141</v>
      </c>
    </row>
    <row r="42" spans="1:7">
      <c r="A42" s="278">
        <v>43252</v>
      </c>
      <c r="B42" s="559">
        <f t="shared" si="2"/>
        <v>55409</v>
      </c>
      <c r="C42" s="280">
        <v>57396</v>
      </c>
      <c r="D42" s="366">
        <f t="shared" si="0"/>
        <v>1987</v>
      </c>
      <c r="E42" s="367">
        <f t="shared" si="3"/>
        <v>227063</v>
      </c>
      <c r="F42" s="314">
        <v>229163</v>
      </c>
      <c r="G42" s="303">
        <f t="shared" si="1"/>
        <v>2100</v>
      </c>
    </row>
    <row r="43" spans="1:7">
      <c r="A43" s="278">
        <v>43282</v>
      </c>
      <c r="B43" s="559">
        <f t="shared" si="2"/>
        <v>57396</v>
      </c>
      <c r="C43" s="280">
        <v>59391</v>
      </c>
      <c r="D43" s="366">
        <f t="shared" si="0"/>
        <v>1995</v>
      </c>
      <c r="E43" s="367">
        <f t="shared" si="3"/>
        <v>229163</v>
      </c>
      <c r="F43" s="314">
        <v>231359</v>
      </c>
      <c r="G43" s="303">
        <f t="shared" si="1"/>
        <v>2196</v>
      </c>
    </row>
    <row r="44" spans="1:7">
      <c r="A44" s="278">
        <v>43313</v>
      </c>
      <c r="B44" s="559">
        <f t="shared" si="2"/>
        <v>59391</v>
      </c>
      <c r="C44" s="280">
        <v>61427</v>
      </c>
      <c r="D44" s="366">
        <f t="shared" si="0"/>
        <v>2036</v>
      </c>
      <c r="E44" s="367">
        <f t="shared" si="3"/>
        <v>231359</v>
      </c>
      <c r="F44" s="314">
        <v>233548</v>
      </c>
      <c r="G44" s="303">
        <f t="shared" si="1"/>
        <v>2189</v>
      </c>
    </row>
    <row r="45" spans="1:7">
      <c r="A45" s="278">
        <v>43344</v>
      </c>
      <c r="B45" s="559">
        <f t="shared" si="2"/>
        <v>61427</v>
      </c>
      <c r="C45" s="280">
        <v>63464</v>
      </c>
      <c r="D45" s="366">
        <f t="shared" si="0"/>
        <v>2037</v>
      </c>
      <c r="E45" s="367">
        <f t="shared" si="3"/>
        <v>233548</v>
      </c>
      <c r="F45" s="314">
        <v>235653</v>
      </c>
      <c r="G45" s="303">
        <f t="shared" si="1"/>
        <v>2105</v>
      </c>
    </row>
    <row r="46" spans="1:7">
      <c r="A46" s="278">
        <v>43374</v>
      </c>
      <c r="B46" s="559">
        <f t="shared" si="2"/>
        <v>63464</v>
      </c>
      <c r="C46" s="280">
        <v>65577</v>
      </c>
      <c r="D46" s="366">
        <f t="shared" si="0"/>
        <v>2113</v>
      </c>
      <c r="E46" s="367">
        <f t="shared" si="3"/>
        <v>235653</v>
      </c>
      <c r="F46" s="314">
        <v>237802</v>
      </c>
      <c r="G46" s="303">
        <f t="shared" si="1"/>
        <v>2149</v>
      </c>
    </row>
    <row r="47" spans="1:7">
      <c r="A47" s="278">
        <v>43405</v>
      </c>
      <c r="B47" s="559">
        <f t="shared" si="2"/>
        <v>65577</v>
      </c>
      <c r="C47" s="280">
        <v>67714</v>
      </c>
      <c r="D47" s="366">
        <f t="shared" si="0"/>
        <v>2137</v>
      </c>
      <c r="E47" s="367">
        <f t="shared" si="3"/>
        <v>237802</v>
      </c>
      <c r="F47" s="314">
        <v>239883</v>
      </c>
      <c r="G47" s="303">
        <f t="shared" si="1"/>
        <v>2081</v>
      </c>
    </row>
    <row r="48" spans="1:7">
      <c r="A48" s="278">
        <v>43435</v>
      </c>
      <c r="B48" s="559">
        <f t="shared" si="2"/>
        <v>67714</v>
      </c>
      <c r="C48" s="280">
        <v>69886</v>
      </c>
      <c r="D48" s="366">
        <f t="shared" si="0"/>
        <v>2172</v>
      </c>
      <c r="E48" s="367">
        <f t="shared" si="3"/>
        <v>239883</v>
      </c>
      <c r="F48" s="314">
        <v>242023</v>
      </c>
      <c r="G48" s="303">
        <f t="shared" si="1"/>
        <v>2140</v>
      </c>
    </row>
    <row r="49" spans="1:7">
      <c r="A49" s="278">
        <v>43466</v>
      </c>
      <c r="B49" s="559">
        <f t="shared" si="2"/>
        <v>69886</v>
      </c>
      <c r="C49" s="280">
        <v>72120</v>
      </c>
      <c r="D49" s="366">
        <f t="shared" si="0"/>
        <v>2234</v>
      </c>
      <c r="E49" s="367">
        <f t="shared" si="3"/>
        <v>242023</v>
      </c>
      <c r="F49" s="314">
        <v>244252</v>
      </c>
      <c r="G49" s="303">
        <f t="shared" si="1"/>
        <v>2229</v>
      </c>
    </row>
    <row r="50" spans="1:7">
      <c r="A50" s="278">
        <v>43497</v>
      </c>
      <c r="B50" s="559">
        <f t="shared" si="2"/>
        <v>72120</v>
      </c>
      <c r="C50" s="280">
        <v>74132</v>
      </c>
      <c r="D50" s="366">
        <f t="shared" si="0"/>
        <v>2012</v>
      </c>
      <c r="E50" s="367">
        <f t="shared" si="3"/>
        <v>244252</v>
      </c>
      <c r="F50" s="314">
        <v>246272</v>
      </c>
      <c r="G50" s="303">
        <f t="shared" si="1"/>
        <v>2020</v>
      </c>
    </row>
    <row r="51" spans="1:7">
      <c r="A51" s="278">
        <v>43525</v>
      </c>
      <c r="B51" s="559">
        <f t="shared" si="2"/>
        <v>74132</v>
      </c>
      <c r="C51" s="280">
        <v>76130</v>
      </c>
      <c r="D51" s="366">
        <f t="shared" si="0"/>
        <v>1998</v>
      </c>
      <c r="E51" s="367">
        <f t="shared" si="3"/>
        <v>246272</v>
      </c>
      <c r="F51" s="314">
        <v>248562</v>
      </c>
      <c r="G51" s="303">
        <f t="shared" si="1"/>
        <v>2290</v>
      </c>
    </row>
    <row r="52" spans="1:7">
      <c r="A52" s="278">
        <v>43556</v>
      </c>
      <c r="B52" s="559">
        <f t="shared" si="2"/>
        <v>76130</v>
      </c>
      <c r="C52" s="280">
        <v>77859</v>
      </c>
      <c r="D52" s="366">
        <f t="shared" si="0"/>
        <v>1729</v>
      </c>
      <c r="E52" s="367">
        <f t="shared" si="3"/>
        <v>248562</v>
      </c>
      <c r="F52" s="314">
        <v>250789</v>
      </c>
      <c r="G52" s="303">
        <f t="shared" si="1"/>
        <v>2227</v>
      </c>
    </row>
    <row r="53" spans="1:7">
      <c r="A53" s="278">
        <v>43586</v>
      </c>
      <c r="B53" s="559">
        <f t="shared" si="2"/>
        <v>77859</v>
      </c>
      <c r="C53" s="280">
        <v>79636</v>
      </c>
      <c r="D53" s="366">
        <f t="shared" si="0"/>
        <v>1777</v>
      </c>
      <c r="E53" s="367">
        <f t="shared" si="3"/>
        <v>250789</v>
      </c>
      <c r="F53" s="314">
        <v>252878</v>
      </c>
      <c r="G53" s="303">
        <f t="shared" si="1"/>
        <v>2089</v>
      </c>
    </row>
    <row r="54" spans="1:7">
      <c r="A54" s="278">
        <v>43617</v>
      </c>
      <c r="B54" s="559">
        <f t="shared" si="2"/>
        <v>79636</v>
      </c>
      <c r="C54" s="280">
        <v>81603</v>
      </c>
      <c r="D54" s="366">
        <f t="shared" si="0"/>
        <v>1967</v>
      </c>
      <c r="E54" s="367">
        <f t="shared" si="3"/>
        <v>252878</v>
      </c>
      <c r="F54" s="314">
        <v>254783</v>
      </c>
      <c r="G54" s="303">
        <f t="shared" si="1"/>
        <v>1905</v>
      </c>
    </row>
    <row r="55" spans="1:7">
      <c r="A55" s="278">
        <v>43647</v>
      </c>
      <c r="B55" s="559">
        <f t="shared" si="2"/>
        <v>81603</v>
      </c>
      <c r="C55" s="280">
        <v>83511</v>
      </c>
      <c r="D55" s="366">
        <f t="shared" si="0"/>
        <v>1908</v>
      </c>
      <c r="E55" s="367">
        <f t="shared" si="3"/>
        <v>254783</v>
      </c>
      <c r="F55" s="280">
        <v>257138</v>
      </c>
      <c r="G55" s="303">
        <f t="shared" si="1"/>
        <v>2355</v>
      </c>
    </row>
    <row r="56" spans="1:7">
      <c r="A56" s="278">
        <v>43678</v>
      </c>
      <c r="B56" s="559">
        <f t="shared" si="2"/>
        <v>83511</v>
      </c>
      <c r="C56" s="280">
        <v>85418</v>
      </c>
      <c r="D56" s="366">
        <f t="shared" si="0"/>
        <v>1907</v>
      </c>
      <c r="E56" s="367">
        <f t="shared" si="3"/>
        <v>257138</v>
      </c>
      <c r="F56" s="280">
        <v>259453</v>
      </c>
      <c r="G56" s="303">
        <f t="shared" si="1"/>
        <v>2315</v>
      </c>
    </row>
    <row r="57" spans="1:7">
      <c r="A57" s="278">
        <v>43709</v>
      </c>
      <c r="B57" s="559">
        <f t="shared" si="2"/>
        <v>85418</v>
      </c>
      <c r="C57" s="280">
        <v>87262</v>
      </c>
      <c r="D57" s="366">
        <f t="shared" si="0"/>
        <v>1844</v>
      </c>
      <c r="E57" s="367">
        <f t="shared" si="3"/>
        <v>259453</v>
      </c>
      <c r="F57" s="280">
        <v>261652</v>
      </c>
      <c r="G57" s="303">
        <f t="shared" si="1"/>
        <v>2199</v>
      </c>
    </row>
    <row r="58" spans="1:7">
      <c r="A58" s="278">
        <v>43739</v>
      </c>
      <c r="B58" s="559">
        <f t="shared" si="2"/>
        <v>87262</v>
      </c>
      <c r="C58" s="280">
        <v>89489</v>
      </c>
      <c r="D58" s="366">
        <f t="shared" si="0"/>
        <v>2227</v>
      </c>
      <c r="E58" s="367">
        <f t="shared" si="3"/>
        <v>261652</v>
      </c>
      <c r="F58" s="280">
        <v>263905</v>
      </c>
      <c r="G58" s="303">
        <f t="shared" si="1"/>
        <v>2253</v>
      </c>
    </row>
    <row r="59" spans="1:7">
      <c r="A59" s="278">
        <v>43770</v>
      </c>
      <c r="B59" s="559">
        <f t="shared" si="2"/>
        <v>89489</v>
      </c>
      <c r="C59" s="280">
        <v>91615</v>
      </c>
      <c r="D59" s="366">
        <f t="shared" si="0"/>
        <v>2126</v>
      </c>
      <c r="E59" s="367">
        <f t="shared" si="3"/>
        <v>263905</v>
      </c>
      <c r="F59" s="280">
        <v>265969</v>
      </c>
      <c r="G59" s="303">
        <f t="shared" si="1"/>
        <v>2064</v>
      </c>
    </row>
    <row r="60" spans="1:7">
      <c r="A60" s="278">
        <v>43800</v>
      </c>
      <c r="B60" s="559">
        <f t="shared" si="2"/>
        <v>91615</v>
      </c>
      <c r="C60" s="280">
        <v>93828</v>
      </c>
      <c r="D60" s="366">
        <f t="shared" si="0"/>
        <v>2213</v>
      </c>
      <c r="E60" s="367">
        <f t="shared" si="3"/>
        <v>265969</v>
      </c>
      <c r="F60" s="280">
        <v>268212</v>
      </c>
      <c r="G60" s="303">
        <f t="shared" si="1"/>
        <v>2243</v>
      </c>
    </row>
    <row r="61" spans="1:7">
      <c r="A61" s="278">
        <v>43831</v>
      </c>
      <c r="B61" s="559">
        <f t="shared" si="2"/>
        <v>93828</v>
      </c>
      <c r="C61" s="280">
        <v>95998</v>
      </c>
      <c r="D61" s="366">
        <f t="shared" si="0"/>
        <v>2170</v>
      </c>
      <c r="E61" s="367">
        <f t="shared" si="3"/>
        <v>268212</v>
      </c>
      <c r="F61" s="280">
        <v>270443</v>
      </c>
      <c r="G61" s="303">
        <f t="shared" si="1"/>
        <v>2231</v>
      </c>
    </row>
    <row r="62" spans="1:7">
      <c r="A62" s="278">
        <v>43862</v>
      </c>
      <c r="B62" s="559">
        <f t="shared" si="2"/>
        <v>95998</v>
      </c>
      <c r="C62" s="280">
        <v>98070</v>
      </c>
      <c r="D62" s="366">
        <f t="shared" si="0"/>
        <v>2072</v>
      </c>
      <c r="E62" s="367">
        <f t="shared" si="3"/>
        <v>270443</v>
      </c>
      <c r="F62" s="280">
        <v>272554</v>
      </c>
      <c r="G62" s="303">
        <f t="shared" si="1"/>
        <v>2111</v>
      </c>
    </row>
    <row r="63" spans="1:7">
      <c r="A63" s="278">
        <v>43891</v>
      </c>
      <c r="B63" s="559">
        <f t="shared" si="2"/>
        <v>98070</v>
      </c>
      <c r="C63" s="280">
        <v>100381</v>
      </c>
      <c r="D63" s="366">
        <f t="shared" si="0"/>
        <v>2311</v>
      </c>
      <c r="E63" s="367">
        <f t="shared" si="3"/>
        <v>272554</v>
      </c>
      <c r="F63" s="280">
        <v>274788</v>
      </c>
      <c r="G63" s="303">
        <f t="shared" si="1"/>
        <v>2234</v>
      </c>
    </row>
    <row r="64" spans="1:7">
      <c r="A64" s="278">
        <v>43922</v>
      </c>
      <c r="B64" s="559">
        <f t="shared" si="2"/>
        <v>100381</v>
      </c>
      <c r="C64" s="280"/>
      <c r="D64" s="366">
        <f t="shared" si="0"/>
        <v>-100381</v>
      </c>
      <c r="E64" s="367">
        <f t="shared" si="3"/>
        <v>274788</v>
      </c>
      <c r="F64" s="280"/>
      <c r="G64" s="303">
        <f t="shared" si="1"/>
        <v>-274788</v>
      </c>
    </row>
    <row r="65" spans="1:7">
      <c r="A65" s="278">
        <v>43952</v>
      </c>
      <c r="B65" s="559">
        <f t="shared" si="2"/>
        <v>0</v>
      </c>
      <c r="C65" s="280"/>
      <c r="D65" s="366">
        <f t="shared" si="0"/>
        <v>0</v>
      </c>
      <c r="E65" s="367">
        <f t="shared" si="3"/>
        <v>0</v>
      </c>
      <c r="F65" s="280"/>
      <c r="G65" s="303">
        <f t="shared" si="1"/>
        <v>0</v>
      </c>
    </row>
    <row r="66" spans="1:7">
      <c r="A66" s="278">
        <v>43983</v>
      </c>
      <c r="B66" s="559">
        <f t="shared" si="2"/>
        <v>0</v>
      </c>
      <c r="C66" s="280"/>
      <c r="D66" s="366">
        <f t="shared" si="0"/>
        <v>0</v>
      </c>
      <c r="E66" s="367">
        <f t="shared" si="3"/>
        <v>0</v>
      </c>
      <c r="F66" s="280"/>
      <c r="G66" s="303">
        <f t="shared" si="1"/>
        <v>0</v>
      </c>
    </row>
    <row r="67" spans="1:7">
      <c r="A67" s="278">
        <v>44013</v>
      </c>
      <c r="B67" s="559">
        <f t="shared" si="2"/>
        <v>0</v>
      </c>
      <c r="C67" s="280"/>
      <c r="D67" s="366">
        <f t="shared" si="0"/>
        <v>0</v>
      </c>
      <c r="E67" s="367">
        <f t="shared" si="3"/>
        <v>0</v>
      </c>
      <c r="F67" s="280"/>
      <c r="G67" s="303">
        <f t="shared" si="1"/>
        <v>0</v>
      </c>
    </row>
    <row r="68" spans="1:7">
      <c r="A68" s="278">
        <v>44044</v>
      </c>
      <c r="B68" s="559">
        <f t="shared" si="2"/>
        <v>0</v>
      </c>
      <c r="C68" s="280"/>
      <c r="D68" s="366">
        <f t="shared" si="0"/>
        <v>0</v>
      </c>
      <c r="E68" s="367">
        <f t="shared" si="3"/>
        <v>0</v>
      </c>
      <c r="F68" s="280"/>
      <c r="G68" s="303">
        <f t="shared" si="1"/>
        <v>0</v>
      </c>
    </row>
    <row r="69" spans="1:7">
      <c r="A69" s="278">
        <v>44075</v>
      </c>
      <c r="B69" s="559">
        <f t="shared" si="2"/>
        <v>0</v>
      </c>
      <c r="C69" s="280"/>
      <c r="D69" s="366">
        <f t="shared" ref="D69:D99" si="4">C69-B69</f>
        <v>0</v>
      </c>
      <c r="E69" s="367">
        <f t="shared" si="3"/>
        <v>0</v>
      </c>
      <c r="F69" s="280"/>
      <c r="G69" s="303">
        <f t="shared" ref="G69:G99" si="5">F69-E69</f>
        <v>0</v>
      </c>
    </row>
    <row r="70" spans="1:7">
      <c r="A70" s="278">
        <v>44105</v>
      </c>
      <c r="B70" s="559">
        <f t="shared" ref="B70:B99" si="6">C69</f>
        <v>0</v>
      </c>
      <c r="C70" s="280"/>
      <c r="D70" s="366">
        <f t="shared" si="4"/>
        <v>0</v>
      </c>
      <c r="E70" s="367">
        <f t="shared" si="3"/>
        <v>0</v>
      </c>
      <c r="F70" s="280"/>
      <c r="G70" s="303">
        <f t="shared" si="5"/>
        <v>0</v>
      </c>
    </row>
    <row r="71" spans="1:7">
      <c r="A71" s="278">
        <v>44136</v>
      </c>
      <c r="B71" s="559">
        <f t="shared" si="6"/>
        <v>0</v>
      </c>
      <c r="C71" s="280"/>
      <c r="D71" s="366">
        <f t="shared" si="4"/>
        <v>0</v>
      </c>
      <c r="E71" s="367">
        <f t="shared" si="3"/>
        <v>0</v>
      </c>
      <c r="F71" s="280"/>
      <c r="G71" s="303">
        <f t="shared" si="5"/>
        <v>0</v>
      </c>
    </row>
    <row r="72" spans="1:7">
      <c r="A72" s="278">
        <v>44166</v>
      </c>
      <c r="B72" s="559">
        <f t="shared" si="6"/>
        <v>0</v>
      </c>
      <c r="C72" s="280"/>
      <c r="D72" s="366">
        <f t="shared" si="4"/>
        <v>0</v>
      </c>
      <c r="E72" s="367">
        <f t="shared" ref="E72:E99" si="7">F71</f>
        <v>0</v>
      </c>
      <c r="F72" s="280"/>
      <c r="G72" s="303">
        <f t="shared" si="5"/>
        <v>0</v>
      </c>
    </row>
    <row r="73" spans="1:7">
      <c r="A73" s="278">
        <v>44197</v>
      </c>
      <c r="B73" s="559">
        <f t="shared" si="6"/>
        <v>0</v>
      </c>
      <c r="C73" s="280"/>
      <c r="D73" s="366">
        <f t="shared" si="4"/>
        <v>0</v>
      </c>
      <c r="E73" s="367">
        <f t="shared" si="7"/>
        <v>0</v>
      </c>
      <c r="F73" s="280"/>
      <c r="G73" s="303">
        <f t="shared" si="5"/>
        <v>0</v>
      </c>
    </row>
    <row r="74" spans="1:7">
      <c r="A74" s="278">
        <v>44228</v>
      </c>
      <c r="B74" s="559">
        <f t="shared" si="6"/>
        <v>0</v>
      </c>
      <c r="C74" s="280"/>
      <c r="D74" s="366">
        <f t="shared" si="4"/>
        <v>0</v>
      </c>
      <c r="E74" s="367">
        <f t="shared" si="7"/>
        <v>0</v>
      </c>
      <c r="F74" s="280"/>
      <c r="G74" s="303">
        <f t="shared" si="5"/>
        <v>0</v>
      </c>
    </row>
    <row r="75" spans="1:7">
      <c r="A75" s="278">
        <v>44256</v>
      </c>
      <c r="B75" s="559">
        <f t="shared" si="6"/>
        <v>0</v>
      </c>
      <c r="C75" s="280"/>
      <c r="D75" s="366">
        <f t="shared" si="4"/>
        <v>0</v>
      </c>
      <c r="E75" s="367">
        <f t="shared" si="7"/>
        <v>0</v>
      </c>
      <c r="F75" s="280"/>
      <c r="G75" s="303">
        <f t="shared" si="5"/>
        <v>0</v>
      </c>
    </row>
    <row r="76" spans="1:7">
      <c r="A76" s="278">
        <v>44287</v>
      </c>
      <c r="B76" s="559">
        <f t="shared" si="6"/>
        <v>0</v>
      </c>
      <c r="C76" s="280"/>
      <c r="D76" s="366">
        <f t="shared" si="4"/>
        <v>0</v>
      </c>
      <c r="E76" s="367">
        <f t="shared" si="7"/>
        <v>0</v>
      </c>
      <c r="F76" s="280"/>
      <c r="G76" s="303">
        <f t="shared" si="5"/>
        <v>0</v>
      </c>
    </row>
    <row r="77" spans="1:7">
      <c r="A77" s="278">
        <v>44317</v>
      </c>
      <c r="B77" s="559">
        <f t="shared" si="6"/>
        <v>0</v>
      </c>
      <c r="C77" s="280"/>
      <c r="D77" s="366">
        <f t="shared" si="4"/>
        <v>0</v>
      </c>
      <c r="E77" s="367">
        <f t="shared" si="7"/>
        <v>0</v>
      </c>
      <c r="F77" s="280"/>
      <c r="G77" s="303">
        <f t="shared" si="5"/>
        <v>0</v>
      </c>
    </row>
    <row r="78" spans="1:7">
      <c r="A78" s="278">
        <v>44348</v>
      </c>
      <c r="B78" s="559">
        <f t="shared" si="6"/>
        <v>0</v>
      </c>
      <c r="C78" s="280"/>
      <c r="D78" s="366">
        <f t="shared" si="4"/>
        <v>0</v>
      </c>
      <c r="E78" s="367">
        <f t="shared" si="7"/>
        <v>0</v>
      </c>
      <c r="F78" s="280"/>
      <c r="G78" s="303">
        <f t="shared" si="5"/>
        <v>0</v>
      </c>
    </row>
    <row r="79" spans="1:7">
      <c r="A79" s="278">
        <v>44378</v>
      </c>
      <c r="B79" s="559">
        <f t="shared" si="6"/>
        <v>0</v>
      </c>
      <c r="C79" s="280"/>
      <c r="D79" s="366">
        <f t="shared" si="4"/>
        <v>0</v>
      </c>
      <c r="E79" s="367">
        <f t="shared" si="7"/>
        <v>0</v>
      </c>
      <c r="F79" s="280"/>
      <c r="G79" s="303">
        <f t="shared" si="5"/>
        <v>0</v>
      </c>
    </row>
    <row r="80" spans="1:7">
      <c r="A80" s="278">
        <v>44409</v>
      </c>
      <c r="B80" s="559">
        <f t="shared" si="6"/>
        <v>0</v>
      </c>
      <c r="C80" s="280"/>
      <c r="D80" s="366">
        <f t="shared" si="4"/>
        <v>0</v>
      </c>
      <c r="E80" s="367">
        <f t="shared" si="7"/>
        <v>0</v>
      </c>
      <c r="F80" s="280"/>
      <c r="G80" s="303">
        <f t="shared" si="5"/>
        <v>0</v>
      </c>
    </row>
    <row r="81" spans="1:7">
      <c r="A81" s="278">
        <v>44440</v>
      </c>
      <c r="B81" s="559">
        <f t="shared" si="6"/>
        <v>0</v>
      </c>
      <c r="C81" s="280"/>
      <c r="D81" s="366">
        <f t="shared" si="4"/>
        <v>0</v>
      </c>
      <c r="E81" s="367">
        <f t="shared" si="7"/>
        <v>0</v>
      </c>
      <c r="F81" s="280"/>
      <c r="G81" s="303">
        <f t="shared" si="5"/>
        <v>0</v>
      </c>
    </row>
    <row r="82" spans="1:7">
      <c r="A82" s="278">
        <v>44470</v>
      </c>
      <c r="B82" s="559">
        <f t="shared" si="6"/>
        <v>0</v>
      </c>
      <c r="C82" s="280"/>
      <c r="D82" s="366">
        <f t="shared" si="4"/>
        <v>0</v>
      </c>
      <c r="E82" s="367">
        <f t="shared" si="7"/>
        <v>0</v>
      </c>
      <c r="F82" s="6"/>
      <c r="G82" s="303">
        <f t="shared" si="5"/>
        <v>0</v>
      </c>
    </row>
    <row r="83" spans="1:7">
      <c r="A83" s="278">
        <v>44501</v>
      </c>
      <c r="B83" s="559">
        <f t="shared" si="6"/>
        <v>0</v>
      </c>
      <c r="C83" s="280"/>
      <c r="D83" s="366">
        <f t="shared" si="4"/>
        <v>0</v>
      </c>
      <c r="E83" s="367">
        <f t="shared" si="7"/>
        <v>0</v>
      </c>
      <c r="F83" s="6"/>
      <c r="G83" s="303">
        <f t="shared" si="5"/>
        <v>0</v>
      </c>
    </row>
    <row r="84" spans="1:7">
      <c r="A84" s="278">
        <v>44531</v>
      </c>
      <c r="B84" s="559">
        <f t="shared" si="6"/>
        <v>0</v>
      </c>
      <c r="C84" s="280"/>
      <c r="D84" s="366">
        <f t="shared" si="4"/>
        <v>0</v>
      </c>
      <c r="E84" s="367">
        <f t="shared" si="7"/>
        <v>0</v>
      </c>
      <c r="F84" s="6"/>
      <c r="G84" s="303">
        <f t="shared" si="5"/>
        <v>0</v>
      </c>
    </row>
    <row r="85" spans="1:7">
      <c r="A85" s="278">
        <v>44562</v>
      </c>
      <c r="B85" s="559">
        <f t="shared" si="6"/>
        <v>0</v>
      </c>
      <c r="C85" s="280"/>
      <c r="D85" s="366">
        <f t="shared" si="4"/>
        <v>0</v>
      </c>
      <c r="E85" s="367">
        <f t="shared" si="7"/>
        <v>0</v>
      </c>
      <c r="F85" s="6"/>
      <c r="G85" s="303">
        <f t="shared" si="5"/>
        <v>0</v>
      </c>
    </row>
    <row r="86" spans="1:7">
      <c r="A86" s="278">
        <v>44593</v>
      </c>
      <c r="B86" s="559">
        <f t="shared" si="6"/>
        <v>0</v>
      </c>
      <c r="C86" s="6"/>
      <c r="D86" s="366">
        <f t="shared" si="4"/>
        <v>0</v>
      </c>
      <c r="E86" s="367">
        <f t="shared" si="7"/>
        <v>0</v>
      </c>
      <c r="F86" s="6"/>
      <c r="G86" s="303">
        <f t="shared" si="5"/>
        <v>0</v>
      </c>
    </row>
    <row r="87" spans="1:7">
      <c r="A87" s="278">
        <v>44621</v>
      </c>
      <c r="B87" s="559">
        <f t="shared" si="6"/>
        <v>0</v>
      </c>
      <c r="C87" s="6"/>
      <c r="D87" s="366">
        <f t="shared" si="4"/>
        <v>0</v>
      </c>
      <c r="E87" s="367">
        <f t="shared" si="7"/>
        <v>0</v>
      </c>
      <c r="F87" s="6"/>
      <c r="G87" s="303">
        <f t="shared" si="5"/>
        <v>0</v>
      </c>
    </row>
    <row r="88" spans="1:7">
      <c r="A88" s="278">
        <v>44652</v>
      </c>
      <c r="B88" s="559">
        <f t="shared" si="6"/>
        <v>0</v>
      </c>
      <c r="C88" s="6"/>
      <c r="D88" s="366">
        <f t="shared" si="4"/>
        <v>0</v>
      </c>
      <c r="E88" s="367">
        <f t="shared" si="7"/>
        <v>0</v>
      </c>
      <c r="F88" s="6"/>
      <c r="G88" s="303">
        <f t="shared" si="5"/>
        <v>0</v>
      </c>
    </row>
    <row r="89" spans="1:7">
      <c r="A89" s="278">
        <v>44682</v>
      </c>
      <c r="B89" s="559">
        <f t="shared" si="6"/>
        <v>0</v>
      </c>
      <c r="C89" s="6"/>
      <c r="D89" s="366">
        <f t="shared" si="4"/>
        <v>0</v>
      </c>
      <c r="E89" s="367">
        <f t="shared" si="7"/>
        <v>0</v>
      </c>
      <c r="F89" s="6"/>
      <c r="G89" s="303">
        <f t="shared" si="5"/>
        <v>0</v>
      </c>
    </row>
    <row r="90" spans="1:7">
      <c r="A90" s="278">
        <v>44713</v>
      </c>
      <c r="B90" s="559">
        <f t="shared" si="6"/>
        <v>0</v>
      </c>
      <c r="C90" s="6"/>
      <c r="D90" s="366">
        <f t="shared" si="4"/>
        <v>0</v>
      </c>
      <c r="E90" s="367">
        <f t="shared" si="7"/>
        <v>0</v>
      </c>
      <c r="F90" s="6"/>
      <c r="G90" s="303">
        <f t="shared" si="5"/>
        <v>0</v>
      </c>
    </row>
    <row r="91" spans="1:7">
      <c r="A91" s="278">
        <v>44743</v>
      </c>
      <c r="B91" s="559">
        <f t="shared" si="6"/>
        <v>0</v>
      </c>
      <c r="C91" s="6"/>
      <c r="D91" s="366">
        <f t="shared" si="4"/>
        <v>0</v>
      </c>
      <c r="E91" s="367">
        <f t="shared" si="7"/>
        <v>0</v>
      </c>
      <c r="F91" s="6"/>
      <c r="G91" s="303">
        <f t="shared" si="5"/>
        <v>0</v>
      </c>
    </row>
    <row r="92" spans="1:7">
      <c r="A92" s="278">
        <v>44774</v>
      </c>
      <c r="B92" s="559">
        <f t="shared" si="6"/>
        <v>0</v>
      </c>
      <c r="C92" s="6"/>
      <c r="D92" s="366">
        <f t="shared" si="4"/>
        <v>0</v>
      </c>
      <c r="E92" s="367">
        <f t="shared" si="7"/>
        <v>0</v>
      </c>
      <c r="F92" s="6"/>
      <c r="G92" s="303">
        <f t="shared" si="5"/>
        <v>0</v>
      </c>
    </row>
    <row r="93" spans="1:7">
      <c r="A93" s="278">
        <v>44805</v>
      </c>
      <c r="B93" s="559">
        <f t="shared" si="6"/>
        <v>0</v>
      </c>
      <c r="C93" s="6"/>
      <c r="D93" s="366">
        <f t="shared" si="4"/>
        <v>0</v>
      </c>
      <c r="E93" s="367">
        <f t="shared" si="7"/>
        <v>0</v>
      </c>
      <c r="F93" s="6"/>
      <c r="G93" s="303">
        <f t="shared" si="5"/>
        <v>0</v>
      </c>
    </row>
    <row r="94" spans="1:7">
      <c r="A94" s="278">
        <v>44835</v>
      </c>
      <c r="B94" s="559">
        <f t="shared" si="6"/>
        <v>0</v>
      </c>
      <c r="C94" s="6"/>
      <c r="D94" s="366">
        <f t="shared" si="4"/>
        <v>0</v>
      </c>
      <c r="E94" s="367">
        <f t="shared" si="7"/>
        <v>0</v>
      </c>
      <c r="F94" s="6"/>
      <c r="G94" s="303">
        <f t="shared" si="5"/>
        <v>0</v>
      </c>
    </row>
    <row r="95" spans="1:7">
      <c r="A95" s="278">
        <v>44866</v>
      </c>
      <c r="B95" s="559">
        <f t="shared" si="6"/>
        <v>0</v>
      </c>
      <c r="C95" s="6"/>
      <c r="D95" s="366">
        <f t="shared" si="4"/>
        <v>0</v>
      </c>
      <c r="E95" s="367">
        <f t="shared" si="7"/>
        <v>0</v>
      </c>
      <c r="F95" s="6"/>
      <c r="G95" s="303">
        <f t="shared" si="5"/>
        <v>0</v>
      </c>
    </row>
    <row r="96" spans="1:7">
      <c r="A96" s="278">
        <v>44896</v>
      </c>
      <c r="B96" s="559">
        <f t="shared" si="6"/>
        <v>0</v>
      </c>
      <c r="C96" s="6"/>
      <c r="D96" s="366">
        <f t="shared" si="4"/>
        <v>0</v>
      </c>
      <c r="E96" s="367">
        <f t="shared" si="7"/>
        <v>0</v>
      </c>
      <c r="F96" s="6"/>
      <c r="G96" s="303">
        <f t="shared" si="5"/>
        <v>0</v>
      </c>
    </row>
    <row r="97" spans="1:7">
      <c r="A97" s="278">
        <v>44927</v>
      </c>
      <c r="B97" s="559">
        <f t="shared" si="6"/>
        <v>0</v>
      </c>
      <c r="C97" s="6"/>
      <c r="D97" s="366">
        <f t="shared" si="4"/>
        <v>0</v>
      </c>
      <c r="E97" s="367">
        <f t="shared" si="7"/>
        <v>0</v>
      </c>
      <c r="F97" s="6"/>
      <c r="G97" s="303">
        <f t="shared" si="5"/>
        <v>0</v>
      </c>
    </row>
    <row r="98" spans="1:7">
      <c r="A98" s="278">
        <v>44958</v>
      </c>
      <c r="B98" s="559">
        <f t="shared" si="6"/>
        <v>0</v>
      </c>
      <c r="C98" s="6"/>
      <c r="D98" s="366">
        <f t="shared" si="4"/>
        <v>0</v>
      </c>
      <c r="E98" s="367">
        <f t="shared" si="7"/>
        <v>0</v>
      </c>
      <c r="F98" s="6"/>
      <c r="G98" s="303">
        <f t="shared" si="5"/>
        <v>0</v>
      </c>
    </row>
    <row r="99" spans="1:7" ht="13.5" thickBot="1">
      <c r="A99" s="278">
        <v>44986</v>
      </c>
      <c r="B99" s="560">
        <f t="shared" si="6"/>
        <v>0</v>
      </c>
      <c r="C99" s="8"/>
      <c r="D99" s="561">
        <f t="shared" si="4"/>
        <v>0</v>
      </c>
      <c r="E99" s="562">
        <f t="shared" si="7"/>
        <v>0</v>
      </c>
      <c r="F99" s="8"/>
      <c r="G99" s="34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31" workbookViewId="0">
      <selection activeCell="C59" sqref="C5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40" t="s">
        <v>211</v>
      </c>
      <c r="B1" s="841"/>
      <c r="C1" s="841"/>
      <c r="D1" s="841"/>
      <c r="G1" s="317"/>
      <c r="H1" s="318" t="s">
        <v>212</v>
      </c>
      <c r="I1" s="318"/>
      <c r="J1" s="317"/>
      <c r="K1" s="317"/>
    </row>
    <row r="2" spans="1:12" ht="39" thickBot="1">
      <c r="A2" s="563" t="s">
        <v>7</v>
      </c>
      <c r="B2" s="564" t="s">
        <v>158</v>
      </c>
      <c r="C2" s="564" t="s">
        <v>159</v>
      </c>
      <c r="D2" s="565" t="s">
        <v>175</v>
      </c>
      <c r="E2" s="565" t="s">
        <v>217</v>
      </c>
      <c r="F2" s="566" t="s">
        <v>195</v>
      </c>
      <c r="G2" s="567" t="s">
        <v>213</v>
      </c>
      <c r="H2" s="568" t="s">
        <v>214</v>
      </c>
      <c r="I2" s="569" t="s">
        <v>215</v>
      </c>
      <c r="J2" s="568" t="s">
        <v>216</v>
      </c>
      <c r="K2" s="568" t="s">
        <v>195</v>
      </c>
      <c r="L2" s="570" t="s">
        <v>176</v>
      </c>
    </row>
    <row r="3" spans="1:12">
      <c r="A3" s="301">
        <v>42430</v>
      </c>
      <c r="B3" s="571">
        <v>5000778</v>
      </c>
      <c r="C3" s="572">
        <v>5057715</v>
      </c>
      <c r="D3" s="573">
        <f>C3-B3</f>
        <v>56937</v>
      </c>
      <c r="E3" s="459"/>
      <c r="F3" s="574"/>
      <c r="G3" s="575">
        <f>H3</f>
        <v>0</v>
      </c>
      <c r="H3" s="576"/>
      <c r="I3" s="577">
        <f>H3-G3</f>
        <v>0</v>
      </c>
      <c r="J3" s="576"/>
      <c r="K3" s="578">
        <f>I3-J3</f>
        <v>0</v>
      </c>
      <c r="L3" s="579"/>
    </row>
    <row r="4" spans="1:12">
      <c r="A4" s="278">
        <v>42461</v>
      </c>
      <c r="B4" s="358">
        <f>C3</f>
        <v>5057715</v>
      </c>
      <c r="C4" s="280">
        <v>5111496</v>
      </c>
      <c r="D4" s="445">
        <f t="shared" ref="D4:D67" si="0">C4-B4</f>
        <v>53781</v>
      </c>
      <c r="E4" s="280"/>
      <c r="F4" s="580"/>
      <c r="G4" s="581">
        <f>H3</f>
        <v>0</v>
      </c>
      <c r="H4" s="6"/>
      <c r="I4" s="313">
        <f t="shared" ref="I4:I67" si="1">H4-G4</f>
        <v>0</v>
      </c>
      <c r="J4" s="6"/>
      <c r="K4" s="319">
        <f t="shared" ref="K4:K67" si="2">I4-J4</f>
        <v>0</v>
      </c>
      <c r="L4" s="582"/>
    </row>
    <row r="5" spans="1:12">
      <c r="A5" s="278">
        <v>42491</v>
      </c>
      <c r="B5" s="358">
        <f t="shared" ref="B5:B68" si="3">C4</f>
        <v>5111496</v>
      </c>
      <c r="C5" s="280">
        <v>5169409</v>
      </c>
      <c r="D5" s="445">
        <f t="shared" si="0"/>
        <v>57913</v>
      </c>
      <c r="E5" s="280"/>
      <c r="F5" s="580"/>
      <c r="G5" s="581">
        <f t="shared" ref="G5:G68" si="4">H4</f>
        <v>0</v>
      </c>
      <c r="H5" s="6"/>
      <c r="I5" s="313">
        <f t="shared" si="1"/>
        <v>0</v>
      </c>
      <c r="J5" s="6"/>
      <c r="K5" s="319">
        <f t="shared" si="2"/>
        <v>0</v>
      </c>
      <c r="L5" s="582"/>
    </row>
    <row r="6" spans="1:12">
      <c r="A6" s="278">
        <v>42522</v>
      </c>
      <c r="B6" s="358">
        <f t="shared" si="3"/>
        <v>5169409</v>
      </c>
      <c r="C6" s="280">
        <v>5232162</v>
      </c>
      <c r="D6" s="445">
        <f t="shared" si="0"/>
        <v>62753</v>
      </c>
      <c r="E6" s="280"/>
      <c r="F6" s="580"/>
      <c r="G6" s="581">
        <f t="shared" si="4"/>
        <v>0</v>
      </c>
      <c r="H6" s="6"/>
      <c r="I6" s="313">
        <f t="shared" si="1"/>
        <v>0</v>
      </c>
      <c r="J6" s="6"/>
      <c r="K6" s="319">
        <f t="shared" si="2"/>
        <v>0</v>
      </c>
      <c r="L6" s="582"/>
    </row>
    <row r="7" spans="1:12">
      <c r="A7" s="278">
        <v>42552</v>
      </c>
      <c r="B7" s="358">
        <f t="shared" si="3"/>
        <v>5232162</v>
      </c>
      <c r="C7" s="280">
        <v>5310037</v>
      </c>
      <c r="D7" s="445">
        <f t="shared" si="0"/>
        <v>77875</v>
      </c>
      <c r="E7" s="280"/>
      <c r="F7" s="580"/>
      <c r="G7" s="581">
        <f t="shared" si="4"/>
        <v>0</v>
      </c>
      <c r="H7" s="6"/>
      <c r="I7" s="313">
        <f t="shared" si="1"/>
        <v>0</v>
      </c>
      <c r="J7" s="6"/>
      <c r="K7" s="319">
        <f t="shared" si="2"/>
        <v>0</v>
      </c>
      <c r="L7" s="582"/>
    </row>
    <row r="8" spans="1:12">
      <c r="A8" s="278">
        <v>42583</v>
      </c>
      <c r="B8" s="358">
        <f t="shared" si="3"/>
        <v>5310037</v>
      </c>
      <c r="C8" s="280">
        <v>5382821</v>
      </c>
      <c r="D8" s="445">
        <f t="shared" si="0"/>
        <v>72784</v>
      </c>
      <c r="E8" s="280">
        <f>[6]Gen!AR45</f>
        <v>72766</v>
      </c>
      <c r="F8" s="580">
        <f t="shared" ref="F8:F71" si="5">D8-E8</f>
        <v>18</v>
      </c>
      <c r="G8" s="581">
        <f t="shared" si="4"/>
        <v>0</v>
      </c>
      <c r="H8" s="6"/>
      <c r="I8" s="313">
        <f t="shared" si="1"/>
        <v>0</v>
      </c>
      <c r="J8" s="6"/>
      <c r="K8" s="319">
        <f t="shared" si="2"/>
        <v>0</v>
      </c>
      <c r="L8" s="582"/>
    </row>
    <row r="9" spans="1:12">
      <c r="A9" s="278">
        <v>42614</v>
      </c>
      <c r="B9" s="358">
        <f t="shared" si="3"/>
        <v>5382821</v>
      </c>
      <c r="C9" s="280">
        <v>5446740</v>
      </c>
      <c r="D9" s="445">
        <f t="shared" si="0"/>
        <v>63919</v>
      </c>
      <c r="E9" s="280">
        <f>[7]Gen!AR45</f>
        <v>64036.499999999993</v>
      </c>
      <c r="F9" s="580">
        <f t="shared" si="5"/>
        <v>-117.49999999999272</v>
      </c>
      <c r="G9" s="581">
        <f t="shared" si="4"/>
        <v>0</v>
      </c>
      <c r="H9" s="6"/>
      <c r="I9" s="313">
        <f t="shared" si="1"/>
        <v>0</v>
      </c>
      <c r="J9" s="6"/>
      <c r="K9" s="319">
        <f t="shared" si="2"/>
        <v>0</v>
      </c>
      <c r="L9" s="582"/>
    </row>
    <row r="10" spans="1:12">
      <c r="A10" s="278">
        <v>42644</v>
      </c>
      <c r="B10" s="358">
        <f t="shared" si="3"/>
        <v>5446740</v>
      </c>
      <c r="C10" s="280">
        <v>5521440</v>
      </c>
      <c r="D10" s="445">
        <f t="shared" si="0"/>
        <v>74700</v>
      </c>
      <c r="E10" s="583">
        <v>76057.09</v>
      </c>
      <c r="F10" s="580">
        <f t="shared" si="5"/>
        <v>-1357.0899999999965</v>
      </c>
      <c r="G10" s="581">
        <f t="shared" si="4"/>
        <v>0</v>
      </c>
      <c r="H10" s="6"/>
      <c r="I10" s="313">
        <f t="shared" si="1"/>
        <v>0</v>
      </c>
      <c r="J10" s="6"/>
      <c r="K10" s="319">
        <f t="shared" si="2"/>
        <v>0</v>
      </c>
      <c r="L10" s="582"/>
    </row>
    <row r="11" spans="1:12">
      <c r="A11" s="278">
        <v>42675</v>
      </c>
      <c r="B11" s="358">
        <f t="shared" si="3"/>
        <v>5521440</v>
      </c>
      <c r="C11" s="280">
        <v>5594926</v>
      </c>
      <c r="D11" s="445">
        <f t="shared" si="0"/>
        <v>73486</v>
      </c>
      <c r="E11" s="583">
        <v>73462.489999999991</v>
      </c>
      <c r="F11" s="580">
        <f t="shared" si="5"/>
        <v>23.510000000009313</v>
      </c>
      <c r="G11" s="581">
        <f t="shared" si="4"/>
        <v>0</v>
      </c>
      <c r="H11" s="6"/>
      <c r="I11" s="313">
        <f t="shared" si="1"/>
        <v>0</v>
      </c>
      <c r="J11" s="6"/>
      <c r="K11" s="319">
        <f t="shared" si="2"/>
        <v>0</v>
      </c>
      <c r="L11" s="582"/>
    </row>
    <row r="12" spans="1:12">
      <c r="A12" s="278">
        <v>42705</v>
      </c>
      <c r="B12" s="358">
        <f t="shared" si="3"/>
        <v>5594926</v>
      </c>
      <c r="C12" s="280">
        <v>5670348</v>
      </c>
      <c r="D12" s="445">
        <f t="shared" si="0"/>
        <v>75422</v>
      </c>
      <c r="E12" s="280">
        <v>75421.2</v>
      </c>
      <c r="F12" s="580">
        <f t="shared" si="5"/>
        <v>0.80000000000291038</v>
      </c>
      <c r="G12" s="581">
        <f t="shared" si="4"/>
        <v>0</v>
      </c>
      <c r="H12" s="6"/>
      <c r="I12" s="313">
        <f t="shared" si="1"/>
        <v>0</v>
      </c>
      <c r="J12" s="6"/>
      <c r="K12" s="319">
        <f t="shared" si="2"/>
        <v>0</v>
      </c>
      <c r="L12" s="582"/>
    </row>
    <row r="13" spans="1:12">
      <c r="A13" s="278">
        <v>42736</v>
      </c>
      <c r="B13" s="358">
        <f t="shared" si="3"/>
        <v>5670348</v>
      </c>
      <c r="C13" s="280">
        <v>5735627</v>
      </c>
      <c r="D13" s="445">
        <f t="shared" si="0"/>
        <v>65279</v>
      </c>
      <c r="E13" s="280">
        <v>65276.07</v>
      </c>
      <c r="F13" s="580">
        <f t="shared" si="5"/>
        <v>2.930000000000291</v>
      </c>
      <c r="G13" s="581">
        <f t="shared" si="4"/>
        <v>0</v>
      </c>
      <c r="H13" s="6"/>
      <c r="I13" s="313">
        <f t="shared" si="1"/>
        <v>0</v>
      </c>
      <c r="J13" s="6"/>
      <c r="K13" s="319">
        <f t="shared" si="2"/>
        <v>0</v>
      </c>
      <c r="L13" s="582"/>
    </row>
    <row r="14" spans="1:12">
      <c r="A14" s="278">
        <v>42767</v>
      </c>
      <c r="B14" s="358">
        <f t="shared" si="3"/>
        <v>5735627</v>
      </c>
      <c r="C14" s="280">
        <v>5797781</v>
      </c>
      <c r="D14" s="445">
        <f t="shared" si="0"/>
        <v>62154</v>
      </c>
      <c r="E14" s="280">
        <v>62154.9</v>
      </c>
      <c r="F14" s="580">
        <f t="shared" si="5"/>
        <v>-0.90000000000145519</v>
      </c>
      <c r="G14" s="581">
        <f t="shared" si="4"/>
        <v>0</v>
      </c>
      <c r="H14" s="6"/>
      <c r="I14" s="313">
        <f t="shared" si="1"/>
        <v>0</v>
      </c>
      <c r="J14" s="6"/>
      <c r="K14" s="319">
        <f t="shared" si="2"/>
        <v>0</v>
      </c>
      <c r="L14" s="582"/>
    </row>
    <row r="15" spans="1:12">
      <c r="A15" s="278">
        <v>42795</v>
      </c>
      <c r="B15" s="358">
        <f t="shared" si="3"/>
        <v>5797781</v>
      </c>
      <c r="C15" s="280">
        <v>5864602</v>
      </c>
      <c r="D15" s="445">
        <f t="shared" si="0"/>
        <v>66821</v>
      </c>
      <c r="E15" s="584">
        <v>66820.89</v>
      </c>
      <c r="F15" s="580">
        <f t="shared" si="5"/>
        <v>0.11000000000058208</v>
      </c>
      <c r="G15" s="581">
        <f t="shared" si="4"/>
        <v>0</v>
      </c>
      <c r="H15" s="6"/>
      <c r="I15" s="313">
        <f t="shared" si="1"/>
        <v>0</v>
      </c>
      <c r="J15" s="6"/>
      <c r="K15" s="319">
        <f t="shared" si="2"/>
        <v>0</v>
      </c>
      <c r="L15" s="582"/>
    </row>
    <row r="16" spans="1:12">
      <c r="A16" s="278">
        <v>42826</v>
      </c>
      <c r="B16" s="358">
        <f t="shared" si="3"/>
        <v>5864602</v>
      </c>
      <c r="C16" s="314">
        <v>5927895</v>
      </c>
      <c r="D16" s="445">
        <f t="shared" si="0"/>
        <v>63293</v>
      </c>
      <c r="E16" s="280">
        <v>63292.38</v>
      </c>
      <c r="F16" s="580">
        <f t="shared" si="5"/>
        <v>0.62000000000261934</v>
      </c>
      <c r="G16" s="581">
        <f t="shared" si="4"/>
        <v>0</v>
      </c>
      <c r="H16" s="6"/>
      <c r="I16" s="313">
        <f t="shared" si="1"/>
        <v>0</v>
      </c>
      <c r="J16" s="6"/>
      <c r="K16" s="319">
        <f t="shared" si="2"/>
        <v>0</v>
      </c>
      <c r="L16" s="582"/>
    </row>
    <row r="17" spans="1:12">
      <c r="A17" s="278">
        <v>42856</v>
      </c>
      <c r="B17" s="358">
        <f t="shared" si="3"/>
        <v>5927895</v>
      </c>
      <c r="C17" s="280">
        <v>5995212</v>
      </c>
      <c r="D17" s="445">
        <f t="shared" si="0"/>
        <v>67317</v>
      </c>
      <c r="E17" s="280">
        <v>67313.47</v>
      </c>
      <c r="F17" s="580">
        <f t="shared" si="5"/>
        <v>3.5299999999988358</v>
      </c>
      <c r="G17" s="581">
        <f t="shared" si="4"/>
        <v>0</v>
      </c>
      <c r="H17" s="6"/>
      <c r="I17" s="313">
        <f t="shared" si="1"/>
        <v>0</v>
      </c>
      <c r="J17" s="6"/>
      <c r="K17" s="319">
        <f t="shared" si="2"/>
        <v>0</v>
      </c>
      <c r="L17" s="582"/>
    </row>
    <row r="18" spans="1:12">
      <c r="A18" s="278">
        <v>42887</v>
      </c>
      <c r="B18" s="358">
        <f t="shared" si="3"/>
        <v>5995212</v>
      </c>
      <c r="C18" s="280">
        <v>6065754</v>
      </c>
      <c r="D18" s="445">
        <f t="shared" si="0"/>
        <v>70542</v>
      </c>
      <c r="E18" s="280">
        <v>70542.600000000006</v>
      </c>
      <c r="F18" s="580">
        <f t="shared" si="5"/>
        <v>-0.60000000000582077</v>
      </c>
      <c r="G18" s="581">
        <f t="shared" si="4"/>
        <v>0</v>
      </c>
      <c r="H18" s="6"/>
      <c r="I18" s="313">
        <f t="shared" si="1"/>
        <v>0</v>
      </c>
      <c r="J18" s="280"/>
      <c r="K18" s="319">
        <f t="shared" si="2"/>
        <v>0</v>
      </c>
      <c r="L18" s="582"/>
    </row>
    <row r="19" spans="1:12">
      <c r="A19" s="278">
        <v>42917</v>
      </c>
      <c r="B19" s="358">
        <f t="shared" si="3"/>
        <v>6065754</v>
      </c>
      <c r="C19" s="280">
        <v>6141089</v>
      </c>
      <c r="D19" s="445">
        <f t="shared" si="0"/>
        <v>75335</v>
      </c>
      <c r="E19" s="280">
        <v>75335</v>
      </c>
      <c r="F19" s="580">
        <f t="shared" si="5"/>
        <v>0</v>
      </c>
      <c r="G19" s="581">
        <v>2442</v>
      </c>
      <c r="H19" s="280">
        <v>15003</v>
      </c>
      <c r="I19" s="313">
        <f t="shared" si="1"/>
        <v>12561</v>
      </c>
      <c r="J19" s="280"/>
      <c r="K19" s="319">
        <f t="shared" si="2"/>
        <v>12561</v>
      </c>
      <c r="L19" s="582"/>
    </row>
    <row r="20" spans="1:12">
      <c r="A20" s="278">
        <v>42948</v>
      </c>
      <c r="B20" s="358">
        <f t="shared" si="3"/>
        <v>6141089</v>
      </c>
      <c r="C20" s="280">
        <v>6212470</v>
      </c>
      <c r="D20" s="445">
        <f t="shared" si="0"/>
        <v>71381</v>
      </c>
      <c r="E20" s="280">
        <v>71379.899999999994</v>
      </c>
      <c r="F20" s="580">
        <f t="shared" si="5"/>
        <v>1.1000000000058208</v>
      </c>
      <c r="G20" s="581">
        <f t="shared" si="4"/>
        <v>15003</v>
      </c>
      <c r="H20" s="280">
        <v>25033</v>
      </c>
      <c r="I20" s="313">
        <f t="shared" si="1"/>
        <v>10030</v>
      </c>
      <c r="J20" s="280">
        <v>10029.74</v>
      </c>
      <c r="K20" s="319">
        <f t="shared" si="2"/>
        <v>0.26000000000021828</v>
      </c>
      <c r="L20" s="582">
        <f>I20+D20</f>
        <v>81411</v>
      </c>
    </row>
    <row r="21" spans="1:12">
      <c r="A21" s="278">
        <v>42979</v>
      </c>
      <c r="B21" s="358">
        <f t="shared" si="3"/>
        <v>6212470</v>
      </c>
      <c r="C21" s="314">
        <v>6276921</v>
      </c>
      <c r="D21" s="445">
        <f t="shared" si="0"/>
        <v>64451</v>
      </c>
      <c r="E21" s="314">
        <v>64450.62</v>
      </c>
      <c r="F21" s="580">
        <f t="shared" si="5"/>
        <v>0.37999999999738066</v>
      </c>
      <c r="G21" s="581">
        <f t="shared" si="4"/>
        <v>25033</v>
      </c>
      <c r="H21" s="314">
        <v>32815</v>
      </c>
      <c r="I21" s="313">
        <f t="shared" si="1"/>
        <v>7782</v>
      </c>
      <c r="J21" s="314">
        <v>7781.72</v>
      </c>
      <c r="K21" s="319">
        <f t="shared" si="2"/>
        <v>0.27999999999974534</v>
      </c>
      <c r="L21" s="582">
        <f t="shared" ref="L21:L84" si="6">I21+D21</f>
        <v>72233</v>
      </c>
    </row>
    <row r="22" spans="1:12">
      <c r="A22" s="278">
        <v>43009</v>
      </c>
      <c r="B22" s="358">
        <f t="shared" si="3"/>
        <v>6276921</v>
      </c>
      <c r="C22" s="314">
        <v>6352831</v>
      </c>
      <c r="D22" s="445">
        <f t="shared" si="0"/>
        <v>75910</v>
      </c>
      <c r="E22" s="314">
        <v>75906.789999999994</v>
      </c>
      <c r="F22" s="580">
        <f t="shared" si="5"/>
        <v>3.2100000000064028</v>
      </c>
      <c r="G22" s="581">
        <f t="shared" si="4"/>
        <v>32815</v>
      </c>
      <c r="H22" s="314">
        <v>39587</v>
      </c>
      <c r="I22" s="313">
        <f t="shared" si="1"/>
        <v>6772</v>
      </c>
      <c r="J22" s="314">
        <v>6772.04</v>
      </c>
      <c r="K22" s="319">
        <f t="shared" si="2"/>
        <v>-3.999999999996362E-2</v>
      </c>
      <c r="L22" s="582">
        <f t="shared" si="6"/>
        <v>82682</v>
      </c>
    </row>
    <row r="23" spans="1:12">
      <c r="A23" s="278">
        <v>43040</v>
      </c>
      <c r="B23" s="358">
        <f t="shared" si="3"/>
        <v>6352831</v>
      </c>
      <c r="C23" s="314">
        <v>6410003</v>
      </c>
      <c r="D23" s="445">
        <f t="shared" si="0"/>
        <v>57172</v>
      </c>
      <c r="E23" s="314">
        <v>57171.51</v>
      </c>
      <c r="F23" s="580">
        <f t="shared" si="5"/>
        <v>0.48999999999796273</v>
      </c>
      <c r="G23" s="581">
        <f t="shared" si="4"/>
        <v>39587</v>
      </c>
      <c r="H23" s="314">
        <v>45717</v>
      </c>
      <c r="I23" s="313">
        <f t="shared" si="1"/>
        <v>6130</v>
      </c>
      <c r="J23" s="314">
        <v>6129.55</v>
      </c>
      <c r="K23" s="319">
        <f t="shared" si="2"/>
        <v>0.4499999999998181</v>
      </c>
      <c r="L23" s="582">
        <f t="shared" si="6"/>
        <v>63302</v>
      </c>
    </row>
    <row r="24" spans="1:12">
      <c r="A24" s="278">
        <v>43070</v>
      </c>
      <c r="B24" s="358">
        <f t="shared" si="3"/>
        <v>6410003</v>
      </c>
      <c r="C24" s="280">
        <v>6476953</v>
      </c>
      <c r="D24" s="445">
        <f t="shared" si="0"/>
        <v>66950</v>
      </c>
      <c r="E24" s="280">
        <v>66951.14</v>
      </c>
      <c r="F24" s="580">
        <f t="shared" si="5"/>
        <v>-1.1399999999994179</v>
      </c>
      <c r="G24" s="581">
        <f t="shared" si="4"/>
        <v>45717</v>
      </c>
      <c r="H24" s="280">
        <v>52890</v>
      </c>
      <c r="I24" s="313">
        <f t="shared" si="1"/>
        <v>7173</v>
      </c>
      <c r="J24" s="280">
        <v>7173.94</v>
      </c>
      <c r="K24" s="319">
        <f t="shared" si="2"/>
        <v>-0.93999999999959982</v>
      </c>
      <c r="L24" s="582">
        <f t="shared" si="6"/>
        <v>74123</v>
      </c>
    </row>
    <row r="25" spans="1:12">
      <c r="A25" s="278">
        <v>43101</v>
      </c>
      <c r="B25" s="358">
        <f t="shared" si="3"/>
        <v>6476953</v>
      </c>
      <c r="C25" s="280">
        <v>6542879</v>
      </c>
      <c r="D25" s="445">
        <f t="shared" si="0"/>
        <v>65926</v>
      </c>
      <c r="E25" s="280">
        <v>65927.77</v>
      </c>
      <c r="F25" s="580">
        <f t="shared" si="5"/>
        <v>-1.7700000000040745</v>
      </c>
      <c r="G25" s="581">
        <f t="shared" si="4"/>
        <v>52890</v>
      </c>
      <c r="H25" s="280">
        <v>59763</v>
      </c>
      <c r="I25" s="313">
        <f t="shared" si="1"/>
        <v>6873</v>
      </c>
      <c r="J25" s="280">
        <v>6874.87</v>
      </c>
      <c r="K25" s="319">
        <f t="shared" si="2"/>
        <v>-1.8699999999998909</v>
      </c>
      <c r="L25" s="582">
        <f t="shared" si="6"/>
        <v>72799</v>
      </c>
    </row>
    <row r="26" spans="1:12">
      <c r="A26" s="278">
        <v>43132</v>
      </c>
      <c r="B26" s="358">
        <f t="shared" si="3"/>
        <v>6542879</v>
      </c>
      <c r="C26" s="280">
        <v>6604433</v>
      </c>
      <c r="D26" s="445">
        <f t="shared" si="0"/>
        <v>61554</v>
      </c>
      <c r="E26" s="346">
        <v>61553.03</v>
      </c>
      <c r="F26" s="580">
        <f t="shared" si="5"/>
        <v>0.97000000000116415</v>
      </c>
      <c r="G26" s="581">
        <f t="shared" si="4"/>
        <v>59763</v>
      </c>
      <c r="H26" s="280">
        <v>66652</v>
      </c>
      <c r="I26" s="313">
        <f t="shared" si="1"/>
        <v>6889</v>
      </c>
      <c r="J26" s="280">
        <v>6890.89</v>
      </c>
      <c r="K26" s="319">
        <f t="shared" si="2"/>
        <v>-1.8900000000003274</v>
      </c>
      <c r="L26" s="582">
        <f t="shared" si="6"/>
        <v>68443</v>
      </c>
    </row>
    <row r="27" spans="1:12">
      <c r="A27" s="278">
        <v>43160</v>
      </c>
      <c r="B27" s="358">
        <f t="shared" si="3"/>
        <v>6604433</v>
      </c>
      <c r="C27" s="314">
        <v>6660226</v>
      </c>
      <c r="D27" s="445">
        <f t="shared" si="0"/>
        <v>55793</v>
      </c>
      <c r="E27" s="314">
        <v>55792.75</v>
      </c>
      <c r="F27" s="580">
        <f t="shared" si="5"/>
        <v>0.25</v>
      </c>
      <c r="G27" s="581">
        <f t="shared" si="4"/>
        <v>66652</v>
      </c>
      <c r="H27" s="314">
        <v>77607</v>
      </c>
      <c r="I27" s="313">
        <f t="shared" si="1"/>
        <v>10955</v>
      </c>
      <c r="J27" s="314">
        <v>10955.45</v>
      </c>
      <c r="K27" s="319">
        <f t="shared" si="2"/>
        <v>-0.4500000000007276</v>
      </c>
      <c r="L27" s="582">
        <f t="shared" si="6"/>
        <v>66748</v>
      </c>
    </row>
    <row r="28" spans="1:12">
      <c r="A28" s="278">
        <v>43191</v>
      </c>
      <c r="B28" s="358">
        <f t="shared" si="3"/>
        <v>6660226</v>
      </c>
      <c r="C28" s="280">
        <v>6714539</v>
      </c>
      <c r="D28" s="445">
        <f t="shared" si="0"/>
        <v>54313</v>
      </c>
      <c r="E28" s="314">
        <v>54312.28</v>
      </c>
      <c r="F28" s="580">
        <f t="shared" si="5"/>
        <v>0.72000000000116415</v>
      </c>
      <c r="G28" s="581">
        <f t="shared" si="4"/>
        <v>77607</v>
      </c>
      <c r="H28" s="280">
        <v>82271</v>
      </c>
      <c r="I28" s="313">
        <f t="shared" si="1"/>
        <v>4664</v>
      </c>
      <c r="J28" s="314">
        <v>4665.22</v>
      </c>
      <c r="K28" s="319">
        <f t="shared" si="2"/>
        <v>-1.2200000000002547</v>
      </c>
      <c r="L28" s="582">
        <f t="shared" si="6"/>
        <v>58977</v>
      </c>
    </row>
    <row r="29" spans="1:12">
      <c r="A29" s="302">
        <v>43221</v>
      </c>
      <c r="B29" s="358">
        <f t="shared" si="3"/>
        <v>6714539</v>
      </c>
      <c r="C29" s="280">
        <v>6774547</v>
      </c>
      <c r="D29" s="445">
        <f t="shared" si="0"/>
        <v>60008</v>
      </c>
      <c r="E29" s="280">
        <v>60007.47</v>
      </c>
      <c r="F29" s="580">
        <f t="shared" si="5"/>
        <v>0.52999999999883585</v>
      </c>
      <c r="G29" s="581">
        <f t="shared" si="4"/>
        <v>82271</v>
      </c>
      <c r="H29" s="280">
        <v>88664</v>
      </c>
      <c r="I29" s="313">
        <f t="shared" si="1"/>
        <v>6393</v>
      </c>
      <c r="J29" s="280">
        <v>6392.14</v>
      </c>
      <c r="K29" s="319">
        <f t="shared" si="2"/>
        <v>0.85999999999967258</v>
      </c>
      <c r="L29" s="582">
        <f t="shared" si="6"/>
        <v>66401</v>
      </c>
    </row>
    <row r="30" spans="1:12">
      <c r="A30" s="278">
        <v>43252</v>
      </c>
      <c r="B30" s="358">
        <f t="shared" si="3"/>
        <v>6774547</v>
      </c>
      <c r="C30" s="280">
        <v>6845214</v>
      </c>
      <c r="D30" s="445">
        <f t="shared" si="0"/>
        <v>70667</v>
      </c>
      <c r="E30" s="280">
        <v>70666.289999999994</v>
      </c>
      <c r="F30" s="580">
        <f t="shared" si="5"/>
        <v>0.71000000000640284</v>
      </c>
      <c r="G30" s="581">
        <f t="shared" si="4"/>
        <v>88664</v>
      </c>
      <c r="H30" s="280">
        <v>99683</v>
      </c>
      <c r="I30" s="313">
        <f t="shared" si="1"/>
        <v>11019</v>
      </c>
      <c r="J30" s="314">
        <v>11020.51</v>
      </c>
      <c r="K30" s="319">
        <f t="shared" si="2"/>
        <v>-1.5100000000002183</v>
      </c>
      <c r="L30" s="582">
        <f t="shared" si="6"/>
        <v>81686</v>
      </c>
    </row>
    <row r="31" spans="1:12">
      <c r="A31" s="278">
        <v>43282</v>
      </c>
      <c r="B31" s="358">
        <f t="shared" si="3"/>
        <v>6845214</v>
      </c>
      <c r="C31" s="314">
        <v>6921964</v>
      </c>
      <c r="D31" s="445">
        <f t="shared" si="0"/>
        <v>76750</v>
      </c>
      <c r="E31" s="314">
        <v>76750.25</v>
      </c>
      <c r="F31" s="580">
        <f t="shared" si="5"/>
        <v>-0.25</v>
      </c>
      <c r="G31" s="581">
        <f t="shared" si="4"/>
        <v>99683</v>
      </c>
      <c r="H31" s="314">
        <v>107936</v>
      </c>
      <c r="I31" s="313">
        <f t="shared" si="1"/>
        <v>8253</v>
      </c>
      <c r="J31" s="314">
        <v>8252.24</v>
      </c>
      <c r="K31" s="319">
        <f t="shared" si="2"/>
        <v>0.76000000000021828</v>
      </c>
      <c r="L31" s="582">
        <f t="shared" si="6"/>
        <v>85003</v>
      </c>
    </row>
    <row r="32" spans="1:12">
      <c r="A32" s="278">
        <v>43313</v>
      </c>
      <c r="B32" s="358">
        <f t="shared" si="3"/>
        <v>6921964</v>
      </c>
      <c r="C32" s="314">
        <v>7001142</v>
      </c>
      <c r="D32" s="445">
        <f t="shared" si="0"/>
        <v>79178</v>
      </c>
      <c r="E32" s="314">
        <v>79179.56</v>
      </c>
      <c r="F32" s="580">
        <f t="shared" si="5"/>
        <v>-1.5599999999976717</v>
      </c>
      <c r="G32" s="581">
        <f t="shared" si="4"/>
        <v>107936</v>
      </c>
      <c r="H32" s="314">
        <v>116730</v>
      </c>
      <c r="I32" s="313">
        <f t="shared" si="1"/>
        <v>8794</v>
      </c>
      <c r="J32" s="314">
        <v>8793.1200000000008</v>
      </c>
      <c r="K32" s="319">
        <f t="shared" si="2"/>
        <v>0.87999999999919964</v>
      </c>
      <c r="L32" s="582">
        <f t="shared" si="6"/>
        <v>87972</v>
      </c>
    </row>
    <row r="33" spans="1:12">
      <c r="A33" s="278">
        <v>43344</v>
      </c>
      <c r="B33" s="358">
        <f t="shared" si="3"/>
        <v>7001142</v>
      </c>
      <c r="C33" s="314">
        <v>7074217</v>
      </c>
      <c r="D33" s="445">
        <f t="shared" si="0"/>
        <v>73075</v>
      </c>
      <c r="E33" s="314">
        <v>73076.960000000006</v>
      </c>
      <c r="F33" s="580">
        <f t="shared" si="5"/>
        <v>-1.9600000000064028</v>
      </c>
      <c r="G33" s="581">
        <f t="shared" si="4"/>
        <v>116730</v>
      </c>
      <c r="H33" s="314">
        <v>127346</v>
      </c>
      <c r="I33" s="313">
        <f t="shared" si="1"/>
        <v>10616</v>
      </c>
      <c r="J33" s="314">
        <v>10615.37</v>
      </c>
      <c r="K33" s="319">
        <f t="shared" si="2"/>
        <v>0.62999999999919964</v>
      </c>
      <c r="L33" s="582">
        <f t="shared" si="6"/>
        <v>83691</v>
      </c>
    </row>
    <row r="34" spans="1:12">
      <c r="A34" s="278">
        <v>43374</v>
      </c>
      <c r="B34" s="358">
        <f t="shared" si="3"/>
        <v>7074217</v>
      </c>
      <c r="C34" s="280">
        <v>7154506</v>
      </c>
      <c r="D34" s="445">
        <f t="shared" si="0"/>
        <v>80289</v>
      </c>
      <c r="E34" s="280">
        <v>80287.839999999997</v>
      </c>
      <c r="F34" s="580">
        <f t="shared" si="5"/>
        <v>1.1600000000034925</v>
      </c>
      <c r="G34" s="581">
        <f t="shared" si="4"/>
        <v>127346</v>
      </c>
      <c r="H34" s="280">
        <v>134840</v>
      </c>
      <c r="I34" s="313">
        <f t="shared" si="1"/>
        <v>7494</v>
      </c>
      <c r="J34" s="280">
        <v>7493.99</v>
      </c>
      <c r="K34" s="319">
        <f t="shared" si="2"/>
        <v>1.0000000000218279E-2</v>
      </c>
      <c r="L34" s="582">
        <f t="shared" si="6"/>
        <v>87783</v>
      </c>
    </row>
    <row r="35" spans="1:12">
      <c r="A35" s="278">
        <v>43405</v>
      </c>
      <c r="B35" s="358">
        <f t="shared" si="3"/>
        <v>7154506</v>
      </c>
      <c r="C35" s="280">
        <v>7225359</v>
      </c>
      <c r="D35" s="445">
        <f t="shared" si="0"/>
        <v>70853</v>
      </c>
      <c r="E35" s="280">
        <v>70852.88</v>
      </c>
      <c r="F35" s="580">
        <f t="shared" si="5"/>
        <v>0.11999999999534339</v>
      </c>
      <c r="G35" s="581">
        <f t="shared" si="4"/>
        <v>134840</v>
      </c>
      <c r="H35" s="280">
        <v>145302</v>
      </c>
      <c r="I35" s="313">
        <f t="shared" si="1"/>
        <v>10462</v>
      </c>
      <c r="J35" s="280">
        <v>10462.700000000001</v>
      </c>
      <c r="K35" s="319">
        <f t="shared" si="2"/>
        <v>-0.7000000000007276</v>
      </c>
      <c r="L35" s="582">
        <f t="shared" si="6"/>
        <v>81315</v>
      </c>
    </row>
    <row r="36" spans="1:12">
      <c r="A36" s="278">
        <v>43435</v>
      </c>
      <c r="B36" s="358">
        <f t="shared" si="3"/>
        <v>7225359</v>
      </c>
      <c r="C36" s="280">
        <v>7296581</v>
      </c>
      <c r="D36" s="445">
        <f t="shared" si="0"/>
        <v>71222</v>
      </c>
      <c r="E36" s="280">
        <v>71221.22</v>
      </c>
      <c r="F36" s="580">
        <f t="shared" si="5"/>
        <v>0.77999999999883585</v>
      </c>
      <c r="G36" s="581">
        <f t="shared" si="4"/>
        <v>145302</v>
      </c>
      <c r="H36" s="280">
        <v>154999</v>
      </c>
      <c r="I36" s="313">
        <f t="shared" si="1"/>
        <v>9697</v>
      </c>
      <c r="J36" s="280">
        <v>9696.7999999999993</v>
      </c>
      <c r="K36" s="319">
        <f t="shared" si="2"/>
        <v>0.2000000000007276</v>
      </c>
      <c r="L36" s="582">
        <f t="shared" si="6"/>
        <v>80919</v>
      </c>
    </row>
    <row r="37" spans="1:12">
      <c r="A37" s="278">
        <v>43466</v>
      </c>
      <c r="B37" s="358">
        <f t="shared" si="3"/>
        <v>7296581</v>
      </c>
      <c r="C37" s="280">
        <v>7366625</v>
      </c>
      <c r="D37" s="445">
        <f t="shared" si="0"/>
        <v>70044</v>
      </c>
      <c r="E37" s="280">
        <v>70042.86</v>
      </c>
      <c r="F37" s="580">
        <f t="shared" si="5"/>
        <v>1.1399999999994179</v>
      </c>
      <c r="G37" s="581">
        <f t="shared" si="4"/>
        <v>154999</v>
      </c>
      <c r="H37" s="280">
        <v>161103</v>
      </c>
      <c r="I37" s="313">
        <f t="shared" si="1"/>
        <v>6104</v>
      </c>
      <c r="J37" s="280">
        <v>6107.32</v>
      </c>
      <c r="K37" s="319">
        <f t="shared" si="2"/>
        <v>-3.319999999999709</v>
      </c>
      <c r="L37" s="582">
        <f t="shared" si="6"/>
        <v>76148</v>
      </c>
    </row>
    <row r="38" spans="1:12">
      <c r="A38" s="278">
        <v>43497</v>
      </c>
      <c r="B38" s="358">
        <f t="shared" si="3"/>
        <v>7366625</v>
      </c>
      <c r="C38" s="280">
        <v>7427612</v>
      </c>
      <c r="D38" s="445">
        <f t="shared" si="0"/>
        <v>60987</v>
      </c>
      <c r="E38" s="280">
        <v>60986.27</v>
      </c>
      <c r="F38" s="580">
        <f t="shared" si="5"/>
        <v>0.73000000000320142</v>
      </c>
      <c r="G38" s="581">
        <f t="shared" si="4"/>
        <v>161103</v>
      </c>
      <c r="H38" s="280">
        <v>167784</v>
      </c>
      <c r="I38" s="313">
        <f t="shared" si="1"/>
        <v>6681</v>
      </c>
      <c r="J38" s="280">
        <v>6681</v>
      </c>
      <c r="K38" s="319">
        <f t="shared" si="2"/>
        <v>0</v>
      </c>
      <c r="L38" s="582">
        <f t="shared" si="6"/>
        <v>67668</v>
      </c>
    </row>
    <row r="39" spans="1:12">
      <c r="A39" s="278">
        <v>43525</v>
      </c>
      <c r="B39" s="358">
        <f t="shared" si="3"/>
        <v>7427612</v>
      </c>
      <c r="C39" s="280">
        <v>7494502</v>
      </c>
      <c r="D39" s="445">
        <f t="shared" si="0"/>
        <v>66890</v>
      </c>
      <c r="E39" s="280">
        <v>66888.649999999994</v>
      </c>
      <c r="F39" s="580">
        <f t="shared" si="5"/>
        <v>1.3500000000058208</v>
      </c>
      <c r="G39" s="581">
        <f t="shared" si="4"/>
        <v>167784</v>
      </c>
      <c r="H39" s="280">
        <v>178453</v>
      </c>
      <c r="I39" s="313">
        <f t="shared" si="1"/>
        <v>10669</v>
      </c>
      <c r="J39" s="280">
        <v>10669.59</v>
      </c>
      <c r="K39" s="319">
        <f t="shared" si="2"/>
        <v>-0.59000000000014552</v>
      </c>
      <c r="L39" s="582">
        <f t="shared" si="6"/>
        <v>77559</v>
      </c>
    </row>
    <row r="40" spans="1:12">
      <c r="A40" s="278">
        <v>43556</v>
      </c>
      <c r="B40" s="358">
        <f t="shared" si="3"/>
        <v>7494502</v>
      </c>
      <c r="C40" s="280">
        <v>7567839</v>
      </c>
      <c r="D40" s="445">
        <f t="shared" si="0"/>
        <v>73337</v>
      </c>
      <c r="E40" s="280">
        <v>73336.570000000007</v>
      </c>
      <c r="F40" s="580">
        <f t="shared" si="5"/>
        <v>0.42999999999301508</v>
      </c>
      <c r="G40" s="581">
        <f t="shared" si="4"/>
        <v>178453</v>
      </c>
      <c r="H40" s="280">
        <v>185868</v>
      </c>
      <c r="I40" s="313">
        <f t="shared" si="1"/>
        <v>7415</v>
      </c>
      <c r="J40" s="280">
        <v>7415.91</v>
      </c>
      <c r="K40" s="319">
        <f t="shared" si="2"/>
        <v>-0.90999999999985448</v>
      </c>
      <c r="L40" s="582">
        <f t="shared" si="6"/>
        <v>80752</v>
      </c>
    </row>
    <row r="41" spans="1:12">
      <c r="A41" s="278">
        <v>43586</v>
      </c>
      <c r="B41" s="358">
        <f t="shared" si="3"/>
        <v>7567839</v>
      </c>
      <c r="C41" s="280">
        <v>7635177</v>
      </c>
      <c r="D41" s="445">
        <f t="shared" si="0"/>
        <v>67338</v>
      </c>
      <c r="E41" s="280">
        <v>67338.48</v>
      </c>
      <c r="F41" s="580">
        <f t="shared" si="5"/>
        <v>-0.47999999999592546</v>
      </c>
      <c r="G41" s="581">
        <f t="shared" si="4"/>
        <v>185868</v>
      </c>
      <c r="H41" s="280">
        <v>191580</v>
      </c>
      <c r="I41" s="313">
        <f t="shared" si="1"/>
        <v>5712</v>
      </c>
      <c r="J41" s="280">
        <v>5711.08</v>
      </c>
      <c r="K41" s="319">
        <f t="shared" si="2"/>
        <v>0.92000000000007276</v>
      </c>
      <c r="L41" s="582">
        <f t="shared" si="6"/>
        <v>73050</v>
      </c>
    </row>
    <row r="42" spans="1:12">
      <c r="A42" s="278">
        <v>43617</v>
      </c>
      <c r="B42" s="358">
        <f t="shared" si="3"/>
        <v>7635177</v>
      </c>
      <c r="C42" s="280">
        <v>7705814</v>
      </c>
      <c r="D42" s="445">
        <f t="shared" si="0"/>
        <v>70637</v>
      </c>
      <c r="E42" s="280">
        <v>70631.199999999997</v>
      </c>
      <c r="F42" s="580">
        <f>D42-E42</f>
        <v>5.8000000000029104</v>
      </c>
      <c r="G42" s="581">
        <f t="shared" si="4"/>
        <v>191580</v>
      </c>
      <c r="H42" s="280">
        <v>198910</v>
      </c>
      <c r="I42" s="313">
        <f t="shared" si="1"/>
        <v>7330</v>
      </c>
      <c r="J42" s="280">
        <v>7352.54</v>
      </c>
      <c r="K42" s="319">
        <f t="shared" si="2"/>
        <v>-22.539999999999964</v>
      </c>
      <c r="L42" s="582">
        <f t="shared" si="6"/>
        <v>77967</v>
      </c>
    </row>
    <row r="43" spans="1:12">
      <c r="A43" s="278">
        <v>43647</v>
      </c>
      <c r="B43" s="358">
        <f t="shared" si="3"/>
        <v>7705814</v>
      </c>
      <c r="C43" s="280">
        <v>7789265</v>
      </c>
      <c r="D43" s="445">
        <f t="shared" si="0"/>
        <v>83451</v>
      </c>
      <c r="E43" s="280">
        <v>83450.259999999995</v>
      </c>
      <c r="F43" s="580">
        <f t="shared" si="5"/>
        <v>0.74000000000523869</v>
      </c>
      <c r="G43" s="581">
        <f t="shared" si="4"/>
        <v>198910</v>
      </c>
      <c r="H43" s="280">
        <v>208208</v>
      </c>
      <c r="I43" s="313">
        <f t="shared" si="1"/>
        <v>9298</v>
      </c>
      <c r="J43" s="280">
        <v>8921.51</v>
      </c>
      <c r="K43" s="319">
        <f t="shared" si="2"/>
        <v>376.48999999999978</v>
      </c>
      <c r="L43" s="582">
        <f t="shared" si="6"/>
        <v>92749</v>
      </c>
    </row>
    <row r="44" spans="1:12">
      <c r="A44" s="278">
        <v>43678</v>
      </c>
      <c r="B44" s="358">
        <f t="shared" si="3"/>
        <v>7789265</v>
      </c>
      <c r="C44" s="280">
        <v>7867728</v>
      </c>
      <c r="D44" s="445">
        <f t="shared" si="0"/>
        <v>78463</v>
      </c>
      <c r="E44" s="280">
        <v>78463.600000000006</v>
      </c>
      <c r="F44" s="580">
        <f>D44-E44</f>
        <v>-0.60000000000582077</v>
      </c>
      <c r="G44" s="581">
        <f t="shared" si="4"/>
        <v>208208</v>
      </c>
      <c r="H44" s="280">
        <v>216205</v>
      </c>
      <c r="I44" s="313">
        <f t="shared" si="1"/>
        <v>7997</v>
      </c>
      <c r="J44" s="280">
        <v>7870.33</v>
      </c>
      <c r="K44" s="319">
        <f t="shared" si="2"/>
        <v>126.67000000000007</v>
      </c>
      <c r="L44" s="582">
        <f t="shared" si="6"/>
        <v>86460</v>
      </c>
    </row>
    <row r="45" spans="1:12">
      <c r="A45" s="278">
        <v>43709</v>
      </c>
      <c r="B45" s="358">
        <f t="shared" si="3"/>
        <v>7867728</v>
      </c>
      <c r="C45" s="280">
        <v>7937278</v>
      </c>
      <c r="D45" s="445">
        <f t="shared" si="0"/>
        <v>69550</v>
      </c>
      <c r="E45" s="280">
        <v>69549.31</v>
      </c>
      <c r="F45" s="580">
        <f t="shared" si="5"/>
        <v>0.69000000000232831</v>
      </c>
      <c r="G45" s="581">
        <f t="shared" si="4"/>
        <v>216205</v>
      </c>
      <c r="H45" s="280">
        <v>223195</v>
      </c>
      <c r="I45" s="313">
        <f t="shared" si="1"/>
        <v>6990</v>
      </c>
      <c r="J45" s="280">
        <v>6989.22</v>
      </c>
      <c r="K45" s="319">
        <f t="shared" si="2"/>
        <v>0.77999999999974534</v>
      </c>
      <c r="L45" s="582">
        <f t="shared" si="6"/>
        <v>76540</v>
      </c>
    </row>
    <row r="46" spans="1:12">
      <c r="A46" s="278">
        <v>43739</v>
      </c>
      <c r="B46" s="358">
        <f t="shared" si="3"/>
        <v>7937278</v>
      </c>
      <c r="C46" s="280">
        <v>8009185</v>
      </c>
      <c r="D46" s="445">
        <f t="shared" si="0"/>
        <v>71907</v>
      </c>
      <c r="E46" s="280">
        <v>71906.240000000005</v>
      </c>
      <c r="F46" s="580">
        <f t="shared" si="5"/>
        <v>0.75999999999476131</v>
      </c>
      <c r="G46" s="581">
        <f t="shared" si="4"/>
        <v>223195</v>
      </c>
      <c r="H46" s="280">
        <v>229902</v>
      </c>
      <c r="I46" s="313">
        <f t="shared" si="1"/>
        <v>6707</v>
      </c>
      <c r="J46" s="280">
        <v>6706</v>
      </c>
      <c r="K46" s="319">
        <f t="shared" si="2"/>
        <v>1</v>
      </c>
      <c r="L46" s="582">
        <f t="shared" si="6"/>
        <v>78614</v>
      </c>
    </row>
    <row r="47" spans="1:12">
      <c r="A47" s="278">
        <v>43770</v>
      </c>
      <c r="B47" s="358">
        <f t="shared" si="3"/>
        <v>8009185</v>
      </c>
      <c r="C47" s="280">
        <v>8069975</v>
      </c>
      <c r="D47" s="445">
        <f t="shared" si="0"/>
        <v>60790</v>
      </c>
      <c r="E47" s="280">
        <v>60788.44</v>
      </c>
      <c r="F47" s="580">
        <f t="shared" si="5"/>
        <v>1.5599999999976717</v>
      </c>
      <c r="G47" s="581">
        <f t="shared" si="4"/>
        <v>229902</v>
      </c>
      <c r="H47" s="280">
        <v>235486</v>
      </c>
      <c r="I47" s="313">
        <f t="shared" si="1"/>
        <v>5584</v>
      </c>
      <c r="J47" s="280">
        <v>5584</v>
      </c>
      <c r="K47" s="319">
        <f t="shared" si="2"/>
        <v>0</v>
      </c>
      <c r="L47" s="582">
        <f t="shared" si="6"/>
        <v>66374</v>
      </c>
    </row>
    <row r="48" spans="1:12">
      <c r="A48" s="278">
        <v>43800</v>
      </c>
      <c r="B48" s="358">
        <f t="shared" si="3"/>
        <v>8069975</v>
      </c>
      <c r="C48" s="314">
        <v>8133966</v>
      </c>
      <c r="D48" s="445">
        <f t="shared" si="0"/>
        <v>63991</v>
      </c>
      <c r="E48" s="314">
        <v>63990.63</v>
      </c>
      <c r="F48" s="580">
        <f t="shared" si="5"/>
        <v>0.37000000000261934</v>
      </c>
      <c r="G48" s="581">
        <f t="shared" si="4"/>
        <v>235486</v>
      </c>
      <c r="H48" s="314">
        <v>245835</v>
      </c>
      <c r="I48" s="313">
        <f t="shared" si="1"/>
        <v>10349</v>
      </c>
      <c r="J48" s="314">
        <v>10348.06</v>
      </c>
      <c r="K48" s="319">
        <f t="shared" si="2"/>
        <v>0.94000000000050932</v>
      </c>
      <c r="L48" s="582">
        <f t="shared" si="6"/>
        <v>74340</v>
      </c>
    </row>
    <row r="49" spans="1:12">
      <c r="A49" s="278">
        <v>43831</v>
      </c>
      <c r="B49" s="358">
        <f t="shared" si="3"/>
        <v>8133966</v>
      </c>
      <c r="C49" s="280">
        <v>8200024</v>
      </c>
      <c r="D49" s="445">
        <f t="shared" si="0"/>
        <v>66058</v>
      </c>
      <c r="E49" s="280">
        <v>66057.75</v>
      </c>
      <c r="F49" s="580">
        <f t="shared" si="5"/>
        <v>0.25</v>
      </c>
      <c r="G49" s="581">
        <f t="shared" si="4"/>
        <v>245835</v>
      </c>
      <c r="H49" s="280">
        <v>253278</v>
      </c>
      <c r="I49" s="313">
        <f t="shared" si="1"/>
        <v>7443</v>
      </c>
      <c r="J49" s="280">
        <v>7443.22</v>
      </c>
      <c r="K49" s="319">
        <f t="shared" si="2"/>
        <v>-0.22000000000025466</v>
      </c>
      <c r="L49" s="582">
        <f t="shared" si="6"/>
        <v>73501</v>
      </c>
    </row>
    <row r="50" spans="1:12">
      <c r="A50" s="278">
        <v>43862</v>
      </c>
      <c r="B50" s="358">
        <f t="shared" si="3"/>
        <v>8200024</v>
      </c>
      <c r="C50" s="280">
        <v>8265856</v>
      </c>
      <c r="D50" s="445">
        <f t="shared" si="0"/>
        <v>65832</v>
      </c>
      <c r="E50" s="280">
        <v>65831.210000000006</v>
      </c>
      <c r="F50" s="580">
        <f t="shared" si="5"/>
        <v>0.78999999999359716</v>
      </c>
      <c r="G50" s="581">
        <f t="shared" si="4"/>
        <v>253278</v>
      </c>
      <c r="H50" s="280">
        <v>259127</v>
      </c>
      <c r="I50" s="313">
        <f t="shared" si="1"/>
        <v>5849</v>
      </c>
      <c r="J50" s="280">
        <v>5848.37</v>
      </c>
      <c r="K50" s="319">
        <f t="shared" si="2"/>
        <v>0.63000000000010914</v>
      </c>
      <c r="L50" s="582">
        <f t="shared" si="6"/>
        <v>71681</v>
      </c>
    </row>
    <row r="51" spans="1:12">
      <c r="A51" s="278">
        <v>43891</v>
      </c>
      <c r="B51" s="358">
        <f t="shared" si="3"/>
        <v>8265856</v>
      </c>
      <c r="C51" s="280">
        <v>8316467</v>
      </c>
      <c r="D51" s="445">
        <f t="shared" si="0"/>
        <v>50611</v>
      </c>
      <c r="E51" s="280">
        <v>50610.58</v>
      </c>
      <c r="F51" s="580">
        <f t="shared" si="5"/>
        <v>0.41999999999825377</v>
      </c>
      <c r="G51" s="581">
        <f t="shared" si="4"/>
        <v>259127</v>
      </c>
      <c r="H51" s="280">
        <v>262770</v>
      </c>
      <c r="I51" s="313">
        <f t="shared" si="1"/>
        <v>3643</v>
      </c>
      <c r="J51" s="280">
        <v>3643.28</v>
      </c>
      <c r="K51" s="319">
        <f t="shared" si="2"/>
        <v>-0.28000000000020009</v>
      </c>
      <c r="L51" s="582">
        <f t="shared" si="6"/>
        <v>54254</v>
      </c>
    </row>
    <row r="52" spans="1:12">
      <c r="A52" s="278">
        <v>43951</v>
      </c>
      <c r="B52" s="358">
        <f t="shared" si="3"/>
        <v>8316467</v>
      </c>
      <c r="C52" s="636">
        <v>8337939</v>
      </c>
      <c r="D52" s="445">
        <f t="shared" si="0"/>
        <v>21472</v>
      </c>
      <c r="E52" s="636">
        <v>21470.92</v>
      </c>
      <c r="F52" s="580">
        <f t="shared" si="5"/>
        <v>1.0800000000017462</v>
      </c>
      <c r="G52" s="581">
        <f t="shared" si="4"/>
        <v>262770</v>
      </c>
      <c r="H52" s="636">
        <v>264590</v>
      </c>
      <c r="I52" s="313">
        <f t="shared" si="1"/>
        <v>1820</v>
      </c>
      <c r="J52" s="636">
        <v>1820.3</v>
      </c>
      <c r="K52" s="319">
        <f t="shared" si="2"/>
        <v>-0.29999999999995453</v>
      </c>
      <c r="L52" s="582">
        <f t="shared" si="6"/>
        <v>23292</v>
      </c>
    </row>
    <row r="53" spans="1:12">
      <c r="A53" s="278">
        <v>43952</v>
      </c>
      <c r="B53" s="358">
        <f t="shared" si="3"/>
        <v>8337939</v>
      </c>
      <c r="C53" s="280"/>
      <c r="D53" s="445">
        <f t="shared" si="0"/>
        <v>-8337939</v>
      </c>
      <c r="E53" s="280"/>
      <c r="F53" s="580">
        <f t="shared" si="5"/>
        <v>-8337939</v>
      </c>
      <c r="G53" s="581">
        <f t="shared" si="4"/>
        <v>264590</v>
      </c>
      <c r="H53" s="280"/>
      <c r="I53" s="313">
        <f t="shared" si="1"/>
        <v>-264590</v>
      </c>
      <c r="J53" s="280"/>
      <c r="K53" s="319">
        <f t="shared" si="2"/>
        <v>-264590</v>
      </c>
      <c r="L53" s="582">
        <f t="shared" si="6"/>
        <v>-8602529</v>
      </c>
    </row>
    <row r="54" spans="1:12">
      <c r="A54" s="278">
        <v>43983</v>
      </c>
      <c r="B54" s="358">
        <f t="shared" si="3"/>
        <v>0</v>
      </c>
      <c r="C54" s="280"/>
      <c r="D54" s="445">
        <f t="shared" si="0"/>
        <v>0</v>
      </c>
      <c r="E54" s="280"/>
      <c r="F54" s="580">
        <f t="shared" si="5"/>
        <v>0</v>
      </c>
      <c r="G54" s="581">
        <f t="shared" si="4"/>
        <v>0</v>
      </c>
      <c r="H54" s="280"/>
      <c r="I54" s="313">
        <f t="shared" si="1"/>
        <v>0</v>
      </c>
      <c r="J54" s="280"/>
      <c r="K54" s="319">
        <f t="shared" si="2"/>
        <v>0</v>
      </c>
      <c r="L54" s="582">
        <f t="shared" si="6"/>
        <v>0</v>
      </c>
    </row>
    <row r="55" spans="1:12">
      <c r="A55" s="278">
        <v>44013</v>
      </c>
      <c r="B55" s="358">
        <f t="shared" si="3"/>
        <v>0</v>
      </c>
      <c r="C55" s="280"/>
      <c r="D55" s="445">
        <f t="shared" si="0"/>
        <v>0</v>
      </c>
      <c r="E55" s="280"/>
      <c r="F55" s="580">
        <f t="shared" si="5"/>
        <v>0</v>
      </c>
      <c r="G55" s="581">
        <f t="shared" si="4"/>
        <v>0</v>
      </c>
      <c r="H55" s="280"/>
      <c r="I55" s="313">
        <f t="shared" si="1"/>
        <v>0</v>
      </c>
      <c r="J55" s="280"/>
      <c r="K55" s="319">
        <f t="shared" si="2"/>
        <v>0</v>
      </c>
      <c r="L55" s="582">
        <f t="shared" si="6"/>
        <v>0</v>
      </c>
    </row>
    <row r="56" spans="1:12">
      <c r="A56" s="278">
        <v>44044</v>
      </c>
      <c r="B56" s="358">
        <f t="shared" si="3"/>
        <v>0</v>
      </c>
      <c r="C56" s="280"/>
      <c r="D56" s="445">
        <f t="shared" si="0"/>
        <v>0</v>
      </c>
      <c r="E56" s="280"/>
      <c r="F56" s="580">
        <f t="shared" si="5"/>
        <v>0</v>
      </c>
      <c r="G56" s="581">
        <f t="shared" si="4"/>
        <v>0</v>
      </c>
      <c r="H56" s="280"/>
      <c r="I56" s="313">
        <f t="shared" si="1"/>
        <v>0</v>
      </c>
      <c r="J56" s="280"/>
      <c r="K56" s="319">
        <f t="shared" si="2"/>
        <v>0</v>
      </c>
      <c r="L56" s="582">
        <f t="shared" si="6"/>
        <v>0</v>
      </c>
    </row>
    <row r="57" spans="1:12">
      <c r="A57" s="278">
        <v>44075</v>
      </c>
      <c r="B57" s="358">
        <f t="shared" si="3"/>
        <v>0</v>
      </c>
      <c r="C57" s="280"/>
      <c r="D57" s="445">
        <f t="shared" si="0"/>
        <v>0</v>
      </c>
      <c r="E57" s="280"/>
      <c r="F57" s="580">
        <f t="shared" si="5"/>
        <v>0</v>
      </c>
      <c r="G57" s="581">
        <f t="shared" si="4"/>
        <v>0</v>
      </c>
      <c r="H57" s="280"/>
      <c r="I57" s="313">
        <f t="shared" si="1"/>
        <v>0</v>
      </c>
      <c r="J57" s="280"/>
      <c r="K57" s="319">
        <f t="shared" si="2"/>
        <v>0</v>
      </c>
      <c r="L57" s="582">
        <f t="shared" si="6"/>
        <v>0</v>
      </c>
    </row>
    <row r="58" spans="1:12">
      <c r="A58" s="278">
        <v>44105</v>
      </c>
      <c r="B58" s="358">
        <f t="shared" si="3"/>
        <v>0</v>
      </c>
      <c r="C58" s="280"/>
      <c r="D58" s="445">
        <f t="shared" si="0"/>
        <v>0</v>
      </c>
      <c r="E58" s="280"/>
      <c r="F58" s="580">
        <f t="shared" si="5"/>
        <v>0</v>
      </c>
      <c r="G58" s="581">
        <f t="shared" si="4"/>
        <v>0</v>
      </c>
      <c r="H58" s="280"/>
      <c r="I58" s="313">
        <f t="shared" si="1"/>
        <v>0</v>
      </c>
      <c r="J58" s="280"/>
      <c r="K58" s="319">
        <f t="shared" si="2"/>
        <v>0</v>
      </c>
      <c r="L58" s="582">
        <f t="shared" si="6"/>
        <v>0</v>
      </c>
    </row>
    <row r="59" spans="1:12">
      <c r="A59" s="278">
        <v>44136</v>
      </c>
      <c r="B59" s="358">
        <f t="shared" si="3"/>
        <v>0</v>
      </c>
      <c r="C59" s="280"/>
      <c r="D59" s="445">
        <f t="shared" si="0"/>
        <v>0</v>
      </c>
      <c r="E59" s="280"/>
      <c r="F59" s="580">
        <f t="shared" si="5"/>
        <v>0</v>
      </c>
      <c r="G59" s="581">
        <f t="shared" si="4"/>
        <v>0</v>
      </c>
      <c r="H59" s="280"/>
      <c r="I59" s="313">
        <f t="shared" si="1"/>
        <v>0</v>
      </c>
      <c r="J59" s="280"/>
      <c r="K59" s="319">
        <f t="shared" si="2"/>
        <v>0</v>
      </c>
      <c r="L59" s="582">
        <f t="shared" si="6"/>
        <v>0</v>
      </c>
    </row>
    <row r="60" spans="1:12">
      <c r="A60" s="278">
        <v>44166</v>
      </c>
      <c r="B60" s="358">
        <f t="shared" si="3"/>
        <v>0</v>
      </c>
      <c r="C60" s="280"/>
      <c r="D60" s="445">
        <f t="shared" si="0"/>
        <v>0</v>
      </c>
      <c r="E60" s="280"/>
      <c r="F60" s="580">
        <f t="shared" si="5"/>
        <v>0</v>
      </c>
      <c r="G60" s="581">
        <f t="shared" si="4"/>
        <v>0</v>
      </c>
      <c r="H60" s="280"/>
      <c r="I60" s="313">
        <f t="shared" si="1"/>
        <v>0</v>
      </c>
      <c r="J60" s="280"/>
      <c r="K60" s="319">
        <f t="shared" si="2"/>
        <v>0</v>
      </c>
      <c r="L60" s="582">
        <f t="shared" si="6"/>
        <v>0</v>
      </c>
    </row>
    <row r="61" spans="1:12">
      <c r="A61" s="278">
        <v>44197</v>
      </c>
      <c r="B61" s="358">
        <f t="shared" si="3"/>
        <v>0</v>
      </c>
      <c r="C61" s="280"/>
      <c r="D61" s="445">
        <f t="shared" si="0"/>
        <v>0</v>
      </c>
      <c r="E61" s="280"/>
      <c r="F61" s="580">
        <f t="shared" si="5"/>
        <v>0</v>
      </c>
      <c r="G61" s="581">
        <f t="shared" si="4"/>
        <v>0</v>
      </c>
      <c r="H61" s="280"/>
      <c r="I61" s="313">
        <f t="shared" si="1"/>
        <v>0</v>
      </c>
      <c r="J61" s="280"/>
      <c r="K61" s="319">
        <f t="shared" si="2"/>
        <v>0</v>
      </c>
      <c r="L61" s="582">
        <f t="shared" si="6"/>
        <v>0</v>
      </c>
    </row>
    <row r="62" spans="1:12">
      <c r="A62" s="278">
        <v>44228</v>
      </c>
      <c r="B62" s="358">
        <f t="shared" si="3"/>
        <v>0</v>
      </c>
      <c r="C62" s="280"/>
      <c r="D62" s="445">
        <f t="shared" si="0"/>
        <v>0</v>
      </c>
      <c r="E62" s="280"/>
      <c r="F62" s="580">
        <f t="shared" si="5"/>
        <v>0</v>
      </c>
      <c r="G62" s="581">
        <f t="shared" si="4"/>
        <v>0</v>
      </c>
      <c r="H62" s="280"/>
      <c r="I62" s="313">
        <f t="shared" si="1"/>
        <v>0</v>
      </c>
      <c r="J62" s="280"/>
      <c r="K62" s="319">
        <f t="shared" si="2"/>
        <v>0</v>
      </c>
      <c r="L62" s="582">
        <f t="shared" si="6"/>
        <v>0</v>
      </c>
    </row>
    <row r="63" spans="1:12">
      <c r="A63" s="278">
        <v>44256</v>
      </c>
      <c r="B63" s="358">
        <f t="shared" si="3"/>
        <v>0</v>
      </c>
      <c r="C63" s="280"/>
      <c r="D63" s="445">
        <f t="shared" si="0"/>
        <v>0</v>
      </c>
      <c r="E63" s="280"/>
      <c r="F63" s="580">
        <f t="shared" si="5"/>
        <v>0</v>
      </c>
      <c r="G63" s="581">
        <f t="shared" si="4"/>
        <v>0</v>
      </c>
      <c r="H63" s="280"/>
      <c r="I63" s="313">
        <f t="shared" si="1"/>
        <v>0</v>
      </c>
      <c r="J63" s="280"/>
      <c r="K63" s="319">
        <f t="shared" si="2"/>
        <v>0</v>
      </c>
      <c r="L63" s="582">
        <f t="shared" si="6"/>
        <v>0</v>
      </c>
    </row>
    <row r="64" spans="1:12">
      <c r="A64" s="278">
        <v>44287</v>
      </c>
      <c r="B64" s="358">
        <f t="shared" si="3"/>
        <v>0</v>
      </c>
      <c r="C64" s="280"/>
      <c r="D64" s="445">
        <f t="shared" si="0"/>
        <v>0</v>
      </c>
      <c r="E64" s="280"/>
      <c r="F64" s="580">
        <f t="shared" si="5"/>
        <v>0</v>
      </c>
      <c r="G64" s="581">
        <f t="shared" si="4"/>
        <v>0</v>
      </c>
      <c r="H64" s="280"/>
      <c r="I64" s="313">
        <f t="shared" si="1"/>
        <v>0</v>
      </c>
      <c r="J64" s="280"/>
      <c r="K64" s="319">
        <f t="shared" si="2"/>
        <v>0</v>
      </c>
      <c r="L64" s="582">
        <f t="shared" si="6"/>
        <v>0</v>
      </c>
    </row>
    <row r="65" spans="1:12">
      <c r="A65" s="278">
        <v>44317</v>
      </c>
      <c r="B65" s="358">
        <f t="shared" si="3"/>
        <v>0</v>
      </c>
      <c r="C65" s="280"/>
      <c r="D65" s="445">
        <f t="shared" si="0"/>
        <v>0</v>
      </c>
      <c r="E65" s="280"/>
      <c r="F65" s="580">
        <f t="shared" si="5"/>
        <v>0</v>
      </c>
      <c r="G65" s="581">
        <f t="shared" si="4"/>
        <v>0</v>
      </c>
      <c r="H65" s="280"/>
      <c r="I65" s="313">
        <f t="shared" si="1"/>
        <v>0</v>
      </c>
      <c r="J65" s="280"/>
      <c r="K65" s="319">
        <f t="shared" si="2"/>
        <v>0</v>
      </c>
      <c r="L65" s="582">
        <f t="shared" si="6"/>
        <v>0</v>
      </c>
    </row>
    <row r="66" spans="1:12" ht="12.75" customHeight="1">
      <c r="A66" s="278">
        <v>44348</v>
      </c>
      <c r="B66" s="358">
        <f t="shared" si="3"/>
        <v>0</v>
      </c>
      <c r="C66" s="280"/>
      <c r="D66" s="445">
        <f t="shared" si="0"/>
        <v>0</v>
      </c>
      <c r="E66" s="280"/>
      <c r="F66" s="580">
        <f t="shared" si="5"/>
        <v>0</v>
      </c>
      <c r="G66" s="581">
        <f t="shared" si="4"/>
        <v>0</v>
      </c>
      <c r="H66" s="280"/>
      <c r="I66" s="313">
        <f t="shared" si="1"/>
        <v>0</v>
      </c>
      <c r="J66" s="280"/>
      <c r="K66" s="319">
        <f t="shared" si="2"/>
        <v>0</v>
      </c>
      <c r="L66" s="582">
        <f t="shared" si="6"/>
        <v>0</v>
      </c>
    </row>
    <row r="67" spans="1:12" ht="13.5" customHeight="1">
      <c r="A67" s="278">
        <v>44378</v>
      </c>
      <c r="B67" s="358">
        <f t="shared" si="3"/>
        <v>0</v>
      </c>
      <c r="C67" s="280"/>
      <c r="D67" s="445">
        <f t="shared" si="0"/>
        <v>0</v>
      </c>
      <c r="E67" s="280"/>
      <c r="F67" s="580">
        <f t="shared" si="5"/>
        <v>0</v>
      </c>
      <c r="G67" s="581">
        <f t="shared" si="4"/>
        <v>0</v>
      </c>
      <c r="H67" s="280"/>
      <c r="I67" s="313">
        <f t="shared" si="1"/>
        <v>0</v>
      </c>
      <c r="J67" s="280"/>
      <c r="K67" s="319">
        <f t="shared" si="2"/>
        <v>0</v>
      </c>
      <c r="L67" s="582">
        <f t="shared" si="6"/>
        <v>0</v>
      </c>
    </row>
    <row r="68" spans="1:12">
      <c r="A68" s="278">
        <v>44409</v>
      </c>
      <c r="B68" s="358">
        <f t="shared" si="3"/>
        <v>0</v>
      </c>
      <c r="C68" s="280"/>
      <c r="D68" s="445">
        <f t="shared" ref="D68:D87" si="7">C68-B68</f>
        <v>0</v>
      </c>
      <c r="E68" s="280"/>
      <c r="F68" s="580">
        <f t="shared" si="5"/>
        <v>0</v>
      </c>
      <c r="G68" s="581">
        <f t="shared" si="4"/>
        <v>0</v>
      </c>
      <c r="H68" s="280"/>
      <c r="I68" s="313">
        <f t="shared" ref="I68:I87" si="8">H68-G68</f>
        <v>0</v>
      </c>
      <c r="J68" s="280"/>
      <c r="K68" s="319">
        <f t="shared" ref="K68:K87" si="9">I68-J68</f>
        <v>0</v>
      </c>
      <c r="L68" s="582">
        <f t="shared" si="6"/>
        <v>0</v>
      </c>
    </row>
    <row r="69" spans="1:12">
      <c r="A69" s="278">
        <v>44440</v>
      </c>
      <c r="B69" s="358">
        <f t="shared" ref="B69:B87" si="10">C68</f>
        <v>0</v>
      </c>
      <c r="C69" s="280"/>
      <c r="D69" s="445">
        <f t="shared" si="7"/>
        <v>0</v>
      </c>
      <c r="E69" s="280"/>
      <c r="F69" s="580">
        <f t="shared" si="5"/>
        <v>0</v>
      </c>
      <c r="G69" s="581">
        <f t="shared" ref="G69:G87" si="11">H68</f>
        <v>0</v>
      </c>
      <c r="H69" s="280"/>
      <c r="I69" s="313">
        <f t="shared" si="8"/>
        <v>0</v>
      </c>
      <c r="J69" s="280"/>
      <c r="K69" s="319">
        <f t="shared" si="9"/>
        <v>0</v>
      </c>
      <c r="L69" s="582">
        <f t="shared" si="6"/>
        <v>0</v>
      </c>
    </row>
    <row r="70" spans="1:12">
      <c r="A70" s="278">
        <v>44470</v>
      </c>
      <c r="B70" s="358">
        <f t="shared" si="10"/>
        <v>0</v>
      </c>
      <c r="C70" s="280"/>
      <c r="D70" s="445">
        <f t="shared" si="7"/>
        <v>0</v>
      </c>
      <c r="E70" s="280"/>
      <c r="F70" s="580">
        <f t="shared" si="5"/>
        <v>0</v>
      </c>
      <c r="G70" s="581">
        <f t="shared" si="11"/>
        <v>0</v>
      </c>
      <c r="H70" s="280"/>
      <c r="I70" s="313">
        <f t="shared" si="8"/>
        <v>0</v>
      </c>
      <c r="J70" s="280"/>
      <c r="K70" s="319">
        <f t="shared" si="9"/>
        <v>0</v>
      </c>
      <c r="L70" s="582">
        <f t="shared" si="6"/>
        <v>0</v>
      </c>
    </row>
    <row r="71" spans="1:12">
      <c r="A71" s="278">
        <v>44501</v>
      </c>
      <c r="B71" s="358">
        <f t="shared" si="10"/>
        <v>0</v>
      </c>
      <c r="C71" s="280"/>
      <c r="D71" s="445">
        <f t="shared" si="7"/>
        <v>0</v>
      </c>
      <c r="E71" s="280"/>
      <c r="F71" s="580">
        <f t="shared" si="5"/>
        <v>0</v>
      </c>
      <c r="G71" s="581">
        <f t="shared" si="11"/>
        <v>0</v>
      </c>
      <c r="H71" s="280"/>
      <c r="I71" s="313">
        <f t="shared" si="8"/>
        <v>0</v>
      </c>
      <c r="J71" s="280"/>
      <c r="K71" s="319">
        <f t="shared" si="9"/>
        <v>0</v>
      </c>
      <c r="L71" s="582">
        <f t="shared" si="6"/>
        <v>0</v>
      </c>
    </row>
    <row r="72" spans="1:12">
      <c r="A72" s="278">
        <v>44531</v>
      </c>
      <c r="B72" s="358">
        <f t="shared" si="10"/>
        <v>0</v>
      </c>
      <c r="C72" s="280"/>
      <c r="D72" s="445">
        <f t="shared" si="7"/>
        <v>0</v>
      </c>
      <c r="E72" s="280"/>
      <c r="F72" s="580">
        <f t="shared" ref="F72:F87" si="12">D72-E72</f>
        <v>0</v>
      </c>
      <c r="G72" s="581">
        <f t="shared" si="11"/>
        <v>0</v>
      </c>
      <c r="H72" s="280"/>
      <c r="I72" s="313">
        <f t="shared" si="8"/>
        <v>0</v>
      </c>
      <c r="J72" s="280"/>
      <c r="K72" s="319">
        <f t="shared" si="9"/>
        <v>0</v>
      </c>
      <c r="L72" s="582">
        <f t="shared" si="6"/>
        <v>0</v>
      </c>
    </row>
    <row r="73" spans="1:12">
      <c r="A73" s="278">
        <v>44562</v>
      </c>
      <c r="B73" s="358">
        <f t="shared" si="10"/>
        <v>0</v>
      </c>
      <c r="C73" s="280"/>
      <c r="D73" s="445">
        <f t="shared" si="7"/>
        <v>0</v>
      </c>
      <c r="E73" s="280"/>
      <c r="F73" s="580">
        <f t="shared" si="12"/>
        <v>0</v>
      </c>
      <c r="G73" s="581">
        <f t="shared" si="11"/>
        <v>0</v>
      </c>
      <c r="H73" s="280"/>
      <c r="I73" s="313">
        <f t="shared" si="8"/>
        <v>0</v>
      </c>
      <c r="J73" s="280"/>
      <c r="K73" s="319">
        <f t="shared" si="9"/>
        <v>0</v>
      </c>
      <c r="L73" s="582">
        <f t="shared" si="6"/>
        <v>0</v>
      </c>
    </row>
    <row r="74" spans="1:12">
      <c r="A74" s="278">
        <v>44593</v>
      </c>
      <c r="B74" s="358">
        <f t="shared" si="10"/>
        <v>0</v>
      </c>
      <c r="C74" s="280"/>
      <c r="D74" s="445">
        <f t="shared" si="7"/>
        <v>0</v>
      </c>
      <c r="E74" s="280"/>
      <c r="F74" s="580">
        <f t="shared" si="12"/>
        <v>0</v>
      </c>
      <c r="G74" s="581">
        <f t="shared" si="11"/>
        <v>0</v>
      </c>
      <c r="H74" s="280"/>
      <c r="I74" s="313">
        <f t="shared" si="8"/>
        <v>0</v>
      </c>
      <c r="J74" s="280"/>
      <c r="K74" s="319">
        <f t="shared" si="9"/>
        <v>0</v>
      </c>
      <c r="L74" s="582">
        <f t="shared" si="6"/>
        <v>0</v>
      </c>
    </row>
    <row r="75" spans="1:12">
      <c r="A75" s="278">
        <v>44621</v>
      </c>
      <c r="B75" s="358">
        <f t="shared" si="10"/>
        <v>0</v>
      </c>
      <c r="C75" s="280"/>
      <c r="D75" s="445">
        <f t="shared" si="7"/>
        <v>0</v>
      </c>
      <c r="E75" s="280"/>
      <c r="F75" s="580">
        <f t="shared" si="12"/>
        <v>0</v>
      </c>
      <c r="G75" s="581">
        <f t="shared" si="11"/>
        <v>0</v>
      </c>
      <c r="H75" s="280"/>
      <c r="I75" s="313">
        <f t="shared" si="8"/>
        <v>0</v>
      </c>
      <c r="J75" s="280"/>
      <c r="K75" s="319">
        <f t="shared" si="9"/>
        <v>0</v>
      </c>
      <c r="L75" s="582">
        <f t="shared" si="6"/>
        <v>0</v>
      </c>
    </row>
    <row r="76" spans="1:12">
      <c r="A76" s="278">
        <v>44652</v>
      </c>
      <c r="B76" s="358">
        <f t="shared" si="10"/>
        <v>0</v>
      </c>
      <c r="C76" s="280"/>
      <c r="D76" s="445">
        <f t="shared" si="7"/>
        <v>0</v>
      </c>
      <c r="E76" s="280"/>
      <c r="F76" s="580">
        <f t="shared" si="12"/>
        <v>0</v>
      </c>
      <c r="G76" s="581">
        <f t="shared" si="11"/>
        <v>0</v>
      </c>
      <c r="H76" s="280"/>
      <c r="I76" s="313">
        <f t="shared" si="8"/>
        <v>0</v>
      </c>
      <c r="J76" s="280"/>
      <c r="K76" s="319">
        <f t="shared" si="9"/>
        <v>0</v>
      </c>
      <c r="L76" s="582">
        <f t="shared" si="6"/>
        <v>0</v>
      </c>
    </row>
    <row r="77" spans="1:12">
      <c r="A77" s="278">
        <v>44682</v>
      </c>
      <c r="B77" s="358">
        <f t="shared" si="10"/>
        <v>0</v>
      </c>
      <c r="C77" s="280"/>
      <c r="D77" s="445">
        <f t="shared" si="7"/>
        <v>0</v>
      </c>
      <c r="E77" s="280"/>
      <c r="F77" s="580">
        <f t="shared" si="12"/>
        <v>0</v>
      </c>
      <c r="G77" s="581">
        <f t="shared" si="11"/>
        <v>0</v>
      </c>
      <c r="H77" s="280"/>
      <c r="I77" s="313">
        <f t="shared" si="8"/>
        <v>0</v>
      </c>
      <c r="J77" s="280"/>
      <c r="K77" s="319">
        <f t="shared" si="9"/>
        <v>0</v>
      </c>
      <c r="L77" s="582">
        <f t="shared" si="6"/>
        <v>0</v>
      </c>
    </row>
    <row r="78" spans="1:12">
      <c r="A78" s="278">
        <v>44713</v>
      </c>
      <c r="B78" s="358">
        <f t="shared" si="10"/>
        <v>0</v>
      </c>
      <c r="C78" s="280"/>
      <c r="D78" s="445">
        <f t="shared" si="7"/>
        <v>0</v>
      </c>
      <c r="E78" s="280"/>
      <c r="F78" s="580">
        <f t="shared" si="12"/>
        <v>0</v>
      </c>
      <c r="G78" s="581">
        <f t="shared" si="11"/>
        <v>0</v>
      </c>
      <c r="H78" s="280"/>
      <c r="I78" s="313">
        <f t="shared" si="8"/>
        <v>0</v>
      </c>
      <c r="J78" s="280"/>
      <c r="K78" s="319">
        <f t="shared" si="9"/>
        <v>0</v>
      </c>
      <c r="L78" s="582">
        <f t="shared" si="6"/>
        <v>0</v>
      </c>
    </row>
    <row r="79" spans="1:12">
      <c r="A79" s="278">
        <v>44743</v>
      </c>
      <c r="B79" s="358">
        <f t="shared" si="10"/>
        <v>0</v>
      </c>
      <c r="C79" s="280"/>
      <c r="D79" s="445">
        <f t="shared" si="7"/>
        <v>0</v>
      </c>
      <c r="E79" s="280"/>
      <c r="F79" s="580">
        <f t="shared" si="12"/>
        <v>0</v>
      </c>
      <c r="G79" s="581">
        <f t="shared" si="11"/>
        <v>0</v>
      </c>
      <c r="H79" s="280"/>
      <c r="I79" s="313">
        <f t="shared" si="8"/>
        <v>0</v>
      </c>
      <c r="J79" s="280"/>
      <c r="K79" s="319">
        <f t="shared" si="9"/>
        <v>0</v>
      </c>
      <c r="L79" s="582">
        <f t="shared" si="6"/>
        <v>0</v>
      </c>
    </row>
    <row r="80" spans="1:12">
      <c r="A80" s="278">
        <v>44774</v>
      </c>
      <c r="B80" s="358">
        <f t="shared" si="10"/>
        <v>0</v>
      </c>
      <c r="C80" s="280"/>
      <c r="D80" s="445">
        <f t="shared" si="7"/>
        <v>0</v>
      </c>
      <c r="E80" s="280"/>
      <c r="F80" s="580">
        <f t="shared" si="12"/>
        <v>0</v>
      </c>
      <c r="G80" s="581">
        <f t="shared" si="11"/>
        <v>0</v>
      </c>
      <c r="H80" s="280"/>
      <c r="I80" s="313">
        <f t="shared" si="8"/>
        <v>0</v>
      </c>
      <c r="J80" s="280"/>
      <c r="K80" s="319">
        <f t="shared" si="9"/>
        <v>0</v>
      </c>
      <c r="L80" s="582">
        <f t="shared" si="6"/>
        <v>0</v>
      </c>
    </row>
    <row r="81" spans="1:12">
      <c r="A81" s="278">
        <v>44805</v>
      </c>
      <c r="B81" s="358">
        <f t="shared" si="10"/>
        <v>0</v>
      </c>
      <c r="C81" s="280"/>
      <c r="D81" s="445">
        <f t="shared" si="7"/>
        <v>0</v>
      </c>
      <c r="E81" s="280"/>
      <c r="F81" s="580">
        <f t="shared" si="12"/>
        <v>0</v>
      </c>
      <c r="G81" s="581">
        <f t="shared" si="11"/>
        <v>0</v>
      </c>
      <c r="H81" s="280"/>
      <c r="I81" s="313">
        <f t="shared" si="8"/>
        <v>0</v>
      </c>
      <c r="J81" s="280"/>
      <c r="K81" s="319">
        <f t="shared" si="9"/>
        <v>0</v>
      </c>
      <c r="L81" s="582">
        <f t="shared" si="6"/>
        <v>0</v>
      </c>
    </row>
    <row r="82" spans="1:12">
      <c r="A82" s="278">
        <v>44835</v>
      </c>
      <c r="B82" s="358">
        <f t="shared" si="10"/>
        <v>0</v>
      </c>
      <c r="C82" s="280"/>
      <c r="D82" s="445">
        <f t="shared" si="7"/>
        <v>0</v>
      </c>
      <c r="E82" s="280"/>
      <c r="F82" s="580">
        <f t="shared" si="12"/>
        <v>0</v>
      </c>
      <c r="G82" s="581">
        <f t="shared" si="11"/>
        <v>0</v>
      </c>
      <c r="H82" s="280"/>
      <c r="I82" s="313">
        <f t="shared" si="8"/>
        <v>0</v>
      </c>
      <c r="J82" s="280"/>
      <c r="K82" s="319">
        <f t="shared" si="9"/>
        <v>0</v>
      </c>
      <c r="L82" s="582">
        <f t="shared" si="6"/>
        <v>0</v>
      </c>
    </row>
    <row r="83" spans="1:12">
      <c r="A83" s="278">
        <v>44866</v>
      </c>
      <c r="B83" s="358">
        <f t="shared" si="10"/>
        <v>0</v>
      </c>
      <c r="C83" s="280"/>
      <c r="D83" s="445">
        <f t="shared" si="7"/>
        <v>0</v>
      </c>
      <c r="E83" s="280"/>
      <c r="F83" s="580">
        <f t="shared" si="12"/>
        <v>0</v>
      </c>
      <c r="G83" s="581">
        <f t="shared" si="11"/>
        <v>0</v>
      </c>
      <c r="H83" s="280"/>
      <c r="I83" s="313">
        <f t="shared" si="8"/>
        <v>0</v>
      </c>
      <c r="J83" s="280"/>
      <c r="K83" s="319">
        <f t="shared" si="9"/>
        <v>0</v>
      </c>
      <c r="L83" s="582">
        <f t="shared" si="6"/>
        <v>0</v>
      </c>
    </row>
    <row r="84" spans="1:12">
      <c r="A84" s="278">
        <v>44896</v>
      </c>
      <c r="B84" s="358">
        <f t="shared" si="10"/>
        <v>0</v>
      </c>
      <c r="C84" s="280"/>
      <c r="D84" s="445">
        <f t="shared" si="7"/>
        <v>0</v>
      </c>
      <c r="E84" s="280"/>
      <c r="F84" s="580">
        <f t="shared" si="12"/>
        <v>0</v>
      </c>
      <c r="G84" s="581">
        <f t="shared" si="11"/>
        <v>0</v>
      </c>
      <c r="H84" s="280"/>
      <c r="I84" s="313">
        <f t="shared" si="8"/>
        <v>0</v>
      </c>
      <c r="J84" s="280"/>
      <c r="K84" s="319">
        <f t="shared" si="9"/>
        <v>0</v>
      </c>
      <c r="L84" s="582">
        <f t="shared" si="6"/>
        <v>0</v>
      </c>
    </row>
    <row r="85" spans="1:12">
      <c r="A85" s="278">
        <v>44927</v>
      </c>
      <c r="B85" s="358">
        <f t="shared" si="10"/>
        <v>0</v>
      </c>
      <c r="C85" s="280"/>
      <c r="D85" s="445">
        <f t="shared" si="7"/>
        <v>0</v>
      </c>
      <c r="E85" s="280"/>
      <c r="F85" s="580">
        <f t="shared" si="12"/>
        <v>0</v>
      </c>
      <c r="G85" s="581">
        <f t="shared" si="11"/>
        <v>0</v>
      </c>
      <c r="H85" s="280"/>
      <c r="I85" s="313">
        <f t="shared" si="8"/>
        <v>0</v>
      </c>
      <c r="J85" s="280"/>
      <c r="K85" s="319">
        <f t="shared" si="9"/>
        <v>0</v>
      </c>
      <c r="L85" s="582">
        <f t="shared" ref="L85:L87" si="13">I85+D85</f>
        <v>0</v>
      </c>
    </row>
    <row r="86" spans="1:12">
      <c r="A86" s="278">
        <v>44958</v>
      </c>
      <c r="B86" s="358">
        <f t="shared" si="10"/>
        <v>0</v>
      </c>
      <c r="C86" s="280"/>
      <c r="D86" s="445">
        <f t="shared" si="7"/>
        <v>0</v>
      </c>
      <c r="E86" s="280"/>
      <c r="F86" s="580">
        <f t="shared" si="12"/>
        <v>0</v>
      </c>
      <c r="G86" s="581">
        <f t="shared" si="11"/>
        <v>0</v>
      </c>
      <c r="H86" s="280"/>
      <c r="I86" s="313">
        <f t="shared" si="8"/>
        <v>0</v>
      </c>
      <c r="J86" s="280"/>
      <c r="K86" s="319">
        <f t="shared" si="9"/>
        <v>0</v>
      </c>
      <c r="L86" s="582">
        <f t="shared" si="13"/>
        <v>0</v>
      </c>
    </row>
    <row r="87" spans="1:12" ht="13.5" thickBot="1">
      <c r="A87" s="278">
        <v>44986</v>
      </c>
      <c r="B87" s="626">
        <f t="shared" si="10"/>
        <v>0</v>
      </c>
      <c r="C87" s="528"/>
      <c r="D87" s="627">
        <f t="shared" si="7"/>
        <v>0</v>
      </c>
      <c r="E87" s="528"/>
      <c r="F87" s="628">
        <f t="shared" si="12"/>
        <v>0</v>
      </c>
      <c r="G87" s="629">
        <f t="shared" si="11"/>
        <v>0</v>
      </c>
      <c r="H87" s="528"/>
      <c r="I87" s="630">
        <f t="shared" si="8"/>
        <v>0</v>
      </c>
      <c r="J87" s="528"/>
      <c r="K87" s="631">
        <f t="shared" si="9"/>
        <v>0</v>
      </c>
      <c r="L87" s="632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3" workbookViewId="0">
      <selection activeCell="N28" sqref="N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46" t="s">
        <v>236</v>
      </c>
      <c r="B1" s="846"/>
      <c r="C1" s="846"/>
      <c r="D1" s="846"/>
      <c r="E1" s="846"/>
      <c r="F1" s="846"/>
      <c r="G1" s="846"/>
      <c r="H1" s="846"/>
      <c r="I1" s="846"/>
      <c r="J1" s="846"/>
    </row>
    <row r="2" spans="1:10" ht="19.5" thickBot="1">
      <c r="A2" s="855">
        <v>43922</v>
      </c>
      <c r="B2" s="856"/>
      <c r="C2" s="856"/>
      <c r="D2" s="856"/>
      <c r="E2" s="856"/>
      <c r="F2" s="856"/>
      <c r="G2" s="856"/>
      <c r="H2" s="856"/>
      <c r="I2" s="856"/>
      <c r="J2" s="856"/>
    </row>
    <row r="3" spans="1:10" ht="15.75" thickBot="1">
      <c r="A3" s="847" t="s">
        <v>7</v>
      </c>
      <c r="B3" s="849" t="s">
        <v>237</v>
      </c>
      <c r="C3" s="501"/>
      <c r="D3" s="851" t="s">
        <v>238</v>
      </c>
      <c r="E3" s="852"/>
      <c r="F3" s="853" t="s">
        <v>239</v>
      </c>
      <c r="G3" s="854"/>
      <c r="H3" s="852"/>
      <c r="I3" s="853" t="s">
        <v>240</v>
      </c>
      <c r="J3" s="852"/>
    </row>
    <row r="4" spans="1:10" ht="30.75" thickBot="1">
      <c r="A4" s="848"/>
      <c r="B4" s="850"/>
      <c r="C4" s="507" t="s">
        <v>285</v>
      </c>
      <c r="D4" s="446" t="s">
        <v>241</v>
      </c>
      <c r="E4" s="451" t="s">
        <v>3</v>
      </c>
      <c r="F4" s="446" t="s">
        <v>241</v>
      </c>
      <c r="G4" s="446" t="s">
        <v>242</v>
      </c>
      <c r="H4" s="446" t="s">
        <v>243</v>
      </c>
      <c r="I4" s="446" t="s">
        <v>17</v>
      </c>
      <c r="J4" s="446" t="s">
        <v>244</v>
      </c>
    </row>
    <row r="5" spans="1:10" ht="17.100000000000001" customHeight="1">
      <c r="A5" s="254">
        <v>43922</v>
      </c>
      <c r="B5" s="453">
        <f>Gen!C11</f>
        <v>0</v>
      </c>
      <c r="C5" s="505">
        <f>Gen!AK11</f>
        <v>49.37</v>
      </c>
      <c r="D5" s="506">
        <f>Gen!T11</f>
        <v>850.96</v>
      </c>
      <c r="E5" s="448">
        <f>Gen!D11</f>
        <v>41048.869999999995</v>
      </c>
      <c r="F5" s="449">
        <f>'Water-Meter'!E6</f>
        <v>38</v>
      </c>
      <c r="G5" s="450">
        <f>'Water-Meter'!AN6</f>
        <v>99</v>
      </c>
      <c r="H5" s="448">
        <f>'Utility report '!AC6</f>
        <v>0</v>
      </c>
      <c r="I5" s="447">
        <f>'Kit report'!F4</f>
        <v>155.99999999991269</v>
      </c>
      <c r="J5" s="448">
        <f>'Kit report'!X4</f>
        <v>20.00000000007276</v>
      </c>
    </row>
    <row r="6" spans="1:10" ht="17.100000000000001" customHeight="1">
      <c r="A6" s="254">
        <v>43923</v>
      </c>
      <c r="B6" s="452">
        <f>Gen!C12</f>
        <v>0</v>
      </c>
      <c r="C6" s="505">
        <f>Gen!AK12</f>
        <v>9.39</v>
      </c>
      <c r="D6" s="506">
        <f>Gen!T12</f>
        <v>866.25</v>
      </c>
      <c r="E6" s="448">
        <f>Gen!D12</f>
        <v>40148.539999999994</v>
      </c>
      <c r="F6" s="449">
        <f>'Water-Meter'!E7</f>
        <v>52</v>
      </c>
      <c r="G6" s="450">
        <f>'Water-Meter'!AN7</f>
        <v>89</v>
      </c>
      <c r="H6" s="448">
        <f>'Utility report '!AC7</f>
        <v>48</v>
      </c>
      <c r="I6" s="447">
        <f>'Kit report'!F5</f>
        <v>132.00000000004366</v>
      </c>
      <c r="J6" s="448">
        <f>'Kit report'!X5</f>
        <v>19.999999999890861</v>
      </c>
    </row>
    <row r="7" spans="1:10" ht="17.100000000000001" customHeight="1">
      <c r="A7" s="254">
        <v>43924</v>
      </c>
      <c r="B7" s="452">
        <f>Gen!C13</f>
        <v>0</v>
      </c>
      <c r="C7" s="505">
        <f>Gen!AK13</f>
        <v>18.02</v>
      </c>
      <c r="D7" s="506">
        <f>Gen!T13</f>
        <v>832.92</v>
      </c>
      <c r="E7" s="448">
        <f>Gen!D13</f>
        <v>39272.899999999994</v>
      </c>
      <c r="F7" s="449">
        <f>'Water-Meter'!E8</f>
        <v>26</v>
      </c>
      <c r="G7" s="450">
        <f>'Water-Meter'!AN8</f>
        <v>84</v>
      </c>
      <c r="H7" s="448">
        <f>'Utility report '!AC8</f>
        <v>59</v>
      </c>
      <c r="I7" s="447">
        <f>'Kit report'!F6</f>
        <v>144.00000000008731</v>
      </c>
      <c r="J7" s="448">
        <f>'Kit report'!X6</f>
        <v>40.000000000145519</v>
      </c>
    </row>
    <row r="8" spans="1:10" ht="17.100000000000001" customHeight="1">
      <c r="A8" s="254">
        <v>43925</v>
      </c>
      <c r="B8" s="452">
        <f>Gen!C14</f>
        <v>0</v>
      </c>
      <c r="C8" s="505">
        <f>Gen!AK14</f>
        <v>660.37</v>
      </c>
      <c r="D8" s="506">
        <f>Gen!T14</f>
        <v>789.55</v>
      </c>
      <c r="E8" s="448">
        <f>Gen!D14</f>
        <v>38421.959999999992</v>
      </c>
      <c r="F8" s="449">
        <f>'Water-Meter'!E9</f>
        <v>34</v>
      </c>
      <c r="G8" s="450">
        <f>'Water-Meter'!AN9</f>
        <v>76</v>
      </c>
      <c r="H8" s="448">
        <f>'Utility report '!AC9</f>
        <v>57</v>
      </c>
      <c r="I8" s="447">
        <f>'Kit report'!F7</f>
        <v>131.99999999982538</v>
      </c>
      <c r="J8" s="448">
        <f>'Kit report'!X7</f>
        <v>39.99999999996362</v>
      </c>
    </row>
    <row r="9" spans="1:10" ht="17.100000000000001" customHeight="1">
      <c r="A9" s="254">
        <v>43926</v>
      </c>
      <c r="B9" s="452">
        <f>Gen!C15</f>
        <v>0</v>
      </c>
      <c r="C9" s="505">
        <f>Gen!AK15</f>
        <v>34.28</v>
      </c>
      <c r="D9" s="506">
        <f>Gen!T15</f>
        <v>813.34</v>
      </c>
      <c r="E9" s="448">
        <f>Gen!D15</f>
        <v>36972.039999999994</v>
      </c>
      <c r="F9" s="449">
        <f>'Water-Meter'!E10</f>
        <v>42</v>
      </c>
      <c r="G9" s="450">
        <f>'Water-Meter'!AN10</f>
        <v>93</v>
      </c>
      <c r="H9" s="448">
        <f>'Utility report '!AC10</f>
        <v>57</v>
      </c>
      <c r="I9" s="447">
        <f>'Kit report'!F8</f>
        <v>108.00000000017462</v>
      </c>
      <c r="J9" s="448">
        <f>'Kit report'!X8</f>
        <v>39.99999999996362</v>
      </c>
    </row>
    <row r="10" spans="1:10" ht="17.100000000000001" customHeight="1">
      <c r="A10" s="254">
        <v>43927</v>
      </c>
      <c r="B10" s="452">
        <f>Gen!C16</f>
        <v>0</v>
      </c>
      <c r="C10" s="505">
        <f>Gen!AK16</f>
        <v>0</v>
      </c>
      <c r="D10" s="506">
        <f>Gen!T16</f>
        <v>757.53</v>
      </c>
      <c r="E10" s="448">
        <f>Gen!D16</f>
        <v>36124.419999999991</v>
      </c>
      <c r="F10" s="449">
        <f>'Water-Meter'!E11</f>
        <v>41</v>
      </c>
      <c r="G10" s="450">
        <f>'Water-Meter'!AN11</f>
        <v>76</v>
      </c>
      <c r="H10" s="448">
        <f>'Utility report '!AC11</f>
        <v>38</v>
      </c>
      <c r="I10" s="447">
        <f>'Kit report'!F9</f>
        <v>131.99999999982538</v>
      </c>
      <c r="J10" s="448">
        <f>'Kit report'!X9</f>
        <v>39.99999999996362</v>
      </c>
    </row>
    <row r="11" spans="1:10" ht="17.100000000000001" customHeight="1">
      <c r="A11" s="254">
        <v>43928</v>
      </c>
      <c r="B11" s="452">
        <f>Gen!C17</f>
        <v>0</v>
      </c>
      <c r="C11" s="505">
        <f>Gen!AK17</f>
        <v>108.2</v>
      </c>
      <c r="D11" s="506">
        <f>Gen!T17</f>
        <v>783.55</v>
      </c>
      <c r="E11" s="448">
        <f>Gen!D17</f>
        <v>50366.889999999992</v>
      </c>
      <c r="F11" s="449">
        <f>'Water-Meter'!E12</f>
        <v>47</v>
      </c>
      <c r="G11" s="450">
        <f>'Water-Meter'!AN12</f>
        <v>103</v>
      </c>
      <c r="H11" s="448">
        <f>'Utility report '!AC12</f>
        <v>53</v>
      </c>
      <c r="I11" s="447">
        <f>'Kit report'!F10</f>
        <v>108.00000000017462</v>
      </c>
      <c r="J11" s="448">
        <f>'Kit report'!X10</f>
        <v>39.99999999996362</v>
      </c>
    </row>
    <row r="12" spans="1:10" ht="17.100000000000001" customHeight="1">
      <c r="A12" s="254">
        <v>43929</v>
      </c>
      <c r="B12" s="452">
        <f>Gen!C18</f>
        <v>0</v>
      </c>
      <c r="C12" s="505">
        <f>Gen!AK18</f>
        <v>0</v>
      </c>
      <c r="D12" s="506">
        <f>Gen!T18</f>
        <v>831.27</v>
      </c>
      <c r="E12" s="448">
        <f>Gen!D18</f>
        <v>49475.139999999992</v>
      </c>
      <c r="F12" s="449">
        <f>'Water-Meter'!E13</f>
        <v>36</v>
      </c>
      <c r="G12" s="450">
        <f>'Water-Meter'!AN13</f>
        <v>129</v>
      </c>
      <c r="H12" s="448">
        <f>'Utility report '!AC13</f>
        <v>50</v>
      </c>
      <c r="I12" s="447">
        <f>'Kit report'!F11</f>
        <v>120</v>
      </c>
      <c r="J12" s="448">
        <f>'Kit report'!X11</f>
        <v>40.000000000145519</v>
      </c>
    </row>
    <row r="13" spans="1:10" ht="17.100000000000001" customHeight="1">
      <c r="A13" s="254">
        <v>43930</v>
      </c>
      <c r="B13" s="452">
        <f>Gen!C19</f>
        <v>0</v>
      </c>
      <c r="C13" s="505">
        <f>Gen!AK19</f>
        <v>0</v>
      </c>
      <c r="D13" s="506">
        <f>Gen!T19</f>
        <v>806.31999999999994</v>
      </c>
      <c r="E13" s="448">
        <f>Gen!D19</f>
        <v>48643.869999999995</v>
      </c>
      <c r="F13" s="449">
        <f>'Water-Meter'!E14</f>
        <v>33</v>
      </c>
      <c r="G13" s="450">
        <f>'Water-Meter'!AN14</f>
        <v>135</v>
      </c>
      <c r="H13" s="448">
        <f>'Utility report '!AC14</f>
        <v>7</v>
      </c>
      <c r="I13" s="447">
        <f>'Kit report'!F12</f>
        <v>120</v>
      </c>
      <c r="J13" s="448">
        <f>'Kit report'!X12</f>
        <v>19.999999999890861</v>
      </c>
    </row>
    <row r="14" spans="1:10" ht="17.100000000000001" customHeight="1">
      <c r="A14" s="254">
        <v>43931</v>
      </c>
      <c r="B14" s="452">
        <f>Gen!C20</f>
        <v>0</v>
      </c>
      <c r="C14" s="505">
        <f>Gen!AK20</f>
        <v>0</v>
      </c>
      <c r="D14" s="506">
        <f>Gen!T20</f>
        <v>823.75</v>
      </c>
      <c r="E14" s="448">
        <f>Gen!D20</f>
        <v>47837.549999999996</v>
      </c>
      <c r="F14" s="449">
        <f>'Water-Meter'!E15</f>
        <v>55</v>
      </c>
      <c r="G14" s="450">
        <f>'Water-Meter'!AN15</f>
        <v>91</v>
      </c>
      <c r="H14" s="448">
        <f>'Utility report '!AC15</f>
        <v>44</v>
      </c>
      <c r="I14" s="447">
        <f>'Kit report'!F13</f>
        <v>107.99999999995634</v>
      </c>
      <c r="J14" s="448">
        <f>'Kit report'!X13</f>
        <v>60.00000000003638</v>
      </c>
    </row>
    <row r="15" spans="1:10" ht="17.100000000000001" customHeight="1">
      <c r="A15" s="254">
        <v>43932</v>
      </c>
      <c r="B15" s="452">
        <f>Gen!C21</f>
        <v>0</v>
      </c>
      <c r="C15" s="505">
        <f>Gen!AK21</f>
        <v>0</v>
      </c>
      <c r="D15" s="506">
        <f>Gen!T21</f>
        <v>782.67</v>
      </c>
      <c r="E15" s="448">
        <f>Gen!D21</f>
        <v>47013.799999999996</v>
      </c>
      <c r="F15" s="449">
        <f>'Water-Meter'!E16</f>
        <v>56</v>
      </c>
      <c r="G15" s="450">
        <f>'Water-Meter'!AN16</f>
        <v>46</v>
      </c>
      <c r="H15" s="448">
        <f>'Utility report '!AC16</f>
        <v>75</v>
      </c>
      <c r="I15" s="447">
        <f>'Kit report'!F14</f>
        <v>132.00000000004366</v>
      </c>
      <c r="J15" s="448">
        <f>'Kit report'!X14</f>
        <v>20.00000000007276</v>
      </c>
    </row>
    <row r="16" spans="1:10" ht="17.100000000000001" customHeight="1">
      <c r="A16" s="254">
        <v>43933</v>
      </c>
      <c r="B16" s="452">
        <f>Gen!C22</f>
        <v>0</v>
      </c>
      <c r="C16" s="505">
        <f>Gen!AK22</f>
        <v>0</v>
      </c>
      <c r="D16" s="506">
        <f>Gen!T22</f>
        <v>776.8</v>
      </c>
      <c r="E16" s="448">
        <f>Gen!D22</f>
        <v>46231.13</v>
      </c>
      <c r="F16" s="449">
        <f>'Water-Meter'!E17</f>
        <v>41</v>
      </c>
      <c r="G16" s="450">
        <f>'Water-Meter'!AN17</f>
        <v>41</v>
      </c>
      <c r="H16" s="448">
        <f>'Utility report '!AC17</f>
        <v>49</v>
      </c>
      <c r="I16" s="447">
        <f>'Kit report'!F15</f>
        <v>131.99999999982538</v>
      </c>
      <c r="J16" s="448">
        <f>'Kit report'!X15</f>
        <v>19.999999999890861</v>
      </c>
    </row>
    <row r="17" spans="1:10" ht="17.100000000000001" customHeight="1">
      <c r="A17" s="254">
        <v>43934</v>
      </c>
      <c r="B17" s="452">
        <f>Gen!C23</f>
        <v>0</v>
      </c>
      <c r="C17" s="505">
        <f>Gen!AK23</f>
        <v>19.86</v>
      </c>
      <c r="D17" s="506">
        <f>Gen!T23</f>
        <v>771.72</v>
      </c>
      <c r="E17" s="448">
        <f>Gen!D23</f>
        <v>45454.329999999994</v>
      </c>
      <c r="F17" s="449">
        <f>'Water-Meter'!E18</f>
        <v>45</v>
      </c>
      <c r="G17" s="450">
        <f>'Water-Meter'!AN18</f>
        <v>41</v>
      </c>
      <c r="H17" s="448">
        <f>'Utility report '!AC18</f>
        <v>50</v>
      </c>
      <c r="I17" s="447">
        <f>'Kit report'!F16</f>
        <v>132.00000000004366</v>
      </c>
      <c r="J17" s="448">
        <f>'Kit report'!X16</f>
        <v>20.00000000007276</v>
      </c>
    </row>
    <row r="18" spans="1:10" ht="17.100000000000001" customHeight="1">
      <c r="A18" s="254">
        <v>43935</v>
      </c>
      <c r="B18" s="452">
        <f>Gen!C24</f>
        <v>0</v>
      </c>
      <c r="C18" s="505">
        <f>Gen!AK24</f>
        <v>0</v>
      </c>
      <c r="D18" s="506">
        <f>Gen!T24</f>
        <v>760.62</v>
      </c>
      <c r="E18" s="448">
        <f>Gen!D24</f>
        <v>44662.749999999993</v>
      </c>
      <c r="F18" s="449">
        <f>'Water-Meter'!E19</f>
        <v>51</v>
      </c>
      <c r="G18" s="450">
        <f>'Water-Meter'!AN19</f>
        <v>41</v>
      </c>
      <c r="H18" s="448">
        <f>'Utility report '!AC19</f>
        <v>35</v>
      </c>
      <c r="I18" s="447">
        <f>'Kit report'!F17</f>
        <v>120</v>
      </c>
      <c r="J18" s="448">
        <f>'Kit report'!X17</f>
        <v>39.99999999996362</v>
      </c>
    </row>
    <row r="19" spans="1:10" ht="17.100000000000001" customHeight="1">
      <c r="A19" s="254">
        <v>43936</v>
      </c>
      <c r="B19" s="452">
        <f>Gen!C25</f>
        <v>0</v>
      </c>
      <c r="C19" s="505">
        <f>Gen!AK25</f>
        <v>0</v>
      </c>
      <c r="D19" s="506">
        <f>Gen!T25</f>
        <v>786.19</v>
      </c>
      <c r="E19" s="448">
        <f>Gen!D25</f>
        <v>43902.12999999999</v>
      </c>
      <c r="F19" s="449">
        <f>'Water-Meter'!E20</f>
        <v>54</v>
      </c>
      <c r="G19" s="450">
        <f>'Water-Meter'!AN20</f>
        <v>42</v>
      </c>
      <c r="H19" s="448">
        <f>'Utility report '!AC20</f>
        <v>57</v>
      </c>
      <c r="I19" s="447">
        <f>'Kit report'!F18</f>
        <v>120</v>
      </c>
      <c r="J19" s="448">
        <f>'Kit report'!X18</f>
        <v>20.00000000007276</v>
      </c>
    </row>
    <row r="20" spans="1:10" ht="17.100000000000001" customHeight="1">
      <c r="A20" s="254">
        <v>43937</v>
      </c>
      <c r="B20" s="452">
        <f>Gen!C26</f>
        <v>0</v>
      </c>
      <c r="C20" s="505">
        <f>Gen!AK26</f>
        <v>0</v>
      </c>
      <c r="D20" s="506">
        <f>Gen!T26</f>
        <v>754.27</v>
      </c>
      <c r="E20" s="448">
        <f>Gen!D26</f>
        <v>43115.939999999988</v>
      </c>
      <c r="F20" s="449">
        <f>'Water-Meter'!E21</f>
        <v>54</v>
      </c>
      <c r="G20" s="450">
        <f>'Water-Meter'!AN21</f>
        <v>41</v>
      </c>
      <c r="H20" s="448">
        <f>'Utility report '!AC21</f>
        <v>44</v>
      </c>
      <c r="I20" s="447">
        <f>'Kit report'!F19</f>
        <v>120</v>
      </c>
      <c r="J20" s="448">
        <f>'Kit report'!X19</f>
        <v>19.999999999890861</v>
      </c>
    </row>
    <row r="21" spans="1:10" ht="15">
      <c r="A21" s="254">
        <v>43938</v>
      </c>
      <c r="B21" s="452">
        <f>Gen!C27</f>
        <v>0</v>
      </c>
      <c r="C21" s="505">
        <f>Gen!AK27</f>
        <v>18.45</v>
      </c>
      <c r="D21" s="506">
        <f>Gen!T27</f>
        <v>781.93000000000006</v>
      </c>
      <c r="E21" s="448">
        <f>Gen!D27</f>
        <v>42361.669999999991</v>
      </c>
      <c r="F21" s="449">
        <f>'Water-Meter'!E22</f>
        <v>42</v>
      </c>
      <c r="G21" s="450">
        <f>'Water-Meter'!AN22</f>
        <v>40</v>
      </c>
      <c r="H21" s="448">
        <f>'Utility report '!AC22</f>
        <v>68</v>
      </c>
      <c r="I21" s="447">
        <f>'Kit report'!F20</f>
        <v>120</v>
      </c>
      <c r="J21" s="448">
        <f>'Kit report'!X20</f>
        <v>39.99999999996362</v>
      </c>
    </row>
    <row r="22" spans="1:10" ht="15" customHeight="1">
      <c r="A22" s="254">
        <v>43939</v>
      </c>
      <c r="B22" s="452">
        <f>Gen!C28</f>
        <v>0</v>
      </c>
      <c r="C22" s="505">
        <f>Gen!AK28</f>
        <v>0</v>
      </c>
      <c r="D22" s="506">
        <f>Gen!T28</f>
        <v>744.22</v>
      </c>
      <c r="E22" s="448">
        <f>Gen!D28</f>
        <v>41561.289999999994</v>
      </c>
      <c r="F22" s="449">
        <f>'Water-Meter'!E23</f>
        <v>30</v>
      </c>
      <c r="G22" s="450">
        <f>'Water-Meter'!AN23</f>
        <v>41</v>
      </c>
      <c r="H22" s="448">
        <f>'Utility report '!AC23</f>
        <v>47</v>
      </c>
      <c r="I22" s="447">
        <f>'Kit report'!F21</f>
        <v>96.000000000130967</v>
      </c>
      <c r="J22" s="448">
        <f>'Kit report'!X21</f>
        <v>20.00000000007276</v>
      </c>
    </row>
    <row r="23" spans="1:10" ht="15" customHeight="1">
      <c r="A23" s="254">
        <v>43940</v>
      </c>
      <c r="B23" s="452">
        <f>Gen!C29</f>
        <v>0</v>
      </c>
      <c r="C23" s="505">
        <f>Gen!AK29</f>
        <v>52.039999999999992</v>
      </c>
      <c r="D23" s="506">
        <f>Gen!T29</f>
        <v>740.05</v>
      </c>
      <c r="E23" s="448">
        <f>Gen!D29</f>
        <v>40817.069999999992</v>
      </c>
      <c r="F23" s="449">
        <f>'Water-Meter'!E24</f>
        <v>51</v>
      </c>
      <c r="G23" s="450">
        <f>'Water-Meter'!AN24</f>
        <v>43</v>
      </c>
      <c r="H23" s="448">
        <f>'Utility report '!AC24</f>
        <v>0</v>
      </c>
      <c r="I23" s="447">
        <f>'Kit report'!F22</f>
        <v>107.99999999995634</v>
      </c>
      <c r="J23" s="448">
        <f>'Kit report'!X22</f>
        <v>20.00000000007276</v>
      </c>
    </row>
    <row r="24" spans="1:10" ht="15" customHeight="1">
      <c r="A24" s="254">
        <v>43941</v>
      </c>
      <c r="B24" s="452">
        <f>Gen!C30</f>
        <v>0</v>
      </c>
      <c r="C24" s="505">
        <f>Gen!AK30</f>
        <v>0</v>
      </c>
      <c r="D24" s="506">
        <f>Gen!T30</f>
        <v>731.47</v>
      </c>
      <c r="E24" s="448">
        <f>Gen!D30</f>
        <v>40024.979999999996</v>
      </c>
      <c r="F24" s="449">
        <f>'Water-Meter'!E25</f>
        <v>35</v>
      </c>
      <c r="G24" s="450">
        <f>'Water-Meter'!AN25</f>
        <v>42</v>
      </c>
      <c r="H24" s="448">
        <f>'Utility report '!AC25</f>
        <v>46</v>
      </c>
      <c r="I24" s="447">
        <f>'Kit report'!F23</f>
        <v>107.99999999995634</v>
      </c>
      <c r="J24" s="448">
        <f>'Kit report'!X23</f>
        <v>19.999999999890861</v>
      </c>
    </row>
    <row r="25" spans="1:10" ht="15" customHeight="1">
      <c r="A25" s="254">
        <v>43942</v>
      </c>
      <c r="B25" s="452">
        <f>Gen!C31</f>
        <v>0</v>
      </c>
      <c r="C25" s="505">
        <f>Gen!AK31</f>
        <v>180</v>
      </c>
      <c r="D25" s="506">
        <f>Gen!T31</f>
        <v>747.27</v>
      </c>
      <c r="E25" s="448">
        <f>Gen!D31</f>
        <v>39293.509999999995</v>
      </c>
      <c r="F25" s="449">
        <f>'Water-Meter'!E26</f>
        <v>27</v>
      </c>
      <c r="G25" s="450">
        <f>'Water-Meter'!AN26</f>
        <v>42</v>
      </c>
      <c r="H25" s="448">
        <f>'Utility report '!AC26</f>
        <v>49</v>
      </c>
      <c r="I25" s="447">
        <f>'Kit report'!F24</f>
        <v>107.99999999995634</v>
      </c>
      <c r="J25" s="448">
        <f>'Kit report'!X24</f>
        <v>20.00000000007276</v>
      </c>
    </row>
    <row r="26" spans="1:10" ht="15" customHeight="1">
      <c r="A26" s="254">
        <v>43943</v>
      </c>
      <c r="B26" s="452">
        <f>Gen!C32</f>
        <v>0</v>
      </c>
      <c r="C26" s="505">
        <f>Gen!AK32</f>
        <v>123.51</v>
      </c>
      <c r="D26" s="506">
        <f>Gen!T32</f>
        <v>709.13</v>
      </c>
      <c r="E26" s="448">
        <f>Gen!D32</f>
        <v>38366.239999999998</v>
      </c>
      <c r="F26" s="449">
        <f>'Water-Meter'!E27</f>
        <v>28</v>
      </c>
      <c r="G26" s="450">
        <f>'Water-Meter'!AN27</f>
        <v>42</v>
      </c>
      <c r="H26" s="448">
        <f>'Utility report '!AC27</f>
        <v>65</v>
      </c>
      <c r="I26" s="447">
        <f>'Kit report'!F25</f>
        <v>96.000000000130967</v>
      </c>
      <c r="J26" s="448">
        <f>'Kit report'!X25</f>
        <v>19.999999999890861</v>
      </c>
    </row>
    <row r="27" spans="1:10" ht="15" customHeight="1">
      <c r="A27" s="254">
        <v>43944</v>
      </c>
      <c r="B27" s="452">
        <f>Gen!C33</f>
        <v>0</v>
      </c>
      <c r="C27" s="505">
        <f>Gen!AK33</f>
        <v>0</v>
      </c>
      <c r="D27" s="506">
        <f>Gen!T33</f>
        <v>670.85</v>
      </c>
      <c r="E27" s="448">
        <f>Gen!D33</f>
        <v>49533.599999999999</v>
      </c>
      <c r="F27" s="449">
        <f>'Water-Meter'!E28</f>
        <v>29</v>
      </c>
      <c r="G27" s="450">
        <f>'Water-Meter'!AN28</f>
        <v>44</v>
      </c>
      <c r="H27" s="448">
        <f>'Utility report '!AC28</f>
        <v>0</v>
      </c>
      <c r="I27" s="447">
        <f>'Kit report'!F26</f>
        <v>107.99999999995634</v>
      </c>
      <c r="J27" s="448">
        <f>'Kit report'!X26</f>
        <v>20.00000000007276</v>
      </c>
    </row>
    <row r="28" spans="1:10" ht="15" customHeight="1">
      <c r="A28" s="254">
        <v>43945</v>
      </c>
      <c r="B28" s="452">
        <f>Gen!C34</f>
        <v>0</v>
      </c>
      <c r="C28" s="505">
        <f>Gen!AK34</f>
        <v>254.15</v>
      </c>
      <c r="D28" s="506">
        <f>Gen!T34</f>
        <v>734.77</v>
      </c>
      <c r="E28" s="448">
        <f>Gen!D34</f>
        <v>48862.75</v>
      </c>
      <c r="F28" s="449">
        <f>'Water-Meter'!E29</f>
        <v>31</v>
      </c>
      <c r="G28" s="450">
        <f>'Water-Meter'!AN29</f>
        <v>44</v>
      </c>
      <c r="H28" s="448">
        <f>'Utility report '!AC29</f>
        <v>89</v>
      </c>
      <c r="I28" s="447">
        <f>'Kit report'!F27</f>
        <v>120</v>
      </c>
      <c r="J28" s="448">
        <f>'Kit report'!X27</f>
        <v>0</v>
      </c>
    </row>
    <row r="29" spans="1:10" ht="15" customHeight="1">
      <c r="A29" s="254">
        <v>43946</v>
      </c>
      <c r="B29" s="452">
        <f>Gen!C35</f>
        <v>0</v>
      </c>
      <c r="C29" s="505">
        <f>Gen!AK35</f>
        <v>133.02000000000001</v>
      </c>
      <c r="D29" s="506">
        <f>Gen!T35</f>
        <v>708.25</v>
      </c>
      <c r="E29" s="448">
        <f>Gen!D35</f>
        <v>47873.83</v>
      </c>
      <c r="F29" s="449">
        <f>'Water-Meter'!E30</f>
        <v>32</v>
      </c>
      <c r="G29" s="450">
        <f>'Water-Meter'!AN30</f>
        <v>42</v>
      </c>
      <c r="H29" s="448">
        <f>'Utility report '!AC30</f>
        <v>52</v>
      </c>
      <c r="I29" s="447">
        <f>'Kit report'!F28</f>
        <v>107.99999999995634</v>
      </c>
      <c r="J29" s="448">
        <f>'Kit report'!X28</f>
        <v>20.00000000007276</v>
      </c>
    </row>
    <row r="30" spans="1:10" ht="15" customHeight="1">
      <c r="A30" s="254">
        <v>43947</v>
      </c>
      <c r="B30" s="452">
        <f>Gen!C36</f>
        <v>0</v>
      </c>
      <c r="C30" s="505">
        <f>Gen!AK36</f>
        <v>52.26</v>
      </c>
      <c r="D30" s="506">
        <f>Gen!T36</f>
        <v>707.94</v>
      </c>
      <c r="E30" s="448">
        <f>Gen!D36</f>
        <v>47032.560000000005</v>
      </c>
      <c r="F30" s="449">
        <f>'Water-Meter'!E31</f>
        <v>31</v>
      </c>
      <c r="G30" s="450">
        <f>'Water-Meter'!AN31</f>
        <v>131</v>
      </c>
      <c r="H30" s="448">
        <f>'Utility report '!AC31</f>
        <v>5</v>
      </c>
      <c r="I30" s="447">
        <f>'Kit report'!F29</f>
        <v>107.99999999995634</v>
      </c>
      <c r="J30" s="448">
        <f>'Kit report'!X29</f>
        <v>19.999999999890861</v>
      </c>
    </row>
    <row r="31" spans="1:10" ht="15" customHeight="1">
      <c r="A31" s="254">
        <v>43948</v>
      </c>
      <c r="B31" s="452">
        <f>Gen!C37</f>
        <v>0</v>
      </c>
      <c r="C31" s="505">
        <f>Gen!AK37</f>
        <v>7.38</v>
      </c>
      <c r="D31" s="506">
        <f>Gen!T37</f>
        <v>716.78</v>
      </c>
      <c r="E31" s="448">
        <f>Gen!D37</f>
        <v>46272.360000000008</v>
      </c>
      <c r="F31" s="449">
        <f>'Water-Meter'!E32</f>
        <v>30</v>
      </c>
      <c r="G31" s="450">
        <f>'Water-Meter'!AN32</f>
        <v>117</v>
      </c>
      <c r="H31" s="448">
        <f>'Utility report '!AC32</f>
        <v>58</v>
      </c>
      <c r="I31" s="447">
        <f>'Kit report'!F30</f>
        <v>132.00000000004366</v>
      </c>
      <c r="J31" s="448">
        <f>'Kit report'!X30</f>
        <v>20.00000000007276</v>
      </c>
    </row>
    <row r="32" spans="1:10" ht="15" customHeight="1">
      <c r="A32" s="254">
        <v>43949</v>
      </c>
      <c r="B32" s="452">
        <f>Gen!C38</f>
        <v>0</v>
      </c>
      <c r="C32" s="505">
        <f>Gen!AK38</f>
        <v>100</v>
      </c>
      <c r="D32" s="506">
        <f>Gen!T38</f>
        <v>690.55</v>
      </c>
      <c r="E32" s="448">
        <f>Gen!D38</f>
        <v>45548.200000000004</v>
      </c>
      <c r="F32" s="449">
        <f>'Water-Meter'!E33</f>
        <v>31</v>
      </c>
      <c r="G32" s="450">
        <f>'Water-Meter'!AN33</f>
        <v>61</v>
      </c>
      <c r="H32" s="448">
        <f>'Utility report '!AC33</f>
        <v>0</v>
      </c>
      <c r="I32" s="447">
        <f>'Kit report'!F31</f>
        <v>107.99999999995634</v>
      </c>
      <c r="J32" s="448">
        <f>'Kit report'!X31</f>
        <v>19.999999999890861</v>
      </c>
    </row>
    <row r="33" spans="1:10" ht="15" customHeight="1">
      <c r="A33" s="254">
        <v>43950</v>
      </c>
      <c r="B33" s="452">
        <f>Gen!C39</f>
        <v>0</v>
      </c>
      <c r="C33" s="505">
        <f>Gen!AK39</f>
        <v>38.11</v>
      </c>
      <c r="D33" s="506">
        <f>Gen!T39</f>
        <v>691.09</v>
      </c>
      <c r="E33" s="448">
        <f>Gen!D39</f>
        <v>44757.65</v>
      </c>
      <c r="F33" s="449">
        <f>'Water-Meter'!E34</f>
        <v>29</v>
      </c>
      <c r="G33" s="450">
        <f>'Water-Meter'!AN34</f>
        <v>45</v>
      </c>
      <c r="H33" s="448">
        <f>'Utility report '!AC34</f>
        <v>83</v>
      </c>
      <c r="I33" s="447">
        <f>'Kit report'!F32</f>
        <v>107.99999999995634</v>
      </c>
      <c r="J33" s="448">
        <f>'Kit report'!X32</f>
        <v>0</v>
      </c>
    </row>
    <row r="34" spans="1:10" ht="15" customHeight="1">
      <c r="A34" s="254">
        <v>43951</v>
      </c>
      <c r="B34" s="503">
        <f>Gen!C40</f>
        <v>0</v>
      </c>
      <c r="C34" s="505">
        <f>Gen!AK40</f>
        <v>0</v>
      </c>
      <c r="D34" s="506">
        <f>Gen!T40</f>
        <v>660.76</v>
      </c>
      <c r="E34" s="504">
        <f>Gen!D40</f>
        <v>44028.450000000004</v>
      </c>
      <c r="F34" s="449">
        <f>'Water-Meter'!E35</f>
        <v>29</v>
      </c>
      <c r="G34" s="450">
        <f>'Water-Meter'!AN35</f>
        <v>46</v>
      </c>
      <c r="H34" s="448">
        <f>'Utility report '!AC35</f>
        <v>0</v>
      </c>
      <c r="I34" s="447">
        <f>'Kit report'!F33</f>
        <v>96.000000000130967</v>
      </c>
      <c r="J34" s="448">
        <f>'Kit report'!X33</f>
        <v>20.00000000007276</v>
      </c>
    </row>
    <row r="35" spans="1:10" ht="15" customHeight="1">
      <c r="A35" s="254">
        <v>43952</v>
      </c>
      <c r="B35" s="452">
        <f>Gen!C41</f>
        <v>0</v>
      </c>
      <c r="C35" s="505">
        <f>Gen!AK41</f>
        <v>0</v>
      </c>
      <c r="D35" s="506">
        <f>Gen!T41</f>
        <v>0</v>
      </c>
      <c r="E35" s="450">
        <f>Gen!D41</f>
        <v>43367.69</v>
      </c>
      <c r="F35" s="449" t="str">
        <f>'Water-Meter'!E36</f>
        <v>0</v>
      </c>
      <c r="G35" s="450">
        <f>'Water-Meter'!AN36</f>
        <v>0</v>
      </c>
      <c r="H35" s="448">
        <f>'Utility report '!AC36</f>
        <v>-31534</v>
      </c>
      <c r="I35" s="447">
        <f>'Kit report'!F34</f>
        <v>-1039992</v>
      </c>
      <c r="J35" s="448">
        <f>'Kit report'!X34</f>
        <v>-1560900</v>
      </c>
    </row>
    <row r="36" spans="1:10" ht="15">
      <c r="A36" s="254">
        <v>43922</v>
      </c>
      <c r="B36" s="18"/>
      <c r="C36" s="505">
        <f>Gen!AK42</f>
        <v>0</v>
      </c>
      <c r="D36" s="506">
        <f>Gen!T42</f>
        <v>0</v>
      </c>
      <c r="E36" s="450">
        <f>Gen!D42</f>
        <v>43367.69</v>
      </c>
      <c r="F36" s="449">
        <f>'Water-Meter'!E37</f>
        <v>0</v>
      </c>
      <c r="G36" s="450">
        <f>'Water-Meter'!AN37</f>
        <v>750</v>
      </c>
      <c r="H36" s="448">
        <f>'Utility report '!AC37</f>
        <v>0</v>
      </c>
      <c r="I36" s="447">
        <f>'Kit report'!F35</f>
        <v>432.00000000004366</v>
      </c>
      <c r="J36" s="448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2020-05-01T05:11:34Z</dcterms:modified>
</cp:coreProperties>
</file>