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preet_sanmukhiya_fourseasons_com/Documents/Engineering/Utilities/HEP Upload/2022/Daily Report/"/>
    </mc:Choice>
  </mc:AlternateContent>
  <bookViews>
    <workbookView xWindow="-120" yWindow="-120" windowWidth="29040" windowHeight="15225" tabRatio="434" activeTab="1"/>
  </bookViews>
  <sheets>
    <sheet name="TOTAL" sheetId="1" r:id="rId1"/>
    <sheet name="Submetering" sheetId="4" r:id="rId2"/>
    <sheet name="HOTEL" sheetId="3" r:id="rId3"/>
    <sheet name="Sheet1" sheetId="5" state="hidden" r:id="rId4"/>
  </sheets>
  <externalReferences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2" i="4" l="1"/>
  <c r="B32" i="4" l="1"/>
  <c r="C32" i="4"/>
  <c r="E32" i="4"/>
  <c r="B32" i="1" l="1"/>
  <c r="E32" i="1"/>
  <c r="G32" i="1"/>
  <c r="T32" i="1" s="1"/>
  <c r="I32" i="1"/>
  <c r="K32" i="1"/>
  <c r="N32" i="1"/>
  <c r="O32" i="1"/>
  <c r="P32" i="1"/>
  <c r="J32" i="1" s="1"/>
  <c r="U32" i="1"/>
  <c r="CK55" i="3" l="1"/>
  <c r="CK54" i="3"/>
  <c r="CK53" i="3"/>
  <c r="CK52" i="3"/>
  <c r="CK51" i="3"/>
  <c r="CK50" i="3"/>
  <c r="CK49" i="3"/>
  <c r="CK48" i="3"/>
  <c r="CK47" i="3"/>
  <c r="CK46" i="3"/>
  <c r="EF38" i="3"/>
  <c r="EP35" i="3"/>
  <c r="EO35" i="3"/>
  <c r="EN35" i="3"/>
  <c r="CU35" i="3"/>
  <c r="AD35" i="3"/>
  <c r="P35" i="3"/>
  <c r="N35" i="3"/>
  <c r="L35" i="3"/>
  <c r="J35" i="3"/>
  <c r="EM35" i="3"/>
  <c r="EK35" i="3"/>
  <c r="EI35" i="3"/>
  <c r="EG35" i="3"/>
  <c r="CR35" i="3"/>
  <c r="CP35" i="3"/>
  <c r="CB35" i="3"/>
  <c r="BX35" i="3"/>
  <c r="BR35" i="3"/>
  <c r="BP35" i="3"/>
  <c r="BN35" i="3"/>
  <c r="BL35" i="3"/>
  <c r="BJ35" i="3"/>
  <c r="BF35" i="3"/>
  <c r="BD35" i="3"/>
  <c r="BB35" i="3"/>
  <c r="AZ35" i="3"/>
  <c r="AX35" i="3"/>
  <c r="AT35" i="3"/>
  <c r="AL35" i="3"/>
  <c r="AJ35" i="3"/>
  <c r="AH35" i="3"/>
  <c r="AF35" i="3"/>
  <c r="Z35" i="3"/>
  <c r="X35" i="3"/>
  <c r="V35" i="3"/>
  <c r="T35" i="3"/>
  <c r="R35" i="3"/>
  <c r="C35" i="3"/>
  <c r="E30" i="1"/>
  <c r="G30" i="1"/>
  <c r="T30" i="1" s="1"/>
  <c r="I30" i="1"/>
  <c r="K30" i="1"/>
  <c r="N30" i="1"/>
  <c r="P30" i="1" s="1"/>
  <c r="J30" i="1" s="1"/>
  <c r="E31" i="1"/>
  <c r="G31" i="1"/>
  <c r="T31" i="1" s="1"/>
  <c r="I31" i="1"/>
  <c r="K31" i="1"/>
  <c r="N31" i="1"/>
  <c r="O31" i="1" s="1"/>
  <c r="O30" i="1" l="1"/>
  <c r="E35" i="3"/>
  <c r="AR35" i="3"/>
  <c r="AV35" i="3"/>
  <c r="CE35" i="3"/>
  <c r="BH35" i="3"/>
  <c r="BV35" i="3"/>
  <c r="CD35" i="3"/>
  <c r="BZ35" i="3"/>
  <c r="CG35" i="3"/>
  <c r="CI35" i="3"/>
  <c r="CK35" i="3"/>
  <c r="CL35" i="3"/>
  <c r="CN35" i="3"/>
  <c r="CW35" i="3"/>
  <c r="CX35" i="3"/>
  <c r="CZ35" i="3"/>
  <c r="DA35" i="3"/>
  <c r="DC35" i="3"/>
  <c r="DD35" i="3"/>
  <c r="DF35" i="3"/>
  <c r="DG35" i="3"/>
  <c r="DI35" i="3"/>
  <c r="DJ35" i="3"/>
  <c r="DL35" i="3"/>
  <c r="DM35" i="3"/>
  <c r="DO35" i="3"/>
  <c r="DP35" i="3"/>
  <c r="DR35" i="3"/>
  <c r="DS35" i="3"/>
  <c r="DU35" i="3"/>
  <c r="DV35" i="3"/>
  <c r="DX35" i="3"/>
  <c r="DY35" i="3"/>
  <c r="EA35" i="3"/>
  <c r="EB35" i="3"/>
  <c r="ED35" i="3"/>
  <c r="EE35" i="3"/>
  <c r="U30" i="1"/>
  <c r="P31" i="1"/>
  <c r="J31" i="1" s="1"/>
  <c r="CS35" i="3" l="1"/>
  <c r="CT35" i="3"/>
  <c r="CC35" i="3"/>
  <c r="BS35" i="3"/>
  <c r="BT35" i="3"/>
  <c r="U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  <c r="O17" i="1" l="1"/>
  <c r="O9" i="1"/>
  <c r="O16" i="1"/>
  <c r="O15" i="1"/>
  <c r="O7" i="1"/>
  <c r="O22" i="1"/>
  <c r="O6" i="1"/>
  <c r="O25" i="1"/>
  <c r="O24" i="1"/>
  <c r="O8" i="1"/>
  <c r="O23" i="1"/>
  <c r="O2" i="1"/>
  <c r="O14" i="1"/>
  <c r="O29" i="1"/>
  <c r="O21" i="1"/>
  <c r="O13" i="1"/>
  <c r="O5" i="1"/>
  <c r="O20" i="1"/>
  <c r="O12" i="1"/>
  <c r="O4" i="1"/>
  <c r="O28" i="1"/>
  <c r="O27" i="1"/>
  <c r="O19" i="1"/>
  <c r="O11" i="1"/>
  <c r="O3" i="1"/>
  <c r="O26" i="1"/>
  <c r="O18" i="1"/>
  <c r="O10" i="1"/>
  <c r="G32" i="4"/>
  <c r="H32" i="4"/>
  <c r="I32" i="4"/>
  <c r="J32" i="4"/>
  <c r="K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2" i="4"/>
  <c r="B2" i="4"/>
  <c r="L32" i="4" l="1"/>
  <c r="M15" i="4" l="1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P4" i="1" s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P15" i="1" s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4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4"/>
  <c r="G31" i="4"/>
  <c r="N31" i="4"/>
  <c r="O31" i="4"/>
  <c r="P31" i="4"/>
  <c r="Q31" i="4"/>
  <c r="R31" i="4"/>
  <c r="S31" i="4"/>
  <c r="T31" i="4"/>
  <c r="U31" i="4"/>
  <c r="V31" i="4"/>
  <c r="Y31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P11" i="1" s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AK30" i="4"/>
  <c r="AK31" i="4"/>
  <c r="Y20" i="4"/>
  <c r="X11" i="4"/>
  <c r="Z2" i="4"/>
  <c r="U24" i="4"/>
  <c r="F32" i="4" l="1"/>
  <c r="B4" i="1"/>
  <c r="B3" i="4"/>
  <c r="C23" i="5"/>
  <c r="J4" i="1"/>
  <c r="J15" i="1"/>
  <c r="J11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F31" i="4" l="1"/>
  <c r="B5" i="1"/>
  <c r="B4" i="4"/>
  <c r="L30" i="4"/>
  <c r="L18" i="4"/>
  <c r="J5" i="1"/>
  <c r="J2" i="1"/>
  <c r="J27" i="1"/>
  <c r="U7" i="1"/>
  <c r="J22" i="1"/>
  <c r="J25" i="1"/>
  <c r="J18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13" i="1"/>
  <c r="J14" i="1"/>
  <c r="U14" i="1"/>
  <c r="U15" i="1"/>
  <c r="G28" i="1"/>
  <c r="T28" i="1" s="1"/>
  <c r="G26" i="1"/>
  <c r="T26" i="1" s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B6" i="1" l="1"/>
  <c r="B5" i="4"/>
  <c r="U18" i="1"/>
  <c r="U2" i="1"/>
  <c r="J7" i="1"/>
  <c r="J12" i="1"/>
  <c r="U9" i="1"/>
  <c r="B7" i="1" l="1"/>
  <c r="B6" i="4"/>
  <c r="B8" i="1" l="1"/>
  <c r="B7" i="4"/>
  <c r="B9" i="1" l="1"/>
  <c r="B8" i="4"/>
  <c r="B10" i="1" l="1"/>
  <c r="B9" i="4"/>
  <c r="B11" i="1" l="1"/>
  <c r="B10" i="4"/>
  <c r="B12" i="1" l="1"/>
  <c r="B11" i="4"/>
  <c r="B13" i="1" l="1"/>
  <c r="B12" i="4"/>
  <c r="B14" i="1" l="1"/>
  <c r="B13" i="4"/>
  <c r="B15" i="1" l="1"/>
  <c r="B14" i="4"/>
  <c r="B16" i="1" l="1"/>
  <c r="B15" i="4"/>
  <c r="B17" i="1" l="1"/>
  <c r="B16" i="4"/>
  <c r="B18" i="1" l="1"/>
  <c r="B17" i="4"/>
  <c r="B19" i="1" l="1"/>
  <c r="B18" i="4"/>
  <c r="B20" i="1" l="1"/>
  <c r="B19" i="4"/>
  <c r="B21" i="1" l="1"/>
  <c r="B20" i="4"/>
  <c r="B22" i="1" l="1"/>
  <c r="B21" i="4"/>
  <c r="B23" i="1" l="1"/>
  <c r="B22" i="4"/>
  <c r="B24" i="1" l="1"/>
  <c r="B23" i="4"/>
  <c r="B25" i="1" l="1"/>
  <c r="B24" i="4"/>
  <c r="B26" i="1" l="1"/>
  <c r="B25" i="4"/>
  <c r="B27" i="1" l="1"/>
  <c r="B26" i="4"/>
  <c r="B28" i="1" l="1"/>
  <c r="B27" i="4"/>
  <c r="B29" i="1" l="1"/>
  <c r="B28" i="4"/>
  <c r="B29" i="4" l="1"/>
  <c r="B30" i="1"/>
  <c r="B31" i="1" l="1"/>
  <c r="B30" i="4"/>
  <c r="B31" i="4" l="1"/>
</calcChain>
</file>

<file path=xl/comments1.xml><?xml version="1.0" encoding="utf-8"?>
<comments xmlns="http://schemas.openxmlformats.org/spreadsheetml/2006/main">
  <authors>
    <author>tc={FDA018A9-F8C1-43CF-B5BB-FAE4A43CE349}</author>
    <author>tc={7D7B8EF4-66C7-490F-8BF6-D6C198256095}</author>
  </authors>
  <commentList>
    <comment ref="AI17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New meter</t>
        </r>
      </text>
    </comment>
    <comment ref="CF21" authorId="1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Diesel Replenishment was done </t>
        </r>
      </text>
    </comment>
  </commentList>
</comments>
</file>

<file path=xl/sharedStrings.xml><?xml version="1.0" encoding="utf-8"?>
<sst xmlns="http://schemas.openxmlformats.org/spreadsheetml/2006/main" count="303" uniqueCount="147">
  <si>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</si>
  <si>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</si>
  <si>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</si>
  <si>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</si>
  <si>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</si>
  <si>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</si>
  <si>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</si>
  <si>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</si>
  <si>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</si>
  <si>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</si>
  <si>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</si>
  <si>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</si>
  <si>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</si>
  <si>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</si>
  <si>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</si>
  <si>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</si>
  <si>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</si>
  <si>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</si>
  <si>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</si>
  <si>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</si>
  <si>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</si>
  <si>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</si>
  <si>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</si>
  <si>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</si>
  <si>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</si>
  <si>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</si>
  <si>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</si>
  <si>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</si>
  <si>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</si>
  <si>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</si>
  <si>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</si>
  <si>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</si>
  <si>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</si>
  <si>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</si>
  <si>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</si>
  <si>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</si>
  <si>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</si>
  <si>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</si>
  <si>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</si>
  <si>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</si>
  <si>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</si>
  <si>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</si>
  <si>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</si>
  <si>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</si>
  <si>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</si>
  <si>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</si>
  <si>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</si>
  <si>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</si>
  <si>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</si>
  <si>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</si>
  <si>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</si>
  <si>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</si>
  <si>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</si>
  <si>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</si>
  <si>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</si>
  <si>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 xml:space="preserve">MB &amp; Island </t>
  </si>
  <si>
    <t>CONS</t>
  </si>
  <si>
    <t>North &amp; South</t>
  </si>
  <si>
    <t>Vacoas KW</t>
  </si>
  <si>
    <t>Hotel</t>
  </si>
  <si>
    <t>% Water Available</t>
  </si>
  <si>
    <t>Water reservoir, 400 m3</t>
  </si>
  <si>
    <t>water truck</t>
  </si>
  <si>
    <t>Water Softener</t>
  </si>
  <si>
    <t>bamboo pool</t>
  </si>
  <si>
    <t>CWA (FS)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</si>
  <si>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</si>
  <si>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</si>
  <si>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</si>
  <si>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</si>
  <si>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</si>
  <si>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</si>
  <si>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</si>
  <si>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</si>
  <si>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</si>
  <si>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</si>
  <si>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</si>
  <si>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</si>
  <si>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</si>
  <si>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</si>
  <si>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</si>
  <si>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</si>
  <si>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Boiler( Laundry)</t>
  </si>
  <si>
    <t>Main Building ( boiler)</t>
  </si>
  <si>
    <t>Pool Temperature</t>
  </si>
  <si>
    <t xml:space="preserve">BEVERAGE STORE </t>
  </si>
  <si>
    <t>Date</t>
  </si>
  <si>
    <t>KVAH</t>
  </si>
  <si>
    <t>KWH</t>
  </si>
  <si>
    <t>PF</t>
  </si>
  <si>
    <t>KVA</t>
  </si>
  <si>
    <t>KVA max</t>
  </si>
  <si>
    <t>Hrs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</si>
  <si>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</si>
  <si>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</si>
  <si>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</si>
  <si>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</si>
  <si>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</si>
  <si>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</si>
  <si>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</si>
  <si>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</si>
  <si>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</si>
  <si>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</si>
  <si>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</si>
  <si>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</si>
  <si>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</si>
  <si>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</si>
  <si>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</si>
  <si>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</si>
  <si>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</si>
  <si>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</si>
  <si>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DIESEL( cm)</t>
  </si>
  <si>
    <t>stock</t>
  </si>
  <si>
    <t>Del</t>
  </si>
  <si>
    <t>Meter</t>
  </si>
  <si>
    <t xml:space="preserve">cons </t>
  </si>
  <si>
    <t>Kg</t>
  </si>
  <si>
    <t>LPG 1</t>
  </si>
  <si>
    <t>LPG 2</t>
  </si>
  <si>
    <t>LPG 3</t>
  </si>
  <si>
    <t>total stock</t>
  </si>
  <si>
    <t>del</t>
  </si>
  <si>
    <t>Beau champ ( Main kit)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</si>
  <si>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</si>
  <si>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</si>
  <si>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</si>
  <si>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</si>
  <si>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</si>
  <si>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</si>
  <si>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</si>
  <si>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</si>
  <si>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</si>
  <si>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</si>
  <si>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</si>
  <si>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</si>
  <si>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Q @ T- 25 deg</t>
  </si>
  <si>
    <t>P</t>
  </si>
  <si>
    <t xml:space="preserve">Main </t>
  </si>
  <si>
    <t xml:space="preserve">Beau Champ </t>
  </si>
  <si>
    <t xml:space="preserve">Aquapazza </t>
  </si>
  <si>
    <t>Bambou</t>
  </si>
  <si>
    <t xml:space="preserve">Pantry </t>
  </si>
  <si>
    <t>LV 4xx</t>
  </si>
  <si>
    <t>LV5xx</t>
  </si>
  <si>
    <t xml:space="preserve">Porte Coshere </t>
  </si>
  <si>
    <t xml:space="preserve">Steam Boiler 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</si>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</sst>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1" x14ac:knownFonts="1"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6" borderId="0" applyNumberFormat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wrapText="1"/>
    </xf>
    <xf numFmtId="164" fontId="0" fillId="0" borderId="17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5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5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19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2" fillId="0" borderId="3" xfId="2" applyBorder="1" applyAlignment="1" applyProtection="1">
      <alignment horizontal="center" vertical="center"/>
      <protection locked="0"/>
    </xf>
    <xf numFmtId="1" fontId="0" fillId="3" borderId="20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3" fillId="6" borderId="0" xfId="3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0" xfId="0" applyBorder="1" applyAlignment="1">
      <alignment horizontal="center"/>
    </xf>
    <xf numFmtId="1" fontId="0" fillId="0" borderId="0" xfId="0" applyNumberFormat="1"/>
    <xf numFmtId="0" fontId="0" fillId="5" borderId="5" xfId="0" applyFill="1" applyBorder="1" applyAlignment="1">
      <alignment horizontal="center"/>
    </xf>
    <xf numFmtId="9" fontId="0" fillId="0" borderId="3" xfId="4" applyFont="1" applyBorder="1" applyAlignment="1" applyProtection="1">
      <alignment horizontal="center"/>
      <protection locked="0"/>
    </xf>
    <xf numFmtId="2" fontId="0" fillId="3" borderId="0" xfId="0" applyNumberFormat="1" applyFill="1" applyAlignment="1">
      <alignment horizontal="center" vertical="center"/>
    </xf>
    <xf numFmtId="2" fontId="0" fillId="5" borderId="21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22" xfId="0" applyNumberFormat="1" applyFill="1" applyBorder="1" applyAlignment="1">
      <alignment horizontal="center" vertical="center"/>
    </xf>
    <xf numFmtId="1" fontId="0" fillId="3" borderId="20" xfId="0" applyNumberFormat="1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6" fillId="0" borderId="20" xfId="5" applyNumberFormat="1" applyFont="1" applyFill="1" applyBorder="1" applyAlignment="1" applyProtection="1">
      <alignment horizontal="left" vertical="top" wrapText="1"/>
      <protection locked="0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 applyProtection="1">
      <alignment horizontal="center"/>
      <protection locked="0"/>
    </xf>
    <xf numFmtId="0" fontId="2" fillId="0" borderId="0" xfId="2"/>
    <xf numFmtId="0" fontId="0" fillId="0" borderId="0" xfId="0" applyProtection="1">
      <protection locked="0"/>
    </xf>
    <xf numFmtId="0" fontId="7" fillId="2" borderId="5" xfId="0" applyFont="1" applyFill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3" xfId="2" applyFont="1" applyBorder="1" applyAlignment="1" applyProtection="1">
      <alignment horizontal="center"/>
      <protection locked="0"/>
    </xf>
    <xf numFmtId="0" fontId="7" fillId="0" borderId="8" xfId="2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wrapText="1"/>
      <protection locked="0"/>
    </xf>
    <xf numFmtId="0" fontId="7" fillId="0" borderId="2" xfId="2" applyFont="1" applyBorder="1" applyProtection="1">
      <protection locked="0"/>
    </xf>
    <xf numFmtId="0" fontId="2" fillId="0" borderId="0" xfId="2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0" borderId="4" xfId="2" applyFont="1" applyBorder="1" applyAlignment="1" applyProtection="1">
      <alignment horizontal="center"/>
      <protection locked="0"/>
    </xf>
    <xf numFmtId="0" fontId="8" fillId="0" borderId="9" xfId="0" applyFont="1" applyBorder="1"/>
    <xf numFmtId="0" fontId="8" fillId="0" borderId="16" xfId="0" applyFont="1" applyBorder="1"/>
    <xf numFmtId="1" fontId="8" fillId="0" borderId="6" xfId="0" applyNumberFormat="1" applyFont="1" applyBorder="1"/>
    <xf numFmtId="0" fontId="8" fillId="0" borderId="6" xfId="0" applyFont="1" applyBorder="1"/>
    <xf numFmtId="1" fontId="8" fillId="2" borderId="6" xfId="0" applyNumberFormat="1" applyFont="1" applyFill="1" applyBorder="1"/>
    <xf numFmtId="0" fontId="8" fillId="0" borderId="15" xfId="0" applyFont="1" applyBorder="1"/>
    <xf numFmtId="0" fontId="8" fillId="0" borderId="10" xfId="0" applyFont="1" applyBorder="1" applyAlignment="1">
      <alignment wrapText="1"/>
    </xf>
    <xf numFmtId="0" fontId="8" fillId="0" borderId="11" xfId="0" applyFont="1" applyBorder="1"/>
    <xf numFmtId="0" fontId="8" fillId="2" borderId="6" xfId="0" applyFont="1" applyFill="1" applyBorder="1"/>
    <xf numFmtId="0" fontId="8" fillId="0" borderId="12" xfId="0" applyFont="1" applyBorder="1"/>
    <xf numFmtId="0" fontId="8" fillId="0" borderId="13" xfId="0" applyFont="1" applyBorder="1" applyAlignment="1">
      <alignment horizontal="center" vertical="center" wrapText="1"/>
    </xf>
    <xf numFmtId="0" fontId="8" fillId="0" borderId="6" xfId="2" applyFont="1" applyBorder="1" applyAlignment="1">
      <alignment wrapText="1"/>
    </xf>
    <xf numFmtId="0" fontId="8" fillId="0" borderId="12" xfId="2" applyFont="1" applyBorder="1" applyAlignment="1">
      <alignment wrapText="1"/>
    </xf>
    <xf numFmtId="0" fontId="8" fillId="0" borderId="13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20" fontId="8" fillId="0" borderId="25" xfId="0" applyNumberFormat="1" applyFont="1" applyBorder="1" applyAlignment="1">
      <alignment horizontal="center"/>
    </xf>
    <xf numFmtId="2" fontId="0" fillId="0" borderId="0" xfId="0" applyNumberFormat="1"/>
    <xf numFmtId="0" fontId="8" fillId="0" borderId="13" xfId="0" applyFont="1" applyBorder="1" applyAlignment="1">
      <alignment vertical="top"/>
    </xf>
    <xf numFmtId="0" fontId="0" fillId="8" borderId="2" xfId="0" applyFill="1" applyBorder="1" applyAlignment="1" applyProtection="1">
      <alignment horizontal="center" vertical="center"/>
      <protection locked="0"/>
    </xf>
    <xf numFmtId="0" fontId="0" fillId="5" borderId="26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0" borderId="28" xfId="0" applyBorder="1" applyAlignment="1">
      <alignment horizontal="center" vertical="center"/>
    </xf>
    <xf numFmtId="0" fontId="0" fillId="8" borderId="8" xfId="0" applyFill="1" applyBorder="1" applyAlignment="1" applyProtection="1">
      <alignment horizontal="center"/>
      <protection locked="0"/>
    </xf>
    <xf numFmtId="9" fontId="0" fillId="4" borderId="3" xfId="4" applyFont="1" applyFill="1" applyBorder="1" applyAlignment="1" applyProtection="1">
      <alignment horizontal="center"/>
      <protection locked="0"/>
    </xf>
    <xf numFmtId="0" fontId="8" fillId="4" borderId="6" xfId="0" applyFont="1" applyFill="1" applyBorder="1"/>
    <xf numFmtId="1" fontId="0" fillId="0" borderId="0" xfId="0" applyNumberFormat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5" borderId="0" xfId="0" applyFill="1" applyAlignment="1">
      <alignment horizontal="center"/>
    </xf>
    <xf numFmtId="9" fontId="0" fillId="0" borderId="0" xfId="4" applyFont="1" applyBorder="1" applyAlignment="1" applyProtection="1">
      <alignment horizontal="center"/>
      <protection locked="0"/>
    </xf>
    <xf numFmtId="0" fontId="0" fillId="3" borderId="7" xfId="0" applyFill="1" applyBorder="1" applyAlignment="1">
      <alignment horizontal="center" vertical="center"/>
    </xf>
    <xf numFmtId="0" fontId="2" fillId="0" borderId="0" xfId="2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/>
      <protection locked="0"/>
    </xf>
    <xf numFmtId="165" fontId="0" fillId="0" borderId="7" xfId="0" applyNumberFormat="1" applyBorder="1" applyAlignment="1" applyProtection="1">
      <alignment horizontal="center" vertical="center" wrapText="1"/>
      <protection locked="0"/>
    </xf>
    <xf numFmtId="0" fontId="10" fillId="0" borderId="13" xfId="0" applyFont="1" applyBorder="1"/>
    <xf numFmtId="0" fontId="10" fillId="0" borderId="30" xfId="0" applyFont="1" applyBorder="1"/>
    <xf numFmtId="0" fontId="0" fillId="4" borderId="2" xfId="0" applyFill="1" applyBorder="1" applyAlignment="1">
      <alignment horizontal="center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24" xfId="0" applyFont="1" applyBorder="1" applyAlignment="1">
      <alignment horizontal="center"/>
    </xf>
    <xf numFmtId="0" fontId="7" fillId="0" borderId="3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7" fillId="2" borderId="8" xfId="0" applyFont="1" applyFill="1" applyBorder="1" applyAlignment="1" applyProtection="1">
      <alignment horizontal="center"/>
      <protection locked="0"/>
    </xf>
  </cellXfs>
  <cellStyles count="6">
    <cellStyle name="Good" xfId="3" builtinId="26"/>
    <cellStyle name="Normal" xfId="0" builtinId="0"/>
    <cellStyle name="Normal 11" xfId="1"/>
    <cellStyle name="Normal 2" xfId="2"/>
    <cellStyle name="Percent" xfId="4" builtinId="5"/>
    <cellStyle name="Percent 3" xfId="5"/>
  </cellStyles>
  <dxfs count="25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B22" sqref="B22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3"/>
      <c r="M1" s="11"/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12</v>
      </c>
      <c r="D2" s="7">
        <v>2022</v>
      </c>
      <c r="E2" s="8">
        <f>HOTEL!E4</f>
        <v>24370</v>
      </c>
      <c r="F2" s="12">
        <v>6.25</v>
      </c>
      <c r="G2" s="8">
        <f>HOTEL!CV4</f>
        <v>51794</v>
      </c>
      <c r="H2" s="12">
        <v>76.45</v>
      </c>
      <c r="I2" s="8">
        <f>HOTEL!Z4+HOTEL!AF4</f>
        <v>159</v>
      </c>
      <c r="J2" s="12">
        <f>P2</f>
        <v>54.393559928443651</v>
      </c>
      <c r="K2" s="7">
        <f>HOTEL!EP4</f>
        <v>0.96</v>
      </c>
      <c r="L2" s="14"/>
      <c r="N2" s="7">
        <f>HOTEL!AD4</f>
        <v>10</v>
      </c>
      <c r="O2" s="7">
        <f t="shared" ref="O2:O5" si="0">N2*4000</f>
        <v>40000</v>
      </c>
      <c r="P2" s="8">
        <f>IFERROR(((((HOTEL!Z4*34))+(N2*2500))/(I2+N2*40)),0)</f>
        <v>54.393559928443651</v>
      </c>
      <c r="Q2" s="7">
        <v>6.21</v>
      </c>
      <c r="R2" s="12">
        <v>67.25</v>
      </c>
      <c r="S2" s="7">
        <v>33.880000000000003</v>
      </c>
      <c r="T2" s="8">
        <f>G2*H2</f>
        <v>3959651.3000000003</v>
      </c>
      <c r="U2" s="8">
        <f>I2*P2</f>
        <v>8648.5760286225413</v>
      </c>
    </row>
    <row r="3" spans="1:21" x14ac:dyDescent="0.2">
      <c r="A3" s="2" t="s">
        <v>19</v>
      </c>
      <c r="B3" s="7">
        <f>B2+1</f>
        <v>2</v>
      </c>
      <c r="C3" s="7">
        <v>12</v>
      </c>
      <c r="D3" s="7">
        <v>2022</v>
      </c>
      <c r="E3" s="8">
        <f>HOTEL!E5</f>
        <v>23096</v>
      </c>
      <c r="F3" s="12">
        <v>6.25</v>
      </c>
      <c r="G3" s="8">
        <f>HOTEL!CV5</f>
        <v>51836</v>
      </c>
      <c r="H3" s="12">
        <v>76.45</v>
      </c>
      <c r="I3" s="8">
        <f>HOTEL!Z5+HOTEL!AF5</f>
        <v>81</v>
      </c>
      <c r="J3" s="12">
        <f t="shared" ref="J3:J29" si="1">P3</f>
        <v>58.385026737967912</v>
      </c>
      <c r="K3" s="7">
        <f>HOTEL!EP5</f>
        <v>0.91</v>
      </c>
      <c r="L3" s="14"/>
      <c r="N3" s="7">
        <f>HOTEL!AD5</f>
        <v>12</v>
      </c>
      <c r="O3" s="7">
        <f t="shared" si="0"/>
        <v>48000</v>
      </c>
      <c r="P3" s="8">
        <f>IFERROR(((((HOTEL!Z5*34))+(N3*2500))/(I3+N3*40)),0)</f>
        <v>58.385026737967912</v>
      </c>
      <c r="Q3" s="7">
        <v>6.21</v>
      </c>
      <c r="R3" s="12">
        <v>67.25</v>
      </c>
      <c r="S3" s="7">
        <v>33.880000000000003</v>
      </c>
      <c r="T3" s="8">
        <f t="shared" ref="T3:T19" si="2">G3*H3</f>
        <v>3962862.2</v>
      </c>
      <c r="U3" s="8">
        <f t="shared" ref="U3:U29" si="3">I3*P3</f>
        <v>4729.1871657754009</v>
      </c>
    </row>
    <row r="4" spans="1:21" x14ac:dyDescent="0.2">
      <c r="A4" s="2" t="s">
        <v>19</v>
      </c>
      <c r="B4" s="7">
        <f t="shared" ref="B4:B32" si="4">B3+1</f>
        <v>3</v>
      </c>
      <c r="C4" s="7">
        <v>12</v>
      </c>
      <c r="D4" s="7">
        <v>2022</v>
      </c>
      <c r="E4" s="8">
        <f>HOTEL!E6</f>
        <v>20189</v>
      </c>
      <c r="F4" s="12">
        <v>6.25</v>
      </c>
      <c r="G4" s="8">
        <f>HOTEL!CV6</f>
        <v>51882</v>
      </c>
      <c r="H4" s="12">
        <v>76.45</v>
      </c>
      <c r="I4" s="8">
        <f>HOTEL!Z6+HOTEL!AF6</f>
        <v>126</v>
      </c>
      <c r="J4" s="12">
        <f t="shared" si="1"/>
        <v>57.553719008264466</v>
      </c>
      <c r="K4" s="7">
        <f>HOTEL!EP6</f>
        <v>0.86</v>
      </c>
      <c r="L4" s="14"/>
      <c r="N4" s="7">
        <f>HOTEL!AD6</f>
        <v>15</v>
      </c>
      <c r="O4" s="7">
        <f t="shared" si="0"/>
        <v>60000</v>
      </c>
      <c r="P4" s="8">
        <f>IFERROR(((((HOTEL!Z6*34))+(N4*2500))/(I4+N4*40)),0)</f>
        <v>57.553719008264466</v>
      </c>
      <c r="Q4" s="7">
        <v>6.21</v>
      </c>
      <c r="R4" s="12">
        <v>67.25</v>
      </c>
      <c r="S4" s="7">
        <v>33.880000000000003</v>
      </c>
      <c r="T4" s="8">
        <f t="shared" si="2"/>
        <v>3966378.9000000004</v>
      </c>
      <c r="U4" s="8">
        <f t="shared" si="3"/>
        <v>7251.7685950413224</v>
      </c>
    </row>
    <row r="5" spans="1:21" x14ac:dyDescent="0.2">
      <c r="A5" s="2" t="s">
        <v>19</v>
      </c>
      <c r="B5" s="7">
        <f t="shared" si="4"/>
        <v>4</v>
      </c>
      <c r="C5" s="7">
        <v>12</v>
      </c>
      <c r="D5" s="7">
        <v>2022</v>
      </c>
      <c r="E5" s="8">
        <f>HOTEL!E7</f>
        <v>25067</v>
      </c>
      <c r="F5" s="12">
        <v>6.25</v>
      </c>
      <c r="G5" s="8">
        <f>HOTEL!CV7</f>
        <v>51926</v>
      </c>
      <c r="H5" s="12">
        <v>76.45</v>
      </c>
      <c r="I5" s="8">
        <f>HOTEL!Z7+HOTEL!AF7</f>
        <v>291</v>
      </c>
      <c r="J5" s="12">
        <f t="shared" si="1"/>
        <v>41.291828793774322</v>
      </c>
      <c r="K5" s="7">
        <f>HOTEL!EP7</f>
        <v>0.83799999999999997</v>
      </c>
      <c r="L5" s="14"/>
      <c r="N5" s="7">
        <f>HOTEL!AD7</f>
        <v>12</v>
      </c>
      <c r="O5" s="7">
        <f t="shared" si="0"/>
        <v>48000</v>
      </c>
      <c r="P5" s="8">
        <f>IFERROR(((((HOTEL!Z7*34))+(N5*2500))/(I5+N5*40)),0)</f>
        <v>41.291828793774322</v>
      </c>
      <c r="Q5" s="7">
        <v>6.21</v>
      </c>
      <c r="R5" s="12">
        <v>67.25</v>
      </c>
      <c r="S5" s="7">
        <v>33.880000000000003</v>
      </c>
      <c r="T5" s="8">
        <f t="shared" si="2"/>
        <v>3969742.7</v>
      </c>
      <c r="U5" s="8">
        <f t="shared" si="3"/>
        <v>12015.922178988327</v>
      </c>
    </row>
    <row r="6" spans="1:21" x14ac:dyDescent="0.2">
      <c r="A6" s="2" t="s">
        <v>19</v>
      </c>
      <c r="B6" s="7">
        <f t="shared" si="4"/>
        <v>5</v>
      </c>
      <c r="C6" s="7">
        <v>12</v>
      </c>
      <c r="D6" s="7">
        <v>2022</v>
      </c>
      <c r="E6" s="8">
        <f>HOTEL!E8</f>
        <v>24162</v>
      </c>
      <c r="F6" s="12">
        <v>6.25</v>
      </c>
      <c r="G6" s="8">
        <f>HOTEL!CV8</f>
        <v>51964</v>
      </c>
      <c r="H6" s="12">
        <v>76.45</v>
      </c>
      <c r="I6" s="8">
        <f>HOTEL!Z8+HOTEL!AF8</f>
        <v>673</v>
      </c>
      <c r="J6" s="12">
        <f t="shared" si="1"/>
        <v>34.62823355506282</v>
      </c>
      <c r="K6" s="7">
        <f>HOTEL!EP8</f>
        <v>0.71099999999999997</v>
      </c>
      <c r="L6" s="14"/>
      <c r="N6" s="7">
        <f>HOTEL!AD8</f>
        <v>17</v>
      </c>
      <c r="O6" s="7">
        <f>N6*4000</f>
        <v>68000</v>
      </c>
      <c r="P6" s="8">
        <f>IFERROR(((((HOTEL!Z8*34))+(N6*2500))/(I6+N6*40)),0)</f>
        <v>34.62823355506282</v>
      </c>
      <c r="Q6" s="7">
        <v>6.21</v>
      </c>
      <c r="R6" s="12">
        <v>67.25</v>
      </c>
      <c r="S6" s="7">
        <v>33.880000000000003</v>
      </c>
      <c r="T6" s="8">
        <f t="shared" si="2"/>
        <v>3972647.8000000003</v>
      </c>
      <c r="U6" s="8">
        <f t="shared" si="3"/>
        <v>23304.801182557279</v>
      </c>
    </row>
    <row r="7" spans="1:21" x14ac:dyDescent="0.2">
      <c r="A7" s="2" t="s">
        <v>19</v>
      </c>
      <c r="B7" s="7">
        <f t="shared" si="4"/>
        <v>6</v>
      </c>
      <c r="C7" s="7">
        <v>12</v>
      </c>
      <c r="D7" s="7">
        <v>2022</v>
      </c>
      <c r="E7" s="8">
        <f>HOTEL!E9</f>
        <v>23209</v>
      </c>
      <c r="F7" s="12">
        <v>6.25</v>
      </c>
      <c r="G7" s="8">
        <f>HOTEL!CV9</f>
        <v>52001</v>
      </c>
      <c r="H7" s="12">
        <v>76.45</v>
      </c>
      <c r="I7" s="8">
        <f>HOTEL!Z9+HOTEL!AF9</f>
        <v>469</v>
      </c>
      <c r="J7" s="12">
        <f t="shared" si="1"/>
        <v>37.086491739552962</v>
      </c>
      <c r="K7" s="7">
        <f>HOTEL!EP9</f>
        <v>0.75</v>
      </c>
      <c r="L7" s="14"/>
      <c r="N7" s="7">
        <f>HOTEL!AD9</f>
        <v>14</v>
      </c>
      <c r="O7" s="7">
        <f t="shared" ref="O7:O29" si="5">N7*4000</f>
        <v>56000</v>
      </c>
      <c r="P7" s="8">
        <f>IFERROR(((((HOTEL!Z9*34))+(N7*2500))/(I7+N7*40)),0)</f>
        <v>37.086491739552962</v>
      </c>
      <c r="Q7" s="7">
        <v>6.21</v>
      </c>
      <c r="R7" s="12">
        <v>67.25</v>
      </c>
      <c r="S7" s="7">
        <v>33.880000000000003</v>
      </c>
      <c r="T7" s="8">
        <f t="shared" si="2"/>
        <v>3975476.45</v>
      </c>
      <c r="U7" s="8">
        <f t="shared" si="3"/>
        <v>17393.56462585034</v>
      </c>
    </row>
    <row r="8" spans="1:21" x14ac:dyDescent="0.2">
      <c r="A8" s="2" t="s">
        <v>19</v>
      </c>
      <c r="B8" s="7">
        <f t="shared" si="4"/>
        <v>7</v>
      </c>
      <c r="C8" s="7">
        <v>12</v>
      </c>
      <c r="D8" s="7">
        <v>2022</v>
      </c>
      <c r="E8" s="8">
        <f>HOTEL!E10</f>
        <v>24101</v>
      </c>
      <c r="F8" s="12">
        <v>6.25</v>
      </c>
      <c r="G8" s="8">
        <f>HOTEL!CV10</f>
        <v>52039</v>
      </c>
      <c r="H8" s="12">
        <v>76.45</v>
      </c>
      <c r="I8" s="8">
        <f>HOTEL!Z10+HOTEL!AF10</f>
        <v>303</v>
      </c>
      <c r="J8" s="12">
        <f t="shared" si="1"/>
        <v>42.274562584118442</v>
      </c>
      <c r="K8" s="7">
        <f>HOTEL!EP10</f>
        <v>0.72299999999999998</v>
      </c>
      <c r="L8" s="14"/>
      <c r="N8" s="7">
        <f>HOTEL!AD10</f>
        <v>11</v>
      </c>
      <c r="O8" s="7">
        <f t="shared" si="5"/>
        <v>44000</v>
      </c>
      <c r="P8" s="8">
        <f>IFERROR(((((HOTEL!Z10*34))+(N8*2500))/(I8+N8*40)),0)</f>
        <v>42.274562584118442</v>
      </c>
      <c r="Q8" s="7">
        <v>6.21</v>
      </c>
      <c r="R8" s="12">
        <v>67.25</v>
      </c>
      <c r="S8" s="7">
        <v>33.880000000000003</v>
      </c>
      <c r="T8" s="8">
        <f t="shared" si="2"/>
        <v>3978381.5500000003</v>
      </c>
      <c r="U8" s="8">
        <f t="shared" si="3"/>
        <v>12809.192462987889</v>
      </c>
    </row>
    <row r="9" spans="1:21" x14ac:dyDescent="0.2">
      <c r="A9" s="2" t="s">
        <v>19</v>
      </c>
      <c r="B9" s="7">
        <f t="shared" si="4"/>
        <v>8</v>
      </c>
      <c r="C9" s="7">
        <v>12</v>
      </c>
      <c r="D9" s="7">
        <v>2022</v>
      </c>
      <c r="E9" s="8">
        <f>HOTEL!E11</f>
        <v>25187</v>
      </c>
      <c r="F9" s="12">
        <v>6.25</v>
      </c>
      <c r="G9" s="8">
        <f>HOTEL!CV11</f>
        <v>52074</v>
      </c>
      <c r="H9" s="12">
        <v>76.45</v>
      </c>
      <c r="I9" s="8">
        <f>HOTEL!Z11+HOTEL!AF11</f>
        <v>208</v>
      </c>
      <c r="J9" s="12">
        <f t="shared" si="1"/>
        <v>44.41776315789474</v>
      </c>
      <c r="K9" s="7">
        <f>HOTEL!EP11</f>
        <v>0.71799999999999997</v>
      </c>
      <c r="L9" s="14"/>
      <c r="N9" s="7">
        <f>HOTEL!AD11</f>
        <v>10</v>
      </c>
      <c r="O9" s="7">
        <f t="shared" si="5"/>
        <v>40000</v>
      </c>
      <c r="P9" s="8">
        <f>IFERROR(((((HOTEL!Z11*34))+(N9*2500))/(I9+N9*40)),0)</f>
        <v>44.41776315789474</v>
      </c>
      <c r="Q9" s="7">
        <v>6.21</v>
      </c>
      <c r="R9" s="12">
        <v>67.25</v>
      </c>
      <c r="S9" s="7">
        <v>33.880000000000003</v>
      </c>
      <c r="T9" s="8">
        <f>G9*H9</f>
        <v>3981057.3000000003</v>
      </c>
      <c r="U9" s="8">
        <f t="shared" si="3"/>
        <v>9238.8947368421068</v>
      </c>
    </row>
    <row r="10" spans="1:21" x14ac:dyDescent="0.2">
      <c r="A10" s="2" t="s">
        <v>19</v>
      </c>
      <c r="B10" s="7">
        <f t="shared" si="4"/>
        <v>9</v>
      </c>
      <c r="C10" s="7">
        <v>12</v>
      </c>
      <c r="D10" s="7">
        <v>2022</v>
      </c>
      <c r="E10" s="8">
        <f>HOTEL!E12</f>
        <v>23637</v>
      </c>
      <c r="F10" s="12">
        <v>6.25</v>
      </c>
      <c r="G10" s="8">
        <f>HOTEL!CV12</f>
        <v>52114</v>
      </c>
      <c r="H10" s="12">
        <v>76.45</v>
      </c>
      <c r="I10" s="8">
        <f>HOTEL!Z12+HOTEL!AF12</f>
        <v>564</v>
      </c>
      <c r="J10" s="12">
        <f t="shared" si="1"/>
        <v>33.685823754789268</v>
      </c>
      <c r="K10" s="7">
        <f>HOTEL!EP12</f>
        <v>0.78900000000000003</v>
      </c>
      <c r="L10" s="14"/>
      <c r="N10" s="7">
        <f>HOTEL!AD12</f>
        <v>12</v>
      </c>
      <c r="O10" s="7">
        <f t="shared" si="5"/>
        <v>48000</v>
      </c>
      <c r="P10" s="8">
        <f>IFERROR(((((HOTEL!Z12*34))+(N10*2500))/(I10+N10*40)),0)</f>
        <v>33.685823754789268</v>
      </c>
      <c r="Q10" s="7">
        <v>6.21</v>
      </c>
      <c r="R10" s="12">
        <v>67.25</v>
      </c>
      <c r="S10" s="7">
        <v>33.93</v>
      </c>
      <c r="T10" s="8">
        <f t="shared" si="2"/>
        <v>3984115.3000000003</v>
      </c>
      <c r="U10" s="8">
        <f t="shared" si="3"/>
        <v>18998.804597701146</v>
      </c>
    </row>
    <row r="11" spans="1:21" x14ac:dyDescent="0.2">
      <c r="A11" s="2" t="s">
        <v>19</v>
      </c>
      <c r="B11" s="7">
        <f t="shared" si="4"/>
        <v>10</v>
      </c>
      <c r="C11" s="7">
        <v>12</v>
      </c>
      <c r="D11" s="7">
        <v>2022</v>
      </c>
      <c r="E11" s="8">
        <f>HOTEL!E13</f>
        <v>23117</v>
      </c>
      <c r="F11" s="12">
        <v>6.25</v>
      </c>
      <c r="G11" s="8">
        <f>HOTEL!CV13</f>
        <v>52149</v>
      </c>
      <c r="H11" s="12">
        <v>76.45</v>
      </c>
      <c r="I11" s="8">
        <f>HOTEL!Z13+HOTEL!AF13</f>
        <v>420</v>
      </c>
      <c r="J11" s="12">
        <f t="shared" si="1"/>
        <v>36.708510638297874</v>
      </c>
      <c r="K11" s="7">
        <f>HOTEL!EP13</f>
        <v>0.70499999999999996</v>
      </c>
      <c r="L11" s="14"/>
      <c r="N11" s="7">
        <f>HOTEL!AD13</f>
        <v>13</v>
      </c>
      <c r="O11" s="7">
        <f t="shared" si="5"/>
        <v>52000</v>
      </c>
      <c r="P11" s="8">
        <f>IFERROR(((((HOTEL!Z13*34))+(N11*2500))/(I11+N11*40)),0)</f>
        <v>36.708510638297874</v>
      </c>
      <c r="Q11" s="7">
        <v>6.21</v>
      </c>
      <c r="R11" s="12">
        <v>67.25</v>
      </c>
      <c r="S11" s="7">
        <v>33.93</v>
      </c>
      <c r="T11" s="8">
        <f>G11*H11</f>
        <v>3986791.0500000003</v>
      </c>
      <c r="U11" s="8">
        <f t="shared" si="3"/>
        <v>15417.574468085108</v>
      </c>
    </row>
    <row r="12" spans="1:21" x14ac:dyDescent="0.2">
      <c r="A12" s="2" t="s">
        <v>19</v>
      </c>
      <c r="B12" s="7">
        <f t="shared" si="4"/>
        <v>11</v>
      </c>
      <c r="C12" s="7">
        <v>12</v>
      </c>
      <c r="D12" s="7">
        <v>2022</v>
      </c>
      <c r="E12" s="8">
        <f>HOTEL!E14</f>
        <v>20830</v>
      </c>
      <c r="F12" s="12">
        <v>6.25</v>
      </c>
      <c r="G12" s="8">
        <f>HOTEL!CV14</f>
        <v>52184</v>
      </c>
      <c r="H12" s="12">
        <v>76.45</v>
      </c>
      <c r="I12" s="8">
        <f>HOTEL!Z14+HOTEL!AF14</f>
        <v>293</v>
      </c>
      <c r="J12" s="12">
        <f t="shared" si="1"/>
        <v>38.117455138662315</v>
      </c>
      <c r="K12" s="7">
        <f>HOTEL!EP14</f>
        <v>0.76100000000000001</v>
      </c>
      <c r="L12" s="14"/>
      <c r="N12" s="7">
        <f>HOTEL!AD14</f>
        <v>8</v>
      </c>
      <c r="O12" s="7">
        <f t="shared" si="5"/>
        <v>32000</v>
      </c>
      <c r="P12" s="8">
        <f>IFERROR(((((HOTEL!Z14*34))+(N12*2500))/(I12+N12*40)),0)</f>
        <v>38.117455138662315</v>
      </c>
      <c r="Q12" s="7">
        <v>6.21</v>
      </c>
      <c r="R12" s="12">
        <v>67.25</v>
      </c>
      <c r="S12" s="7">
        <v>33.93</v>
      </c>
      <c r="T12" s="8">
        <f>G12*H12</f>
        <v>3989466.8000000003</v>
      </c>
      <c r="U12" s="8">
        <f t="shared" si="3"/>
        <v>11168.414355628058</v>
      </c>
    </row>
    <row r="13" spans="1:21" x14ac:dyDescent="0.2">
      <c r="A13" s="2" t="s">
        <v>19</v>
      </c>
      <c r="B13" s="7">
        <f t="shared" si="4"/>
        <v>12</v>
      </c>
      <c r="C13" s="7">
        <v>12</v>
      </c>
      <c r="D13" s="7">
        <v>2022</v>
      </c>
      <c r="E13" s="8">
        <f>HOTEL!E15</f>
        <v>25789</v>
      </c>
      <c r="F13" s="12">
        <v>6.25</v>
      </c>
      <c r="G13" s="8">
        <f>HOTEL!CV15</f>
        <v>52223</v>
      </c>
      <c r="H13" s="12">
        <v>76.45</v>
      </c>
      <c r="I13" s="8">
        <f>HOTEL!Z15+HOTEL!AF15</f>
        <v>702</v>
      </c>
      <c r="J13" s="12">
        <f t="shared" si="1"/>
        <v>29.996830427892235</v>
      </c>
      <c r="K13" s="7">
        <f>HOTEL!EP15</f>
        <v>0.72199999999999998</v>
      </c>
      <c r="L13" s="14"/>
      <c r="N13" s="7">
        <f>HOTEL!AD15</f>
        <v>14</v>
      </c>
      <c r="O13" s="7">
        <f t="shared" si="5"/>
        <v>56000</v>
      </c>
      <c r="P13" s="8">
        <f>IFERROR(((((HOTEL!Z15*34))+(N13*2500))/(I13+N13*40)),0)</f>
        <v>29.996830427892235</v>
      </c>
      <c r="Q13" s="7">
        <v>6.21</v>
      </c>
      <c r="R13" s="12">
        <v>67.25</v>
      </c>
      <c r="S13" s="7">
        <v>33.93</v>
      </c>
      <c r="T13" s="8">
        <f t="shared" si="2"/>
        <v>3992448.35</v>
      </c>
      <c r="U13" s="8">
        <f t="shared" si="3"/>
        <v>21057.77496038035</v>
      </c>
    </row>
    <row r="14" spans="1:21" x14ac:dyDescent="0.2">
      <c r="A14" s="2" t="s">
        <v>19</v>
      </c>
      <c r="B14" s="7">
        <f t="shared" si="4"/>
        <v>13</v>
      </c>
      <c r="C14" s="7">
        <v>12</v>
      </c>
      <c r="D14" s="7">
        <v>2022</v>
      </c>
      <c r="E14" s="8">
        <f>HOTEL!E16</f>
        <v>23842</v>
      </c>
      <c r="F14" s="12">
        <v>6.25</v>
      </c>
      <c r="G14" s="8">
        <f>HOTEL!CV16</f>
        <v>52258</v>
      </c>
      <c r="H14" s="12">
        <v>76.45</v>
      </c>
      <c r="I14" s="8">
        <f>HOTEL!Z16+HOTEL!AF16</f>
        <v>368</v>
      </c>
      <c r="J14" s="12">
        <f t="shared" si="1"/>
        <v>41.308558558558559</v>
      </c>
      <c r="K14" s="7">
        <f>HOTEL!EP16</f>
        <v>0.75</v>
      </c>
      <c r="L14" s="14"/>
      <c r="N14" s="7">
        <f>HOTEL!AD16</f>
        <v>13</v>
      </c>
      <c r="O14" s="7">
        <f t="shared" si="5"/>
        <v>52000</v>
      </c>
      <c r="P14" s="8">
        <f>IFERROR(((((HOTEL!Z16*34))+(N14*2500))/(I14+N14*40)),0)</f>
        <v>41.308558558558559</v>
      </c>
      <c r="Q14" s="7">
        <v>6.21</v>
      </c>
      <c r="R14" s="12">
        <v>67.25</v>
      </c>
      <c r="S14" s="7">
        <v>33.93</v>
      </c>
      <c r="T14" s="8">
        <f t="shared" si="2"/>
        <v>3995124.1</v>
      </c>
      <c r="U14" s="8">
        <f t="shared" si="3"/>
        <v>15201.549549549549</v>
      </c>
    </row>
    <row r="15" spans="1:21" x14ac:dyDescent="0.2">
      <c r="A15" s="2" t="s">
        <v>19</v>
      </c>
      <c r="B15" s="7">
        <f t="shared" si="4"/>
        <v>14</v>
      </c>
      <c r="C15" s="7">
        <v>12</v>
      </c>
      <c r="D15" s="7">
        <v>2022</v>
      </c>
      <c r="E15" s="8">
        <f>HOTEL!E17</f>
        <v>24483</v>
      </c>
      <c r="F15" s="12">
        <v>6.25</v>
      </c>
      <c r="G15" s="8">
        <f>HOTEL!CV17</f>
        <v>52298</v>
      </c>
      <c r="H15" s="12">
        <v>76.45</v>
      </c>
      <c r="I15" s="8">
        <f>HOTEL!Z17+HOTEL!AF17</f>
        <v>404</v>
      </c>
      <c r="J15" s="12">
        <f t="shared" si="1"/>
        <v>33.34834123222749</v>
      </c>
      <c r="K15" s="7">
        <f>HOTEL!EP17</f>
        <v>0.75</v>
      </c>
      <c r="L15" s="14"/>
      <c r="N15" s="7">
        <f>HOTEL!AD17</f>
        <v>11</v>
      </c>
      <c r="O15" s="7">
        <f t="shared" si="5"/>
        <v>44000</v>
      </c>
      <c r="P15" s="8">
        <f>IFERROR(((((HOTEL!Z17*34))+(N15*2500))/(I15+N15*40)),0)</f>
        <v>33.34834123222749</v>
      </c>
      <c r="Q15" s="7">
        <v>6.21</v>
      </c>
      <c r="R15" s="12">
        <v>67.25</v>
      </c>
      <c r="S15" s="7">
        <v>33.93</v>
      </c>
      <c r="T15" s="8">
        <f t="shared" si="2"/>
        <v>3998182.1</v>
      </c>
      <c r="U15" s="8">
        <f t="shared" si="3"/>
        <v>13472.729857819906</v>
      </c>
    </row>
    <row r="16" spans="1:21" x14ac:dyDescent="0.2">
      <c r="A16" s="2" t="s">
        <v>19</v>
      </c>
      <c r="B16" s="7">
        <f t="shared" si="4"/>
        <v>15</v>
      </c>
      <c r="C16" s="7">
        <v>12</v>
      </c>
      <c r="D16" s="7">
        <v>2022</v>
      </c>
      <c r="E16" s="8">
        <f>HOTEL!E18</f>
        <v>26829</v>
      </c>
      <c r="F16" s="12">
        <v>6.25</v>
      </c>
      <c r="G16" s="8">
        <f>HOTEL!CV18</f>
        <v>52334</v>
      </c>
      <c r="H16" s="12">
        <v>76.45</v>
      </c>
      <c r="I16" s="8">
        <f>HOTEL!Z18+HOTEL!AF18</f>
        <v>279</v>
      </c>
      <c r="J16" s="12">
        <f t="shared" si="1"/>
        <v>38.297339593114238</v>
      </c>
      <c r="K16" s="7">
        <f>HOTEL!EP18</f>
        <v>0.76300000000000001</v>
      </c>
      <c r="L16" s="14"/>
      <c r="N16" s="7">
        <f>HOTEL!AD18</f>
        <v>9</v>
      </c>
      <c r="O16" s="7">
        <f t="shared" si="5"/>
        <v>36000</v>
      </c>
      <c r="P16" s="8">
        <f>IFERROR(((((HOTEL!Z18*34))+(N16*2500))/(I16+N16*40)),0)</f>
        <v>38.297339593114238</v>
      </c>
      <c r="Q16" s="7">
        <v>6.21</v>
      </c>
      <c r="R16" s="12">
        <v>67.25</v>
      </c>
      <c r="S16" s="7">
        <v>33.93</v>
      </c>
      <c r="T16" s="8">
        <f t="shared" si="2"/>
        <v>4000934.3000000003</v>
      </c>
      <c r="U16" s="8">
        <f t="shared" si="3"/>
        <v>10684.957746478873</v>
      </c>
    </row>
    <row r="17" spans="1:21" x14ac:dyDescent="0.2">
      <c r="A17" s="2" t="s">
        <v>19</v>
      </c>
      <c r="B17" s="7">
        <f t="shared" si="4"/>
        <v>16</v>
      </c>
      <c r="C17" s="7">
        <v>12</v>
      </c>
      <c r="D17" s="7">
        <v>2022</v>
      </c>
      <c r="E17" s="8">
        <f>HOTEL!E19</f>
        <v>22924</v>
      </c>
      <c r="F17" s="12">
        <v>6.25</v>
      </c>
      <c r="G17" s="8">
        <f>HOTEL!CV19</f>
        <v>52365</v>
      </c>
      <c r="H17" s="12">
        <v>76.45</v>
      </c>
      <c r="I17" s="8">
        <f>HOTEL!Z19+HOTEL!AF19</f>
        <v>257</v>
      </c>
      <c r="J17" s="12">
        <f t="shared" si="1"/>
        <v>35.380281690140848</v>
      </c>
      <c r="K17" s="7">
        <f>HOTEL!EP19</f>
        <v>0.75</v>
      </c>
      <c r="L17" s="14"/>
      <c r="N17" s="7">
        <f>HOTEL!AD19</f>
        <v>6</v>
      </c>
      <c r="O17" s="7">
        <f t="shared" si="5"/>
        <v>24000</v>
      </c>
      <c r="P17" s="8">
        <f>IFERROR(((((HOTEL!Z19*34))+(N17*2500))/(I17+N17*40)),0)</f>
        <v>35.380281690140848</v>
      </c>
      <c r="Q17" s="7">
        <v>6.21</v>
      </c>
      <c r="R17" s="12">
        <v>67.25</v>
      </c>
      <c r="S17" s="7">
        <v>33.93</v>
      </c>
      <c r="T17" s="8">
        <f t="shared" si="2"/>
        <v>4003304.25</v>
      </c>
      <c r="U17" s="8">
        <f t="shared" si="3"/>
        <v>9092.7323943661977</v>
      </c>
    </row>
    <row r="18" spans="1:21" x14ac:dyDescent="0.2">
      <c r="A18" s="2" t="s">
        <v>19</v>
      </c>
      <c r="B18" s="7">
        <f t="shared" si="4"/>
        <v>17</v>
      </c>
      <c r="C18" s="7">
        <v>12</v>
      </c>
      <c r="D18" s="7">
        <v>2022</v>
      </c>
      <c r="E18" s="8">
        <f>HOTEL!E20</f>
        <v>24898</v>
      </c>
      <c r="F18" s="12">
        <v>6.25</v>
      </c>
      <c r="G18" s="8">
        <f>HOTEL!CV20</f>
        <v>52408</v>
      </c>
      <c r="H18" s="12">
        <v>76.45</v>
      </c>
      <c r="I18" s="8">
        <f>HOTEL!Z20+HOTEL!AF20</f>
        <v>518</v>
      </c>
      <c r="J18" s="12">
        <f t="shared" si="1"/>
        <v>32.478957915831664</v>
      </c>
      <c r="K18" s="7">
        <f>HOTEL!EP20</f>
        <v>0.7823</v>
      </c>
      <c r="L18" s="14"/>
      <c r="N18" s="7">
        <f>HOTEL!AD20</f>
        <v>12</v>
      </c>
      <c r="O18" s="7">
        <f t="shared" si="5"/>
        <v>48000</v>
      </c>
      <c r="P18" s="8">
        <f>IFERROR(((((HOTEL!Z20*34))+(N18*2500))/(I18+N18*40)),0)</f>
        <v>32.478957915831664</v>
      </c>
      <c r="Q18" s="7">
        <v>6.21</v>
      </c>
      <c r="R18" s="12">
        <v>67.25</v>
      </c>
      <c r="S18" s="7">
        <v>33.93</v>
      </c>
      <c r="T18" s="8">
        <f t="shared" si="2"/>
        <v>4006591.6</v>
      </c>
      <c r="U18" s="8">
        <f t="shared" si="3"/>
        <v>16824.100200400801</v>
      </c>
    </row>
    <row r="19" spans="1:21" x14ac:dyDescent="0.2">
      <c r="A19" s="2" t="s">
        <v>19</v>
      </c>
      <c r="B19" s="7">
        <f t="shared" si="4"/>
        <v>18</v>
      </c>
      <c r="C19" s="7">
        <v>12</v>
      </c>
      <c r="D19" s="7">
        <v>2022</v>
      </c>
      <c r="E19" s="8">
        <f>HOTEL!E21</f>
        <v>23611</v>
      </c>
      <c r="F19" s="12">
        <v>6.25</v>
      </c>
      <c r="G19" s="8">
        <f>HOTEL!CV21</f>
        <v>52443</v>
      </c>
      <c r="H19" s="12">
        <v>76.45</v>
      </c>
      <c r="I19" s="8">
        <f>HOTEL!Z21+HOTEL!AF21</f>
        <v>468</v>
      </c>
      <c r="J19" s="12">
        <f t="shared" si="1"/>
        <v>36.232793522267208</v>
      </c>
      <c r="K19" s="7">
        <f>HOTEL!EP21</f>
        <v>0.7823</v>
      </c>
      <c r="L19" s="14"/>
      <c r="N19" s="7">
        <f>HOTEL!AD21</f>
        <v>13</v>
      </c>
      <c r="O19" s="7">
        <f t="shared" si="5"/>
        <v>52000</v>
      </c>
      <c r="P19" s="8">
        <f>IFERROR(((((HOTEL!Z21*34))+(N19*2500))/(I19+N19*40)),0)</f>
        <v>36.232793522267208</v>
      </c>
      <c r="Q19" s="7">
        <v>6.21</v>
      </c>
      <c r="R19" s="12">
        <v>67.25</v>
      </c>
      <c r="S19" s="7">
        <v>33.93</v>
      </c>
      <c r="T19" s="8">
        <f t="shared" si="2"/>
        <v>4009267.35</v>
      </c>
      <c r="U19" s="8">
        <f t="shared" si="3"/>
        <v>16956.947368421053</v>
      </c>
    </row>
    <row r="20" spans="1:21" x14ac:dyDescent="0.2">
      <c r="A20" s="2" t="s">
        <v>19</v>
      </c>
      <c r="B20" s="7">
        <f t="shared" si="4"/>
        <v>19</v>
      </c>
      <c r="C20" s="7">
        <v>12</v>
      </c>
      <c r="D20" s="7">
        <v>2022</v>
      </c>
      <c r="E20" s="8">
        <f>HOTEL!E22</f>
        <v>25261</v>
      </c>
      <c r="F20" s="12">
        <v>6.25</v>
      </c>
      <c r="G20" s="8">
        <f>HOTEL!CV22</f>
        <v>52485</v>
      </c>
      <c r="H20" s="12">
        <v>76.45</v>
      </c>
      <c r="I20" s="8">
        <f>HOTEL!Z22+HOTEL!AF22</f>
        <v>391</v>
      </c>
      <c r="J20" s="12">
        <f t="shared" si="1"/>
        <v>38.575210589651022</v>
      </c>
      <c r="K20" s="7">
        <f>HOTEL!EP22</f>
        <v>0.746</v>
      </c>
      <c r="L20" s="14"/>
      <c r="N20" s="7">
        <f>HOTEL!AD22</f>
        <v>11</v>
      </c>
      <c r="O20" s="7">
        <f t="shared" si="5"/>
        <v>44000</v>
      </c>
      <c r="P20" s="8">
        <f>IFERROR(((((HOTEL!Z22*34))+(N20*2500))/(I20+N20*40)),0)</f>
        <v>38.575210589651022</v>
      </c>
      <c r="Q20" s="7">
        <v>6.21</v>
      </c>
      <c r="R20" s="12">
        <v>67.25</v>
      </c>
      <c r="S20" s="7">
        <v>33.93</v>
      </c>
      <c r="T20" s="8">
        <f>G20*H20</f>
        <v>4012478.25</v>
      </c>
      <c r="U20" s="8">
        <f t="shared" si="3"/>
        <v>15082.907340553549</v>
      </c>
    </row>
    <row r="21" spans="1:21" x14ac:dyDescent="0.2">
      <c r="A21" s="2" t="s">
        <v>19</v>
      </c>
      <c r="B21" s="7">
        <f t="shared" si="4"/>
        <v>20</v>
      </c>
      <c r="C21" s="7">
        <v>12</v>
      </c>
      <c r="D21" s="7">
        <v>2022</v>
      </c>
      <c r="E21" s="8">
        <f>HOTEL!E23</f>
        <v>24925</v>
      </c>
      <c r="F21" s="12">
        <v>6.25</v>
      </c>
      <c r="G21" s="8">
        <f>HOTEL!CV23</f>
        <v>52529</v>
      </c>
      <c r="H21" s="12">
        <v>76.45</v>
      </c>
      <c r="I21" s="8">
        <f>HOTEL!Z23+HOTEL!AF23</f>
        <v>559</v>
      </c>
      <c r="J21" s="12">
        <f t="shared" si="1"/>
        <v>33.1313672922252</v>
      </c>
      <c r="K21" s="7">
        <f>HOTEL!EP23</f>
        <v>0.5</v>
      </c>
      <c r="L21" s="14"/>
      <c r="N21" s="7">
        <f>HOTEL!AD23</f>
        <v>14</v>
      </c>
      <c r="O21" s="7">
        <f t="shared" si="5"/>
        <v>56000</v>
      </c>
      <c r="P21" s="8">
        <f>IFERROR(((((HOTEL!Z23*34))+(N21*2500))/(I21+N21*40)),0)</f>
        <v>33.1313672922252</v>
      </c>
      <c r="Q21" s="7">
        <v>6.21</v>
      </c>
      <c r="R21" s="12">
        <v>67.25</v>
      </c>
      <c r="S21" s="7">
        <v>33.93</v>
      </c>
      <c r="T21" s="8">
        <f>G21*H21</f>
        <v>4015842.0500000003</v>
      </c>
      <c r="U21" s="8">
        <f t="shared" si="3"/>
        <v>18520.434316353887</v>
      </c>
    </row>
    <row r="22" spans="1:21" x14ac:dyDescent="0.2">
      <c r="A22" s="2" t="s">
        <v>19</v>
      </c>
      <c r="B22" s="7">
        <f t="shared" si="4"/>
        <v>21</v>
      </c>
      <c r="C22" s="7">
        <v>12</v>
      </c>
      <c r="D22" s="7">
        <v>2022</v>
      </c>
      <c r="E22" s="8">
        <f>HOTEL!E24</f>
        <v>27635</v>
      </c>
      <c r="F22" s="12">
        <v>6.25</v>
      </c>
      <c r="G22" s="8">
        <f>HOTEL!CV24</f>
        <v>52571</v>
      </c>
      <c r="H22" s="12">
        <v>76.45</v>
      </c>
      <c r="I22" s="8">
        <f>HOTEL!Z24+HOTEL!AF24</f>
        <v>359</v>
      </c>
      <c r="J22" s="12">
        <f t="shared" si="1"/>
        <v>36.745718050065875</v>
      </c>
      <c r="K22" s="7">
        <f>HOTEL!EP24</f>
        <v>0.5</v>
      </c>
      <c r="L22" s="14"/>
      <c r="N22" s="7">
        <f>HOTEL!AD24</f>
        <v>10</v>
      </c>
      <c r="O22" s="7">
        <f t="shared" si="5"/>
        <v>40000</v>
      </c>
      <c r="P22" s="8">
        <f>IFERROR(((((HOTEL!Z24*34))+(N22*2500))/(I22+N22*40)),0)</f>
        <v>36.745718050065875</v>
      </c>
      <c r="Q22" s="7">
        <v>6.21</v>
      </c>
      <c r="R22" s="12">
        <v>67.25</v>
      </c>
      <c r="S22" s="7">
        <v>33.93</v>
      </c>
      <c r="T22" s="8">
        <f t="shared" ref="T22:T29" si="6">G22*H22</f>
        <v>4019052.95</v>
      </c>
      <c r="U22" s="8">
        <f t="shared" si="3"/>
        <v>13191.71277997365</v>
      </c>
    </row>
    <row r="23" spans="1:21" x14ac:dyDescent="0.2">
      <c r="A23" s="2" t="s">
        <v>19</v>
      </c>
      <c r="B23" s="7">
        <f t="shared" si="4"/>
        <v>22</v>
      </c>
      <c r="C23" s="7">
        <v>12</v>
      </c>
      <c r="D23" s="7">
        <v>2022</v>
      </c>
      <c r="E23" s="8">
        <f>HOTEL!E25</f>
        <v>29830</v>
      </c>
      <c r="F23" s="12">
        <v>6.25</v>
      </c>
      <c r="G23" s="8">
        <f>HOTEL!CV25</f>
        <v>52611</v>
      </c>
      <c r="H23" s="12">
        <v>76.45</v>
      </c>
      <c r="I23" s="8">
        <f>HOTEL!Z25+HOTEL!AF25</f>
        <v>348</v>
      </c>
      <c r="J23" s="12">
        <f t="shared" si="1"/>
        <v>34.266467065868262</v>
      </c>
      <c r="K23" s="7">
        <f>HOTEL!EP25</f>
        <v>0.53400000000000003</v>
      </c>
      <c r="L23" s="14"/>
      <c r="N23" s="7">
        <f>HOTEL!AD25</f>
        <v>8</v>
      </c>
      <c r="O23" s="7">
        <f t="shared" si="5"/>
        <v>32000</v>
      </c>
      <c r="P23" s="8">
        <f>IFERROR(((((HOTEL!Z25*34))+(N23*2500))/(I23+N23*40)),0)</f>
        <v>34.266467065868262</v>
      </c>
      <c r="Q23" s="7">
        <v>6.21</v>
      </c>
      <c r="R23" s="12">
        <v>67.25</v>
      </c>
      <c r="S23" s="7">
        <v>33.93</v>
      </c>
      <c r="T23" s="8">
        <f t="shared" si="6"/>
        <v>4022110.95</v>
      </c>
      <c r="U23" s="8">
        <f t="shared" si="3"/>
        <v>11924.730538922155</v>
      </c>
    </row>
    <row r="24" spans="1:21" x14ac:dyDescent="0.2">
      <c r="A24" s="2" t="s">
        <v>19</v>
      </c>
      <c r="B24" s="7">
        <f t="shared" si="4"/>
        <v>23</v>
      </c>
      <c r="C24" s="7">
        <v>12</v>
      </c>
      <c r="D24" s="7">
        <v>2022</v>
      </c>
      <c r="E24" s="8">
        <f>HOTEL!E26</f>
        <v>22839</v>
      </c>
      <c r="F24" s="12">
        <v>6.25</v>
      </c>
      <c r="G24" s="8">
        <f>HOTEL!CV26</f>
        <v>52643</v>
      </c>
      <c r="H24" s="12">
        <v>76.45</v>
      </c>
      <c r="I24" s="8">
        <f>HOTEL!Z26+HOTEL!AF26</f>
        <v>249</v>
      </c>
      <c r="J24" s="12">
        <f t="shared" si="1"/>
        <v>34.200445434298445</v>
      </c>
      <c r="K24" s="7">
        <f>HOTEL!EP26</f>
        <v>0.59299999999999997</v>
      </c>
      <c r="L24" s="14"/>
      <c r="N24" s="7">
        <f>HOTEL!AD26</f>
        <v>5</v>
      </c>
      <c r="O24" s="7">
        <f t="shared" si="5"/>
        <v>20000</v>
      </c>
      <c r="P24" s="8">
        <f>IFERROR(((((HOTEL!Z26*34))+(N24*2500))/(I24+N24*40)),0)</f>
        <v>34.200445434298445</v>
      </c>
      <c r="Q24" s="7">
        <v>6.21</v>
      </c>
      <c r="R24" s="12">
        <v>67.25</v>
      </c>
      <c r="S24" s="7">
        <v>33.93</v>
      </c>
      <c r="T24" s="8">
        <f t="shared" si="6"/>
        <v>4024557.35</v>
      </c>
      <c r="U24" s="8">
        <f t="shared" si="3"/>
        <v>8515.9109131403129</v>
      </c>
    </row>
    <row r="25" spans="1:21" x14ac:dyDescent="0.2">
      <c r="A25" s="2" t="s">
        <v>19</v>
      </c>
      <c r="B25" s="7">
        <f t="shared" si="4"/>
        <v>24</v>
      </c>
      <c r="C25" s="7">
        <v>12</v>
      </c>
      <c r="D25" s="7">
        <v>2022</v>
      </c>
      <c r="E25" s="8">
        <f>HOTEL!E27</f>
        <v>26441</v>
      </c>
      <c r="F25" s="12">
        <v>6.25</v>
      </c>
      <c r="G25" s="8">
        <f>HOTEL!CV27</f>
        <v>52692</v>
      </c>
      <c r="H25" s="12">
        <v>76.45</v>
      </c>
      <c r="I25" s="8">
        <f>HOTEL!Z27+HOTEL!AF27</f>
        <v>419</v>
      </c>
      <c r="J25" s="12">
        <f t="shared" si="1"/>
        <v>34.012210012210012</v>
      </c>
      <c r="K25" s="7">
        <f>HOTEL!EP27</f>
        <v>0.62</v>
      </c>
      <c r="L25" s="14"/>
      <c r="N25" s="7">
        <f>HOTEL!AD27</f>
        <v>10</v>
      </c>
      <c r="O25" s="7">
        <f t="shared" si="5"/>
        <v>40000</v>
      </c>
      <c r="P25" s="8">
        <f>IFERROR(((((HOTEL!Z27*34))+(N25*2500))/(I25+N25*40)),0)</f>
        <v>34.012210012210012</v>
      </c>
      <c r="Q25" s="7">
        <v>6.21</v>
      </c>
      <c r="R25" s="12">
        <v>67.25</v>
      </c>
      <c r="S25" s="7">
        <v>33.93</v>
      </c>
      <c r="T25" s="8">
        <f t="shared" si="6"/>
        <v>4028303.4000000004</v>
      </c>
      <c r="U25" s="8">
        <f t="shared" si="3"/>
        <v>14251.115995115995</v>
      </c>
    </row>
    <row r="26" spans="1:21" x14ac:dyDescent="0.2">
      <c r="A26" s="2" t="s">
        <v>19</v>
      </c>
      <c r="B26" s="7">
        <f>B25+1</f>
        <v>25</v>
      </c>
      <c r="C26" s="7">
        <v>12</v>
      </c>
      <c r="D26" s="7">
        <v>2022</v>
      </c>
      <c r="E26" s="8">
        <f>HOTEL!E28</f>
        <v>26288</v>
      </c>
      <c r="F26" s="12">
        <v>6.25</v>
      </c>
      <c r="G26" s="8">
        <f>HOTEL!CV28</f>
        <v>52734</v>
      </c>
      <c r="H26" s="12">
        <v>76.45</v>
      </c>
      <c r="I26" s="8">
        <f>HOTEL!Z28+HOTEL!AF28</f>
        <v>365</v>
      </c>
      <c r="J26" s="12">
        <f t="shared" si="1"/>
        <v>35.835294117647059</v>
      </c>
      <c r="K26" s="7">
        <f>HOTEL!EP28</f>
        <v>0.66</v>
      </c>
      <c r="L26" s="14"/>
      <c r="N26" s="7">
        <f>HOTEL!AD28</f>
        <v>10</v>
      </c>
      <c r="O26" s="7">
        <f t="shared" si="5"/>
        <v>40000</v>
      </c>
      <c r="P26" s="8">
        <f>IFERROR(((((HOTEL!Z28*34))+(N26*2500))/(I26+N26*40)),0)</f>
        <v>35.835294117647059</v>
      </c>
      <c r="Q26" s="7">
        <v>6.21</v>
      </c>
      <c r="R26" s="12">
        <v>67.25</v>
      </c>
      <c r="S26" s="7">
        <v>33.93</v>
      </c>
      <c r="T26" s="8">
        <f t="shared" si="6"/>
        <v>4031514.3000000003</v>
      </c>
      <c r="U26" s="8">
        <f t="shared" si="3"/>
        <v>13079.882352941177</v>
      </c>
    </row>
    <row r="27" spans="1:21" x14ac:dyDescent="0.2">
      <c r="A27" s="2" t="s">
        <v>19</v>
      </c>
      <c r="B27" s="7">
        <f t="shared" si="4"/>
        <v>26</v>
      </c>
      <c r="C27" s="7">
        <v>12</v>
      </c>
      <c r="D27" s="7">
        <v>2022</v>
      </c>
      <c r="E27" s="8">
        <f>HOTEL!E29</f>
        <v>26429</v>
      </c>
      <c r="F27" s="12">
        <v>6.25</v>
      </c>
      <c r="G27" s="8">
        <f>HOTEL!CV29</f>
        <v>52771</v>
      </c>
      <c r="H27" s="12">
        <v>76.45</v>
      </c>
      <c r="I27" s="8">
        <f>HOTEL!Z29+HOTEL!AF29</f>
        <v>468</v>
      </c>
      <c r="J27" s="12">
        <f t="shared" si="1"/>
        <v>31.387096774193548</v>
      </c>
      <c r="K27" s="7">
        <f>HOTEL!EP29</f>
        <v>0.69</v>
      </c>
      <c r="L27" s="14"/>
      <c r="N27" s="7">
        <f>HOTEL!AD29</f>
        <v>10</v>
      </c>
      <c r="O27" s="7">
        <f t="shared" si="5"/>
        <v>40000</v>
      </c>
      <c r="P27" s="8">
        <f>IFERROR(((((HOTEL!Z29*34))+(N27*2500))/(I27+N27*40)),0)</f>
        <v>31.387096774193548</v>
      </c>
      <c r="Q27" s="7">
        <v>6.21</v>
      </c>
      <c r="R27" s="12">
        <v>67.25</v>
      </c>
      <c r="S27" s="7">
        <v>33.93</v>
      </c>
      <c r="T27" s="8">
        <f t="shared" si="6"/>
        <v>4034342.95</v>
      </c>
      <c r="U27" s="8">
        <f t="shared" si="3"/>
        <v>14689.16129032258</v>
      </c>
    </row>
    <row r="28" spans="1:21" x14ac:dyDescent="0.2">
      <c r="A28" s="2" t="s">
        <v>19</v>
      </c>
      <c r="B28" s="7">
        <f t="shared" si="4"/>
        <v>27</v>
      </c>
      <c r="C28" s="7">
        <v>12</v>
      </c>
      <c r="D28" s="7">
        <v>2022</v>
      </c>
      <c r="E28" s="8">
        <f>HOTEL!E30</f>
        <v>23581</v>
      </c>
      <c r="F28" s="12">
        <v>6.25</v>
      </c>
      <c r="G28" s="8">
        <f>HOTEL!CV30</f>
        <v>52814</v>
      </c>
      <c r="H28" s="12">
        <v>76.45</v>
      </c>
      <c r="I28" s="8">
        <f>HOTEL!Z30+HOTEL!AF30</f>
        <v>358</v>
      </c>
      <c r="J28" s="12">
        <f t="shared" si="1"/>
        <v>34.416886543535618</v>
      </c>
      <c r="K28" s="7">
        <f>HOTEL!EP30</f>
        <v>0.79</v>
      </c>
      <c r="L28" s="14"/>
      <c r="N28" s="7">
        <f>HOTEL!AD30</f>
        <v>10</v>
      </c>
      <c r="O28" s="7">
        <f t="shared" si="5"/>
        <v>40000</v>
      </c>
      <c r="P28" s="8">
        <f>IFERROR(((((HOTEL!Z30*34))+(N28*2500))/(I28+N28*40)),0)</f>
        <v>34.416886543535618</v>
      </c>
      <c r="Q28" s="7">
        <v>6.21</v>
      </c>
      <c r="R28" s="12">
        <v>67.25</v>
      </c>
      <c r="S28" s="7">
        <v>33.93</v>
      </c>
      <c r="T28" s="8">
        <f t="shared" si="6"/>
        <v>4037630.3000000003</v>
      </c>
      <c r="U28" s="8">
        <f t="shared" si="3"/>
        <v>12321.245382585752</v>
      </c>
    </row>
    <row r="29" spans="1:21" x14ac:dyDescent="0.2">
      <c r="A29" s="2" t="s">
        <v>19</v>
      </c>
      <c r="B29" s="7">
        <f t="shared" si="4"/>
        <v>28</v>
      </c>
      <c r="C29" s="7">
        <v>12</v>
      </c>
      <c r="D29" s="7">
        <v>2022</v>
      </c>
      <c r="E29" s="8">
        <f>HOTEL!E31</f>
        <v>26781</v>
      </c>
      <c r="F29" s="12">
        <v>6.25</v>
      </c>
      <c r="G29" s="8">
        <f>HOTEL!CV31</f>
        <v>52858</v>
      </c>
      <c r="H29" s="12">
        <v>76.45</v>
      </c>
      <c r="I29" s="8">
        <f>HOTEL!Z31+HOTEL!AF31</f>
        <v>334</v>
      </c>
      <c r="J29" s="12">
        <f t="shared" si="1"/>
        <v>37.989664082687341</v>
      </c>
      <c r="K29" s="7">
        <f>HOTEL!EP31</f>
        <v>0.83399999999999996</v>
      </c>
      <c r="L29" s="14"/>
      <c r="N29" s="7">
        <f>HOTEL!AD31</f>
        <v>11</v>
      </c>
      <c r="O29" s="7">
        <f t="shared" si="5"/>
        <v>44000</v>
      </c>
      <c r="P29" s="8">
        <f>IFERROR(((((HOTEL!Z31*34))+(N29*2500))/(I29+N29*40)),0)</f>
        <v>37.989664082687341</v>
      </c>
      <c r="Q29" s="7">
        <v>6.21</v>
      </c>
      <c r="R29" s="12">
        <v>67.25</v>
      </c>
      <c r="S29" s="7">
        <v>33.93</v>
      </c>
      <c r="T29" s="8">
        <f t="shared" si="6"/>
        <v>4040994.1</v>
      </c>
      <c r="U29" s="8">
        <f t="shared" si="3"/>
        <v>12688.547803617572</v>
      </c>
    </row>
    <row r="30" spans="1:21" x14ac:dyDescent="0.2">
      <c r="A30" s="2" t="s">
        <v>19</v>
      </c>
      <c r="B30" s="7">
        <f t="shared" si="4"/>
        <v>29</v>
      </c>
      <c r="C30" s="7">
        <v>12</v>
      </c>
      <c r="D30" s="7">
        <v>2022</v>
      </c>
      <c r="E30" s="8">
        <f>HOTEL!E32</f>
        <v>26633</v>
      </c>
      <c r="F30" s="12">
        <v>7.25</v>
      </c>
      <c r="G30" s="8">
        <f>HOTEL!CV32</f>
        <v>52897</v>
      </c>
      <c r="H30" s="12">
        <v>76.45</v>
      </c>
      <c r="I30" s="8">
        <f>HOTEL!Z32+HOTEL!AF32</f>
        <v>800</v>
      </c>
      <c r="J30" s="12">
        <f t="shared" ref="J30:J31" si="7">P30</f>
        <v>31.059210526315791</v>
      </c>
      <c r="K30" s="7">
        <f>HOTEL!EP32</f>
        <v>0.84499999999999997</v>
      </c>
      <c r="L30" s="14"/>
      <c r="N30" s="7">
        <f>HOTEL!AD32</f>
        <v>18</v>
      </c>
      <c r="O30" s="7">
        <f t="shared" ref="O30:O31" si="8">N30*4000</f>
        <v>72000</v>
      </c>
      <c r="P30" s="8">
        <f>IFERROR(((((HOTEL!Z32*34))+(N30*2500))/(I30+N30*40)),0)</f>
        <v>31.059210526315791</v>
      </c>
      <c r="Q30" s="7">
        <v>6.21</v>
      </c>
      <c r="R30" s="12">
        <v>67.25</v>
      </c>
      <c r="S30" s="7">
        <v>34.93</v>
      </c>
      <c r="T30" s="8">
        <f t="shared" ref="T30:T31" si="9">G30*H30</f>
        <v>4043975.6500000004</v>
      </c>
      <c r="U30" s="8">
        <f t="shared" ref="U30:U31" si="10">I30*P30</f>
        <v>24847.368421052633</v>
      </c>
    </row>
    <row r="31" spans="1:21" x14ac:dyDescent="0.2">
      <c r="A31" s="2" t="s">
        <v>19</v>
      </c>
      <c r="B31" s="7">
        <f t="shared" si="4"/>
        <v>30</v>
      </c>
      <c r="C31" s="7">
        <v>12</v>
      </c>
      <c r="D31" s="7">
        <v>2022</v>
      </c>
      <c r="E31" s="8">
        <f>HOTEL!E33</f>
        <v>25133</v>
      </c>
      <c r="F31" s="12">
        <v>8.25</v>
      </c>
      <c r="G31" s="8">
        <f>HOTEL!CV33</f>
        <v>52937</v>
      </c>
      <c r="H31" s="12">
        <v>76.45</v>
      </c>
      <c r="I31" s="8">
        <f>HOTEL!Z33+HOTEL!AF33</f>
        <v>331</v>
      </c>
      <c r="J31" s="12">
        <f t="shared" si="7"/>
        <v>39.213316892725032</v>
      </c>
      <c r="K31" s="7">
        <f>HOTEL!EP33</f>
        <v>0.8</v>
      </c>
      <c r="L31" s="14"/>
      <c r="N31" s="7">
        <f>HOTEL!AD33</f>
        <v>12</v>
      </c>
      <c r="O31" s="7">
        <f t="shared" si="8"/>
        <v>48000</v>
      </c>
      <c r="P31" s="8">
        <f>IFERROR(((((HOTEL!Z33*34))+(N31*2500))/(I31+N31*40)),0)</f>
        <v>39.213316892725032</v>
      </c>
      <c r="Q31" s="7">
        <v>6.21</v>
      </c>
      <c r="R31" s="12">
        <v>67.25</v>
      </c>
      <c r="S31" s="7">
        <v>35.93</v>
      </c>
      <c r="T31" s="8">
        <f t="shared" si="9"/>
        <v>4047033.6500000004</v>
      </c>
      <c r="U31" s="8">
        <f t="shared" si="10"/>
        <v>12979.607891491985</v>
      </c>
    </row>
    <row r="32" spans="1:21" x14ac:dyDescent="0.2">
      <c r="A32" s="2" t="s">
        <v>19</v>
      </c>
      <c r="B32" s="7">
        <f t="shared" si="4"/>
        <v>31</v>
      </c>
      <c r="C32" s="7">
        <v>12</v>
      </c>
      <c r="D32" s="7">
        <v>2022</v>
      </c>
      <c r="E32" s="8">
        <f>HOTEL!E34</f>
        <v>23539</v>
      </c>
      <c r="F32" s="12">
        <v>9.25</v>
      </c>
      <c r="G32" s="8">
        <f>HOTEL!CV34</f>
        <v>52981</v>
      </c>
      <c r="H32" s="12">
        <v>77.45</v>
      </c>
      <c r="I32" s="8">
        <f>HOTEL!Z34+HOTEL!AF34</f>
        <v>295</v>
      </c>
      <c r="J32" s="12">
        <f t="shared" ref="J32" si="11">P32</f>
        <v>33.502803738317759</v>
      </c>
      <c r="K32" s="7">
        <f>HOTEL!EP34</f>
        <v>0.84099999999999997</v>
      </c>
      <c r="L32" s="14"/>
      <c r="N32" s="7">
        <f>HOTEL!AD34</f>
        <v>6</v>
      </c>
      <c r="O32" s="7">
        <f t="shared" ref="O32" si="12">N32*4000</f>
        <v>24000</v>
      </c>
      <c r="P32" s="8">
        <f>IFERROR(((((HOTEL!Z34*34))+(N32*2500))/(I32+N32*40)),0)</f>
        <v>33.502803738317759</v>
      </c>
      <c r="Q32" s="7">
        <v>6.21</v>
      </c>
      <c r="R32" s="12">
        <v>67.25</v>
      </c>
      <c r="S32" s="7">
        <v>35.93</v>
      </c>
      <c r="T32" s="8">
        <f t="shared" ref="T32" si="13">G32*H32</f>
        <v>4103378.45</v>
      </c>
      <c r="U32" s="8">
        <f t="shared" ref="U32" si="14">I32*P32</f>
        <v>9883.3271028037398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tabSelected="1" topLeftCell="W1" workbookViewId="0">
      <selection activeCell="AK31" sqref="AK31:AK3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f>TOTAL!B2</f>
        <v>1</v>
      </c>
      <c r="C2" s="43">
        <f>TOTAL!C2</f>
        <v>12</v>
      </c>
      <c r="D2" s="7">
        <v>2022</v>
      </c>
      <c r="E2" s="7">
        <f>TOTAL!E2</f>
        <v>24370</v>
      </c>
      <c r="F2" s="7">
        <f>HOTEL!V4</f>
        <v>765</v>
      </c>
      <c r="G2" s="7">
        <f>HOTEL!X4</f>
        <v>584</v>
      </c>
      <c r="H2" s="8">
        <f>HOTEL!EI4</f>
        <v>0</v>
      </c>
      <c r="I2" s="8">
        <f>HOTEL!EK4</f>
        <v>0</v>
      </c>
      <c r="J2" s="8">
        <f>HOTEL!EM4</f>
        <v>0</v>
      </c>
      <c r="K2" s="8">
        <f>HOTEL!EO4</f>
        <v>326</v>
      </c>
      <c r="L2" s="7">
        <f t="shared" ref="L2:L7" si="0">N2+W2+X2</f>
        <v>92</v>
      </c>
      <c r="M2" s="7">
        <f>HOTEL!AL4</f>
        <v>4</v>
      </c>
      <c r="N2" s="7">
        <f>HOTEL!AT4</f>
        <v>33</v>
      </c>
      <c r="O2" s="7">
        <f>HOTEL!AX4</f>
        <v>2</v>
      </c>
      <c r="P2" s="7">
        <f>HOTEL!AZ4</f>
        <v>3</v>
      </c>
      <c r="Q2" s="7">
        <f>HOTEL!BB4</f>
        <v>7</v>
      </c>
      <c r="R2" s="7">
        <f>HOTEL!BD4</f>
        <v>6</v>
      </c>
      <c r="S2" s="7">
        <f>HOTEL!BF4</f>
        <v>5</v>
      </c>
      <c r="T2" s="7">
        <f>HOTEL!BH4</f>
        <v>4</v>
      </c>
      <c r="U2" s="7">
        <f>HOTEL!BJ4</f>
        <v>2</v>
      </c>
      <c r="V2" s="7">
        <f>HOTEL!BL4</f>
        <v>5</v>
      </c>
      <c r="W2" s="7">
        <f>HOTEL!BX4</f>
        <v>0</v>
      </c>
      <c r="X2" s="7">
        <f>HOTEL!CE4</f>
        <v>59</v>
      </c>
      <c r="Y2" s="7">
        <f>HOTEL!CZ4</f>
        <v>5</v>
      </c>
      <c r="Z2" s="7">
        <f>HOTEL!DC3</f>
        <v>14</v>
      </c>
      <c r="AA2" s="7">
        <f>HOTEL!DF4</f>
        <v>111</v>
      </c>
      <c r="AB2" s="8">
        <f>HOTEL!DI4</f>
        <v>10</v>
      </c>
      <c r="AC2" s="7">
        <f>HOTEL!DL4</f>
        <v>5</v>
      </c>
      <c r="AD2" s="8">
        <f>HOTEL!DO4</f>
        <v>6</v>
      </c>
      <c r="AE2" s="7">
        <f>HOTEL!DR4</f>
        <v>1</v>
      </c>
      <c r="AF2" s="7">
        <f>HOTEL!DU4</f>
        <v>5</v>
      </c>
      <c r="AG2" s="7">
        <f>HOTEL!DX4</f>
        <v>6</v>
      </c>
      <c r="AH2" s="7">
        <f>HOTEL!EA4</f>
        <v>8</v>
      </c>
      <c r="AI2" s="7">
        <f>HOTEL!ED4</f>
        <v>7</v>
      </c>
      <c r="AJ2" s="7">
        <f>HOTEL!EG4</f>
        <v>0</v>
      </c>
      <c r="AK2" s="7">
        <f>TOTAL!K2</f>
        <v>0.96</v>
      </c>
    </row>
    <row r="3" spans="1:38" ht="15" x14ac:dyDescent="0.25">
      <c r="A3" s="2" t="s">
        <v>19</v>
      </c>
      <c r="B3" s="7">
        <f>TOTAL!B3</f>
        <v>2</v>
      </c>
      <c r="C3" s="43">
        <f>TOTAL!C3</f>
        <v>12</v>
      </c>
      <c r="D3" s="7">
        <v>2022</v>
      </c>
      <c r="E3" s="7">
        <f>TOTAL!E3</f>
        <v>23096</v>
      </c>
      <c r="F3" s="7">
        <f>HOTEL!V5</f>
        <v>776</v>
      </c>
      <c r="G3" s="7">
        <f>HOTEL!X5</f>
        <v>706</v>
      </c>
      <c r="H3" s="8">
        <f>HOTEL!EI5</f>
        <v>0</v>
      </c>
      <c r="I3" s="8">
        <f>HOTEL!EK5</f>
        <v>0</v>
      </c>
      <c r="J3" s="8">
        <f>HOTEL!EM5</f>
        <v>0</v>
      </c>
      <c r="K3" s="8">
        <f>HOTEL!EO5</f>
        <v>299</v>
      </c>
      <c r="L3" s="7">
        <f t="shared" si="0"/>
        <v>100</v>
      </c>
      <c r="M3" s="7">
        <f>HOTEL!AL5</f>
        <v>5</v>
      </c>
      <c r="N3" s="7">
        <f>HOTEL!AT5</f>
        <v>32</v>
      </c>
      <c r="O3" s="7">
        <f>HOTEL!AX5</f>
        <v>2</v>
      </c>
      <c r="P3" s="7">
        <f>HOTEL!AZ5</f>
        <v>3</v>
      </c>
      <c r="Q3" s="7">
        <f>HOTEL!BB5</f>
        <v>11</v>
      </c>
      <c r="R3" s="7">
        <f>HOTEL!BD5</f>
        <v>7</v>
      </c>
      <c r="S3" s="7">
        <f>HOTEL!BF5</f>
        <v>3</v>
      </c>
      <c r="T3" s="7">
        <f>HOTEL!BH5</f>
        <v>6</v>
      </c>
      <c r="U3" s="7">
        <f>HOTEL!BJ5</f>
        <v>3</v>
      </c>
      <c r="V3" s="7">
        <f>HOTEL!BL5</f>
        <v>6</v>
      </c>
      <c r="W3" s="7">
        <f>HOTEL!BX5</f>
        <v>0</v>
      </c>
      <c r="X3" s="7">
        <f>HOTEL!CE5</f>
        <v>68</v>
      </c>
      <c r="Y3" s="7">
        <f>HOTEL!CZ5</f>
        <v>5</v>
      </c>
      <c r="Z3" s="7">
        <f>HOTEL!DC4</f>
        <v>17</v>
      </c>
      <c r="AA3" s="7">
        <f>HOTEL!DF5</f>
        <v>134</v>
      </c>
      <c r="AB3" s="8">
        <f>HOTEL!DI5</f>
        <v>12</v>
      </c>
      <c r="AC3" s="7">
        <f>HOTEL!DL5</f>
        <v>7</v>
      </c>
      <c r="AD3" s="8">
        <f>HOTEL!DO5</f>
        <v>5</v>
      </c>
      <c r="AE3" s="7">
        <f>HOTEL!DR5</f>
        <v>1</v>
      </c>
      <c r="AF3" s="7">
        <f>HOTEL!DU5</f>
        <v>6</v>
      </c>
      <c r="AG3" s="7">
        <f>HOTEL!DX5</f>
        <v>6</v>
      </c>
      <c r="AH3" s="7">
        <f>HOTEL!EA5</f>
        <v>8</v>
      </c>
      <c r="AI3" s="7">
        <f>HOTEL!ED5</f>
        <v>8</v>
      </c>
      <c r="AJ3" s="7">
        <f>HOTEL!EG5</f>
        <v>0</v>
      </c>
      <c r="AK3" s="7">
        <f>TOTAL!K3</f>
        <v>0.91</v>
      </c>
    </row>
    <row r="4" spans="1:38" ht="15" x14ac:dyDescent="0.25">
      <c r="A4" s="2" t="s">
        <v>19</v>
      </c>
      <c r="B4" s="7">
        <f>TOTAL!B4</f>
        <v>3</v>
      </c>
      <c r="C4" s="43">
        <f>TOTAL!C4</f>
        <v>12</v>
      </c>
      <c r="D4" s="7">
        <v>2022</v>
      </c>
      <c r="E4" s="7">
        <f>TOTAL!E4</f>
        <v>20189</v>
      </c>
      <c r="F4" s="7">
        <f>HOTEL!V6</f>
        <v>708</v>
      </c>
      <c r="G4" s="7">
        <f>HOTEL!X6</f>
        <v>458</v>
      </c>
      <c r="H4" s="8">
        <f>HOTEL!EI6</f>
        <v>0</v>
      </c>
      <c r="I4" s="8">
        <f>HOTEL!EK6</f>
        <v>0</v>
      </c>
      <c r="J4" s="8">
        <f>HOTEL!EM6</f>
        <v>0</v>
      </c>
      <c r="K4" s="8">
        <f>HOTEL!EO6</f>
        <v>242</v>
      </c>
      <c r="L4" s="7">
        <f t="shared" si="0"/>
        <v>82</v>
      </c>
      <c r="M4" s="7">
        <f>HOTEL!AL6</f>
        <v>25</v>
      </c>
      <c r="N4" s="7">
        <f>HOTEL!AT6</f>
        <v>29</v>
      </c>
      <c r="O4" s="7">
        <f>HOTEL!AX6</f>
        <v>2</v>
      </c>
      <c r="P4" s="7">
        <f>HOTEL!AZ6</f>
        <v>5</v>
      </c>
      <c r="Q4" s="7">
        <f>HOTEL!BB6</f>
        <v>9</v>
      </c>
      <c r="R4" s="7">
        <f>HOTEL!BD6</f>
        <v>8</v>
      </c>
      <c r="S4" s="7">
        <f>HOTEL!BF6</f>
        <v>1</v>
      </c>
      <c r="T4" s="7">
        <f>HOTEL!BH6</f>
        <v>5</v>
      </c>
      <c r="U4" s="7">
        <f>HOTEL!BJ6</f>
        <v>2</v>
      </c>
      <c r="V4" s="7">
        <f>HOTEL!BL6</f>
        <v>5</v>
      </c>
      <c r="W4" s="7">
        <f>HOTEL!BX6</f>
        <v>0</v>
      </c>
      <c r="X4" s="7">
        <f>HOTEL!CE6</f>
        <v>53</v>
      </c>
      <c r="Y4" s="7">
        <f>HOTEL!CZ6</f>
        <v>5</v>
      </c>
      <c r="Z4" s="7">
        <f>HOTEL!DC5</f>
        <v>17</v>
      </c>
      <c r="AA4" s="7">
        <f>HOTEL!DF6</f>
        <v>107</v>
      </c>
      <c r="AB4" s="8">
        <f>HOTEL!DI6</f>
        <v>8</v>
      </c>
      <c r="AC4" s="7">
        <f>HOTEL!DL6</f>
        <v>6</v>
      </c>
      <c r="AD4" s="8">
        <f>HOTEL!DO6</f>
        <v>4</v>
      </c>
      <c r="AE4" s="7">
        <f>HOTEL!DR6</f>
        <v>0</v>
      </c>
      <c r="AF4" s="7">
        <f>HOTEL!DU6</f>
        <v>5</v>
      </c>
      <c r="AG4" s="7">
        <f>HOTEL!DX6</f>
        <v>5</v>
      </c>
      <c r="AH4" s="7">
        <f>HOTEL!EA6</f>
        <v>7</v>
      </c>
      <c r="AI4" s="7">
        <f>HOTEL!ED6</f>
        <v>6</v>
      </c>
      <c r="AJ4" s="7">
        <f>HOTEL!EG6</f>
        <v>0</v>
      </c>
      <c r="AK4" s="7">
        <f>TOTAL!K4</f>
        <v>0.86</v>
      </c>
    </row>
    <row r="5" spans="1:38" ht="15" x14ac:dyDescent="0.25">
      <c r="A5" s="2" t="s">
        <v>19</v>
      </c>
      <c r="B5" s="7">
        <f>TOTAL!B5</f>
        <v>4</v>
      </c>
      <c r="C5" s="43">
        <f>TOTAL!C5</f>
        <v>12</v>
      </c>
      <c r="D5" s="7">
        <v>2022</v>
      </c>
      <c r="E5" s="7">
        <f>TOTAL!E5</f>
        <v>25067</v>
      </c>
      <c r="F5" s="7">
        <f>HOTEL!V7</f>
        <v>796</v>
      </c>
      <c r="G5" s="7">
        <f>HOTEL!X7</f>
        <v>597</v>
      </c>
      <c r="H5" s="8">
        <f>HOTEL!EI7</f>
        <v>0</v>
      </c>
      <c r="I5" s="8">
        <f>HOTEL!EK7</f>
        <v>0</v>
      </c>
      <c r="J5" s="8">
        <f>HOTEL!EM7</f>
        <v>0</v>
      </c>
      <c r="K5" s="8">
        <f>HOTEL!EO7</f>
        <v>239</v>
      </c>
      <c r="L5" s="7">
        <f t="shared" si="0"/>
        <v>92</v>
      </c>
      <c r="M5" s="7">
        <f>HOTEL!AL7</f>
        <v>33</v>
      </c>
      <c r="N5" s="7">
        <f>HOTEL!AT7</f>
        <v>34</v>
      </c>
      <c r="O5" s="7">
        <f>HOTEL!AX7</f>
        <v>2</v>
      </c>
      <c r="P5" s="7">
        <f>HOTEL!AZ7</f>
        <v>3</v>
      </c>
      <c r="Q5" s="7">
        <f>HOTEL!BB7</f>
        <v>7</v>
      </c>
      <c r="R5" s="7">
        <f>HOTEL!BD7</f>
        <v>9</v>
      </c>
      <c r="S5" s="7">
        <f>HOTEL!BF7</f>
        <v>2</v>
      </c>
      <c r="T5" s="7">
        <f>HOTEL!BH7</f>
        <v>4</v>
      </c>
      <c r="U5" s="7">
        <f>HOTEL!BJ7</f>
        <v>1</v>
      </c>
      <c r="V5" s="7">
        <f>HOTEL!BL7</f>
        <v>4</v>
      </c>
      <c r="W5" s="7">
        <f>HOTEL!BX7</f>
        <v>0</v>
      </c>
      <c r="X5" s="7">
        <f>HOTEL!CE7</f>
        <v>58</v>
      </c>
      <c r="Y5" s="7">
        <f>HOTEL!CZ7</f>
        <v>1</v>
      </c>
      <c r="Z5" s="7">
        <f>HOTEL!DC6</f>
        <v>14</v>
      </c>
      <c r="AA5" s="7">
        <f>HOTEL!DF7</f>
        <v>81</v>
      </c>
      <c r="AB5" s="8">
        <f>HOTEL!DI7</f>
        <v>10</v>
      </c>
      <c r="AC5" s="7">
        <f>HOTEL!DL7</f>
        <v>6</v>
      </c>
      <c r="AD5" s="8">
        <f>HOTEL!DO7</f>
        <v>4</v>
      </c>
      <c r="AE5" s="7">
        <f>HOTEL!DR7</f>
        <v>1</v>
      </c>
      <c r="AF5" s="7">
        <f>HOTEL!DU7</f>
        <v>6</v>
      </c>
      <c r="AG5" s="7">
        <f>HOTEL!DX7</f>
        <v>6</v>
      </c>
      <c r="AH5" s="7">
        <f>HOTEL!EA7</f>
        <v>8</v>
      </c>
      <c r="AI5" s="7">
        <f>HOTEL!ED7</f>
        <v>7</v>
      </c>
      <c r="AJ5" s="7">
        <f>HOTEL!EG7</f>
        <v>0</v>
      </c>
      <c r="AK5" s="7">
        <f>TOTAL!K5</f>
        <v>0.83799999999999997</v>
      </c>
    </row>
    <row r="6" spans="1:38" ht="15" x14ac:dyDescent="0.25">
      <c r="A6" s="2" t="s">
        <v>19</v>
      </c>
      <c r="B6" s="7">
        <f>TOTAL!B6</f>
        <v>5</v>
      </c>
      <c r="C6" s="43">
        <f>TOTAL!C6</f>
        <v>12</v>
      </c>
      <c r="D6" s="7">
        <v>2022</v>
      </c>
      <c r="E6" s="7">
        <f>TOTAL!E6</f>
        <v>24162</v>
      </c>
      <c r="F6" s="7">
        <f>HOTEL!V8</f>
        <v>822</v>
      </c>
      <c r="G6" s="7">
        <f>HOTEL!X8</f>
        <v>487</v>
      </c>
      <c r="H6" s="8">
        <f>HOTEL!EI8</f>
        <v>0</v>
      </c>
      <c r="I6" s="8">
        <f>HOTEL!EK8</f>
        <v>0</v>
      </c>
      <c r="J6" s="8">
        <f>HOTEL!EM8</f>
        <v>0</v>
      </c>
      <c r="K6" s="8">
        <f>HOTEL!EO8</f>
        <v>188</v>
      </c>
      <c r="L6" s="7">
        <f t="shared" si="0"/>
        <v>75</v>
      </c>
      <c r="M6" s="7">
        <f>HOTEL!AL8</f>
        <v>8</v>
      </c>
      <c r="N6" s="7">
        <f>HOTEL!AT8</f>
        <v>28</v>
      </c>
      <c r="O6" s="7">
        <f>HOTEL!AX8</f>
        <v>3</v>
      </c>
      <c r="P6" s="7">
        <f>HOTEL!AZ8</f>
        <v>3</v>
      </c>
      <c r="Q6" s="7">
        <f>HOTEL!BB8</f>
        <v>5</v>
      </c>
      <c r="R6" s="7">
        <f>HOTEL!BD8</f>
        <v>6</v>
      </c>
      <c r="S6" s="7">
        <f>HOTEL!BF8</f>
        <v>2</v>
      </c>
      <c r="T6" s="7">
        <f>HOTEL!BH8</f>
        <v>3</v>
      </c>
      <c r="U6" s="7">
        <f>HOTEL!BJ8</f>
        <v>1</v>
      </c>
      <c r="V6" s="7">
        <f>HOTEL!BL8</f>
        <v>6</v>
      </c>
      <c r="W6" s="7">
        <f>HOTEL!BX8</f>
        <v>0</v>
      </c>
      <c r="X6" s="7">
        <f>HOTEL!CE8</f>
        <v>47</v>
      </c>
      <c r="Y6" s="7">
        <f>HOTEL!CZ8</f>
        <v>0</v>
      </c>
      <c r="Z6" s="7">
        <f>HOTEL!DC7</f>
        <v>15</v>
      </c>
      <c r="AA6" s="7">
        <f>HOTEL!DF8</f>
        <v>88</v>
      </c>
      <c r="AB6" s="8">
        <f>HOTEL!DI8</f>
        <v>8</v>
      </c>
      <c r="AC6" s="7">
        <f>HOTEL!DL8</f>
        <v>5</v>
      </c>
      <c r="AD6" s="8">
        <f>HOTEL!DO8</f>
        <v>4</v>
      </c>
      <c r="AE6" s="7">
        <f>HOTEL!DR8</f>
        <v>2</v>
      </c>
      <c r="AF6" s="7">
        <f>HOTEL!DU8</f>
        <v>7</v>
      </c>
      <c r="AG6" s="7">
        <f>HOTEL!DX8</f>
        <v>6</v>
      </c>
      <c r="AH6" s="7">
        <f>HOTEL!EA8</f>
        <v>7</v>
      </c>
      <c r="AI6" s="7">
        <f>HOTEL!ED8</f>
        <v>7</v>
      </c>
      <c r="AJ6" s="7">
        <f>HOTEL!EG8</f>
        <v>0</v>
      </c>
      <c r="AK6" s="7">
        <f>TOTAL!K6</f>
        <v>0.71099999999999997</v>
      </c>
    </row>
    <row r="7" spans="1:38" ht="15" x14ac:dyDescent="0.25">
      <c r="A7" s="2" t="s">
        <v>19</v>
      </c>
      <c r="B7" s="7">
        <f>TOTAL!B7</f>
        <v>6</v>
      </c>
      <c r="C7" s="43">
        <f>TOTAL!C7</f>
        <v>12</v>
      </c>
      <c r="D7" s="7">
        <v>2022</v>
      </c>
      <c r="E7" s="7">
        <f>TOTAL!E7</f>
        <v>23209</v>
      </c>
      <c r="F7" s="7">
        <f>HOTEL!V9</f>
        <v>754</v>
      </c>
      <c r="G7" s="7">
        <f>HOTEL!X9</f>
        <v>594</v>
      </c>
      <c r="H7" s="8">
        <f>HOTEL!EI9</f>
        <v>0</v>
      </c>
      <c r="I7" s="8">
        <f>HOTEL!EK9</f>
        <v>0</v>
      </c>
      <c r="J7" s="8">
        <f>HOTEL!EM9</f>
        <v>0</v>
      </c>
      <c r="K7" s="8">
        <f>HOTEL!EO9</f>
        <v>210</v>
      </c>
      <c r="L7" s="7">
        <f t="shared" si="0"/>
        <v>82</v>
      </c>
      <c r="M7" s="7">
        <f>HOTEL!AL9</f>
        <v>5</v>
      </c>
      <c r="N7" s="7">
        <f>HOTEL!AT9</f>
        <v>29</v>
      </c>
      <c r="O7" s="7">
        <f>HOTEL!AX9</f>
        <v>2</v>
      </c>
      <c r="P7" s="7">
        <f>HOTEL!AZ9</f>
        <v>3</v>
      </c>
      <c r="Q7" s="7">
        <f>HOTEL!BB9</f>
        <v>6</v>
      </c>
      <c r="R7" s="7">
        <f>HOTEL!BD9</f>
        <v>6</v>
      </c>
      <c r="S7" s="7">
        <f>HOTEL!BF9</f>
        <v>4</v>
      </c>
      <c r="T7" s="7">
        <f>HOTEL!BH9</f>
        <v>5</v>
      </c>
      <c r="U7" s="7">
        <f>HOTEL!BJ9</f>
        <v>1</v>
      </c>
      <c r="V7" s="7">
        <f>HOTEL!BL9</f>
        <v>6</v>
      </c>
      <c r="W7" s="7">
        <f>HOTEL!BX9</f>
        <v>0</v>
      </c>
      <c r="X7" s="7">
        <f>HOTEL!CE9</f>
        <v>53</v>
      </c>
      <c r="Y7" s="7">
        <f>HOTEL!CZ9</f>
        <v>4</v>
      </c>
      <c r="Z7" s="7">
        <f>HOTEL!DC8</f>
        <v>12</v>
      </c>
      <c r="AA7" s="7">
        <f>HOTEL!DF9</f>
        <v>120</v>
      </c>
      <c r="AB7" s="8">
        <f>HOTEL!DI9</f>
        <v>10</v>
      </c>
      <c r="AC7" s="7">
        <f>HOTEL!DL9</f>
        <v>7</v>
      </c>
      <c r="AD7" s="8">
        <f>HOTEL!DO9</f>
        <v>5</v>
      </c>
      <c r="AE7" s="7">
        <f>HOTEL!DR9</f>
        <v>1</v>
      </c>
      <c r="AF7" s="7">
        <f>HOTEL!DU9</f>
        <v>7</v>
      </c>
      <c r="AG7" s="7">
        <f>HOTEL!DX9</f>
        <v>5</v>
      </c>
      <c r="AH7" s="7">
        <f>HOTEL!EA9</f>
        <v>7</v>
      </c>
      <c r="AI7" s="7">
        <f>HOTEL!ED9</f>
        <v>6</v>
      </c>
      <c r="AJ7" s="7">
        <f>HOTEL!EG9</f>
        <v>0</v>
      </c>
      <c r="AK7" s="7">
        <f>TOTAL!K7</f>
        <v>0.75</v>
      </c>
    </row>
    <row r="8" spans="1:38" ht="15" x14ac:dyDescent="0.25">
      <c r="A8" s="2" t="s">
        <v>19</v>
      </c>
      <c r="B8" s="7">
        <f>TOTAL!B8</f>
        <v>7</v>
      </c>
      <c r="C8" s="43">
        <f>TOTAL!C8</f>
        <v>12</v>
      </c>
      <c r="D8" s="7">
        <v>2022</v>
      </c>
      <c r="E8" s="7">
        <f>TOTAL!E8</f>
        <v>24101</v>
      </c>
      <c r="F8" s="7">
        <f>HOTEL!V10</f>
        <v>698</v>
      </c>
      <c r="G8" s="7">
        <f>HOTEL!X10</f>
        <v>605</v>
      </c>
      <c r="H8" s="8">
        <f>HOTEL!EI10</f>
        <v>0</v>
      </c>
      <c r="I8" s="8">
        <f>HOTEL!EK10</f>
        <v>0</v>
      </c>
      <c r="J8" s="8">
        <f>HOTEL!EM10</f>
        <v>0</v>
      </c>
      <c r="K8" s="8">
        <f>HOTEL!EO10</f>
        <v>212</v>
      </c>
      <c r="L8" s="7">
        <f>N8+W8+X8</f>
        <v>85</v>
      </c>
      <c r="M8" s="7">
        <f>HOTEL!AL10</f>
        <v>5</v>
      </c>
      <c r="N8" s="7">
        <f>HOTEL!AT10</f>
        <v>29</v>
      </c>
      <c r="O8" s="7">
        <f>HOTEL!AX10</f>
        <v>0</v>
      </c>
      <c r="P8" s="7">
        <f>HOTEL!AZ10</f>
        <v>3</v>
      </c>
      <c r="Q8" s="7">
        <f>HOTEL!BB10</f>
        <v>10</v>
      </c>
      <c r="R8" s="7">
        <f>HOTEL!BD10</f>
        <v>6</v>
      </c>
      <c r="S8" s="7">
        <f>HOTEL!BF10</f>
        <v>3</v>
      </c>
      <c r="T8" s="7">
        <f>HOTEL!BH10</f>
        <v>5</v>
      </c>
      <c r="U8" s="7">
        <f>HOTEL!BJ10</f>
        <v>2</v>
      </c>
      <c r="V8" s="7">
        <f>HOTEL!BL10</f>
        <v>3</v>
      </c>
      <c r="W8" s="7">
        <f>HOTEL!BX10</f>
        <v>0</v>
      </c>
      <c r="X8" s="7">
        <f>HOTEL!CE10</f>
        <v>56</v>
      </c>
      <c r="Y8" s="7">
        <f>HOTEL!CZ10</f>
        <v>3</v>
      </c>
      <c r="Z8" s="7">
        <f>HOTEL!DC9</f>
        <v>17</v>
      </c>
      <c r="AA8" s="7">
        <f>HOTEL!DF10</f>
        <v>118</v>
      </c>
      <c r="AB8" s="8">
        <f>HOTEL!DI10</f>
        <v>9</v>
      </c>
      <c r="AC8" s="7">
        <f>HOTEL!DL10</f>
        <v>5</v>
      </c>
      <c r="AD8" s="8">
        <f>HOTEL!DO10</f>
        <v>5</v>
      </c>
      <c r="AE8" s="7">
        <f>HOTEL!DR10</f>
        <v>2</v>
      </c>
      <c r="AF8" s="7">
        <f>HOTEL!DU10</f>
        <v>8</v>
      </c>
      <c r="AG8" s="7">
        <f>HOTEL!DX10</f>
        <v>6</v>
      </c>
      <c r="AH8" s="7">
        <f>HOTEL!EA10</f>
        <v>8</v>
      </c>
      <c r="AI8" s="7">
        <f>HOTEL!ED10</f>
        <v>7</v>
      </c>
      <c r="AJ8" s="7">
        <f>HOTEL!EG10</f>
        <v>0</v>
      </c>
      <c r="AK8" s="7">
        <f>TOTAL!K8</f>
        <v>0.72299999999999998</v>
      </c>
    </row>
    <row r="9" spans="1:38" ht="15" x14ac:dyDescent="0.25">
      <c r="A9" s="2" t="s">
        <v>19</v>
      </c>
      <c r="B9" s="7">
        <f>TOTAL!B9</f>
        <v>8</v>
      </c>
      <c r="C9" s="43">
        <f>TOTAL!C9</f>
        <v>12</v>
      </c>
      <c r="D9" s="7">
        <v>2022</v>
      </c>
      <c r="E9" s="7">
        <f>TOTAL!E9</f>
        <v>25187</v>
      </c>
      <c r="F9" s="7">
        <f>HOTEL!V11</f>
        <v>767</v>
      </c>
      <c r="G9" s="7">
        <f>HOTEL!X11</f>
        <v>588</v>
      </c>
      <c r="H9" s="8">
        <f>HOTEL!EI11</f>
        <v>0</v>
      </c>
      <c r="I9" s="8">
        <f>HOTEL!EK11</f>
        <v>0</v>
      </c>
      <c r="J9" s="8">
        <f>HOTEL!EM11</f>
        <v>0</v>
      </c>
      <c r="K9" s="8">
        <f>HOTEL!EO11</f>
        <v>208</v>
      </c>
      <c r="L9" s="7">
        <f>N9+W9+X9</f>
        <v>86</v>
      </c>
      <c r="M9" s="7">
        <f>HOTEL!AL11</f>
        <v>5</v>
      </c>
      <c r="N9" s="7">
        <f>HOTEL!AT11</f>
        <v>29</v>
      </c>
      <c r="O9" s="7">
        <f>HOTEL!AX11</f>
        <v>3</v>
      </c>
      <c r="P9" s="7">
        <f>HOTEL!AZ11</f>
        <v>3</v>
      </c>
      <c r="Q9" s="7">
        <f>HOTEL!BB11</f>
        <v>7</v>
      </c>
      <c r="R9" s="7">
        <f>HOTEL!BD11</f>
        <v>8</v>
      </c>
      <c r="S9" s="7">
        <f>HOTEL!BF11</f>
        <v>4</v>
      </c>
      <c r="T9" s="7">
        <f>HOTEL!BH11</f>
        <v>5</v>
      </c>
      <c r="U9" s="7">
        <f>HOTEL!BJ11</f>
        <v>1</v>
      </c>
      <c r="V9" s="7">
        <f>HOTEL!BL11</f>
        <v>5</v>
      </c>
      <c r="W9" s="7">
        <f>HOTEL!BX11</f>
        <v>0</v>
      </c>
      <c r="X9" s="7">
        <f>HOTEL!CE11</f>
        <v>57</v>
      </c>
      <c r="Y9" s="7">
        <f>HOTEL!CZ11</f>
        <v>4</v>
      </c>
      <c r="Z9" s="7">
        <f>HOTEL!DC10</f>
        <v>16</v>
      </c>
      <c r="AA9" s="7">
        <f>HOTEL!DF11</f>
        <v>118</v>
      </c>
      <c r="AB9" s="8">
        <f>HOTEL!DI11</f>
        <v>9</v>
      </c>
      <c r="AC9" s="7">
        <f>HOTEL!DL11</f>
        <v>6</v>
      </c>
      <c r="AD9" s="8">
        <f>HOTEL!DO11</f>
        <v>5</v>
      </c>
      <c r="AE9" s="7">
        <f>HOTEL!DR11</f>
        <v>1</v>
      </c>
      <c r="AF9" s="7">
        <f>HOTEL!DU11</f>
        <v>7</v>
      </c>
      <c r="AG9" s="7">
        <f>HOTEL!DX11</f>
        <v>6</v>
      </c>
      <c r="AH9" s="7">
        <f>HOTEL!EA11</f>
        <v>8</v>
      </c>
      <c r="AI9" s="7">
        <f>HOTEL!ED11</f>
        <v>6</v>
      </c>
      <c r="AJ9" s="7">
        <f>HOTEL!EG11</f>
        <v>0</v>
      </c>
      <c r="AK9" s="7">
        <f>TOTAL!K9</f>
        <v>0.71799999999999997</v>
      </c>
    </row>
    <row r="10" spans="1:38" ht="15" x14ac:dyDescent="0.25">
      <c r="A10" s="2" t="s">
        <v>19</v>
      </c>
      <c r="B10" s="7">
        <f>TOTAL!B10</f>
        <v>9</v>
      </c>
      <c r="C10" s="43">
        <f>TOTAL!C10</f>
        <v>12</v>
      </c>
      <c r="D10" s="7">
        <v>2022</v>
      </c>
      <c r="E10" s="7">
        <f>TOTAL!E10</f>
        <v>23637</v>
      </c>
      <c r="F10" s="7">
        <f>HOTEL!V12</f>
        <v>675</v>
      </c>
      <c r="G10" s="7">
        <f>HOTEL!X12</f>
        <v>570</v>
      </c>
      <c r="H10" s="8">
        <f>HOTEL!EI12</f>
        <v>0</v>
      </c>
      <c r="I10" s="8">
        <f>HOTEL!EK12</f>
        <v>0</v>
      </c>
      <c r="J10" s="8">
        <f>HOTEL!EM12</f>
        <v>0</v>
      </c>
      <c r="K10" s="8">
        <f>HOTEL!EO12</f>
        <v>231</v>
      </c>
      <c r="L10" s="7">
        <f>N10+W10+X10</f>
        <v>110</v>
      </c>
      <c r="M10" s="7">
        <f>HOTEL!AL12</f>
        <v>4</v>
      </c>
      <c r="N10" s="7">
        <f>HOTEL!AT12</f>
        <v>61</v>
      </c>
      <c r="O10" s="7">
        <f>HOTEL!AX12</f>
        <v>2</v>
      </c>
      <c r="P10" s="7">
        <f>HOTEL!AZ12</f>
        <v>3</v>
      </c>
      <c r="Q10" s="7">
        <f>HOTEL!BB12</f>
        <v>7</v>
      </c>
      <c r="R10" s="7">
        <f>HOTEL!BD12</f>
        <v>6</v>
      </c>
      <c r="S10" s="7">
        <f>HOTEL!BF12</f>
        <v>3</v>
      </c>
      <c r="T10" s="7">
        <f>HOTEL!BH12</f>
        <v>5</v>
      </c>
      <c r="U10" s="7">
        <f>HOTEL!BJ12</f>
        <v>1</v>
      </c>
      <c r="V10" s="7">
        <f>HOTEL!BL12</f>
        <v>5</v>
      </c>
      <c r="W10" s="7">
        <f>HOTEL!BX12</f>
        <v>0</v>
      </c>
      <c r="X10" s="7">
        <f>HOTEL!CE12</f>
        <v>49</v>
      </c>
      <c r="Y10" s="7">
        <f>HOTEL!CZ12</f>
        <v>3</v>
      </c>
      <c r="Z10" s="7">
        <f>HOTEL!DC11</f>
        <v>17</v>
      </c>
      <c r="AA10" s="7">
        <f>HOTEL!DF12</f>
        <v>118</v>
      </c>
      <c r="AB10" s="8">
        <f>HOTEL!DI12</f>
        <v>9</v>
      </c>
      <c r="AC10" s="7">
        <f>HOTEL!DL12</f>
        <v>6</v>
      </c>
      <c r="AD10" s="8">
        <f>HOTEL!DO12</f>
        <v>4</v>
      </c>
      <c r="AE10" s="7">
        <f>HOTEL!DR12</f>
        <v>2</v>
      </c>
      <c r="AF10" s="7">
        <f>HOTEL!DU12</f>
        <v>8</v>
      </c>
      <c r="AG10" s="7">
        <f>HOTEL!DX12</f>
        <v>5</v>
      </c>
      <c r="AH10" s="7">
        <f>HOTEL!EA12</f>
        <v>8</v>
      </c>
      <c r="AI10" s="7">
        <f>HOTEL!ED12</f>
        <v>7</v>
      </c>
      <c r="AJ10" s="7">
        <f>HOTEL!EG12</f>
        <v>0</v>
      </c>
      <c r="AK10" s="7">
        <f>TOTAL!K10</f>
        <v>0.78900000000000003</v>
      </c>
    </row>
    <row r="11" spans="1:38" ht="15" x14ac:dyDescent="0.25">
      <c r="A11" s="2" t="s">
        <v>19</v>
      </c>
      <c r="B11" s="7">
        <f>TOTAL!B11</f>
        <v>10</v>
      </c>
      <c r="C11" s="43">
        <f>TOTAL!C11</f>
        <v>12</v>
      </c>
      <c r="D11" s="7">
        <v>2022</v>
      </c>
      <c r="E11" s="7">
        <f>TOTAL!E11</f>
        <v>23117</v>
      </c>
      <c r="F11" s="7">
        <f>HOTEL!V13</f>
        <v>711</v>
      </c>
      <c r="G11" s="7">
        <f>HOTEL!X13</f>
        <v>603</v>
      </c>
      <c r="H11" s="8">
        <f>HOTEL!EI13</f>
        <v>0</v>
      </c>
      <c r="I11" s="8">
        <f>HOTEL!EK13</f>
        <v>0</v>
      </c>
      <c r="J11" s="8">
        <f>HOTEL!EM13</f>
        <v>0</v>
      </c>
      <c r="K11" s="8">
        <f>HOTEL!EO13</f>
        <v>209</v>
      </c>
      <c r="L11" s="7">
        <f t="shared" ref="L11:L31" si="1">N11+W11+X11</f>
        <v>94</v>
      </c>
      <c r="M11" s="7">
        <f>HOTEL!AL13</f>
        <v>4</v>
      </c>
      <c r="N11" s="7">
        <f>HOTEL!AT13</f>
        <v>35</v>
      </c>
      <c r="O11" s="7">
        <f>HOTEL!AX13</f>
        <v>2</v>
      </c>
      <c r="P11" s="7">
        <f>HOTEL!AZ13</f>
        <v>3</v>
      </c>
      <c r="Q11" s="7">
        <f>HOTEL!BB13</f>
        <v>10</v>
      </c>
      <c r="R11" s="7">
        <f>HOTEL!BD13</f>
        <v>5</v>
      </c>
      <c r="S11" s="7">
        <f>HOTEL!BF13</f>
        <v>3</v>
      </c>
      <c r="T11" s="7">
        <f>HOTEL!BH13</f>
        <v>5</v>
      </c>
      <c r="U11" s="7">
        <f>HOTEL!BJ13</f>
        <v>2</v>
      </c>
      <c r="V11" s="7">
        <f>HOTEL!BL13</f>
        <v>5</v>
      </c>
      <c r="W11" s="7">
        <f>HOTEL!BX13</f>
        <v>0</v>
      </c>
      <c r="X11" s="7">
        <f>HOTEL!CE13</f>
        <v>59</v>
      </c>
      <c r="Y11" s="7">
        <f>HOTEL!CZ13</f>
        <v>5</v>
      </c>
      <c r="Z11" s="7">
        <f>HOTEL!DC12</f>
        <v>17</v>
      </c>
      <c r="AA11" s="7">
        <f>HOTEL!DF13</f>
        <v>120</v>
      </c>
      <c r="AB11" s="8">
        <f>HOTEL!DI13</f>
        <v>10</v>
      </c>
      <c r="AC11" s="7">
        <f>HOTEL!DL13</f>
        <v>7</v>
      </c>
      <c r="AD11" s="8">
        <f>HOTEL!DO13</f>
        <v>5</v>
      </c>
      <c r="AE11" s="7">
        <f>HOTEL!DR13</f>
        <v>1</v>
      </c>
      <c r="AF11" s="7">
        <f>HOTEL!DU13</f>
        <v>7</v>
      </c>
      <c r="AG11" s="7">
        <f>HOTEL!DX13</f>
        <v>7</v>
      </c>
      <c r="AH11" s="7">
        <f>HOTEL!EA13</f>
        <v>7</v>
      </c>
      <c r="AI11" s="7">
        <f>HOTEL!ED13</f>
        <v>6</v>
      </c>
      <c r="AJ11" s="7">
        <f>HOTEL!EG13</f>
        <v>0</v>
      </c>
      <c r="AK11" s="7">
        <f>TOTAL!K11</f>
        <v>0.70499999999999996</v>
      </c>
    </row>
    <row r="12" spans="1:38" ht="15" x14ac:dyDescent="0.25">
      <c r="A12" s="2" t="s">
        <v>19</v>
      </c>
      <c r="B12" s="7">
        <f>TOTAL!B12</f>
        <v>11</v>
      </c>
      <c r="C12" s="43">
        <f>TOTAL!C12</f>
        <v>12</v>
      </c>
      <c r="D12" s="7">
        <v>2022</v>
      </c>
      <c r="E12" s="7">
        <f>TOTAL!E12</f>
        <v>20830</v>
      </c>
      <c r="F12" s="7">
        <f>HOTEL!V14</f>
        <v>772</v>
      </c>
      <c r="G12" s="7">
        <f>HOTEL!X14</f>
        <v>585</v>
      </c>
      <c r="H12" s="8">
        <f>HOTEL!EI14</f>
        <v>0</v>
      </c>
      <c r="I12" s="8">
        <f>HOTEL!EK14</f>
        <v>0</v>
      </c>
      <c r="J12" s="8">
        <f>HOTEL!EM14</f>
        <v>0</v>
      </c>
      <c r="K12" s="8">
        <f>HOTEL!EO14</f>
        <v>220</v>
      </c>
      <c r="L12" s="7">
        <f t="shared" si="1"/>
        <v>79</v>
      </c>
      <c r="M12" s="7">
        <f>HOTEL!AL14</f>
        <v>4</v>
      </c>
      <c r="N12" s="7">
        <f>HOTEL!AT14</f>
        <v>27</v>
      </c>
      <c r="O12" s="7">
        <f>HOTEL!AX14</f>
        <v>2</v>
      </c>
      <c r="P12" s="7">
        <f>HOTEL!AZ14</f>
        <v>3</v>
      </c>
      <c r="Q12" s="7">
        <f>HOTEL!BB14</f>
        <v>7</v>
      </c>
      <c r="R12" s="7">
        <f>HOTEL!BD14</f>
        <v>7</v>
      </c>
      <c r="S12" s="7">
        <f>HOTEL!BF14</f>
        <v>3</v>
      </c>
      <c r="T12" s="7">
        <f>HOTEL!BH14</f>
        <v>1</v>
      </c>
      <c r="U12" s="7">
        <f>HOTEL!BJ14</f>
        <v>1</v>
      </c>
      <c r="V12" s="7">
        <f>HOTEL!BL14</f>
        <v>8</v>
      </c>
      <c r="W12" s="7">
        <f>HOTEL!BX14</f>
        <v>0</v>
      </c>
      <c r="X12" s="7">
        <f>HOTEL!CE14</f>
        <v>52</v>
      </c>
      <c r="Y12" s="7">
        <f>HOTEL!CZ14</f>
        <v>0</v>
      </c>
      <c r="Z12" s="7">
        <f>HOTEL!DC13</f>
        <v>15</v>
      </c>
      <c r="AA12" s="7">
        <f>HOTEL!DF14</f>
        <v>113</v>
      </c>
      <c r="AB12" s="8">
        <f>HOTEL!DI14</f>
        <v>10</v>
      </c>
      <c r="AC12" s="7">
        <f>HOTEL!DL14</f>
        <v>5</v>
      </c>
      <c r="AD12" s="8">
        <f>HOTEL!DO14</f>
        <v>5</v>
      </c>
      <c r="AE12" s="7">
        <f>HOTEL!DR14</f>
        <v>2</v>
      </c>
      <c r="AF12" s="7">
        <f>HOTEL!DU14</f>
        <v>7</v>
      </c>
      <c r="AG12" s="7">
        <f>HOTEL!DX14</f>
        <v>4</v>
      </c>
      <c r="AH12" s="7">
        <f>HOTEL!EA14</f>
        <v>7</v>
      </c>
      <c r="AI12" s="7">
        <f>HOTEL!ED14</f>
        <v>5</v>
      </c>
      <c r="AJ12" s="7">
        <f>HOTEL!EG14</f>
        <v>0</v>
      </c>
      <c r="AK12" s="7">
        <f>TOTAL!K12</f>
        <v>0.76100000000000001</v>
      </c>
    </row>
    <row r="13" spans="1:38" ht="15" x14ac:dyDescent="0.25">
      <c r="A13" s="2" t="s">
        <v>19</v>
      </c>
      <c r="B13" s="7">
        <f>TOTAL!B13</f>
        <v>12</v>
      </c>
      <c r="C13" s="43">
        <f>TOTAL!C13</f>
        <v>12</v>
      </c>
      <c r="D13" s="7">
        <v>2022</v>
      </c>
      <c r="E13" s="7">
        <f>TOTAL!E13</f>
        <v>25789</v>
      </c>
      <c r="F13" s="7">
        <f>HOTEL!V15</f>
        <v>1869</v>
      </c>
      <c r="G13" s="7">
        <f>HOTEL!X15</f>
        <v>625</v>
      </c>
      <c r="H13" s="8">
        <f>HOTEL!EI15</f>
        <v>0</v>
      </c>
      <c r="I13" s="8">
        <f>HOTEL!EK15</f>
        <v>0</v>
      </c>
      <c r="J13" s="8">
        <f>HOTEL!EM15</f>
        <v>0</v>
      </c>
      <c r="K13" s="8">
        <f>HOTEL!EO15</f>
        <v>210</v>
      </c>
      <c r="L13" s="7">
        <f t="shared" si="1"/>
        <v>129</v>
      </c>
      <c r="M13" s="7">
        <f>HOTEL!AL15</f>
        <v>9</v>
      </c>
      <c r="N13" s="7">
        <f>HOTEL!AT15</f>
        <v>65</v>
      </c>
      <c r="O13" s="7">
        <f>HOTEL!AX15</f>
        <v>3</v>
      </c>
      <c r="P13" s="7">
        <f>HOTEL!AZ15</f>
        <v>4</v>
      </c>
      <c r="Q13" s="7">
        <f>HOTEL!BB15</f>
        <v>7</v>
      </c>
      <c r="R13" s="7">
        <f>HOTEL!BD15</f>
        <v>6</v>
      </c>
      <c r="S13" s="7">
        <f>HOTEL!BF15</f>
        <v>3</v>
      </c>
      <c r="T13" s="7">
        <f>HOTEL!BH15</f>
        <v>3</v>
      </c>
      <c r="U13" s="7">
        <f>HOTEL!BJ15</f>
        <v>1</v>
      </c>
      <c r="V13" s="7">
        <f>HOTEL!BL15</f>
        <v>4</v>
      </c>
      <c r="W13" s="7">
        <f>HOTEL!BX15</f>
        <v>0</v>
      </c>
      <c r="X13" s="7">
        <f>HOTEL!CE15</f>
        <v>64</v>
      </c>
      <c r="Y13" s="7">
        <f>HOTEL!CZ15</f>
        <v>0</v>
      </c>
      <c r="Z13" s="7">
        <f>HOTEL!DC14</f>
        <v>14</v>
      </c>
      <c r="AA13" s="7">
        <f>HOTEL!DF15</f>
        <v>120</v>
      </c>
      <c r="AB13" s="8">
        <f>HOTEL!DI15</f>
        <v>11</v>
      </c>
      <c r="AC13" s="7">
        <f>HOTEL!DL15</f>
        <v>7</v>
      </c>
      <c r="AD13" s="8">
        <f>HOTEL!DO15</f>
        <v>5</v>
      </c>
      <c r="AE13" s="7">
        <f>HOTEL!DR15</f>
        <v>1</v>
      </c>
      <c r="AF13" s="7">
        <f>HOTEL!DU15</f>
        <v>9</v>
      </c>
      <c r="AG13" s="7">
        <f>HOTEL!DX15</f>
        <v>7</v>
      </c>
      <c r="AH13" s="7">
        <f>HOTEL!EA15</f>
        <v>8</v>
      </c>
      <c r="AI13" s="7">
        <f>HOTEL!ED15</f>
        <v>7</v>
      </c>
      <c r="AJ13" s="7">
        <f>HOTEL!EG15</f>
        <v>0</v>
      </c>
      <c r="AK13" s="7">
        <f>TOTAL!K13</f>
        <v>0.72199999999999998</v>
      </c>
    </row>
    <row r="14" spans="1:38" ht="15" x14ac:dyDescent="0.25">
      <c r="A14" s="2" t="s">
        <v>19</v>
      </c>
      <c r="B14" s="7">
        <f>TOTAL!B14</f>
        <v>13</v>
      </c>
      <c r="C14" s="43">
        <f>TOTAL!C14</f>
        <v>12</v>
      </c>
      <c r="D14" s="7">
        <v>2022</v>
      </c>
      <c r="E14" s="7">
        <f>TOTAL!E14</f>
        <v>23842</v>
      </c>
      <c r="F14" s="7">
        <f>HOTEL!V16</f>
        <v>1857</v>
      </c>
      <c r="G14" s="7">
        <f>HOTEL!X16</f>
        <v>510</v>
      </c>
      <c r="H14" s="8">
        <f>HOTEL!EI16</f>
        <v>0</v>
      </c>
      <c r="I14" s="8">
        <f>HOTEL!EK16</f>
        <v>0</v>
      </c>
      <c r="J14" s="8">
        <f>HOTEL!EM16</f>
        <v>0</v>
      </c>
      <c r="K14" s="8">
        <f>HOTEL!EO16</f>
        <v>215</v>
      </c>
      <c r="L14" s="7">
        <f t="shared" si="1"/>
        <v>100</v>
      </c>
      <c r="M14" s="7">
        <f>HOTEL!AL16</f>
        <v>10</v>
      </c>
      <c r="N14" s="7">
        <f>HOTEL!AT16</f>
        <v>45</v>
      </c>
      <c r="O14" s="7">
        <f>HOTEL!AX16</f>
        <v>3</v>
      </c>
      <c r="P14" s="7">
        <f>HOTEL!AZ16</f>
        <v>1</v>
      </c>
      <c r="Q14" s="7">
        <f>HOTEL!BB16</f>
        <v>9</v>
      </c>
      <c r="R14" s="7">
        <f>HOTEL!BD16</f>
        <v>5</v>
      </c>
      <c r="S14" s="7">
        <f>HOTEL!BF16</f>
        <v>2</v>
      </c>
      <c r="T14" s="7">
        <f>HOTEL!BH16</f>
        <v>2</v>
      </c>
      <c r="U14" s="7">
        <f>HOTEL!BJ16</f>
        <v>1</v>
      </c>
      <c r="V14" s="7">
        <f>HOTEL!BL16</f>
        <v>2</v>
      </c>
      <c r="W14" s="7">
        <f>HOTEL!BX16</f>
        <v>0</v>
      </c>
      <c r="X14" s="7">
        <f>HOTEL!CE16</f>
        <v>55</v>
      </c>
      <c r="Y14" s="7">
        <f>HOTEL!CZ16</f>
        <v>4</v>
      </c>
      <c r="Z14" s="7">
        <f>HOTEL!DC15</f>
        <v>15</v>
      </c>
      <c r="AA14" s="7">
        <f>HOTEL!DF16</f>
        <v>94</v>
      </c>
      <c r="AB14" s="8">
        <f>HOTEL!DI16</f>
        <v>8</v>
      </c>
      <c r="AC14" s="7">
        <f>HOTEL!DL16</f>
        <v>6</v>
      </c>
      <c r="AD14" s="8">
        <f>HOTEL!DO16</f>
        <v>4</v>
      </c>
      <c r="AE14" s="7">
        <f>HOTEL!DR16</f>
        <v>2</v>
      </c>
      <c r="AF14" s="7">
        <f>HOTEL!DU16</f>
        <v>6</v>
      </c>
      <c r="AG14" s="7">
        <f>HOTEL!DX16</f>
        <v>7</v>
      </c>
      <c r="AH14" s="7">
        <f>HOTEL!EA16</f>
        <v>7</v>
      </c>
      <c r="AI14" s="7">
        <f>HOTEL!ED16</f>
        <v>7</v>
      </c>
      <c r="AJ14" s="7">
        <f>HOTEL!EG16</f>
        <v>0</v>
      </c>
      <c r="AK14" s="7">
        <f>TOTAL!K14</f>
        <v>0.75</v>
      </c>
    </row>
    <row r="15" spans="1:38" ht="15" x14ac:dyDescent="0.25">
      <c r="A15" s="2" t="s">
        <v>19</v>
      </c>
      <c r="B15" s="7">
        <f>TOTAL!B15</f>
        <v>14</v>
      </c>
      <c r="C15" s="43">
        <f>TOTAL!C15</f>
        <v>12</v>
      </c>
      <c r="D15" s="7">
        <v>2022</v>
      </c>
      <c r="E15" s="8">
        <f>TOTAL!E15</f>
        <v>24483</v>
      </c>
      <c r="F15" s="7">
        <f>HOTEL!V17</f>
        <v>1458</v>
      </c>
      <c r="G15" s="7">
        <f>HOTEL!X17</f>
        <v>569</v>
      </c>
      <c r="H15" s="8">
        <f>HOTEL!EI17</f>
        <v>0</v>
      </c>
      <c r="I15" s="8">
        <f>HOTEL!EK17</f>
        <v>0</v>
      </c>
      <c r="J15" s="8">
        <f>HOTEL!EM17</f>
        <v>0</v>
      </c>
      <c r="K15" s="8">
        <f>HOTEL!EO17</f>
        <v>215</v>
      </c>
      <c r="L15" s="7">
        <f t="shared" si="1"/>
        <v>83</v>
      </c>
      <c r="M15" s="7">
        <f>HOTEL!AL17</f>
        <v>5</v>
      </c>
      <c r="N15" s="7">
        <f>HOTEL!AT17</f>
        <v>30</v>
      </c>
      <c r="O15" s="7">
        <f>HOTEL!AX17</f>
        <v>3</v>
      </c>
      <c r="P15" s="7">
        <f>HOTEL!AZ17</f>
        <v>3</v>
      </c>
      <c r="Q15" s="7">
        <f>HOTEL!BB17</f>
        <v>9</v>
      </c>
      <c r="R15" s="7">
        <f>HOTEL!BD17</f>
        <v>5</v>
      </c>
      <c r="S15" s="7">
        <f>HOTEL!BF17</f>
        <v>2</v>
      </c>
      <c r="T15" s="7">
        <f>HOTEL!BH17</f>
        <v>3</v>
      </c>
      <c r="U15" s="7">
        <f>HOTEL!BJ17</f>
        <v>0</v>
      </c>
      <c r="V15" s="7">
        <f>HOTEL!BL17</f>
        <v>8</v>
      </c>
      <c r="W15" s="7">
        <f>HOTEL!BX17</f>
        <v>0</v>
      </c>
      <c r="X15" s="7">
        <f>HOTEL!CE17</f>
        <v>53</v>
      </c>
      <c r="Y15" s="7">
        <f>HOTEL!CZ17</f>
        <v>3</v>
      </c>
      <c r="Z15" s="7">
        <f>HOTEL!DC16</f>
        <v>14</v>
      </c>
      <c r="AA15" s="7">
        <f>HOTEL!DF17</f>
        <v>113</v>
      </c>
      <c r="AB15" s="8">
        <f>HOTEL!DI17</f>
        <v>10</v>
      </c>
      <c r="AC15" s="7">
        <f>HOTEL!DL17</f>
        <v>7</v>
      </c>
      <c r="AD15" s="8">
        <f>HOTEL!DO17</f>
        <v>6</v>
      </c>
      <c r="AE15" s="7">
        <f>HOTEL!DR17</f>
        <v>1</v>
      </c>
      <c r="AF15" s="7">
        <f>HOTEL!DU17</f>
        <v>8</v>
      </c>
      <c r="AG15" s="7">
        <f>HOTEL!DX17</f>
        <v>6</v>
      </c>
      <c r="AH15" s="7">
        <f>HOTEL!EA17</f>
        <v>7</v>
      </c>
      <c r="AI15" s="7">
        <f>HOTEL!ED17</f>
        <v>6</v>
      </c>
      <c r="AJ15" s="7">
        <f>HOTEL!EG17</f>
        <v>0</v>
      </c>
      <c r="AK15" s="7">
        <f>TOTAL!K15</f>
        <v>0.75</v>
      </c>
    </row>
    <row r="16" spans="1:38" ht="15" x14ac:dyDescent="0.25">
      <c r="A16" s="2" t="s">
        <v>19</v>
      </c>
      <c r="B16" s="7">
        <f>TOTAL!B16</f>
        <v>15</v>
      </c>
      <c r="C16" s="43">
        <f>TOTAL!C16</f>
        <v>12</v>
      </c>
      <c r="D16" s="7">
        <v>2022</v>
      </c>
      <c r="E16" s="7">
        <f>TOTAL!E16</f>
        <v>26829</v>
      </c>
      <c r="F16" s="7">
        <f>HOTEL!V18</f>
        <v>1875</v>
      </c>
      <c r="G16" s="7">
        <f>HOTEL!X18</f>
        <v>626</v>
      </c>
      <c r="H16" s="8">
        <f>HOTEL!EI18</f>
        <v>0</v>
      </c>
      <c r="I16" s="8">
        <f>HOTEL!EK18</f>
        <v>0</v>
      </c>
      <c r="J16" s="8">
        <f>HOTEL!EM18</f>
        <v>0</v>
      </c>
      <c r="K16" s="8">
        <f>HOTEL!EO18</f>
        <v>229</v>
      </c>
      <c r="L16" s="7">
        <f t="shared" si="1"/>
        <v>102</v>
      </c>
      <c r="M16" s="7">
        <f>HOTEL!AL18</f>
        <v>5</v>
      </c>
      <c r="N16" s="7">
        <f>HOTEL!AT18</f>
        <v>30</v>
      </c>
      <c r="O16" s="7">
        <f>HOTEL!AX18</f>
        <v>1</v>
      </c>
      <c r="P16" s="7">
        <f>HOTEL!AZ18</f>
        <v>1</v>
      </c>
      <c r="Q16" s="7">
        <f>HOTEL!BB18</f>
        <v>11</v>
      </c>
      <c r="R16" s="7">
        <f>HOTEL!BD18</f>
        <v>6</v>
      </c>
      <c r="S16" s="7">
        <f>HOTEL!BF18</f>
        <v>3</v>
      </c>
      <c r="T16" s="7">
        <f>HOTEL!BH18</f>
        <v>5</v>
      </c>
      <c r="U16" s="7">
        <f>HOTEL!BJ18</f>
        <v>2</v>
      </c>
      <c r="V16" s="7">
        <f>HOTEL!BL18</f>
        <v>5</v>
      </c>
      <c r="W16" s="7">
        <f>HOTEL!BX18</f>
        <v>0</v>
      </c>
      <c r="X16" s="7">
        <f>HOTEL!CE18</f>
        <v>72</v>
      </c>
      <c r="Y16" s="7">
        <f>HOTEL!CZ18</f>
        <v>7</v>
      </c>
      <c r="Z16" s="7">
        <f>HOTEL!DC17</f>
        <v>18</v>
      </c>
      <c r="AA16" s="7">
        <f>HOTEL!DF18</f>
        <v>124</v>
      </c>
      <c r="AB16" s="8">
        <f>HOTEL!DI18</f>
        <v>14</v>
      </c>
      <c r="AC16" s="7">
        <f>HOTEL!DL18</f>
        <v>8</v>
      </c>
      <c r="AD16" s="8">
        <f>HOTEL!DO18</f>
        <v>8</v>
      </c>
      <c r="AE16" s="7">
        <f>HOTEL!DR18</f>
        <v>2</v>
      </c>
      <c r="AF16" s="7">
        <f>HOTEL!DU18</f>
        <v>10</v>
      </c>
      <c r="AG16" s="7">
        <f>HOTEL!DX18</f>
        <v>7</v>
      </c>
      <c r="AH16" s="7">
        <f>HOTEL!EA18</f>
        <v>9</v>
      </c>
      <c r="AI16" s="7">
        <f>HOTEL!ED18</f>
        <v>7</v>
      </c>
      <c r="AJ16" s="7">
        <f>HOTEL!EG18</f>
        <v>0</v>
      </c>
      <c r="AK16" s="7">
        <f>TOTAL!K16</f>
        <v>0.76300000000000001</v>
      </c>
    </row>
    <row r="17" spans="1:37" ht="15" x14ac:dyDescent="0.25">
      <c r="A17" s="2" t="s">
        <v>19</v>
      </c>
      <c r="B17" s="7">
        <f>TOTAL!B17</f>
        <v>16</v>
      </c>
      <c r="C17" s="43">
        <f>TOTAL!C17</f>
        <v>12</v>
      </c>
      <c r="D17" s="7">
        <v>2022</v>
      </c>
      <c r="E17" s="7">
        <f>TOTAL!E17</f>
        <v>22924</v>
      </c>
      <c r="F17" s="7">
        <f>HOTEL!V19</f>
        <v>711</v>
      </c>
      <c r="G17" s="7">
        <f>HOTEL!X19</f>
        <v>546</v>
      </c>
      <c r="H17" s="8">
        <f>HOTEL!EI19</f>
        <v>0</v>
      </c>
      <c r="I17" s="8">
        <f>HOTEL!EK19</f>
        <v>0</v>
      </c>
      <c r="J17" s="8">
        <f>HOTEL!EM19</f>
        <v>0</v>
      </c>
      <c r="K17" s="8">
        <f>HOTEL!EO19</f>
        <v>244</v>
      </c>
      <c r="L17" s="7">
        <f t="shared" si="1"/>
        <v>95</v>
      </c>
      <c r="M17" s="7">
        <f>HOTEL!AL19</f>
        <v>5</v>
      </c>
      <c r="N17" s="7">
        <f>HOTEL!AT19</f>
        <v>34</v>
      </c>
      <c r="O17" s="7">
        <f>HOTEL!AX19</f>
        <v>2</v>
      </c>
      <c r="P17" s="7">
        <f>HOTEL!AZ19</f>
        <v>1</v>
      </c>
      <c r="Q17" s="7">
        <f>HOTEL!BB19</f>
        <v>11</v>
      </c>
      <c r="R17" s="7">
        <f>HOTEL!BD19</f>
        <v>5</v>
      </c>
      <c r="S17" s="7">
        <f>HOTEL!BF19</f>
        <v>3</v>
      </c>
      <c r="T17" s="7">
        <f>HOTEL!BH19</f>
        <v>3</v>
      </c>
      <c r="U17" s="7">
        <f>HOTEL!BJ19</f>
        <v>1</v>
      </c>
      <c r="V17" s="7">
        <f>HOTEL!BL19</f>
        <v>5</v>
      </c>
      <c r="W17" s="7">
        <f>HOTEL!BX19</f>
        <v>0</v>
      </c>
      <c r="X17" s="7">
        <f>HOTEL!CE19</f>
        <v>61</v>
      </c>
      <c r="Y17" s="7">
        <f>HOTEL!CZ19</f>
        <v>0</v>
      </c>
      <c r="Z17" s="7">
        <f>HOTEL!DC18</f>
        <v>16</v>
      </c>
      <c r="AA17" s="7">
        <f>HOTEL!DF19</f>
        <v>101</v>
      </c>
      <c r="AB17" s="8">
        <f>HOTEL!DI19</f>
        <v>10</v>
      </c>
      <c r="AC17" s="7">
        <f>HOTEL!DL19</f>
        <v>8</v>
      </c>
      <c r="AD17" s="8">
        <f>HOTEL!DO19</f>
        <v>8</v>
      </c>
      <c r="AE17" s="7">
        <f>HOTEL!DR19</f>
        <v>1</v>
      </c>
      <c r="AF17" s="7">
        <f>HOTEL!DU19</f>
        <v>11</v>
      </c>
      <c r="AG17" s="7">
        <f>HOTEL!DX19</f>
        <v>6</v>
      </c>
      <c r="AH17" s="7">
        <f>HOTEL!EA19</f>
        <v>7</v>
      </c>
      <c r="AI17" s="7">
        <f>HOTEL!ED19</f>
        <v>6</v>
      </c>
      <c r="AJ17" s="7">
        <f>HOTEL!EG19</f>
        <v>0</v>
      </c>
      <c r="AK17" s="7">
        <f>TOTAL!K17</f>
        <v>0.75</v>
      </c>
    </row>
    <row r="18" spans="1:37" ht="15" x14ac:dyDescent="0.25">
      <c r="A18" s="2" t="s">
        <v>19</v>
      </c>
      <c r="B18" s="7">
        <f>TOTAL!B18</f>
        <v>17</v>
      </c>
      <c r="C18" s="43">
        <f>TOTAL!C18</f>
        <v>12</v>
      </c>
      <c r="D18" s="7">
        <v>2022</v>
      </c>
      <c r="E18" s="7">
        <f>TOTAL!E18</f>
        <v>24898</v>
      </c>
      <c r="F18" s="7">
        <f>HOTEL!V20</f>
        <v>829</v>
      </c>
      <c r="G18" s="7">
        <f>HOTEL!X20</f>
        <v>699</v>
      </c>
      <c r="H18" s="8">
        <f>HOTEL!EI20</f>
        <v>0</v>
      </c>
      <c r="I18" s="8">
        <f>HOTEL!EK20</f>
        <v>0</v>
      </c>
      <c r="J18" s="8">
        <f>HOTEL!EM20</f>
        <v>0</v>
      </c>
      <c r="K18" s="8">
        <f>HOTEL!EO20</f>
        <v>236</v>
      </c>
      <c r="L18" s="7">
        <f t="shared" si="1"/>
        <v>98</v>
      </c>
      <c r="M18" s="7">
        <f>HOTEL!AL20</f>
        <v>11</v>
      </c>
      <c r="N18" s="7">
        <f>HOTEL!AT20</f>
        <v>29</v>
      </c>
      <c r="O18" s="7">
        <f>HOTEL!AX20</f>
        <v>1</v>
      </c>
      <c r="P18" s="7">
        <f>HOTEL!AZ20</f>
        <v>4</v>
      </c>
      <c r="Q18" s="7">
        <f>HOTEL!BB20</f>
        <v>12</v>
      </c>
      <c r="R18" s="7">
        <f>HOTEL!BD20</f>
        <v>6</v>
      </c>
      <c r="S18" s="7">
        <f>HOTEL!BF20</f>
        <v>3</v>
      </c>
      <c r="T18" s="7">
        <f>HOTEL!BH20</f>
        <v>5</v>
      </c>
      <c r="U18" s="7">
        <f>HOTEL!BJ20</f>
        <v>1</v>
      </c>
      <c r="V18" s="7">
        <f>HOTEL!BL20</f>
        <v>2</v>
      </c>
      <c r="W18" s="7">
        <f>HOTEL!BX20</f>
        <v>0</v>
      </c>
      <c r="X18" s="7">
        <f>HOTEL!CE20</f>
        <v>69</v>
      </c>
      <c r="Y18" s="7">
        <f>HOTEL!CZ20</f>
        <v>4</v>
      </c>
      <c r="Z18" s="7">
        <f>HOTEL!DC19</f>
        <v>17</v>
      </c>
      <c r="AA18" s="7">
        <f>HOTEL!DF20</f>
        <v>149</v>
      </c>
      <c r="AB18" s="8">
        <f>HOTEL!DI20</f>
        <v>11</v>
      </c>
      <c r="AC18" s="7">
        <f>HOTEL!DL20</f>
        <v>9</v>
      </c>
      <c r="AD18" s="8">
        <f>HOTEL!DO20</f>
        <v>8</v>
      </c>
      <c r="AE18" s="7">
        <f>HOTEL!DR20</f>
        <v>2</v>
      </c>
      <c r="AF18" s="7">
        <f>HOTEL!DU20</f>
        <v>9</v>
      </c>
      <c r="AG18" s="7">
        <f>HOTEL!DX20</f>
        <v>6</v>
      </c>
      <c r="AH18" s="7">
        <f>HOTEL!EA20</f>
        <v>7</v>
      </c>
      <c r="AI18" s="7" t="str">
        <f>HOTEL!ED20</f>
        <v>0</v>
      </c>
      <c r="AJ18" s="7">
        <f>HOTEL!EG20</f>
        <v>0</v>
      </c>
      <c r="AK18" s="7">
        <f>TOTAL!K18</f>
        <v>0.7823</v>
      </c>
    </row>
    <row r="19" spans="1:37" ht="15" x14ac:dyDescent="0.25">
      <c r="A19" s="2" t="s">
        <v>19</v>
      </c>
      <c r="B19" s="7">
        <f>TOTAL!B19</f>
        <v>18</v>
      </c>
      <c r="C19" s="43">
        <f>TOTAL!C19</f>
        <v>12</v>
      </c>
      <c r="D19" s="7">
        <v>2022</v>
      </c>
      <c r="E19" s="7">
        <f>TOTAL!E19</f>
        <v>23611</v>
      </c>
      <c r="F19" s="7">
        <f>HOTEL!V21</f>
        <v>740</v>
      </c>
      <c r="G19" s="7">
        <f>HOTEL!X21</f>
        <v>534</v>
      </c>
      <c r="H19" s="8">
        <f>HOTEL!EI21</f>
        <v>0</v>
      </c>
      <c r="I19" s="8">
        <f>HOTEL!EK21</f>
        <v>0</v>
      </c>
      <c r="J19" s="8">
        <f>HOTEL!EM21</f>
        <v>0</v>
      </c>
      <c r="K19" s="8">
        <f>HOTEL!EO21</f>
        <v>236</v>
      </c>
      <c r="L19" s="7">
        <f t="shared" si="1"/>
        <v>93</v>
      </c>
      <c r="M19" s="7">
        <f>HOTEL!AL21</f>
        <v>5</v>
      </c>
      <c r="N19" s="7">
        <f>HOTEL!AT21</f>
        <v>32</v>
      </c>
      <c r="O19" s="7">
        <f>HOTEL!AX21</f>
        <v>1</v>
      </c>
      <c r="P19" s="7">
        <f>HOTEL!AZ21</f>
        <v>2</v>
      </c>
      <c r="Q19" s="7">
        <f>HOTEL!BB21</f>
        <v>11</v>
      </c>
      <c r="R19" s="7">
        <f>HOTEL!BD21</f>
        <v>6</v>
      </c>
      <c r="S19" s="7">
        <f>HOTEL!BF21</f>
        <v>2</v>
      </c>
      <c r="T19" s="7">
        <f>HOTEL!BH21</f>
        <v>4</v>
      </c>
      <c r="U19" s="7">
        <f>HOTEL!BJ21</f>
        <v>2</v>
      </c>
      <c r="V19" s="7">
        <f>HOTEL!BL21</f>
        <v>3</v>
      </c>
      <c r="W19" s="7">
        <f>HOTEL!BX21</f>
        <v>0</v>
      </c>
      <c r="X19" s="7">
        <f>HOTEL!CE21</f>
        <v>61</v>
      </c>
      <c r="Y19" s="7">
        <f>HOTEL!CZ21</f>
        <v>0</v>
      </c>
      <c r="Z19" s="7">
        <f>HOTEL!DC20</f>
        <v>18</v>
      </c>
      <c r="AA19" s="7">
        <f>HOTEL!DF21</f>
        <v>111</v>
      </c>
      <c r="AB19" s="8">
        <f>HOTEL!DI21</f>
        <v>10</v>
      </c>
      <c r="AC19" s="7">
        <f>HOTEL!DL21</f>
        <v>11</v>
      </c>
      <c r="AD19" s="8">
        <f>HOTEL!DO21</f>
        <v>7</v>
      </c>
      <c r="AE19" s="7">
        <f>HOTEL!DR21</f>
        <v>1</v>
      </c>
      <c r="AF19" s="7">
        <f>HOTEL!DU21</f>
        <v>10</v>
      </c>
      <c r="AG19" s="7">
        <f>HOTEL!DX21</f>
        <v>6</v>
      </c>
      <c r="AH19" s="7">
        <f>HOTEL!EA21</f>
        <v>7</v>
      </c>
      <c r="AI19" s="7">
        <f>HOTEL!ED21</f>
        <v>18</v>
      </c>
      <c r="AJ19" s="7">
        <f>HOTEL!EG21</f>
        <v>0</v>
      </c>
      <c r="AK19" s="7">
        <f>TOTAL!K19</f>
        <v>0.7823</v>
      </c>
    </row>
    <row r="20" spans="1:37" ht="15" x14ac:dyDescent="0.25">
      <c r="A20" s="2" t="s">
        <v>19</v>
      </c>
      <c r="B20" s="7">
        <f>TOTAL!B20</f>
        <v>19</v>
      </c>
      <c r="C20" s="43">
        <f>TOTAL!C20</f>
        <v>12</v>
      </c>
      <c r="D20" s="7">
        <v>2022</v>
      </c>
      <c r="E20" s="7">
        <f>TOTAL!E20</f>
        <v>25261</v>
      </c>
      <c r="F20" s="7">
        <f>HOTEL!V22</f>
        <v>745</v>
      </c>
      <c r="G20" s="7">
        <f>HOTEL!X22</f>
        <v>446</v>
      </c>
      <c r="H20" s="8">
        <f>HOTEL!EI22</f>
        <v>0</v>
      </c>
      <c r="I20" s="8">
        <f>HOTEL!EK22</f>
        <v>0</v>
      </c>
      <c r="J20" s="8">
        <f>HOTEL!EM22</f>
        <v>0</v>
      </c>
      <c r="K20" s="8">
        <f>HOTEL!EO22</f>
        <v>253</v>
      </c>
      <c r="L20" s="7">
        <f t="shared" si="1"/>
        <v>90</v>
      </c>
      <c r="M20" s="7">
        <f>HOTEL!AL22</f>
        <v>5</v>
      </c>
      <c r="N20" s="7">
        <f>HOTEL!AT22</f>
        <v>34</v>
      </c>
      <c r="O20" s="7">
        <f>HOTEL!AX22</f>
        <v>0</v>
      </c>
      <c r="P20" s="7">
        <f>HOTEL!AZ22</f>
        <v>2</v>
      </c>
      <c r="Q20" s="7">
        <f>HOTEL!BB22</f>
        <v>14</v>
      </c>
      <c r="R20" s="7">
        <f>HOTEL!BD22</f>
        <v>5</v>
      </c>
      <c r="S20" s="7">
        <f>HOTEL!BF22</f>
        <v>2</v>
      </c>
      <c r="T20" s="7">
        <f>HOTEL!BH22</f>
        <v>6</v>
      </c>
      <c r="U20" s="7">
        <f>HOTEL!BJ22</f>
        <v>2</v>
      </c>
      <c r="V20" s="7">
        <f>HOTEL!BL22</f>
        <v>5</v>
      </c>
      <c r="W20" s="7">
        <f>HOTEL!BX22</f>
        <v>0</v>
      </c>
      <c r="X20" s="7">
        <f>HOTEL!CE22</f>
        <v>56</v>
      </c>
      <c r="Y20" s="7">
        <f>HOTEL!CZ22</f>
        <v>0</v>
      </c>
      <c r="Z20" s="7">
        <f>HOTEL!DC21</f>
        <v>15</v>
      </c>
      <c r="AA20" s="7">
        <f>HOTEL!DF22</f>
        <v>83</v>
      </c>
      <c r="AB20" s="8">
        <f>HOTEL!DI22</f>
        <v>8</v>
      </c>
      <c r="AC20" s="7">
        <f>HOTEL!DL22</f>
        <v>12</v>
      </c>
      <c r="AD20" s="8">
        <f>HOTEL!DO22</f>
        <v>8</v>
      </c>
      <c r="AE20" s="7">
        <f>HOTEL!DR22</f>
        <v>2</v>
      </c>
      <c r="AF20" s="7">
        <f>HOTEL!DU22</f>
        <v>10</v>
      </c>
      <c r="AG20" s="7">
        <f>HOTEL!DX22</f>
        <v>5</v>
      </c>
      <c r="AH20" s="7">
        <f>HOTEL!EA22</f>
        <v>7</v>
      </c>
      <c r="AI20" s="7">
        <f>HOTEL!ED22</f>
        <v>7</v>
      </c>
      <c r="AJ20" s="7">
        <f>HOTEL!EG22</f>
        <v>0</v>
      </c>
      <c r="AK20" s="7">
        <f>TOTAL!K20</f>
        <v>0.746</v>
      </c>
    </row>
    <row r="21" spans="1:37" ht="15" x14ac:dyDescent="0.25">
      <c r="A21" s="2" t="s">
        <v>19</v>
      </c>
      <c r="B21" s="7">
        <f>TOTAL!B21</f>
        <v>20</v>
      </c>
      <c r="C21" s="43">
        <f>TOTAL!C21</f>
        <v>12</v>
      </c>
      <c r="D21" s="7">
        <v>2022</v>
      </c>
      <c r="E21" s="7">
        <f>TOTAL!E21</f>
        <v>24925</v>
      </c>
      <c r="F21" s="7">
        <f>HOTEL!V23</f>
        <v>895</v>
      </c>
      <c r="G21" s="7">
        <f>HOTEL!X23</f>
        <v>553</v>
      </c>
      <c r="H21" s="8">
        <f>HOTEL!EI23</f>
        <v>0</v>
      </c>
      <c r="I21" s="8">
        <f>HOTEL!EK23</f>
        <v>0</v>
      </c>
      <c r="J21" s="8">
        <f>HOTEL!EM23</f>
        <v>0</v>
      </c>
      <c r="K21" s="8">
        <f>HOTEL!EO23</f>
        <v>243</v>
      </c>
      <c r="L21" s="7">
        <f t="shared" si="1"/>
        <v>91</v>
      </c>
      <c r="M21" s="7">
        <f>HOTEL!AL23</f>
        <v>5</v>
      </c>
      <c r="N21" s="7">
        <f>HOTEL!AT23</f>
        <v>28</v>
      </c>
      <c r="O21" s="7">
        <f>HOTEL!AX23</f>
        <v>1</v>
      </c>
      <c r="P21" s="7">
        <f>HOTEL!AZ23</f>
        <v>2</v>
      </c>
      <c r="Q21" s="7">
        <f>HOTEL!BB23</f>
        <v>11</v>
      </c>
      <c r="R21" s="7">
        <f>HOTEL!BD23</f>
        <v>6</v>
      </c>
      <c r="S21" s="7">
        <f>HOTEL!BF23</f>
        <v>3</v>
      </c>
      <c r="T21" s="7">
        <f>HOTEL!BH23</f>
        <v>4</v>
      </c>
      <c r="U21" s="7">
        <f>HOTEL!BJ23</f>
        <v>2</v>
      </c>
      <c r="V21" s="7">
        <f>HOTEL!BL23</f>
        <v>5</v>
      </c>
      <c r="W21" s="7">
        <f>HOTEL!BX23</f>
        <v>0</v>
      </c>
      <c r="X21" s="7">
        <f>HOTEL!CE23</f>
        <v>63</v>
      </c>
      <c r="Y21" s="7">
        <f>HOTEL!CZ23</f>
        <v>4</v>
      </c>
      <c r="Z21" s="7">
        <f>HOTEL!DC22</f>
        <v>16</v>
      </c>
      <c r="AA21" s="7">
        <f>HOTEL!DF23</f>
        <v>114</v>
      </c>
      <c r="AB21" s="8">
        <f>HOTEL!DI23</f>
        <v>10</v>
      </c>
      <c r="AC21" s="7">
        <f>HOTEL!DL23</f>
        <v>9</v>
      </c>
      <c r="AD21" s="8">
        <f>HOTEL!DO23</f>
        <v>5</v>
      </c>
      <c r="AE21" s="7">
        <f>HOTEL!DR23</f>
        <v>1</v>
      </c>
      <c r="AF21" s="7">
        <f>HOTEL!DU23</f>
        <v>9</v>
      </c>
      <c r="AG21" s="7">
        <f>HOTEL!DX23</f>
        <v>5</v>
      </c>
      <c r="AH21" s="7">
        <f>HOTEL!EA23</f>
        <v>7</v>
      </c>
      <c r="AI21" s="7">
        <f>HOTEL!ED23</f>
        <v>8</v>
      </c>
      <c r="AJ21" s="7">
        <f>HOTEL!EG23</f>
        <v>0</v>
      </c>
      <c r="AK21" s="7">
        <f>TOTAL!K21</f>
        <v>0.5</v>
      </c>
    </row>
    <row r="22" spans="1:37" ht="15" x14ac:dyDescent="0.25">
      <c r="A22" s="2" t="s">
        <v>19</v>
      </c>
      <c r="B22" s="7">
        <f>TOTAL!B22</f>
        <v>21</v>
      </c>
      <c r="C22" s="43">
        <f>TOTAL!C22</f>
        <v>12</v>
      </c>
      <c r="D22" s="7">
        <v>2022</v>
      </c>
      <c r="E22" s="7">
        <f>TOTAL!E22</f>
        <v>27635</v>
      </c>
      <c r="F22" s="7">
        <f>HOTEL!V24</f>
        <v>1149</v>
      </c>
      <c r="G22" s="7">
        <f>HOTEL!X24</f>
        <v>611</v>
      </c>
      <c r="H22" s="8">
        <f>HOTEL!EI24</f>
        <v>0</v>
      </c>
      <c r="I22" s="8">
        <f>HOTEL!EK24</f>
        <v>0</v>
      </c>
      <c r="J22" s="8">
        <f>HOTEL!EM24</f>
        <v>0</v>
      </c>
      <c r="K22" s="8">
        <f>HOTEL!EO24</f>
        <v>211</v>
      </c>
      <c r="L22" s="7">
        <f t="shared" si="1"/>
        <v>93</v>
      </c>
      <c r="M22" s="7">
        <f>HOTEL!AL24</f>
        <v>11</v>
      </c>
      <c r="N22" s="7">
        <f>HOTEL!AT24</f>
        <v>32</v>
      </c>
      <c r="O22" s="7">
        <f>HOTEL!AX24</f>
        <v>0</v>
      </c>
      <c r="P22" s="7">
        <f>HOTEL!AZ24</f>
        <v>2</v>
      </c>
      <c r="Q22" s="7">
        <f>HOTEL!BB24</f>
        <v>12</v>
      </c>
      <c r="R22" s="7">
        <f>HOTEL!BD24</f>
        <v>5</v>
      </c>
      <c r="S22" s="7">
        <f>HOTEL!BF24</f>
        <v>3</v>
      </c>
      <c r="T22" s="7">
        <f>HOTEL!BH24</f>
        <v>4</v>
      </c>
      <c r="U22" s="7">
        <f>HOTEL!BJ24</f>
        <v>1</v>
      </c>
      <c r="V22" s="7">
        <f>HOTEL!BL24</f>
        <v>4</v>
      </c>
      <c r="W22" s="7">
        <f>HOTEL!BX24</f>
        <v>0</v>
      </c>
      <c r="X22" s="7">
        <f>HOTEL!CE24</f>
        <v>61</v>
      </c>
      <c r="Y22" s="7">
        <f>HOTEL!CZ24</f>
        <v>3</v>
      </c>
      <c r="Z22" s="7">
        <f>HOTEL!DC23</f>
        <v>13</v>
      </c>
      <c r="AA22" s="7">
        <f>HOTEL!DF24</f>
        <v>119</v>
      </c>
      <c r="AB22" s="8">
        <f>HOTEL!DI24</f>
        <v>11</v>
      </c>
      <c r="AC22" s="7">
        <f>HOTEL!DL24</f>
        <v>14</v>
      </c>
      <c r="AD22" s="8">
        <f>HOTEL!DO24</f>
        <v>8</v>
      </c>
      <c r="AE22" s="7">
        <f>HOTEL!DR24</f>
        <v>2</v>
      </c>
      <c r="AF22" s="7">
        <f>HOTEL!DU24</f>
        <v>10</v>
      </c>
      <c r="AG22" s="7">
        <f>HOTEL!DX24</f>
        <v>4</v>
      </c>
      <c r="AH22" s="7">
        <f>HOTEL!EA24</f>
        <v>7</v>
      </c>
      <c r="AI22" s="7">
        <f>HOTEL!ED24</f>
        <v>8</v>
      </c>
      <c r="AJ22" s="7">
        <f>HOTEL!EG24</f>
        <v>0</v>
      </c>
      <c r="AK22" s="7">
        <f>TOTAL!K22</f>
        <v>0.5</v>
      </c>
    </row>
    <row r="23" spans="1:37" ht="15" x14ac:dyDescent="0.25">
      <c r="A23" s="2" t="s">
        <v>19</v>
      </c>
      <c r="B23" s="7">
        <f>TOTAL!B23</f>
        <v>22</v>
      </c>
      <c r="C23" s="43">
        <f>TOTAL!C23</f>
        <v>12</v>
      </c>
      <c r="D23" s="7">
        <v>2022</v>
      </c>
      <c r="E23" s="7">
        <f>TOTAL!E23</f>
        <v>29830</v>
      </c>
      <c r="F23" s="7">
        <f>HOTEL!V25</f>
        <v>2133</v>
      </c>
      <c r="G23" s="7">
        <f>HOTEL!X25</f>
        <v>672</v>
      </c>
      <c r="H23" s="8">
        <f>HOTEL!EI25</f>
        <v>0</v>
      </c>
      <c r="I23" s="8">
        <f>HOTEL!EK25</f>
        <v>0</v>
      </c>
      <c r="J23" s="8">
        <f>HOTEL!EM25</f>
        <v>0</v>
      </c>
      <c r="K23" s="8">
        <f>HOTEL!EO25</f>
        <v>223</v>
      </c>
      <c r="L23" s="7">
        <f t="shared" si="1"/>
        <v>108</v>
      </c>
      <c r="M23" s="7">
        <f>HOTEL!AL25</f>
        <v>5</v>
      </c>
      <c r="N23" s="7">
        <f>HOTEL!AT25</f>
        <v>32</v>
      </c>
      <c r="O23" s="7">
        <f>HOTEL!AX25</f>
        <v>0</v>
      </c>
      <c r="P23" s="7">
        <f>HOTEL!AZ25</f>
        <v>2</v>
      </c>
      <c r="Q23" s="7">
        <f>HOTEL!BB25</f>
        <v>13</v>
      </c>
      <c r="R23" s="7">
        <f>HOTEL!BD25</f>
        <v>5</v>
      </c>
      <c r="S23" s="7">
        <f>HOTEL!BF25</f>
        <v>3</v>
      </c>
      <c r="T23" s="7">
        <f>HOTEL!BH25</f>
        <v>8</v>
      </c>
      <c r="U23" s="7">
        <f>HOTEL!BJ25</f>
        <v>2</v>
      </c>
      <c r="V23" s="7">
        <f>HOTEL!BL25</f>
        <v>5</v>
      </c>
      <c r="W23" s="7">
        <f>HOTEL!BX25</f>
        <v>0</v>
      </c>
      <c r="X23" s="7">
        <f>HOTEL!CE25</f>
        <v>76</v>
      </c>
      <c r="Y23" s="7">
        <f>HOTEL!CZ25</f>
        <v>4</v>
      </c>
      <c r="Z23" s="7">
        <f>HOTEL!DC24</f>
        <v>15</v>
      </c>
      <c r="AA23" s="7">
        <f>HOTEL!DF25</f>
        <v>141</v>
      </c>
      <c r="AB23" s="8">
        <f>HOTEL!DI25</f>
        <v>14</v>
      </c>
      <c r="AC23" s="7">
        <f>HOTEL!DL25</f>
        <v>10</v>
      </c>
      <c r="AD23" s="8">
        <f>HOTEL!DO25</f>
        <v>6</v>
      </c>
      <c r="AE23" s="7">
        <f>HOTEL!DR25</f>
        <v>2</v>
      </c>
      <c r="AF23" s="7">
        <f>HOTEL!DU25</f>
        <v>10</v>
      </c>
      <c r="AG23" s="7">
        <f>HOTEL!DX25</f>
        <v>3</v>
      </c>
      <c r="AH23" s="7">
        <f>HOTEL!EA25</f>
        <v>8</v>
      </c>
      <c r="AI23" s="7">
        <f>HOTEL!ED25</f>
        <v>9</v>
      </c>
      <c r="AJ23" s="7">
        <f>HOTEL!EG25</f>
        <v>0</v>
      </c>
      <c r="AK23" s="7">
        <f>TOTAL!K23</f>
        <v>0.53400000000000003</v>
      </c>
    </row>
    <row r="24" spans="1:37" ht="15" x14ac:dyDescent="0.25">
      <c r="A24" s="2" t="s">
        <v>19</v>
      </c>
      <c r="B24" s="7">
        <f>TOTAL!B24</f>
        <v>23</v>
      </c>
      <c r="C24" s="43">
        <f>TOTAL!C24</f>
        <v>12</v>
      </c>
      <c r="D24" s="7">
        <v>2022</v>
      </c>
      <c r="E24" s="7">
        <f>TOTAL!E24</f>
        <v>22839</v>
      </c>
      <c r="F24" s="7">
        <f>HOTEL!V26</f>
        <v>1775</v>
      </c>
      <c r="G24" s="7">
        <f>HOTEL!X26</f>
        <v>406</v>
      </c>
      <c r="H24" s="8">
        <f>HOTEL!EI26</f>
        <v>0</v>
      </c>
      <c r="I24" s="8">
        <f>HOTEL!EK26</f>
        <v>0</v>
      </c>
      <c r="J24" s="8">
        <f>HOTEL!EM26</f>
        <v>0</v>
      </c>
      <c r="K24" s="8">
        <f>HOTEL!EO26</f>
        <v>243</v>
      </c>
      <c r="L24" s="7">
        <f t="shared" si="1"/>
        <v>85</v>
      </c>
      <c r="M24" s="7">
        <f>HOTEL!AL26</f>
        <v>7</v>
      </c>
      <c r="N24" s="7">
        <f>HOTEL!AT26</f>
        <v>32</v>
      </c>
      <c r="O24" s="7">
        <f>HOTEL!AX26</f>
        <v>1</v>
      </c>
      <c r="P24" s="7">
        <f>HOTEL!AZ26</f>
        <v>2</v>
      </c>
      <c r="Q24" s="7">
        <f>HOTEL!BB26</f>
        <v>10</v>
      </c>
      <c r="R24" s="7">
        <f>HOTEL!BD26</f>
        <v>5</v>
      </c>
      <c r="S24" s="7">
        <f>HOTEL!BF26</f>
        <v>2</v>
      </c>
      <c r="T24" s="7">
        <f>HOTEL!BH26</f>
        <v>7</v>
      </c>
      <c r="U24" s="7">
        <f>HOTEL!BJ26</f>
        <v>1</v>
      </c>
      <c r="V24" s="7">
        <f>HOTEL!BL26</f>
        <v>5</v>
      </c>
      <c r="W24" s="7">
        <f>HOTEL!BX26</f>
        <v>0</v>
      </c>
      <c r="X24" s="7">
        <f>HOTEL!CE26</f>
        <v>53</v>
      </c>
      <c r="Y24" s="7">
        <f>HOTEL!CZ26</f>
        <v>5</v>
      </c>
      <c r="Z24" s="7">
        <f>HOTEL!DC25</f>
        <v>18</v>
      </c>
      <c r="AA24" s="7">
        <f>HOTEL!DF26</f>
        <v>77</v>
      </c>
      <c r="AB24" s="8">
        <f>HOTEL!DI26</f>
        <v>7</v>
      </c>
      <c r="AC24" s="7">
        <f>HOTEL!DL26</f>
        <v>10</v>
      </c>
      <c r="AD24" s="8">
        <f>HOTEL!DO26</f>
        <v>6</v>
      </c>
      <c r="AE24" s="7">
        <f>HOTEL!DR26</f>
        <v>1</v>
      </c>
      <c r="AF24" s="7">
        <f>HOTEL!DU26</f>
        <v>10</v>
      </c>
      <c r="AG24" s="7">
        <f>HOTEL!DX26</f>
        <v>7</v>
      </c>
      <c r="AH24" s="7">
        <f>HOTEL!EA26</f>
        <v>6</v>
      </c>
      <c r="AI24" s="7">
        <f>HOTEL!ED26</f>
        <v>6</v>
      </c>
      <c r="AJ24" s="7">
        <f>HOTEL!EG26</f>
        <v>0</v>
      </c>
      <c r="AK24" s="7">
        <f>TOTAL!K24</f>
        <v>0.59299999999999997</v>
      </c>
    </row>
    <row r="25" spans="1:37" ht="15" x14ac:dyDescent="0.25">
      <c r="A25" s="2" t="s">
        <v>19</v>
      </c>
      <c r="B25" s="7">
        <f>TOTAL!B25</f>
        <v>24</v>
      </c>
      <c r="C25" s="43">
        <f>TOTAL!C25</f>
        <v>12</v>
      </c>
      <c r="D25" s="7">
        <v>2022</v>
      </c>
      <c r="E25" s="7">
        <f>TOTAL!E25</f>
        <v>26441</v>
      </c>
      <c r="F25" s="7">
        <f>HOTEL!V27</f>
        <v>986</v>
      </c>
      <c r="G25" s="7">
        <f>HOTEL!X27</f>
        <v>684</v>
      </c>
      <c r="H25" s="8">
        <f>HOTEL!EI27</f>
        <v>0</v>
      </c>
      <c r="I25" s="8">
        <f>HOTEL!EK27</f>
        <v>0</v>
      </c>
      <c r="J25" s="8">
        <f>HOTEL!EM27</f>
        <v>0</v>
      </c>
      <c r="K25" s="8">
        <f>HOTEL!EO27</f>
        <v>282</v>
      </c>
      <c r="L25" s="7">
        <f t="shared" si="1"/>
        <v>90</v>
      </c>
      <c r="M25" s="7">
        <f>HOTEL!AL27</f>
        <v>9</v>
      </c>
      <c r="N25" s="7">
        <f>HOTEL!AT27</f>
        <v>25</v>
      </c>
      <c r="O25" s="7">
        <f>HOTEL!AX27</f>
        <v>0</v>
      </c>
      <c r="P25" s="7">
        <f>HOTEL!AZ27</f>
        <v>1</v>
      </c>
      <c r="Q25" s="7">
        <f>HOTEL!BB27</f>
        <v>8</v>
      </c>
      <c r="R25" s="7">
        <f>HOTEL!BD27</f>
        <v>5</v>
      </c>
      <c r="S25" s="7">
        <f>HOTEL!BF27</f>
        <v>2</v>
      </c>
      <c r="T25" s="7">
        <f>HOTEL!BH27</f>
        <v>5</v>
      </c>
      <c r="U25" s="7">
        <f>HOTEL!BJ27</f>
        <v>2</v>
      </c>
      <c r="V25" s="7">
        <f>HOTEL!BL27</f>
        <v>7</v>
      </c>
      <c r="W25" s="7">
        <f>HOTEL!BX27</f>
        <v>0</v>
      </c>
      <c r="X25" s="7">
        <f>HOTEL!CE27</f>
        <v>65</v>
      </c>
      <c r="Y25" s="7">
        <f>HOTEL!CZ27</f>
        <v>4</v>
      </c>
      <c r="Z25" s="7">
        <f>HOTEL!DC26</f>
        <v>17</v>
      </c>
      <c r="AA25" s="7">
        <f>HOTEL!DF27</f>
        <v>128</v>
      </c>
      <c r="AB25" s="8">
        <f>HOTEL!DI27</f>
        <v>13</v>
      </c>
      <c r="AC25" s="7">
        <f>HOTEL!DL27</f>
        <v>9</v>
      </c>
      <c r="AD25" s="8">
        <f>HOTEL!DO27</f>
        <v>6</v>
      </c>
      <c r="AE25" s="7">
        <f>HOTEL!DR27</f>
        <v>1</v>
      </c>
      <c r="AF25" s="7">
        <f>HOTEL!DU27</f>
        <v>6</v>
      </c>
      <c r="AG25" s="7">
        <f>HOTEL!DX27</f>
        <v>2</v>
      </c>
      <c r="AH25" s="7">
        <f>HOTEL!EA27</f>
        <v>8</v>
      </c>
      <c r="AI25" s="7">
        <f>HOTEL!ED27</f>
        <v>8</v>
      </c>
      <c r="AJ25" s="7">
        <f>HOTEL!EG27</f>
        <v>0</v>
      </c>
      <c r="AK25" s="7">
        <f>TOTAL!K25</f>
        <v>0.62</v>
      </c>
    </row>
    <row r="26" spans="1:37" ht="15" x14ac:dyDescent="0.25">
      <c r="A26" s="2" t="s">
        <v>19</v>
      </c>
      <c r="B26" s="7">
        <f>TOTAL!B26</f>
        <v>25</v>
      </c>
      <c r="C26" s="43">
        <f>TOTAL!C26</f>
        <v>12</v>
      </c>
      <c r="D26" s="7">
        <v>2022</v>
      </c>
      <c r="E26" s="7">
        <f>TOTAL!E26</f>
        <v>26288</v>
      </c>
      <c r="F26" s="7">
        <f>HOTEL!V28</f>
        <v>826</v>
      </c>
      <c r="G26" s="7">
        <f>HOTEL!X28</f>
        <v>570</v>
      </c>
      <c r="H26" s="8">
        <f>HOTEL!EI28</f>
        <v>0</v>
      </c>
      <c r="I26" s="8">
        <f>HOTEL!EK28</f>
        <v>0</v>
      </c>
      <c r="J26" s="8">
        <f>HOTEL!EM28</f>
        <v>0</v>
      </c>
      <c r="K26" s="8">
        <f>HOTEL!EO28</f>
        <v>276</v>
      </c>
      <c r="L26" s="7">
        <f t="shared" si="1"/>
        <v>98</v>
      </c>
      <c r="M26" s="7">
        <f>HOTEL!AL28</f>
        <v>5</v>
      </c>
      <c r="N26" s="7">
        <f>HOTEL!AT28</f>
        <v>38</v>
      </c>
      <c r="O26" s="7">
        <f>HOTEL!AX28</f>
        <v>0</v>
      </c>
      <c r="P26" s="7">
        <f>HOTEL!AZ28</f>
        <v>2</v>
      </c>
      <c r="Q26" s="7">
        <f>HOTEL!BB28</f>
        <v>11</v>
      </c>
      <c r="R26" s="7">
        <f>HOTEL!BD28</f>
        <v>4</v>
      </c>
      <c r="S26" s="7">
        <f>HOTEL!BF28</f>
        <v>2</v>
      </c>
      <c r="T26" s="7">
        <f>HOTEL!BH28</f>
        <v>5</v>
      </c>
      <c r="U26" s="7">
        <f>HOTEL!BJ28</f>
        <v>2</v>
      </c>
      <c r="V26" s="7">
        <f>HOTEL!BL28</f>
        <v>5</v>
      </c>
      <c r="W26" s="7">
        <f>HOTEL!BX28</f>
        <v>0</v>
      </c>
      <c r="X26" s="7">
        <f>HOTEL!CE28</f>
        <v>60</v>
      </c>
      <c r="Y26" s="7">
        <f>HOTEL!CZ28</f>
        <v>3</v>
      </c>
      <c r="Z26" s="7">
        <f>HOTEL!DC27</f>
        <v>19</v>
      </c>
      <c r="AA26" s="7">
        <f>HOTEL!DF28</f>
        <v>98</v>
      </c>
      <c r="AB26" s="8">
        <f>HOTEL!DI28</f>
        <v>10</v>
      </c>
      <c r="AC26" s="7">
        <f>HOTEL!DL28</f>
        <v>11</v>
      </c>
      <c r="AD26" s="8">
        <f>HOTEL!DO28</f>
        <v>7</v>
      </c>
      <c r="AE26" s="7">
        <f>HOTEL!DR28</f>
        <v>2</v>
      </c>
      <c r="AF26" s="7">
        <f>HOTEL!DU28</f>
        <v>11</v>
      </c>
      <c r="AG26" s="7">
        <f>HOTEL!DX28</f>
        <v>6</v>
      </c>
      <c r="AH26" s="7">
        <f>HOTEL!EA28</f>
        <v>7</v>
      </c>
      <c r="AI26" s="7">
        <f>HOTEL!ED28</f>
        <v>8</v>
      </c>
      <c r="AJ26" s="7">
        <f>HOTEL!EG28</f>
        <v>0</v>
      </c>
      <c r="AK26" s="7">
        <f>TOTAL!K26</f>
        <v>0.66</v>
      </c>
    </row>
    <row r="27" spans="1:37" ht="15" x14ac:dyDescent="0.25">
      <c r="A27" s="2" t="s">
        <v>19</v>
      </c>
      <c r="B27" s="7">
        <f>TOTAL!B27</f>
        <v>26</v>
      </c>
      <c r="C27" s="43">
        <f>TOTAL!C27</f>
        <v>12</v>
      </c>
      <c r="D27" s="7">
        <v>2022</v>
      </c>
      <c r="E27" s="7">
        <f>TOTAL!E27</f>
        <v>26429</v>
      </c>
      <c r="F27" s="7">
        <f>HOTEL!V29</f>
        <v>881</v>
      </c>
      <c r="G27" s="7">
        <f>HOTEL!X29</f>
        <v>563</v>
      </c>
      <c r="H27" s="8">
        <f>HOTEL!EI29</f>
        <v>0</v>
      </c>
      <c r="I27" s="8">
        <f>HOTEL!EK29</f>
        <v>0</v>
      </c>
      <c r="J27" s="8">
        <f>HOTEL!EM29</f>
        <v>0</v>
      </c>
      <c r="K27" s="8">
        <f>HOTEL!EO29</f>
        <v>205</v>
      </c>
      <c r="L27" s="7">
        <f>N27+W27+X27</f>
        <v>96</v>
      </c>
      <c r="M27" s="7">
        <f>HOTEL!AL29</f>
        <v>11</v>
      </c>
      <c r="N27" s="7">
        <f>HOTEL!AT29</f>
        <v>38</v>
      </c>
      <c r="O27" s="7">
        <f>HOTEL!AX29</f>
        <v>1</v>
      </c>
      <c r="P27" s="7">
        <f>HOTEL!AZ29</f>
        <v>2</v>
      </c>
      <c r="Q27" s="7">
        <f>HOTEL!BB29</f>
        <v>8</v>
      </c>
      <c r="R27" s="7">
        <f>HOTEL!BD29</f>
        <v>6</v>
      </c>
      <c r="S27" s="7">
        <f>HOTEL!BF29</f>
        <v>2</v>
      </c>
      <c r="T27" s="7">
        <f>HOTEL!BH29</f>
        <v>3</v>
      </c>
      <c r="U27" s="7">
        <f>HOTEL!BJ29</f>
        <v>2</v>
      </c>
      <c r="V27" s="7">
        <f>HOTEL!BL29</f>
        <v>6</v>
      </c>
      <c r="W27" s="7">
        <f>HOTEL!BX29</f>
        <v>0</v>
      </c>
      <c r="X27" s="7">
        <f>HOTEL!CE29</f>
        <v>58</v>
      </c>
      <c r="Y27" s="7">
        <f>HOTEL!CZ29</f>
        <v>0</v>
      </c>
      <c r="Z27" s="7">
        <f>HOTEL!DC28</f>
        <v>17</v>
      </c>
      <c r="AA27" s="7">
        <f>HOTEL!DF29</f>
        <v>109</v>
      </c>
      <c r="AB27" s="8">
        <f>HOTEL!DI29</f>
        <v>9</v>
      </c>
      <c r="AC27" s="7">
        <f>HOTEL!DL29</f>
        <v>9</v>
      </c>
      <c r="AD27" s="8">
        <f>HOTEL!DO29</f>
        <v>6</v>
      </c>
      <c r="AE27" s="7">
        <f>HOTEL!DR29</f>
        <v>1</v>
      </c>
      <c r="AF27" s="7">
        <f>HOTEL!DU29</f>
        <v>9</v>
      </c>
      <c r="AG27" s="7">
        <f>HOTEL!DX29</f>
        <v>6</v>
      </c>
      <c r="AH27" s="7">
        <f>HOTEL!EA29</f>
        <v>7</v>
      </c>
      <c r="AI27" s="7">
        <f>HOTEL!ED29</f>
        <v>8</v>
      </c>
      <c r="AJ27" s="7">
        <f>HOTEL!EG29</f>
        <v>0</v>
      </c>
      <c r="AK27" s="7">
        <f>TOTAL!K27</f>
        <v>0.69</v>
      </c>
    </row>
    <row r="28" spans="1:37" ht="15" x14ac:dyDescent="0.25">
      <c r="A28" s="2" t="s">
        <v>19</v>
      </c>
      <c r="B28" s="7">
        <f>TOTAL!B28</f>
        <v>27</v>
      </c>
      <c r="C28" s="43">
        <f>TOTAL!C28</f>
        <v>12</v>
      </c>
      <c r="D28" s="7">
        <v>2022</v>
      </c>
      <c r="E28" s="7">
        <f>TOTAL!E28</f>
        <v>23581</v>
      </c>
      <c r="F28" s="7">
        <f>HOTEL!V30</f>
        <v>1246</v>
      </c>
      <c r="G28" s="7">
        <f>HOTEL!X30</f>
        <v>600</v>
      </c>
      <c r="H28" s="8">
        <f>HOTEL!EI30</f>
        <v>0</v>
      </c>
      <c r="I28" s="8">
        <f>HOTEL!EK30</f>
        <v>0</v>
      </c>
      <c r="J28" s="8">
        <f>HOTEL!EM30</f>
        <v>0</v>
      </c>
      <c r="K28" s="8">
        <f>HOTEL!EO30</f>
        <v>223</v>
      </c>
      <c r="L28" s="7">
        <f t="shared" si="1"/>
        <v>73</v>
      </c>
      <c r="M28" s="7">
        <f>HOTEL!AL30</f>
        <v>5</v>
      </c>
      <c r="N28" s="7">
        <f>HOTEL!AT30</f>
        <v>10</v>
      </c>
      <c r="O28" s="7">
        <f>HOTEL!AX30</f>
        <v>1</v>
      </c>
      <c r="P28" s="7">
        <f>HOTEL!AZ30</f>
        <v>2</v>
      </c>
      <c r="Q28" s="7">
        <f>HOTEL!BB30</f>
        <v>10</v>
      </c>
      <c r="R28" s="7">
        <f>HOTEL!BD30</f>
        <v>5</v>
      </c>
      <c r="S28" s="7">
        <f>HOTEL!BF30</f>
        <v>2</v>
      </c>
      <c r="T28" s="7">
        <f>HOTEL!BH30</f>
        <v>6</v>
      </c>
      <c r="U28" s="7">
        <f>HOTEL!BJ30</f>
        <v>1</v>
      </c>
      <c r="V28" s="7">
        <f>HOTEL!BL30</f>
        <v>3</v>
      </c>
      <c r="W28" s="7">
        <f>HOTEL!BX30</f>
        <v>0</v>
      </c>
      <c r="X28" s="7">
        <f>HOTEL!CE30</f>
        <v>63</v>
      </c>
      <c r="Y28" s="7">
        <f>HOTEL!CZ30</f>
        <v>4</v>
      </c>
      <c r="Z28" s="7">
        <f>HOTEL!DC29</f>
        <v>16</v>
      </c>
      <c r="AA28" s="7">
        <f>HOTEL!DF30</f>
        <v>118</v>
      </c>
      <c r="AB28" s="8">
        <f>HOTEL!DI30</f>
        <v>11</v>
      </c>
      <c r="AC28" s="7">
        <f>HOTEL!DL30</f>
        <v>11</v>
      </c>
      <c r="AD28" s="8">
        <f>HOTEL!DO30</f>
        <v>6</v>
      </c>
      <c r="AE28" s="7">
        <f>HOTEL!DR30</f>
        <v>2</v>
      </c>
      <c r="AF28" s="7">
        <f>HOTEL!DU30</f>
        <v>9</v>
      </c>
      <c r="AG28" s="7">
        <f>HOTEL!DX30</f>
        <v>5</v>
      </c>
      <c r="AH28" s="7">
        <f>HOTEL!EA30</f>
        <v>7</v>
      </c>
      <c r="AI28" s="7">
        <f>HOTEL!ED30</f>
        <v>7</v>
      </c>
      <c r="AJ28" s="7">
        <f>HOTEL!EG30</f>
        <v>0</v>
      </c>
      <c r="AK28" s="7">
        <f>TOTAL!K28</f>
        <v>0.79</v>
      </c>
    </row>
    <row r="29" spans="1:37" ht="15" x14ac:dyDescent="0.25">
      <c r="A29" s="2" t="s">
        <v>19</v>
      </c>
      <c r="B29" s="7">
        <f>TOTAL!B29</f>
        <v>28</v>
      </c>
      <c r="C29" s="43">
        <f>TOTAL!C29</f>
        <v>12</v>
      </c>
      <c r="D29" s="7">
        <v>2022</v>
      </c>
      <c r="E29" s="7">
        <f>TOTAL!E29</f>
        <v>26781</v>
      </c>
      <c r="F29" s="7">
        <f>HOTEL!V31</f>
        <v>848</v>
      </c>
      <c r="G29" s="7">
        <f>HOTEL!X31</f>
        <v>624</v>
      </c>
      <c r="H29" s="8">
        <f>HOTEL!EI31</f>
        <v>0</v>
      </c>
      <c r="I29" s="8">
        <f>HOTEL!EK31</f>
        <v>0</v>
      </c>
      <c r="J29" s="8">
        <f>HOTEL!EM31</f>
        <v>0</v>
      </c>
      <c r="K29" s="8">
        <f>HOTEL!EO31</f>
        <v>347</v>
      </c>
      <c r="L29" s="7">
        <f t="shared" si="1"/>
        <v>96</v>
      </c>
      <c r="M29" s="7">
        <f>HOTEL!AL31</f>
        <v>5</v>
      </c>
      <c r="N29" s="7">
        <f>HOTEL!AT31</f>
        <v>30</v>
      </c>
      <c r="O29" s="7">
        <f>HOTEL!AX31</f>
        <v>1</v>
      </c>
      <c r="P29" s="7">
        <f>HOTEL!AZ31</f>
        <v>2</v>
      </c>
      <c r="Q29" s="7">
        <f>HOTEL!BB31</f>
        <v>10</v>
      </c>
      <c r="R29" s="7">
        <f>HOTEL!BD31</f>
        <v>6</v>
      </c>
      <c r="S29" s="7">
        <f>HOTEL!BF31</f>
        <v>3</v>
      </c>
      <c r="T29" s="7">
        <f>HOTEL!BH31</f>
        <v>4</v>
      </c>
      <c r="U29" s="7">
        <f>HOTEL!BJ31</f>
        <v>2</v>
      </c>
      <c r="V29" s="7">
        <f>HOTEL!BL31</f>
        <v>6</v>
      </c>
      <c r="W29" s="7">
        <f>HOTEL!BX31</f>
        <v>0</v>
      </c>
      <c r="X29" s="7">
        <f>HOTEL!CE31</f>
        <v>66</v>
      </c>
      <c r="Y29" s="7">
        <f>HOTEL!CZ31</f>
        <v>3</v>
      </c>
      <c r="Z29" s="7">
        <f>HOTEL!DC30</f>
        <v>15</v>
      </c>
      <c r="AA29" s="7">
        <f>HOTEL!DF31</f>
        <v>122</v>
      </c>
      <c r="AB29" s="8">
        <f>HOTEL!DI31</f>
        <v>11</v>
      </c>
      <c r="AC29" s="7">
        <f>HOTEL!DL31</f>
        <v>61</v>
      </c>
      <c r="AD29" s="8">
        <f>HOTEL!DO31</f>
        <v>7</v>
      </c>
      <c r="AE29" s="7">
        <f>HOTEL!DR31</f>
        <v>1</v>
      </c>
      <c r="AF29" s="7">
        <f>HOTEL!DU31</f>
        <v>9</v>
      </c>
      <c r="AG29" s="7">
        <f>HOTEL!DX31</f>
        <v>5</v>
      </c>
      <c r="AH29" s="7">
        <f>HOTEL!EA31</f>
        <v>7</v>
      </c>
      <c r="AI29" s="7">
        <f>HOTEL!ED31</f>
        <v>8</v>
      </c>
      <c r="AJ29" s="7">
        <f>HOTEL!EG31</f>
        <v>0</v>
      </c>
      <c r="AK29" s="7">
        <f>TOTAL!K29</f>
        <v>0.83399999999999996</v>
      </c>
    </row>
    <row r="30" spans="1:37" ht="15" x14ac:dyDescent="0.25">
      <c r="A30" s="2" t="s">
        <v>19</v>
      </c>
      <c r="B30" s="7">
        <f>TOTAL!B30</f>
        <v>29</v>
      </c>
      <c r="C30" s="43">
        <f>TOTAL!C30</f>
        <v>12</v>
      </c>
      <c r="D30" s="7">
        <v>2022</v>
      </c>
      <c r="E30" s="7">
        <f>TOTAL!E30</f>
        <v>26633</v>
      </c>
      <c r="F30" s="7">
        <f>HOTEL!V32</f>
        <v>1163</v>
      </c>
      <c r="G30" s="7">
        <f>HOTEL!X32</f>
        <v>588</v>
      </c>
      <c r="H30" s="8">
        <f>HOTEL!EI32</f>
        <v>0</v>
      </c>
      <c r="I30" s="8">
        <f>HOTEL!EK32</f>
        <v>0</v>
      </c>
      <c r="J30" s="8">
        <f>HOTEL!EM32</f>
        <v>0</v>
      </c>
      <c r="K30" s="8">
        <f>HOTEL!EO32</f>
        <v>339</v>
      </c>
      <c r="L30" s="7">
        <f>N30+W30+X30</f>
        <v>108</v>
      </c>
      <c r="M30" s="7">
        <f>HOTEL!AL32</f>
        <v>13</v>
      </c>
      <c r="N30" s="7">
        <f>HOTEL!AT32</f>
        <v>33</v>
      </c>
      <c r="O30" s="7">
        <f>HOTEL!AX32</f>
        <v>1</v>
      </c>
      <c r="P30" s="7">
        <f>HOTEL!AZ32</f>
        <v>2</v>
      </c>
      <c r="Q30" s="7">
        <f>HOTEL!BB32</f>
        <v>13</v>
      </c>
      <c r="R30" s="7">
        <f>HOTEL!BD32</f>
        <v>6</v>
      </c>
      <c r="S30" s="7">
        <f>HOTEL!BF32</f>
        <v>4</v>
      </c>
      <c r="T30" s="7">
        <f>HOTEL!BH32</f>
        <v>6</v>
      </c>
      <c r="U30" s="7">
        <f>HOTEL!BJ32</f>
        <v>2</v>
      </c>
      <c r="V30" s="7">
        <f>HOTEL!BL32</f>
        <v>7</v>
      </c>
      <c r="W30" s="7">
        <f>HOTEL!BX32</f>
        <v>0</v>
      </c>
      <c r="X30" s="7">
        <f>HOTEL!CE32</f>
        <v>75</v>
      </c>
      <c r="Y30" s="7">
        <f>HOTEL!CZ32</f>
        <v>5</v>
      </c>
      <c r="Z30" s="7">
        <f>HOTEL!DC31</f>
        <v>16</v>
      </c>
      <c r="AA30" s="7">
        <f>HOTEL!DF32</f>
        <v>117</v>
      </c>
      <c r="AB30" s="8">
        <f>HOTEL!DI32</f>
        <v>13</v>
      </c>
      <c r="AC30" s="7" t="str">
        <f>HOTEL!DL32</f>
        <v>0</v>
      </c>
      <c r="AD30" s="8">
        <f>HOTEL!DO32</f>
        <v>6</v>
      </c>
      <c r="AE30" s="7">
        <f>HOTEL!DR32</f>
        <v>2</v>
      </c>
      <c r="AF30" s="7">
        <f>HOTEL!DU32</f>
        <v>10</v>
      </c>
      <c r="AG30" s="7">
        <f>HOTEL!DX32</f>
        <v>1</v>
      </c>
      <c r="AH30" s="7">
        <f>HOTEL!EA32</f>
        <v>8</v>
      </c>
      <c r="AI30" s="7">
        <f>HOTEL!ED32</f>
        <v>9</v>
      </c>
      <c r="AJ30" s="7">
        <f>HOTEL!EG32</f>
        <v>0</v>
      </c>
      <c r="AK30" s="7">
        <f>TOTAL!K30</f>
        <v>0.84499999999999997</v>
      </c>
    </row>
    <row r="31" spans="1:37" ht="15" x14ac:dyDescent="0.25">
      <c r="A31" s="2" t="s">
        <v>19</v>
      </c>
      <c r="B31" s="7">
        <f>TOTAL!B31</f>
        <v>30</v>
      </c>
      <c r="C31" s="43">
        <f>TOTAL!C31</f>
        <v>12</v>
      </c>
      <c r="D31" s="7">
        <v>2022</v>
      </c>
      <c r="E31" s="7">
        <f>TOTAL!E31</f>
        <v>25133</v>
      </c>
      <c r="F31" s="7">
        <f>HOTEL!V33</f>
        <v>549</v>
      </c>
      <c r="G31" s="7">
        <f>HOTEL!X33</f>
        <v>646</v>
      </c>
      <c r="H31" s="8">
        <f>HOTEL!EI33</f>
        <v>0</v>
      </c>
      <c r="I31" s="8">
        <f>HOTEL!EK33</f>
        <v>0</v>
      </c>
      <c r="J31" s="8">
        <f>HOTEL!EM33</f>
        <v>0</v>
      </c>
      <c r="K31" s="8">
        <f>HOTEL!EO33</f>
        <v>304</v>
      </c>
      <c r="L31" s="7">
        <f t="shared" si="1"/>
        <v>85</v>
      </c>
      <c r="M31" s="7">
        <f>HOTEL!AL33</f>
        <v>13</v>
      </c>
      <c r="N31" s="7">
        <f>HOTEL!AT33</f>
        <v>31</v>
      </c>
      <c r="O31" s="7">
        <f>HOTEL!AX33</f>
        <v>1</v>
      </c>
      <c r="P31" s="7">
        <f>HOTEL!AZ33</f>
        <v>1</v>
      </c>
      <c r="Q31" s="7">
        <f>HOTEL!BB33</f>
        <v>9</v>
      </c>
      <c r="R31" s="7">
        <f>HOTEL!BD33</f>
        <v>5</v>
      </c>
      <c r="S31" s="7">
        <f>HOTEL!BF33</f>
        <v>3</v>
      </c>
      <c r="T31" s="7">
        <f>HOTEL!BH33</f>
        <v>4</v>
      </c>
      <c r="U31" s="7">
        <f>HOTEL!BJ33</f>
        <v>1</v>
      </c>
      <c r="V31" s="7">
        <f>HOTEL!BL33</f>
        <v>4</v>
      </c>
      <c r="W31" s="7">
        <f>HOTEL!BX33</f>
        <v>0</v>
      </c>
      <c r="X31" s="7">
        <f>HOTEL!CE33</f>
        <v>54</v>
      </c>
      <c r="Y31" s="7">
        <f>HOTEL!CZ33</f>
        <v>4</v>
      </c>
      <c r="Z31" s="7">
        <f>HOTEL!DC32</f>
        <v>18</v>
      </c>
      <c r="AA31" s="7">
        <f>HOTEL!DF33</f>
        <v>135</v>
      </c>
      <c r="AB31" s="8">
        <f>HOTEL!DI33</f>
        <v>9</v>
      </c>
      <c r="AC31" s="7">
        <f>HOTEL!DL33</f>
        <v>9</v>
      </c>
      <c r="AD31" s="8">
        <f>HOTEL!DO33</f>
        <v>6</v>
      </c>
      <c r="AE31" s="7">
        <f>HOTEL!DR33</f>
        <v>1</v>
      </c>
      <c r="AF31" s="7">
        <f>HOTEL!DU33</f>
        <v>9</v>
      </c>
      <c r="AG31" s="7">
        <f>HOTEL!DX33</f>
        <v>6</v>
      </c>
      <c r="AH31" s="7">
        <f>HOTEL!EA33</f>
        <v>6</v>
      </c>
      <c r="AI31" s="7">
        <f>HOTEL!ED33</f>
        <v>7</v>
      </c>
      <c r="AJ31" s="7">
        <f>HOTEL!EG33</f>
        <v>0</v>
      </c>
      <c r="AK31" s="7">
        <f>TOTAL!K31</f>
        <v>0.8</v>
      </c>
    </row>
    <row r="32" spans="1:37" ht="15" x14ac:dyDescent="0.25">
      <c r="A32" s="2" t="s">
        <v>19</v>
      </c>
      <c r="B32" s="7">
        <f>TOTAL!B32</f>
        <v>31</v>
      </c>
      <c r="C32" s="43">
        <f>TOTAL!C32</f>
        <v>12</v>
      </c>
      <c r="D32" s="7">
        <v>2023</v>
      </c>
      <c r="E32" s="7">
        <f>TOTAL!E32</f>
        <v>23539</v>
      </c>
      <c r="F32" s="7">
        <f>HOTEL!V34</f>
        <v>911</v>
      </c>
      <c r="G32" s="7">
        <f>HOTEL!X34</f>
        <v>538</v>
      </c>
      <c r="H32" s="8">
        <f>HOTEL!EI34</f>
        <v>0</v>
      </c>
      <c r="I32" s="8">
        <f>HOTEL!EK34</f>
        <v>0</v>
      </c>
      <c r="J32" s="8">
        <f>HOTEL!EM34</f>
        <v>0</v>
      </c>
      <c r="K32" s="8">
        <f>HOTEL!EO34</f>
        <v>336</v>
      </c>
      <c r="L32" s="7">
        <f t="shared" ref="L32" si="2">N32+W32+X32</f>
        <v>96</v>
      </c>
      <c r="M32" s="7">
        <f>HOTEL!AL34</f>
        <v>17</v>
      </c>
      <c r="N32" s="7">
        <f>HOTEL!AT34</f>
        <v>33</v>
      </c>
      <c r="O32" s="7">
        <f>HOTEL!AX34</f>
        <v>1</v>
      </c>
      <c r="P32" s="7">
        <f>HOTEL!AZ34</f>
        <v>2</v>
      </c>
      <c r="Q32" s="7">
        <f>HOTEL!BB34</f>
        <v>13</v>
      </c>
      <c r="R32" s="7">
        <f>HOTEL!BD34</f>
        <v>5</v>
      </c>
      <c r="S32" s="7">
        <f>HOTEL!BF34</f>
        <v>3</v>
      </c>
      <c r="T32" s="7">
        <f>HOTEL!BH34</f>
        <v>5</v>
      </c>
      <c r="U32" s="7">
        <f>HOTEL!BJ34</f>
        <v>1</v>
      </c>
      <c r="V32" s="7">
        <f>HOTEL!BL34</f>
        <v>4</v>
      </c>
      <c r="W32" s="7">
        <f>HOTEL!BX34</f>
        <v>0</v>
      </c>
      <c r="X32" s="7">
        <f>HOTEL!CE34</f>
        <v>63</v>
      </c>
      <c r="Y32" s="7">
        <f>HOTEL!CZ34</f>
        <v>4</v>
      </c>
      <c r="Z32" s="7">
        <f>HOTEL!DC33</f>
        <v>18</v>
      </c>
      <c r="AA32" s="7">
        <f>HOTEL!DF34</f>
        <v>108</v>
      </c>
      <c r="AB32" s="8">
        <f>HOTEL!DI34</f>
        <v>9</v>
      </c>
      <c r="AC32" s="7">
        <f>HOTEL!DL34</f>
        <v>9</v>
      </c>
      <c r="AD32" s="8">
        <f>HOTEL!DO34</f>
        <v>6</v>
      </c>
      <c r="AE32" s="7">
        <f>HOTEL!DR34</f>
        <v>2</v>
      </c>
      <c r="AF32" s="7">
        <f>HOTEL!DU34</f>
        <v>10</v>
      </c>
      <c r="AG32" s="7">
        <f>HOTEL!DX34</f>
        <v>6</v>
      </c>
      <c r="AH32" s="7">
        <f>HOTEL!EA34</f>
        <v>7</v>
      </c>
      <c r="AI32" s="7">
        <f>HOTEL!ED34</f>
        <v>9</v>
      </c>
      <c r="AJ32" s="7">
        <f>HOTEL!EG34</f>
        <v>0</v>
      </c>
      <c r="AK32" s="7">
        <f>TOTAL!K32</f>
        <v>0.84099999999999997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EX55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2" sqref="C12"/>
    </sheetView>
  </sheetViews>
  <sheetFormatPr defaultRowHeight="12.75" x14ac:dyDescent="0.2"/>
  <cols>
    <col min="1" max="1" width="9.5703125" customWidth="1"/>
    <col min="2" max="2" width="12.42578125" customWidth="1"/>
    <col min="3" max="3" width="10.5703125" style="52" customWidth="1"/>
    <col min="4" max="4" width="12.42578125" customWidth="1"/>
    <col min="5" max="5" width="11" style="52" customWidth="1"/>
    <col min="6" max="6" width="12" customWidth="1"/>
    <col min="7" max="7" width="9.140625" customWidth="1"/>
    <col min="8" max="10" width="9.42578125" customWidth="1"/>
    <col min="11" max="16" width="9.140625" customWidth="1"/>
    <col min="17" max="17" width="11.7109375" customWidth="1"/>
    <col min="18" max="18" width="9.85546875" customWidth="1"/>
    <col min="19" max="19" width="14.28515625" customWidth="1"/>
    <col min="20" max="20" width="9.85546875" customWidth="1"/>
    <col min="21" max="21" width="11.7109375" customWidth="1"/>
    <col min="22" max="22" width="9.85546875" customWidth="1"/>
    <col min="23" max="23" width="14.28515625" customWidth="1"/>
    <col min="24" max="24" width="13.28515625" customWidth="1"/>
    <col min="25" max="26" width="10" customWidth="1"/>
    <col min="27" max="27" width="3.85546875" customWidth="1"/>
    <col min="28" max="29" width="9.85546875" customWidth="1"/>
    <col min="30" max="30" width="9.140625" customWidth="1"/>
    <col min="31" max="31" width="12" customWidth="1"/>
    <col min="32" max="32" width="9.140625" customWidth="1"/>
    <col min="33" max="34" width="10" customWidth="1"/>
    <col min="35" max="35" width="9.140625" customWidth="1"/>
    <col min="36" max="36" width="8.85546875" customWidth="1"/>
    <col min="37" max="37" width="13.7109375" customWidth="1"/>
    <col min="38" max="43" width="9.140625" customWidth="1"/>
    <col min="44" max="46" width="9.7109375" customWidth="1"/>
    <col min="47" max="62" width="9.140625" customWidth="1"/>
    <col min="63" max="63" width="12.85546875" customWidth="1"/>
    <col min="64" max="64" width="8.5703125" customWidth="1"/>
    <col min="65" max="65" width="13.140625" customWidth="1"/>
    <col min="66" max="66" width="9.7109375" customWidth="1"/>
    <col min="67" max="67" width="9.85546875" customWidth="1"/>
    <col min="68" max="68" width="9.140625" customWidth="1"/>
    <col min="69" max="69" width="12.85546875" customWidth="1"/>
    <col min="70" max="70" width="9.140625" customWidth="1"/>
    <col min="71" max="71" width="11" customWidth="1"/>
    <col min="72" max="72" width="14.5703125" customWidth="1"/>
    <col min="73" max="73" width="10" customWidth="1"/>
    <col min="74" max="74" width="9.7109375" customWidth="1"/>
    <col min="75" max="76" width="9.7109375" hidden="1" customWidth="1"/>
    <col min="77" max="77" width="12.42578125" customWidth="1"/>
    <col min="78" max="78" width="9.7109375" customWidth="1"/>
    <col min="79" max="80" width="9.7109375" hidden="1" customWidth="1"/>
    <col min="81" max="81" width="9.7109375" customWidth="1"/>
    <col min="82" max="82" width="11.85546875" customWidth="1"/>
    <col min="83" max="83" width="10" customWidth="1"/>
    <col min="84" max="84" width="10.28515625" customWidth="1"/>
    <col min="85" max="85" width="10.5703125" bestFit="1" customWidth="1"/>
    <col min="86" max="86" width="6" customWidth="1"/>
    <col min="87" max="87" width="9.42578125" customWidth="1"/>
    <col min="88" max="88" width="11.85546875" customWidth="1"/>
    <col min="97" max="97" width="13.5703125" bestFit="1" customWidth="1"/>
    <col min="98" max="98" width="10.140625" bestFit="1" customWidth="1"/>
    <col min="100" max="100" width="16.140625" customWidth="1"/>
    <col min="104" max="104" width="8.7109375" customWidth="1"/>
    <col min="105" max="105" width="14.5703125" bestFit="1" customWidth="1"/>
    <col min="106" max="106" width="11.5703125" bestFit="1" customWidth="1"/>
    <col min="109" max="109" width="10.140625" bestFit="1" customWidth="1"/>
    <col min="111" max="111" width="9.7109375" bestFit="1" customWidth="1"/>
    <col min="136" max="139" width="8.7109375" customWidth="1"/>
    <col min="140" max="140" width="10.28515625" bestFit="1" customWidth="1"/>
    <col min="142" max="142" width="11.28515625" customWidth="1"/>
    <col min="144" max="144" width="12" customWidth="1"/>
    <col min="147" max="147" width="13.140625" customWidth="1"/>
    <col min="148" max="148" width="16.28515625" customWidth="1"/>
    <col min="149" max="149" width="19.140625" customWidth="1"/>
    <col min="154" max="154" width="77.140625" customWidth="1"/>
  </cols>
  <sheetData>
    <row r="1" spans="1:152" s="67" customFormat="1" ht="39.75" customHeight="1" x14ac:dyDescent="0.25">
      <c r="B1" s="128" t="s">
        <v>52</v>
      </c>
      <c r="C1" s="129"/>
      <c r="D1" s="129"/>
      <c r="E1" s="129"/>
      <c r="F1" s="129"/>
      <c r="G1" s="129"/>
      <c r="H1" s="129"/>
      <c r="I1" s="130" t="s">
        <v>53</v>
      </c>
      <c r="J1" s="130"/>
      <c r="K1" s="130"/>
      <c r="L1" s="130"/>
      <c r="M1" s="130" t="s">
        <v>54</v>
      </c>
      <c r="N1" s="130"/>
      <c r="O1" s="130"/>
      <c r="P1" s="130"/>
      <c r="Q1" s="68" t="s">
        <v>55</v>
      </c>
      <c r="R1" s="69" t="s">
        <v>56</v>
      </c>
      <c r="S1" s="70" t="s">
        <v>57</v>
      </c>
      <c r="T1" s="69" t="s">
        <v>56</v>
      </c>
      <c r="U1" s="68" t="s">
        <v>58</v>
      </c>
      <c r="V1" s="69" t="s">
        <v>56</v>
      </c>
      <c r="W1" s="70" t="s">
        <v>22</v>
      </c>
      <c r="X1" s="71" t="s">
        <v>56</v>
      </c>
      <c r="Y1" s="128" t="s">
        <v>59</v>
      </c>
      <c r="Z1" s="131"/>
      <c r="AA1" s="72"/>
      <c r="AB1" s="73" t="s">
        <v>60</v>
      </c>
      <c r="AC1" s="73" t="s">
        <v>61</v>
      </c>
      <c r="AD1" s="74" t="s">
        <v>62</v>
      </c>
      <c r="AE1" s="73"/>
      <c r="AF1" s="73"/>
      <c r="AG1" s="45"/>
      <c r="AH1" s="45"/>
      <c r="AI1" s="126" t="s">
        <v>63</v>
      </c>
      <c r="AJ1" s="126"/>
      <c r="AK1" s="75" t="s">
        <v>64</v>
      </c>
      <c r="AL1" s="75"/>
      <c r="AM1" s="76" t="s">
        <v>65</v>
      </c>
      <c r="AN1" s="75" t="s">
        <v>56</v>
      </c>
      <c r="AO1" s="76"/>
      <c r="AP1" s="75" t="s">
        <v>56</v>
      </c>
      <c r="AQ1" s="132" t="s">
        <v>66</v>
      </c>
      <c r="AR1" s="133"/>
      <c r="AS1" s="132" t="s">
        <v>67</v>
      </c>
      <c r="AT1" s="133"/>
      <c r="AU1" s="128" t="s">
        <v>68</v>
      </c>
      <c r="AV1" s="131"/>
      <c r="AW1" s="128" t="s">
        <v>69</v>
      </c>
      <c r="AX1" s="131"/>
      <c r="AY1" s="128" t="s">
        <v>70</v>
      </c>
      <c r="AZ1" s="131"/>
      <c r="BA1" s="128" t="s">
        <v>71</v>
      </c>
      <c r="BB1" s="131"/>
      <c r="BC1" s="128" t="s">
        <v>72</v>
      </c>
      <c r="BD1" s="131"/>
      <c r="BE1" s="128" t="s">
        <v>73</v>
      </c>
      <c r="BF1" s="131"/>
      <c r="BG1" s="128" t="s">
        <v>74</v>
      </c>
      <c r="BH1" s="131"/>
      <c r="BI1" s="128" t="s">
        <v>75</v>
      </c>
      <c r="BJ1" s="131"/>
      <c r="BK1" s="72"/>
      <c r="BL1" s="72"/>
      <c r="BM1" s="72"/>
      <c r="BN1" s="72"/>
      <c r="BO1" s="72"/>
      <c r="BP1" s="72"/>
      <c r="BQ1" s="46"/>
      <c r="BR1" s="46"/>
      <c r="BS1" s="46"/>
      <c r="BT1" s="46"/>
      <c r="BU1" s="132" t="s">
        <v>76</v>
      </c>
      <c r="BV1" s="133"/>
      <c r="BW1" s="132" t="s">
        <v>77</v>
      </c>
      <c r="BX1" s="133"/>
      <c r="BY1" s="128" t="s">
        <v>78</v>
      </c>
      <c r="BZ1" s="131"/>
      <c r="CA1" s="132" t="s">
        <v>79</v>
      </c>
      <c r="CB1" s="133"/>
      <c r="CC1" s="45"/>
      <c r="CD1" s="45"/>
      <c r="CE1" s="45"/>
      <c r="CF1" s="77" t="s">
        <v>80</v>
      </c>
      <c r="CG1" s="78"/>
      <c r="CH1" s="78"/>
      <c r="CI1" s="78"/>
      <c r="CJ1" s="79" t="s">
        <v>81</v>
      </c>
      <c r="CK1" s="80"/>
      <c r="DE1" s="123" t="s">
        <v>82</v>
      </c>
      <c r="DF1" s="124"/>
      <c r="DG1" s="125"/>
      <c r="DH1" s="128" t="s">
        <v>83</v>
      </c>
      <c r="DI1" s="129"/>
      <c r="DJ1" s="131"/>
      <c r="DK1" s="123" t="s">
        <v>69</v>
      </c>
      <c r="DL1" s="124"/>
      <c r="DM1" s="125"/>
      <c r="DN1" s="123" t="s">
        <v>70</v>
      </c>
      <c r="DO1" s="124"/>
      <c r="DP1" s="125"/>
      <c r="DQ1" s="123" t="s">
        <v>71</v>
      </c>
      <c r="DR1" s="124"/>
      <c r="DS1" s="125"/>
      <c r="DT1" s="123" t="s">
        <v>72</v>
      </c>
      <c r="DU1" s="124"/>
      <c r="DV1" s="125"/>
      <c r="DW1" s="123" t="s">
        <v>73</v>
      </c>
      <c r="DX1" s="124"/>
      <c r="DY1" s="125"/>
      <c r="DZ1" s="123" t="s">
        <v>74</v>
      </c>
      <c r="EA1" s="124"/>
      <c r="EB1" s="125"/>
      <c r="EC1" s="123" t="s">
        <v>75</v>
      </c>
      <c r="ED1" s="124"/>
      <c r="EE1" s="125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126" t="s">
        <v>84</v>
      </c>
      <c r="ER1" s="126"/>
      <c r="ES1" s="126"/>
      <c r="ET1" s="127" t="s">
        <v>85</v>
      </c>
      <c r="EU1" s="127"/>
      <c r="EV1" s="127"/>
    </row>
    <row r="2" spans="1:152" ht="30.75" thickBot="1" x14ac:dyDescent="0.3">
      <c r="A2" s="82" t="s">
        <v>86</v>
      </c>
      <c r="B2" s="83" t="s">
        <v>87</v>
      </c>
      <c r="C2" s="84" t="s">
        <v>56</v>
      </c>
      <c r="D2" s="85" t="s">
        <v>88</v>
      </c>
      <c r="E2" s="86" t="s">
        <v>56</v>
      </c>
      <c r="F2" s="85" t="s">
        <v>89</v>
      </c>
      <c r="G2" s="87" t="s">
        <v>90</v>
      </c>
      <c r="H2" s="88" t="s">
        <v>91</v>
      </c>
      <c r="I2" s="85" t="s">
        <v>88</v>
      </c>
      <c r="J2" s="84" t="s">
        <v>56</v>
      </c>
      <c r="K2" s="89" t="s">
        <v>92</v>
      </c>
      <c r="L2" s="84" t="s">
        <v>56</v>
      </c>
      <c r="M2" s="85" t="s">
        <v>88</v>
      </c>
      <c r="N2" s="84" t="s">
        <v>56</v>
      </c>
      <c r="O2" s="89" t="s">
        <v>92</v>
      </c>
      <c r="P2" s="84" t="s">
        <v>56</v>
      </c>
      <c r="Q2" s="85" t="s">
        <v>88</v>
      </c>
      <c r="R2" s="84" t="s">
        <v>56</v>
      </c>
      <c r="S2" s="85" t="s">
        <v>88</v>
      </c>
      <c r="T2" s="84" t="s">
        <v>56</v>
      </c>
      <c r="U2" s="85" t="s">
        <v>88</v>
      </c>
      <c r="V2" s="84" t="s">
        <v>56</v>
      </c>
      <c r="W2" s="85" t="s">
        <v>88</v>
      </c>
      <c r="X2" s="84" t="s">
        <v>56</v>
      </c>
      <c r="Y2" s="85" t="s">
        <v>93</v>
      </c>
      <c r="Z2" s="90" t="s">
        <v>56</v>
      </c>
      <c r="AA2" s="90"/>
      <c r="AB2" s="91"/>
      <c r="AC2" s="91"/>
      <c r="AD2" s="91">
        <v>38</v>
      </c>
      <c r="AE2" s="91" t="s">
        <v>94</v>
      </c>
      <c r="AF2" s="91" t="s">
        <v>95</v>
      </c>
      <c r="AG2" s="92" t="s">
        <v>96</v>
      </c>
      <c r="AH2" s="92"/>
      <c r="AI2" s="91" t="s">
        <v>97</v>
      </c>
      <c r="AJ2" s="91" t="s">
        <v>56</v>
      </c>
      <c r="AK2" s="91"/>
      <c r="AL2" s="91" t="s">
        <v>56</v>
      </c>
      <c r="AM2" s="91"/>
      <c r="AN2" s="91"/>
      <c r="AO2" s="91"/>
      <c r="AP2" s="91"/>
      <c r="AQ2" s="85" t="s">
        <v>98</v>
      </c>
      <c r="AR2" s="85" t="s">
        <v>99</v>
      </c>
      <c r="AS2" s="85"/>
      <c r="AT2" s="85"/>
      <c r="AU2" s="85" t="s">
        <v>100</v>
      </c>
      <c r="AV2" s="85" t="s">
        <v>95</v>
      </c>
      <c r="AW2" s="85" t="s">
        <v>69</v>
      </c>
      <c r="AX2" s="85" t="s">
        <v>95</v>
      </c>
      <c r="AY2" s="85" t="s">
        <v>70</v>
      </c>
      <c r="AZ2" s="85" t="s">
        <v>95</v>
      </c>
      <c r="BA2" s="85" t="s">
        <v>71</v>
      </c>
      <c r="BB2" s="85" t="s">
        <v>99</v>
      </c>
      <c r="BC2" s="85" t="s">
        <v>72</v>
      </c>
      <c r="BD2" s="85" t="s">
        <v>99</v>
      </c>
      <c r="BE2" s="85" t="s">
        <v>73</v>
      </c>
      <c r="BF2" s="85" t="s">
        <v>99</v>
      </c>
      <c r="BG2" s="85" t="s">
        <v>74</v>
      </c>
      <c r="BH2" s="85" t="s">
        <v>99</v>
      </c>
      <c r="BI2" s="85" t="s">
        <v>75</v>
      </c>
      <c r="BJ2" s="85" t="s">
        <v>95</v>
      </c>
      <c r="BK2" s="85" t="s">
        <v>101</v>
      </c>
      <c r="BL2" s="85" t="s">
        <v>95</v>
      </c>
      <c r="BM2" s="111" t="s">
        <v>102</v>
      </c>
      <c r="BN2" s="85" t="s">
        <v>95</v>
      </c>
      <c r="BO2" s="111" t="s">
        <v>103</v>
      </c>
      <c r="BP2" s="85" t="s">
        <v>95</v>
      </c>
      <c r="BQ2" s="91" t="s">
        <v>104</v>
      </c>
      <c r="BR2" s="91" t="s">
        <v>99</v>
      </c>
      <c r="BS2" s="91" t="s">
        <v>105</v>
      </c>
      <c r="BT2" s="91" t="s">
        <v>106</v>
      </c>
      <c r="BU2" s="85" t="s">
        <v>107</v>
      </c>
      <c r="BV2" s="85" t="s">
        <v>99</v>
      </c>
      <c r="BW2" s="85"/>
      <c r="BX2" s="85"/>
      <c r="BY2" s="85" t="s">
        <v>108</v>
      </c>
      <c r="BZ2" s="85" t="s">
        <v>99</v>
      </c>
      <c r="CA2" s="85"/>
      <c r="CB2" s="85"/>
      <c r="CC2" s="91" t="s">
        <v>108</v>
      </c>
      <c r="CD2" s="92" t="s">
        <v>109</v>
      </c>
      <c r="CE2" s="92" t="s">
        <v>110</v>
      </c>
      <c r="CF2" s="93" t="s">
        <v>111</v>
      </c>
      <c r="CG2" s="94" t="s">
        <v>112</v>
      </c>
      <c r="CH2" s="94" t="s">
        <v>113</v>
      </c>
      <c r="CI2" s="94" t="s">
        <v>56</v>
      </c>
      <c r="CJ2" s="85" t="s">
        <v>114</v>
      </c>
      <c r="CK2" s="85" t="s">
        <v>115</v>
      </c>
      <c r="CL2" s="91" t="s">
        <v>116</v>
      </c>
      <c r="CM2" s="91" t="s">
        <v>117</v>
      </c>
      <c r="CN2" s="91" t="s">
        <v>112</v>
      </c>
      <c r="CO2" s="91" t="s">
        <v>118</v>
      </c>
      <c r="CP2" s="91" t="s">
        <v>112</v>
      </c>
      <c r="CQ2" s="91" t="s">
        <v>119</v>
      </c>
      <c r="CR2" s="91" t="s">
        <v>112</v>
      </c>
      <c r="CS2" s="91" t="s">
        <v>120</v>
      </c>
      <c r="CT2" s="95" t="s">
        <v>99</v>
      </c>
      <c r="CU2" s="95" t="s">
        <v>121</v>
      </c>
      <c r="CV2" s="102" t="s">
        <v>122</v>
      </c>
      <c r="CW2" s="95" t="s">
        <v>123</v>
      </c>
      <c r="CX2" s="95" t="s">
        <v>124</v>
      </c>
      <c r="CY2" s="95" t="s">
        <v>125</v>
      </c>
      <c r="CZ2" s="91" t="s">
        <v>123</v>
      </c>
      <c r="DA2" s="91" t="s">
        <v>124</v>
      </c>
      <c r="DB2" s="95" t="s">
        <v>126</v>
      </c>
      <c r="DC2" s="91" t="s">
        <v>123</v>
      </c>
      <c r="DD2" s="91" t="s">
        <v>124</v>
      </c>
      <c r="DE2" s="85"/>
      <c r="DF2" s="91" t="s">
        <v>123</v>
      </c>
      <c r="DG2" s="91" t="s">
        <v>124</v>
      </c>
      <c r="DH2" s="85"/>
      <c r="DI2" s="95" t="s">
        <v>123</v>
      </c>
      <c r="DJ2" s="95" t="s">
        <v>124</v>
      </c>
      <c r="DK2" s="85"/>
      <c r="DL2" s="95" t="s">
        <v>123</v>
      </c>
      <c r="DM2" s="95" t="s">
        <v>124</v>
      </c>
      <c r="DN2" s="85"/>
      <c r="DO2" s="95" t="s">
        <v>123</v>
      </c>
      <c r="DP2" s="95" t="s">
        <v>124</v>
      </c>
      <c r="DQ2" s="85"/>
      <c r="DR2" s="95" t="s">
        <v>123</v>
      </c>
      <c r="DS2" s="95" t="s">
        <v>124</v>
      </c>
      <c r="DT2" s="85"/>
      <c r="DU2" s="95" t="s">
        <v>123</v>
      </c>
      <c r="DV2" s="95" t="s">
        <v>124</v>
      </c>
      <c r="DW2" s="85"/>
      <c r="DX2" s="95" t="s">
        <v>123</v>
      </c>
      <c r="DY2" s="95" t="s">
        <v>124</v>
      </c>
      <c r="DZ2" s="85"/>
      <c r="EA2" s="95" t="s">
        <v>123</v>
      </c>
      <c r="EB2" s="95" t="s">
        <v>124</v>
      </c>
      <c r="EC2" s="85"/>
      <c r="ED2" s="95" t="s">
        <v>123</v>
      </c>
      <c r="EE2" s="95" t="s">
        <v>124</v>
      </c>
      <c r="EF2" s="20">
        <v>145</v>
      </c>
      <c r="EG2" s="96" t="s">
        <v>56</v>
      </c>
      <c r="EH2" s="97">
        <v>146</v>
      </c>
      <c r="EI2" s="98" t="s">
        <v>56</v>
      </c>
      <c r="EJ2" s="98" t="s">
        <v>127</v>
      </c>
      <c r="EK2" s="98" t="s">
        <v>56</v>
      </c>
      <c r="EL2" s="98" t="s">
        <v>128</v>
      </c>
      <c r="EM2" s="98" t="s">
        <v>56</v>
      </c>
      <c r="EN2" s="9" t="s">
        <v>129</v>
      </c>
      <c r="EO2" s="9" t="s">
        <v>130</v>
      </c>
      <c r="EP2" s="99" t="s">
        <v>131</v>
      </c>
      <c r="EQ2" s="98" t="s">
        <v>132</v>
      </c>
      <c r="ER2" s="98" t="s">
        <v>133</v>
      </c>
      <c r="ES2" s="98" t="s">
        <v>134</v>
      </c>
      <c r="ET2" s="100">
        <v>0.75</v>
      </c>
      <c r="EU2" s="100">
        <v>0</v>
      </c>
      <c r="EV2" s="100">
        <v>0.25</v>
      </c>
    </row>
    <row r="3" spans="1:152" s="16" customFormat="1" ht="15.75" thickBot="1" x14ac:dyDescent="0.25">
      <c r="A3" s="21">
        <v>44895</v>
      </c>
      <c r="B3" s="29">
        <v>7618355</v>
      </c>
      <c r="C3" s="23">
        <v>24688</v>
      </c>
      <c r="D3" s="24">
        <v>6506140</v>
      </c>
      <c r="E3" s="23">
        <v>24297</v>
      </c>
      <c r="F3" s="44">
        <v>0.98416234607906672</v>
      </c>
      <c r="G3" s="24">
        <v>948</v>
      </c>
      <c r="H3" s="24">
        <v>1170</v>
      </c>
      <c r="I3" s="24">
        <v>295493</v>
      </c>
      <c r="J3" s="26">
        <v>0</v>
      </c>
      <c r="K3" s="27">
        <v>818</v>
      </c>
      <c r="L3" s="26">
        <v>0</v>
      </c>
      <c r="M3" s="28">
        <v>651178</v>
      </c>
      <c r="N3" s="26">
        <v>0</v>
      </c>
      <c r="O3" s="28">
        <v>1048</v>
      </c>
      <c r="P3" s="26">
        <v>1</v>
      </c>
      <c r="Q3" s="28">
        <v>4825300</v>
      </c>
      <c r="R3" s="26">
        <v>10700</v>
      </c>
      <c r="S3" s="28">
        <v>4290900</v>
      </c>
      <c r="T3" s="26">
        <v>11300</v>
      </c>
      <c r="U3" s="28">
        <v>3098631</v>
      </c>
      <c r="V3" s="26">
        <v>878</v>
      </c>
      <c r="W3" s="28">
        <v>2391324</v>
      </c>
      <c r="X3" s="26">
        <v>606</v>
      </c>
      <c r="Y3" s="28">
        <v>351953</v>
      </c>
      <c r="Z3" s="26">
        <v>37</v>
      </c>
      <c r="AA3" s="53"/>
      <c r="AB3" s="54">
        <v>0.44444444444444442</v>
      </c>
      <c r="AC3" s="30">
        <v>177.77777777777777</v>
      </c>
      <c r="AD3" s="27">
        <v>8</v>
      </c>
      <c r="AE3" s="28">
        <v>13064</v>
      </c>
      <c r="AF3" s="26">
        <v>0</v>
      </c>
      <c r="AG3" s="22">
        <v>606580</v>
      </c>
      <c r="AH3" s="31">
        <v>500</v>
      </c>
      <c r="AI3" s="28">
        <v>87</v>
      </c>
      <c r="AJ3" s="32">
        <v>0</v>
      </c>
      <c r="AK3" s="28">
        <v>6556</v>
      </c>
      <c r="AL3" s="32">
        <v>5</v>
      </c>
      <c r="AM3" s="17">
        <v>94893</v>
      </c>
      <c r="AN3" s="32">
        <v>86</v>
      </c>
      <c r="AO3" s="17"/>
      <c r="AP3" s="32">
        <v>0</v>
      </c>
      <c r="AQ3" s="28">
        <v>666350</v>
      </c>
      <c r="AR3" s="26">
        <v>170</v>
      </c>
      <c r="AS3" s="35">
        <v>9686</v>
      </c>
      <c r="AT3" s="26">
        <v>32</v>
      </c>
      <c r="AU3" s="34">
        <v>389</v>
      </c>
      <c r="AV3" s="26">
        <v>21</v>
      </c>
      <c r="AW3" s="27">
        <v>9719</v>
      </c>
      <c r="AX3" s="26">
        <v>1</v>
      </c>
      <c r="AY3" s="28">
        <v>11520</v>
      </c>
      <c r="AZ3" s="26">
        <v>4</v>
      </c>
      <c r="BA3" s="28">
        <v>21204</v>
      </c>
      <c r="BB3" s="26">
        <v>10</v>
      </c>
      <c r="BC3" s="28">
        <v>22184</v>
      </c>
      <c r="BD3" s="26">
        <v>5</v>
      </c>
      <c r="BE3" s="22">
        <v>40</v>
      </c>
      <c r="BF3" s="31">
        <v>3</v>
      </c>
      <c r="BG3" s="28">
        <v>15180</v>
      </c>
      <c r="BH3" s="31">
        <v>6</v>
      </c>
      <c r="BI3" s="28">
        <v>7025</v>
      </c>
      <c r="BJ3" s="31">
        <v>2</v>
      </c>
      <c r="BK3" s="28">
        <v>29099</v>
      </c>
      <c r="BL3" s="31">
        <v>5</v>
      </c>
      <c r="BM3" s="28">
        <v>6623</v>
      </c>
      <c r="BN3" s="31">
        <v>5</v>
      </c>
      <c r="BO3" s="28">
        <v>41418</v>
      </c>
      <c r="BP3" s="31">
        <v>53</v>
      </c>
      <c r="BQ3" s="28">
        <v>3641</v>
      </c>
      <c r="BR3" s="31">
        <v>0</v>
      </c>
      <c r="BS3" s="31">
        <v>19</v>
      </c>
      <c r="BT3" s="31">
        <v>151</v>
      </c>
      <c r="BU3" s="28">
        <v>681120</v>
      </c>
      <c r="BV3" s="31">
        <v>240</v>
      </c>
      <c r="BW3" s="28"/>
      <c r="BX3" s="31">
        <v>0</v>
      </c>
      <c r="BY3" s="28">
        <v>877220</v>
      </c>
      <c r="BZ3" s="31">
        <v>250</v>
      </c>
      <c r="CA3" s="22">
        <v>30038</v>
      </c>
      <c r="CB3" s="31">
        <v>225</v>
      </c>
      <c r="CC3" s="36">
        <v>80</v>
      </c>
      <c r="CD3" s="31">
        <v>490</v>
      </c>
      <c r="CE3" s="37">
        <v>57</v>
      </c>
      <c r="CF3" s="22">
        <v>166.5</v>
      </c>
      <c r="CG3" s="55">
        <v>21818.860408022454</v>
      </c>
      <c r="CH3" s="38"/>
      <c r="CI3" s="56">
        <v>0</v>
      </c>
      <c r="CJ3" s="25">
        <v>2998937</v>
      </c>
      <c r="CK3" s="31">
        <v>2175</v>
      </c>
      <c r="CL3" s="36">
        <v>12419.25</v>
      </c>
      <c r="CM3" s="33">
        <v>62</v>
      </c>
      <c r="CN3" s="39">
        <v>6680.5</v>
      </c>
      <c r="CO3" s="25">
        <v>64</v>
      </c>
      <c r="CP3" s="57">
        <v>6896</v>
      </c>
      <c r="CQ3" s="33">
        <v>62</v>
      </c>
      <c r="CR3" s="58">
        <v>6680.5</v>
      </c>
      <c r="CS3" s="59">
        <v>20257</v>
      </c>
      <c r="CT3" s="40">
        <v>1185.25</v>
      </c>
      <c r="CU3" s="28"/>
      <c r="CV3" s="25">
        <v>51759</v>
      </c>
      <c r="CW3" s="31">
        <v>40</v>
      </c>
      <c r="CX3" s="36">
        <v>228.4</v>
      </c>
      <c r="CY3" s="46">
        <v>36720</v>
      </c>
      <c r="CZ3" s="31">
        <v>4</v>
      </c>
      <c r="DA3" s="36">
        <v>22.84</v>
      </c>
      <c r="DB3" s="25">
        <v>17184</v>
      </c>
      <c r="DC3" s="31">
        <v>14</v>
      </c>
      <c r="DD3" s="36">
        <v>79.94</v>
      </c>
      <c r="DE3" s="25">
        <v>869348</v>
      </c>
      <c r="DF3" s="31">
        <v>110</v>
      </c>
      <c r="DG3" s="36">
        <v>628.1</v>
      </c>
      <c r="DH3" s="28">
        <v>13341</v>
      </c>
      <c r="DI3" s="31">
        <v>12</v>
      </c>
      <c r="DJ3" s="36">
        <v>68.52</v>
      </c>
      <c r="DK3" s="25">
        <v>12102</v>
      </c>
      <c r="DL3" s="31">
        <v>8</v>
      </c>
      <c r="DM3" s="36">
        <v>45.68</v>
      </c>
      <c r="DN3" s="25">
        <v>7630</v>
      </c>
      <c r="DO3" s="31">
        <v>6</v>
      </c>
      <c r="DP3" s="36">
        <v>34.26</v>
      </c>
      <c r="DQ3" s="25">
        <v>2522</v>
      </c>
      <c r="DR3" s="31">
        <v>1</v>
      </c>
      <c r="DS3" s="36">
        <v>5.71</v>
      </c>
      <c r="DT3" s="25">
        <v>9652</v>
      </c>
      <c r="DU3" s="31">
        <v>9</v>
      </c>
      <c r="DV3" s="36">
        <v>51.39</v>
      </c>
      <c r="DW3" s="25">
        <v>8578</v>
      </c>
      <c r="DX3" s="31">
        <v>7</v>
      </c>
      <c r="DY3" s="36">
        <v>39.97</v>
      </c>
      <c r="DZ3" s="25">
        <v>9152</v>
      </c>
      <c r="EA3" s="31">
        <v>10</v>
      </c>
      <c r="EB3" s="36">
        <v>57.1</v>
      </c>
      <c r="EC3" s="25">
        <v>9285</v>
      </c>
      <c r="ED3" s="31">
        <v>9</v>
      </c>
      <c r="EE3" s="36">
        <v>51.39</v>
      </c>
      <c r="EF3" s="38"/>
      <c r="EG3" s="36">
        <v>0</v>
      </c>
      <c r="EH3" s="38"/>
      <c r="EI3" s="36">
        <v>0</v>
      </c>
      <c r="EJ3" s="41"/>
      <c r="EK3" s="36">
        <v>0</v>
      </c>
      <c r="EL3" s="22"/>
      <c r="EM3" s="36">
        <v>0</v>
      </c>
      <c r="EN3" s="41">
        <v>124</v>
      </c>
      <c r="EO3" s="42">
        <v>317</v>
      </c>
      <c r="EP3" s="60">
        <v>0.95399999999999996</v>
      </c>
      <c r="EQ3" s="48"/>
      <c r="ER3" s="49"/>
      <c r="ES3" s="50"/>
      <c r="ET3" s="51"/>
      <c r="EU3" s="51"/>
      <c r="EV3" s="51"/>
    </row>
    <row r="4" spans="1:152" s="7" customFormat="1" ht="15.75" thickBot="1" x14ac:dyDescent="0.3">
      <c r="A4" s="21">
        <v>44896</v>
      </c>
      <c r="B4" s="29">
        <v>7643113</v>
      </c>
      <c r="C4" s="23">
        <v>24758</v>
      </c>
      <c r="D4" s="24">
        <v>6530510</v>
      </c>
      <c r="E4" s="23">
        <v>24370</v>
      </c>
      <c r="F4" s="44">
        <v>0.98432829792390342</v>
      </c>
      <c r="G4" s="7">
        <v>1140</v>
      </c>
      <c r="H4" s="24">
        <v>1170</v>
      </c>
      <c r="I4" s="24">
        <v>295493</v>
      </c>
      <c r="J4" s="26">
        <v>0</v>
      </c>
      <c r="K4" s="27">
        <v>818</v>
      </c>
      <c r="L4" s="26">
        <v>1</v>
      </c>
      <c r="M4" s="28">
        <v>651178</v>
      </c>
      <c r="N4" s="26">
        <v>1</v>
      </c>
      <c r="O4" s="28">
        <v>1048</v>
      </c>
      <c r="P4" s="26">
        <v>1</v>
      </c>
      <c r="Q4" s="28">
        <v>4836100</v>
      </c>
      <c r="R4" s="26">
        <v>10800</v>
      </c>
      <c r="S4" s="28">
        <v>4302200</v>
      </c>
      <c r="T4" s="26">
        <v>11300</v>
      </c>
      <c r="U4" s="28">
        <v>3099396</v>
      </c>
      <c r="V4" s="26">
        <v>765</v>
      </c>
      <c r="W4" s="28">
        <v>2391908</v>
      </c>
      <c r="X4" s="26">
        <v>584</v>
      </c>
      <c r="Y4" s="28">
        <v>352112</v>
      </c>
      <c r="Z4" s="26">
        <v>159</v>
      </c>
      <c r="AA4" s="53"/>
      <c r="AB4" s="54">
        <v>0.55555555555555558</v>
      </c>
      <c r="AC4" s="30">
        <v>222.22222222222223</v>
      </c>
      <c r="AD4" s="120">
        <v>10</v>
      </c>
      <c r="AE4" s="28">
        <v>13064</v>
      </c>
      <c r="AF4" s="26">
        <v>0</v>
      </c>
      <c r="AG4" s="22">
        <v>607090</v>
      </c>
      <c r="AH4" s="31">
        <v>510</v>
      </c>
      <c r="AI4" s="28">
        <v>87</v>
      </c>
      <c r="AJ4" s="32">
        <v>0</v>
      </c>
      <c r="AK4" s="28">
        <v>6560</v>
      </c>
      <c r="AL4" s="32">
        <v>4</v>
      </c>
      <c r="AM4" s="17">
        <v>95159</v>
      </c>
      <c r="AN4" s="32">
        <v>266</v>
      </c>
      <c r="AO4" s="17"/>
      <c r="AP4" s="32">
        <v>0</v>
      </c>
      <c r="AQ4" s="28">
        <v>666530</v>
      </c>
      <c r="AR4" s="26">
        <v>180</v>
      </c>
      <c r="AS4" s="35">
        <v>9719</v>
      </c>
      <c r="AT4" s="26">
        <v>33</v>
      </c>
      <c r="AU4" s="34">
        <v>413</v>
      </c>
      <c r="AV4" s="26">
        <v>24</v>
      </c>
      <c r="AW4" s="27">
        <v>9721</v>
      </c>
      <c r="AX4" s="26">
        <v>2</v>
      </c>
      <c r="AY4" s="28">
        <v>11523</v>
      </c>
      <c r="AZ4" s="26">
        <v>3</v>
      </c>
      <c r="BA4" s="28">
        <v>21211</v>
      </c>
      <c r="BB4" s="26">
        <v>7</v>
      </c>
      <c r="BC4" s="28">
        <v>22190</v>
      </c>
      <c r="BD4" s="26">
        <v>6</v>
      </c>
      <c r="BE4" s="22">
        <v>45</v>
      </c>
      <c r="BF4" s="31">
        <v>5</v>
      </c>
      <c r="BG4" s="28">
        <v>15184</v>
      </c>
      <c r="BH4" s="31">
        <v>4</v>
      </c>
      <c r="BI4" s="28">
        <v>7027</v>
      </c>
      <c r="BJ4" s="31">
        <v>2</v>
      </c>
      <c r="BK4" s="28">
        <v>29104</v>
      </c>
      <c r="BL4" s="31">
        <v>5</v>
      </c>
      <c r="BM4" s="28">
        <v>6629</v>
      </c>
      <c r="BN4" s="31">
        <v>6</v>
      </c>
      <c r="BO4" s="28">
        <v>41457</v>
      </c>
      <c r="BP4" s="31">
        <v>39</v>
      </c>
      <c r="BQ4" s="28">
        <v>3641</v>
      </c>
      <c r="BR4" s="31">
        <v>0</v>
      </c>
      <c r="BS4" s="31">
        <v>16</v>
      </c>
      <c r="BT4" s="31">
        <v>164</v>
      </c>
      <c r="BU4" s="28">
        <v>681370</v>
      </c>
      <c r="BV4" s="31">
        <v>250</v>
      </c>
      <c r="BW4" s="28"/>
      <c r="BX4" s="31">
        <v>0</v>
      </c>
      <c r="BY4" s="28">
        <v>877470</v>
      </c>
      <c r="BZ4" s="31">
        <v>250</v>
      </c>
      <c r="CA4" s="22">
        <v>28725</v>
      </c>
      <c r="CB4" s="31" t="s">
        <v>146</v>
      </c>
      <c r="CC4" s="36">
        <v>70</v>
      </c>
      <c r="CD4" s="31">
        <v>500</v>
      </c>
      <c r="CE4" s="37">
        <v>59</v>
      </c>
      <c r="CF4" s="22">
        <v>166.5</v>
      </c>
      <c r="CG4" s="55">
        <v>21818.860408022454</v>
      </c>
      <c r="CH4" s="38"/>
      <c r="CI4" s="56">
        <v>0</v>
      </c>
      <c r="CJ4" s="25">
        <v>3001024</v>
      </c>
      <c r="CK4" s="31">
        <v>2087</v>
      </c>
      <c r="CL4" s="36">
        <v>11916.77</v>
      </c>
      <c r="CM4" s="33">
        <v>64</v>
      </c>
      <c r="CN4" s="39">
        <v>6896</v>
      </c>
      <c r="CO4" s="25">
        <v>66</v>
      </c>
      <c r="CP4" s="57">
        <v>7111.5</v>
      </c>
      <c r="CQ4" s="33">
        <v>64</v>
      </c>
      <c r="CR4" s="58">
        <v>6896</v>
      </c>
      <c r="CS4" s="59">
        <v>20903.5</v>
      </c>
      <c r="CT4" s="40">
        <v>-646.5</v>
      </c>
      <c r="CU4" s="28">
        <v>10147</v>
      </c>
      <c r="CV4" s="25">
        <v>51794</v>
      </c>
      <c r="CW4" s="31">
        <v>35</v>
      </c>
      <c r="CX4" s="36">
        <v>199.85</v>
      </c>
      <c r="CY4" s="46">
        <v>36725</v>
      </c>
      <c r="CZ4" s="31">
        <v>5</v>
      </c>
      <c r="DA4" s="36">
        <v>28.55</v>
      </c>
      <c r="DB4" s="25">
        <v>17201</v>
      </c>
      <c r="DC4" s="31">
        <v>17</v>
      </c>
      <c r="DD4" s="36">
        <v>97.07</v>
      </c>
      <c r="DE4" s="25">
        <v>869459</v>
      </c>
      <c r="DF4" s="31">
        <v>111</v>
      </c>
      <c r="DG4" s="36">
        <v>633.80999999999995</v>
      </c>
      <c r="DH4" s="28">
        <v>13351</v>
      </c>
      <c r="DI4" s="31">
        <v>10</v>
      </c>
      <c r="DJ4" s="36">
        <v>57.1</v>
      </c>
      <c r="DK4" s="25">
        <v>12107</v>
      </c>
      <c r="DL4" s="31">
        <v>5</v>
      </c>
      <c r="DM4" s="36">
        <v>28.55</v>
      </c>
      <c r="DN4" s="25">
        <v>7636</v>
      </c>
      <c r="DO4" s="31">
        <v>6</v>
      </c>
      <c r="DP4" s="36">
        <v>34.26</v>
      </c>
      <c r="DQ4" s="25">
        <v>2523</v>
      </c>
      <c r="DR4" s="31">
        <v>1</v>
      </c>
      <c r="DS4" s="36">
        <v>5.71</v>
      </c>
      <c r="DT4" s="25">
        <v>9657</v>
      </c>
      <c r="DU4" s="31">
        <v>5</v>
      </c>
      <c r="DV4" s="36">
        <v>28.55</v>
      </c>
      <c r="DW4" s="25">
        <v>8584</v>
      </c>
      <c r="DX4" s="31">
        <v>6</v>
      </c>
      <c r="DY4" s="36">
        <v>34.26</v>
      </c>
      <c r="DZ4" s="25">
        <v>9160</v>
      </c>
      <c r="EA4" s="31">
        <v>8</v>
      </c>
      <c r="EB4" s="36">
        <v>45.68</v>
      </c>
      <c r="EC4" s="25">
        <v>9292</v>
      </c>
      <c r="ED4" s="31">
        <v>7</v>
      </c>
      <c r="EE4" s="36">
        <v>39.97</v>
      </c>
      <c r="EF4" s="38"/>
      <c r="EG4" s="36">
        <v>0</v>
      </c>
      <c r="EH4" s="38"/>
      <c r="EI4" s="36">
        <v>0</v>
      </c>
      <c r="EJ4" s="41"/>
      <c r="EK4" s="36">
        <v>0</v>
      </c>
      <c r="EL4" s="22"/>
      <c r="EM4" s="36">
        <v>0</v>
      </c>
      <c r="EN4" s="41">
        <v>126</v>
      </c>
      <c r="EO4" s="42">
        <v>326</v>
      </c>
      <c r="EP4" s="60">
        <v>0.96</v>
      </c>
      <c r="EQ4" s="48"/>
      <c r="ER4" s="49"/>
      <c r="ES4" s="50"/>
      <c r="ET4" s="51"/>
      <c r="EU4" s="51"/>
      <c r="EV4" s="51"/>
    </row>
    <row r="5" spans="1:152" s="7" customFormat="1" ht="15.75" thickBot="1" x14ac:dyDescent="0.3">
      <c r="A5" s="21">
        <v>44897</v>
      </c>
      <c r="B5" s="29">
        <v>7666556</v>
      </c>
      <c r="C5" s="23">
        <v>23443</v>
      </c>
      <c r="D5" s="24">
        <v>6553606</v>
      </c>
      <c r="E5" s="23">
        <v>23096</v>
      </c>
      <c r="F5" s="44">
        <v>0.98519814016977347</v>
      </c>
      <c r="G5" s="24">
        <v>1140</v>
      </c>
      <c r="H5" s="24">
        <v>1170</v>
      </c>
      <c r="I5" s="24">
        <v>295493</v>
      </c>
      <c r="J5" s="26">
        <v>0</v>
      </c>
      <c r="K5" s="27">
        <v>818</v>
      </c>
      <c r="L5" s="26">
        <v>0</v>
      </c>
      <c r="M5" s="28">
        <v>651178</v>
      </c>
      <c r="N5" s="26">
        <v>0</v>
      </c>
      <c r="O5" s="28">
        <v>1048</v>
      </c>
      <c r="P5" s="26">
        <v>0</v>
      </c>
      <c r="Q5" s="28">
        <v>4846600</v>
      </c>
      <c r="R5" s="26">
        <v>10500</v>
      </c>
      <c r="S5" s="28">
        <v>4313500</v>
      </c>
      <c r="T5" s="26">
        <v>11300</v>
      </c>
      <c r="U5" s="28">
        <v>3100172</v>
      </c>
      <c r="V5" s="26">
        <v>776</v>
      </c>
      <c r="W5" s="28">
        <v>2392614</v>
      </c>
      <c r="X5" s="26">
        <v>706</v>
      </c>
      <c r="Y5" s="28">
        <v>352193</v>
      </c>
      <c r="Z5" s="26">
        <v>81</v>
      </c>
      <c r="AA5" s="53"/>
      <c r="AB5" s="54">
        <v>0.44444444444444442</v>
      </c>
      <c r="AC5" s="30">
        <v>177.77777777777777</v>
      </c>
      <c r="AD5" s="121">
        <v>12</v>
      </c>
      <c r="AE5" s="28">
        <v>13064</v>
      </c>
      <c r="AF5" s="26">
        <v>0</v>
      </c>
      <c r="AG5" s="22">
        <v>607620</v>
      </c>
      <c r="AH5" s="31">
        <v>530</v>
      </c>
      <c r="AI5" s="28">
        <v>87</v>
      </c>
      <c r="AJ5" s="32">
        <v>0</v>
      </c>
      <c r="AK5" s="28">
        <v>6565</v>
      </c>
      <c r="AL5" s="32">
        <v>5</v>
      </c>
      <c r="AM5" s="17">
        <v>95292</v>
      </c>
      <c r="AN5" s="32">
        <v>133</v>
      </c>
      <c r="AO5" s="17"/>
      <c r="AP5" s="32">
        <v>0</v>
      </c>
      <c r="AQ5" s="28">
        <v>666750</v>
      </c>
      <c r="AR5" s="26">
        <v>220</v>
      </c>
      <c r="AS5" s="35">
        <v>9751</v>
      </c>
      <c r="AT5" s="26">
        <v>32</v>
      </c>
      <c r="AU5" s="34">
        <v>441</v>
      </c>
      <c r="AV5" s="26">
        <v>28</v>
      </c>
      <c r="AW5" s="27">
        <v>9723</v>
      </c>
      <c r="AX5" s="26">
        <v>2</v>
      </c>
      <c r="AY5" s="28">
        <v>11526</v>
      </c>
      <c r="AZ5" s="26">
        <v>3</v>
      </c>
      <c r="BA5" s="28">
        <v>21222</v>
      </c>
      <c r="BB5" s="26">
        <v>11</v>
      </c>
      <c r="BC5" s="28">
        <v>22197</v>
      </c>
      <c r="BD5" s="26">
        <v>7</v>
      </c>
      <c r="BE5" s="22">
        <v>48</v>
      </c>
      <c r="BF5" s="31">
        <v>3</v>
      </c>
      <c r="BG5" s="28">
        <v>15190</v>
      </c>
      <c r="BH5" s="31">
        <v>6</v>
      </c>
      <c r="BI5" s="28">
        <v>7030</v>
      </c>
      <c r="BJ5" s="31">
        <v>3</v>
      </c>
      <c r="BK5" s="28">
        <v>29110</v>
      </c>
      <c r="BL5" s="31">
        <v>6</v>
      </c>
      <c r="BM5" s="28">
        <v>6634</v>
      </c>
      <c r="BN5" s="31">
        <v>5</v>
      </c>
      <c r="BO5" s="28">
        <v>41517</v>
      </c>
      <c r="BP5" s="31">
        <v>60</v>
      </c>
      <c r="BQ5" s="28">
        <v>3641</v>
      </c>
      <c r="BR5" s="31">
        <v>0</v>
      </c>
      <c r="BS5" s="31">
        <v>20</v>
      </c>
      <c r="BT5" s="31">
        <v>200</v>
      </c>
      <c r="BU5" s="28">
        <v>681590</v>
      </c>
      <c r="BV5" s="31">
        <v>220</v>
      </c>
      <c r="BW5" s="28"/>
      <c r="BX5" s="31">
        <v>0</v>
      </c>
      <c r="BY5" s="28">
        <v>877760</v>
      </c>
      <c r="BZ5" s="31">
        <v>290</v>
      </c>
      <c r="CA5" s="22">
        <v>28748</v>
      </c>
      <c r="CB5" s="31">
        <v>23</v>
      </c>
      <c r="CC5" s="36">
        <v>70</v>
      </c>
      <c r="CD5" s="31">
        <v>510</v>
      </c>
      <c r="CE5" s="37">
        <v>68</v>
      </c>
      <c r="CF5" s="22">
        <v>166.5</v>
      </c>
      <c r="CG5" s="55">
        <v>21818.860408022454</v>
      </c>
      <c r="CH5" s="38"/>
      <c r="CI5" s="56">
        <v>0</v>
      </c>
      <c r="CJ5" s="25">
        <v>3003360</v>
      </c>
      <c r="CK5" s="31">
        <v>2336</v>
      </c>
      <c r="CL5" s="36">
        <v>13338.56</v>
      </c>
      <c r="CM5" s="33">
        <v>84</v>
      </c>
      <c r="CN5" s="39">
        <v>9051</v>
      </c>
      <c r="CO5" s="25">
        <v>85</v>
      </c>
      <c r="CP5" s="57">
        <v>9158.75</v>
      </c>
      <c r="CQ5" s="33">
        <v>84</v>
      </c>
      <c r="CR5" s="58">
        <v>9051</v>
      </c>
      <c r="CS5" s="59">
        <v>27260.75</v>
      </c>
      <c r="CT5" s="40">
        <v>3789.75</v>
      </c>
      <c r="CU5" s="28"/>
      <c r="CV5" s="25">
        <v>51836</v>
      </c>
      <c r="CW5" s="31">
        <v>42</v>
      </c>
      <c r="CX5" s="36">
        <v>239.82</v>
      </c>
      <c r="CY5" s="46">
        <v>36730</v>
      </c>
      <c r="CZ5" s="31">
        <v>5</v>
      </c>
      <c r="DA5" s="36">
        <v>28.55</v>
      </c>
      <c r="DB5" s="25">
        <v>17218</v>
      </c>
      <c r="DC5" s="31">
        <v>17</v>
      </c>
      <c r="DD5" s="36">
        <v>97.07</v>
      </c>
      <c r="DE5" s="25">
        <v>869593</v>
      </c>
      <c r="DF5" s="31">
        <v>134</v>
      </c>
      <c r="DG5" s="36">
        <v>765.14</v>
      </c>
      <c r="DH5" s="28">
        <v>13363</v>
      </c>
      <c r="DI5" s="31">
        <v>12</v>
      </c>
      <c r="DJ5" s="36">
        <v>68.52</v>
      </c>
      <c r="DK5" s="25">
        <v>12114</v>
      </c>
      <c r="DL5" s="31">
        <v>7</v>
      </c>
      <c r="DM5" s="36">
        <v>39.97</v>
      </c>
      <c r="DN5" s="25">
        <v>7641</v>
      </c>
      <c r="DO5" s="31">
        <v>5</v>
      </c>
      <c r="DP5" s="36">
        <v>28.55</v>
      </c>
      <c r="DQ5" s="25">
        <v>2524</v>
      </c>
      <c r="DR5" s="31">
        <v>1</v>
      </c>
      <c r="DS5" s="36">
        <v>5.71</v>
      </c>
      <c r="DT5" s="25">
        <v>9663</v>
      </c>
      <c r="DU5" s="31">
        <v>6</v>
      </c>
      <c r="DV5" s="36">
        <v>34.26</v>
      </c>
      <c r="DW5" s="25">
        <v>8590</v>
      </c>
      <c r="DX5" s="31">
        <v>6</v>
      </c>
      <c r="DY5" s="36">
        <v>34.26</v>
      </c>
      <c r="DZ5" s="25">
        <v>9168</v>
      </c>
      <c r="EA5" s="31">
        <v>8</v>
      </c>
      <c r="EB5" s="36">
        <v>45.68</v>
      </c>
      <c r="EC5" s="25">
        <v>9300</v>
      </c>
      <c r="ED5" s="31">
        <v>8</v>
      </c>
      <c r="EE5" s="36">
        <v>45.68</v>
      </c>
      <c r="EF5" s="38"/>
      <c r="EG5" s="36">
        <v>0</v>
      </c>
      <c r="EH5" s="38"/>
      <c r="EI5" s="36">
        <v>0</v>
      </c>
      <c r="EJ5" s="41"/>
      <c r="EK5" s="36">
        <v>0</v>
      </c>
      <c r="EL5" s="22"/>
      <c r="EM5" s="36">
        <v>0</v>
      </c>
      <c r="EN5" s="7">
        <v>122</v>
      </c>
      <c r="EO5" s="41">
        <v>299</v>
      </c>
      <c r="EP5" s="60">
        <v>0.91</v>
      </c>
      <c r="EQ5" s="48"/>
      <c r="ER5" s="49"/>
      <c r="ES5" s="50"/>
      <c r="ET5" s="51"/>
      <c r="EU5" s="51"/>
      <c r="EV5" s="51"/>
    </row>
    <row r="6" spans="1:152" s="16" customFormat="1" ht="15.75" thickBot="1" x14ac:dyDescent="0.3">
      <c r="A6" s="21">
        <v>44898</v>
      </c>
      <c r="B6" s="29">
        <v>7687068</v>
      </c>
      <c r="C6" s="23">
        <v>20512</v>
      </c>
      <c r="D6" s="24">
        <v>6573795</v>
      </c>
      <c r="E6" s="23">
        <v>20189</v>
      </c>
      <c r="F6" s="44">
        <v>0.98425312012480504</v>
      </c>
      <c r="G6" s="24">
        <v>1140</v>
      </c>
      <c r="H6" s="24">
        <v>1170</v>
      </c>
      <c r="I6" s="24">
        <v>295493</v>
      </c>
      <c r="J6" s="26">
        <v>0</v>
      </c>
      <c r="K6" s="27">
        <v>818</v>
      </c>
      <c r="L6" s="26">
        <v>0</v>
      </c>
      <c r="M6" s="28">
        <v>651178</v>
      </c>
      <c r="N6" s="26">
        <v>0</v>
      </c>
      <c r="O6" s="28">
        <v>1048</v>
      </c>
      <c r="P6" s="26">
        <v>0</v>
      </c>
      <c r="Q6" s="28">
        <v>4855600</v>
      </c>
      <c r="R6" s="26">
        <v>9000</v>
      </c>
      <c r="S6" s="28">
        <v>4322000</v>
      </c>
      <c r="T6" s="26">
        <v>8500</v>
      </c>
      <c r="U6" s="28">
        <v>3100880</v>
      </c>
      <c r="V6" s="26">
        <v>708</v>
      </c>
      <c r="W6" s="28">
        <v>2393072</v>
      </c>
      <c r="X6" s="26">
        <v>458</v>
      </c>
      <c r="Y6" s="28">
        <v>352319</v>
      </c>
      <c r="Z6" s="26">
        <v>126</v>
      </c>
      <c r="AA6" s="53"/>
      <c r="AB6" s="54">
        <v>0.3888888888888889</v>
      </c>
      <c r="AC6" s="30">
        <v>155.55555555555557</v>
      </c>
      <c r="AD6" s="121">
        <v>15</v>
      </c>
      <c r="AE6" s="28">
        <v>13064</v>
      </c>
      <c r="AF6" s="26">
        <v>0</v>
      </c>
      <c r="AG6" s="22">
        <v>608230</v>
      </c>
      <c r="AH6" s="31">
        <v>610</v>
      </c>
      <c r="AI6" s="28">
        <v>87</v>
      </c>
      <c r="AJ6" s="32">
        <v>0</v>
      </c>
      <c r="AK6" s="28">
        <v>6590</v>
      </c>
      <c r="AL6" s="32">
        <v>25</v>
      </c>
      <c r="AM6" s="17">
        <v>95451</v>
      </c>
      <c r="AN6" s="32">
        <v>159</v>
      </c>
      <c r="AO6" s="17"/>
      <c r="AP6" s="32">
        <v>0</v>
      </c>
      <c r="AQ6" s="28">
        <v>667050</v>
      </c>
      <c r="AR6" s="26">
        <v>300</v>
      </c>
      <c r="AS6" s="35">
        <v>9780</v>
      </c>
      <c r="AT6" s="26">
        <v>29</v>
      </c>
      <c r="AU6" s="34">
        <v>457</v>
      </c>
      <c r="AV6" s="26">
        <v>16</v>
      </c>
      <c r="AW6" s="27">
        <v>9725</v>
      </c>
      <c r="AX6" s="26">
        <v>2</v>
      </c>
      <c r="AY6" s="28">
        <v>11531</v>
      </c>
      <c r="AZ6" s="26">
        <v>5</v>
      </c>
      <c r="BA6" s="28">
        <v>21231</v>
      </c>
      <c r="BB6" s="26">
        <v>9</v>
      </c>
      <c r="BC6" s="28">
        <v>22205</v>
      </c>
      <c r="BD6" s="26">
        <v>8</v>
      </c>
      <c r="BE6" s="22">
        <v>49</v>
      </c>
      <c r="BF6" s="31">
        <v>1</v>
      </c>
      <c r="BG6" s="28">
        <v>15195</v>
      </c>
      <c r="BH6" s="31">
        <v>5</v>
      </c>
      <c r="BI6" s="28">
        <v>7032</v>
      </c>
      <c r="BJ6" s="31">
        <v>2</v>
      </c>
      <c r="BK6" s="28">
        <v>29115</v>
      </c>
      <c r="BL6" s="31">
        <v>5</v>
      </c>
      <c r="BM6" s="28">
        <v>6639</v>
      </c>
      <c r="BN6" s="31">
        <v>5</v>
      </c>
      <c r="BO6" s="28">
        <v>41573</v>
      </c>
      <c r="BP6" s="31">
        <v>56</v>
      </c>
      <c r="BQ6" s="28">
        <v>3641</v>
      </c>
      <c r="BR6" s="31">
        <v>0</v>
      </c>
      <c r="BS6" s="31">
        <v>15</v>
      </c>
      <c r="BT6" s="31">
        <v>285</v>
      </c>
      <c r="BU6" s="28">
        <v>681820</v>
      </c>
      <c r="BV6" s="31">
        <v>230</v>
      </c>
      <c r="BW6" s="28"/>
      <c r="BX6" s="31">
        <v>0</v>
      </c>
      <c r="BY6" s="28">
        <v>878120</v>
      </c>
      <c r="BZ6" s="31">
        <v>360</v>
      </c>
      <c r="CA6" s="22">
        <v>28786</v>
      </c>
      <c r="CB6" s="31">
        <v>38</v>
      </c>
      <c r="CC6" s="36">
        <v>60</v>
      </c>
      <c r="CD6" s="31">
        <v>590</v>
      </c>
      <c r="CE6" s="37">
        <v>53</v>
      </c>
      <c r="CF6" s="22">
        <v>166.5</v>
      </c>
      <c r="CG6" s="55">
        <v>21818.860408022454</v>
      </c>
      <c r="CH6" s="38"/>
      <c r="CI6" s="56">
        <v>0</v>
      </c>
      <c r="CJ6" s="25">
        <v>3005290</v>
      </c>
      <c r="CK6" s="31">
        <v>1930</v>
      </c>
      <c r="CL6" s="36">
        <v>11020.3</v>
      </c>
      <c r="CM6" s="33">
        <v>81</v>
      </c>
      <c r="CN6" s="39">
        <v>8727.75</v>
      </c>
      <c r="CO6" s="25">
        <v>83</v>
      </c>
      <c r="CP6" s="57">
        <v>8943.25</v>
      </c>
      <c r="CQ6" s="33">
        <v>80</v>
      </c>
      <c r="CR6" s="58">
        <v>8620</v>
      </c>
      <c r="CS6" s="59">
        <v>26291</v>
      </c>
      <c r="CT6" s="40">
        <v>969.75</v>
      </c>
      <c r="CU6" s="28"/>
      <c r="CV6" s="25">
        <v>51882</v>
      </c>
      <c r="CW6" s="31">
        <v>46</v>
      </c>
      <c r="CX6" s="36">
        <v>262.66000000000003</v>
      </c>
      <c r="CY6" s="46">
        <v>36735</v>
      </c>
      <c r="CZ6" s="31">
        <v>5</v>
      </c>
      <c r="DA6" s="36">
        <v>28.55</v>
      </c>
      <c r="DB6" s="25">
        <v>17232</v>
      </c>
      <c r="DC6" s="31">
        <v>14</v>
      </c>
      <c r="DD6" s="36">
        <v>79.94</v>
      </c>
      <c r="DE6" s="25">
        <v>869700</v>
      </c>
      <c r="DF6" s="31">
        <v>107</v>
      </c>
      <c r="DG6" s="36">
        <v>610.97</v>
      </c>
      <c r="DH6" s="28">
        <v>13371</v>
      </c>
      <c r="DI6" s="31">
        <v>8</v>
      </c>
      <c r="DJ6" s="36">
        <v>45.68</v>
      </c>
      <c r="DK6" s="25">
        <v>12120</v>
      </c>
      <c r="DL6" s="31">
        <v>6</v>
      </c>
      <c r="DM6" s="36">
        <v>34.26</v>
      </c>
      <c r="DN6" s="25">
        <v>7645</v>
      </c>
      <c r="DO6" s="31">
        <v>4</v>
      </c>
      <c r="DP6" s="36">
        <v>22.84</v>
      </c>
      <c r="DQ6" s="25">
        <v>2524</v>
      </c>
      <c r="DR6" s="31">
        <v>0</v>
      </c>
      <c r="DS6" s="36">
        <v>0</v>
      </c>
      <c r="DT6" s="25">
        <v>9668</v>
      </c>
      <c r="DU6" s="31">
        <v>5</v>
      </c>
      <c r="DV6" s="36">
        <v>28.55</v>
      </c>
      <c r="DW6" s="25">
        <v>8595</v>
      </c>
      <c r="DX6" s="31">
        <v>5</v>
      </c>
      <c r="DY6" s="36">
        <v>28.55</v>
      </c>
      <c r="DZ6" s="25">
        <v>9175</v>
      </c>
      <c r="EA6" s="31">
        <v>7</v>
      </c>
      <c r="EB6" s="36">
        <v>39.97</v>
      </c>
      <c r="EC6" s="25">
        <v>9306</v>
      </c>
      <c r="ED6" s="31">
        <v>6</v>
      </c>
      <c r="EE6" s="36">
        <v>34.26</v>
      </c>
      <c r="EF6" s="38"/>
      <c r="EG6" s="36">
        <v>0</v>
      </c>
      <c r="EH6" s="38"/>
      <c r="EI6" s="36">
        <v>0</v>
      </c>
      <c r="EJ6" s="41"/>
      <c r="EK6" s="36">
        <v>0</v>
      </c>
      <c r="EL6" s="22"/>
      <c r="EM6" s="36">
        <v>0</v>
      </c>
      <c r="EN6" s="41">
        <v>106</v>
      </c>
      <c r="EO6" s="42">
        <v>242</v>
      </c>
      <c r="EP6" s="60">
        <v>0.86</v>
      </c>
      <c r="EQ6" s="48"/>
      <c r="ER6" s="49"/>
      <c r="ES6" s="50"/>
      <c r="ET6" s="51"/>
      <c r="EU6" s="51"/>
      <c r="EV6" s="51"/>
    </row>
    <row r="7" spans="1:152" s="16" customFormat="1" ht="15.75" thickBot="1" x14ac:dyDescent="0.3">
      <c r="A7" s="21">
        <v>44899</v>
      </c>
      <c r="B7" s="29">
        <v>7712550</v>
      </c>
      <c r="C7" s="23">
        <v>25482</v>
      </c>
      <c r="D7" s="24">
        <v>6598862</v>
      </c>
      <c r="E7" s="23">
        <v>25067</v>
      </c>
      <c r="F7" s="44">
        <v>0.98371399419197869</v>
      </c>
      <c r="G7" s="24">
        <v>1140</v>
      </c>
      <c r="H7" s="24">
        <v>1170</v>
      </c>
      <c r="I7" s="24">
        <v>295493</v>
      </c>
      <c r="J7" s="26">
        <v>0</v>
      </c>
      <c r="K7" s="27">
        <v>818</v>
      </c>
      <c r="L7" s="26">
        <v>0</v>
      </c>
      <c r="M7" s="28">
        <v>651178</v>
      </c>
      <c r="N7" s="26">
        <v>0</v>
      </c>
      <c r="O7" s="28">
        <v>1048</v>
      </c>
      <c r="P7" s="26">
        <v>0</v>
      </c>
      <c r="Q7" s="28">
        <v>4866600</v>
      </c>
      <c r="R7" s="26">
        <v>11000</v>
      </c>
      <c r="S7" s="28">
        <v>4337700</v>
      </c>
      <c r="T7" s="26">
        <v>15700</v>
      </c>
      <c r="U7" s="28">
        <v>3101676</v>
      </c>
      <c r="V7" s="104">
        <v>796</v>
      </c>
      <c r="W7" s="28">
        <v>2393669</v>
      </c>
      <c r="X7" s="26">
        <v>597</v>
      </c>
      <c r="Y7" s="28">
        <v>352373</v>
      </c>
      <c r="Z7" s="26">
        <v>54</v>
      </c>
      <c r="AA7" s="53"/>
      <c r="AB7" s="54">
        <v>0.27777777777777779</v>
      </c>
      <c r="AC7" s="30">
        <v>111.11111111111111</v>
      </c>
      <c r="AD7" s="121">
        <v>12</v>
      </c>
      <c r="AE7" s="28">
        <v>13301</v>
      </c>
      <c r="AF7" s="26">
        <v>237</v>
      </c>
      <c r="AG7" s="22">
        <v>608820</v>
      </c>
      <c r="AH7" s="31">
        <v>590</v>
      </c>
      <c r="AI7" s="28">
        <v>87</v>
      </c>
      <c r="AJ7" s="32">
        <v>0</v>
      </c>
      <c r="AK7" s="28">
        <v>6623</v>
      </c>
      <c r="AL7" s="32">
        <v>33</v>
      </c>
      <c r="AM7" s="17">
        <v>95542</v>
      </c>
      <c r="AN7" s="32">
        <v>91</v>
      </c>
      <c r="AO7" s="17"/>
      <c r="AP7" s="32">
        <v>0</v>
      </c>
      <c r="AQ7" s="28">
        <v>667360</v>
      </c>
      <c r="AR7" s="26">
        <v>310</v>
      </c>
      <c r="AS7" s="35">
        <v>9814</v>
      </c>
      <c r="AT7" s="26">
        <v>34</v>
      </c>
      <c r="AU7" s="34">
        <v>481</v>
      </c>
      <c r="AV7" s="26">
        <v>24</v>
      </c>
      <c r="AW7" s="27">
        <v>9727</v>
      </c>
      <c r="AX7" s="26">
        <v>2</v>
      </c>
      <c r="AY7" s="28">
        <v>11534</v>
      </c>
      <c r="AZ7" s="26">
        <v>3</v>
      </c>
      <c r="BA7" s="28">
        <v>21238</v>
      </c>
      <c r="BB7" s="26">
        <v>7</v>
      </c>
      <c r="BC7" s="28">
        <v>22214</v>
      </c>
      <c r="BD7" s="26">
        <v>9</v>
      </c>
      <c r="BE7" s="22">
        <v>51</v>
      </c>
      <c r="BF7" s="31">
        <v>2</v>
      </c>
      <c r="BG7" s="28">
        <v>15199</v>
      </c>
      <c r="BH7" s="31">
        <v>4</v>
      </c>
      <c r="BI7" s="28">
        <v>7033</v>
      </c>
      <c r="BJ7" s="31">
        <v>1</v>
      </c>
      <c r="BK7" s="28">
        <v>29119</v>
      </c>
      <c r="BL7" s="31">
        <v>4</v>
      </c>
      <c r="BM7" s="28">
        <v>6645</v>
      </c>
      <c r="BN7" s="31">
        <v>6</v>
      </c>
      <c r="BO7" s="28">
        <v>41630</v>
      </c>
      <c r="BP7" s="31">
        <v>57</v>
      </c>
      <c r="BQ7" s="28">
        <v>3641</v>
      </c>
      <c r="BR7" s="31">
        <v>0</v>
      </c>
      <c r="BS7" s="31">
        <v>13</v>
      </c>
      <c r="BT7" s="31">
        <v>297</v>
      </c>
      <c r="BU7" s="28">
        <v>682030</v>
      </c>
      <c r="BV7" s="31">
        <v>210</v>
      </c>
      <c r="BW7" s="28"/>
      <c r="BX7" s="31">
        <v>0</v>
      </c>
      <c r="BY7" s="28">
        <v>878480</v>
      </c>
      <c r="BZ7" s="31">
        <v>360</v>
      </c>
      <c r="CA7" s="22">
        <v>28820</v>
      </c>
      <c r="CB7" s="31">
        <v>34</v>
      </c>
      <c r="CC7" s="36">
        <v>50</v>
      </c>
      <c r="CD7" s="31">
        <v>570</v>
      </c>
      <c r="CE7" s="37">
        <v>58</v>
      </c>
      <c r="CF7" s="22">
        <v>166</v>
      </c>
      <c r="CG7" s="55">
        <v>21748.407406629569</v>
      </c>
      <c r="CH7" s="38"/>
      <c r="CI7" s="56">
        <v>70.453001392885199</v>
      </c>
      <c r="CJ7" s="25">
        <v>3006883</v>
      </c>
      <c r="CK7" s="31">
        <v>1593</v>
      </c>
      <c r="CL7" s="36">
        <v>9096.0300000000007</v>
      </c>
      <c r="CM7" s="33">
        <v>78</v>
      </c>
      <c r="CN7" s="39">
        <v>8404.5</v>
      </c>
      <c r="CO7" s="25">
        <v>80</v>
      </c>
      <c r="CP7" s="57">
        <v>8620</v>
      </c>
      <c r="CQ7" s="33">
        <v>78</v>
      </c>
      <c r="CR7" s="58">
        <v>8404.5</v>
      </c>
      <c r="CS7" s="59">
        <v>25429</v>
      </c>
      <c r="CT7" s="40">
        <v>862</v>
      </c>
      <c r="CU7" s="28"/>
      <c r="CV7" s="25">
        <v>51926</v>
      </c>
      <c r="CW7" s="31">
        <v>44</v>
      </c>
      <c r="CX7" s="36">
        <v>251.24</v>
      </c>
      <c r="CY7" s="46">
        <v>36736</v>
      </c>
      <c r="CZ7" s="31">
        <v>1</v>
      </c>
      <c r="DA7" s="36">
        <v>5.71</v>
      </c>
      <c r="DB7" s="25">
        <v>17247</v>
      </c>
      <c r="DC7" s="31">
        <v>15</v>
      </c>
      <c r="DD7" s="36">
        <v>85.65</v>
      </c>
      <c r="DE7" s="25">
        <v>869781</v>
      </c>
      <c r="DF7" s="31">
        <v>81</v>
      </c>
      <c r="DG7" s="36">
        <v>462.51</v>
      </c>
      <c r="DH7" s="28">
        <v>13381</v>
      </c>
      <c r="DI7" s="31">
        <v>10</v>
      </c>
      <c r="DJ7" s="36">
        <v>57.1</v>
      </c>
      <c r="DK7" s="25">
        <v>12126</v>
      </c>
      <c r="DL7" s="31">
        <v>6</v>
      </c>
      <c r="DM7" s="36">
        <v>34.26</v>
      </c>
      <c r="DN7" s="25">
        <v>7649</v>
      </c>
      <c r="DO7" s="31">
        <v>4</v>
      </c>
      <c r="DP7" s="36">
        <v>22.84</v>
      </c>
      <c r="DQ7" s="25">
        <v>2525</v>
      </c>
      <c r="DR7" s="31">
        <v>1</v>
      </c>
      <c r="DS7" s="36">
        <v>5.71</v>
      </c>
      <c r="DT7" s="25">
        <v>9674</v>
      </c>
      <c r="DU7" s="31">
        <v>6</v>
      </c>
      <c r="DV7" s="36">
        <v>34.26</v>
      </c>
      <c r="DW7" s="25">
        <v>8601</v>
      </c>
      <c r="DX7" s="31">
        <v>6</v>
      </c>
      <c r="DY7" s="36">
        <v>34.26</v>
      </c>
      <c r="DZ7" s="25">
        <v>9183</v>
      </c>
      <c r="EA7" s="31">
        <v>8</v>
      </c>
      <c r="EB7" s="36">
        <v>45.68</v>
      </c>
      <c r="EC7" s="25">
        <v>9313</v>
      </c>
      <c r="ED7" s="31">
        <v>7</v>
      </c>
      <c r="EE7" s="36">
        <v>39.97</v>
      </c>
      <c r="EF7" s="38"/>
      <c r="EG7" s="36">
        <v>0</v>
      </c>
      <c r="EH7" s="38"/>
      <c r="EI7" s="36">
        <v>0</v>
      </c>
      <c r="EJ7" s="41"/>
      <c r="EK7" s="36">
        <v>0</v>
      </c>
      <c r="EL7" s="22"/>
      <c r="EM7" s="36">
        <v>0</v>
      </c>
      <c r="EN7" s="41">
        <v>101</v>
      </c>
      <c r="EO7" s="42">
        <v>239</v>
      </c>
      <c r="EP7" s="60">
        <v>0.83799999999999997</v>
      </c>
      <c r="EQ7" s="48"/>
      <c r="ER7" s="49"/>
      <c r="ES7" s="50"/>
      <c r="ET7" s="51"/>
      <c r="EU7" s="51"/>
      <c r="EV7" s="51"/>
    </row>
    <row r="8" spans="1:152" s="16" customFormat="1" ht="15.75" thickBot="1" x14ac:dyDescent="0.3">
      <c r="A8" s="21">
        <v>44900</v>
      </c>
      <c r="B8" s="29">
        <v>7737120</v>
      </c>
      <c r="C8" s="23">
        <v>24570</v>
      </c>
      <c r="D8" s="24">
        <v>6623024</v>
      </c>
      <c r="E8" s="23">
        <v>24162</v>
      </c>
      <c r="F8" s="44">
        <v>0.98339438339438334</v>
      </c>
      <c r="G8" s="24">
        <v>1140</v>
      </c>
      <c r="H8" s="24">
        <v>1170</v>
      </c>
      <c r="I8" s="24">
        <v>295493</v>
      </c>
      <c r="J8" s="26">
        <v>0</v>
      </c>
      <c r="K8" s="27">
        <v>818</v>
      </c>
      <c r="L8" s="26">
        <v>0</v>
      </c>
      <c r="M8" s="28">
        <v>651178</v>
      </c>
      <c r="N8" s="26">
        <v>0</v>
      </c>
      <c r="O8" s="28">
        <v>1048</v>
      </c>
      <c r="P8" s="26">
        <v>0</v>
      </c>
      <c r="Q8" s="28">
        <v>4877000</v>
      </c>
      <c r="R8" s="26">
        <v>10400</v>
      </c>
      <c r="S8" s="28">
        <v>4345200</v>
      </c>
      <c r="T8" s="26">
        <v>7500</v>
      </c>
      <c r="U8" s="16">
        <v>3102498</v>
      </c>
      <c r="V8" s="105">
        <v>822</v>
      </c>
      <c r="W8" s="27">
        <v>2394156</v>
      </c>
      <c r="X8" s="26">
        <v>487</v>
      </c>
      <c r="Y8" s="28">
        <v>352501</v>
      </c>
      <c r="Z8" s="26">
        <v>128</v>
      </c>
      <c r="AA8" s="53"/>
      <c r="AB8" s="54">
        <v>0.41666666666666669</v>
      </c>
      <c r="AC8" s="30">
        <v>166.66666666666669</v>
      </c>
      <c r="AD8" s="121">
        <v>17</v>
      </c>
      <c r="AE8" s="28">
        <v>13846</v>
      </c>
      <c r="AF8" s="26">
        <v>545</v>
      </c>
      <c r="AG8" s="22">
        <v>609340</v>
      </c>
      <c r="AH8" s="31">
        <v>520</v>
      </c>
      <c r="AI8" s="28">
        <v>87</v>
      </c>
      <c r="AJ8" s="32">
        <v>0</v>
      </c>
      <c r="AK8" s="28">
        <v>6631</v>
      </c>
      <c r="AL8" s="32">
        <v>8</v>
      </c>
      <c r="AM8" s="17">
        <v>95717</v>
      </c>
      <c r="AN8" s="32">
        <v>175</v>
      </c>
      <c r="AO8" s="17"/>
      <c r="AP8" s="32">
        <v>0</v>
      </c>
      <c r="AQ8" s="28">
        <v>667600</v>
      </c>
      <c r="AR8" s="26">
        <v>240</v>
      </c>
      <c r="AS8" s="35">
        <v>9842</v>
      </c>
      <c r="AT8" s="26">
        <v>28</v>
      </c>
      <c r="AU8" s="34">
        <v>501</v>
      </c>
      <c r="AV8" s="26">
        <v>20</v>
      </c>
      <c r="AW8" s="27">
        <v>9730</v>
      </c>
      <c r="AX8" s="26">
        <v>3</v>
      </c>
      <c r="AY8" s="28">
        <v>11537</v>
      </c>
      <c r="AZ8" s="26">
        <v>3</v>
      </c>
      <c r="BA8" s="28">
        <v>21243</v>
      </c>
      <c r="BB8" s="26">
        <v>5</v>
      </c>
      <c r="BC8" s="28">
        <v>22220</v>
      </c>
      <c r="BD8" s="26">
        <v>6</v>
      </c>
      <c r="BE8" s="22">
        <v>53</v>
      </c>
      <c r="BF8" s="31">
        <v>2</v>
      </c>
      <c r="BG8" s="28">
        <v>15202</v>
      </c>
      <c r="BH8" s="31">
        <v>3</v>
      </c>
      <c r="BI8" s="28">
        <v>7034</v>
      </c>
      <c r="BJ8" s="31">
        <v>1</v>
      </c>
      <c r="BK8" s="28">
        <v>29125</v>
      </c>
      <c r="BL8" s="31">
        <v>6</v>
      </c>
      <c r="BM8" s="28">
        <v>6649</v>
      </c>
      <c r="BN8" s="31">
        <v>4</v>
      </c>
      <c r="BO8" s="28">
        <v>41676</v>
      </c>
      <c r="BP8" s="31">
        <v>46</v>
      </c>
      <c r="BQ8" s="28">
        <v>3641</v>
      </c>
      <c r="BR8" s="31">
        <v>0</v>
      </c>
      <c r="BS8" s="31">
        <v>10</v>
      </c>
      <c r="BT8" s="31">
        <v>230</v>
      </c>
      <c r="BU8" s="28">
        <v>682240</v>
      </c>
      <c r="BV8" s="31">
        <v>210</v>
      </c>
      <c r="BW8" s="28"/>
      <c r="BX8" s="31">
        <v>0</v>
      </c>
      <c r="BY8" s="28">
        <v>878770</v>
      </c>
      <c r="BZ8" s="31">
        <v>290</v>
      </c>
      <c r="CA8" s="22">
        <v>28850</v>
      </c>
      <c r="CB8" s="31">
        <v>30</v>
      </c>
      <c r="CC8" s="36">
        <v>50</v>
      </c>
      <c r="CD8" s="31">
        <v>500</v>
      </c>
      <c r="CE8" s="37">
        <v>47</v>
      </c>
      <c r="CF8" s="22">
        <v>166</v>
      </c>
      <c r="CG8" s="55">
        <v>21748.407406629569</v>
      </c>
      <c r="CH8" s="38"/>
      <c r="CI8" s="56">
        <v>0</v>
      </c>
      <c r="CJ8" s="25">
        <v>3009019</v>
      </c>
      <c r="CK8" s="31">
        <v>2136</v>
      </c>
      <c r="CL8" s="36">
        <v>12196.56</v>
      </c>
      <c r="CM8" s="33">
        <v>75</v>
      </c>
      <c r="CN8" s="39">
        <v>8081.25</v>
      </c>
      <c r="CO8" s="25">
        <v>76</v>
      </c>
      <c r="CP8" s="57">
        <v>8189</v>
      </c>
      <c r="CQ8" s="33">
        <v>75</v>
      </c>
      <c r="CR8" s="58">
        <v>8081.25</v>
      </c>
      <c r="CS8" s="59">
        <v>24351.5</v>
      </c>
      <c r="CT8" s="40">
        <v>1077.5</v>
      </c>
      <c r="CU8" s="28"/>
      <c r="CV8" s="25">
        <v>51964</v>
      </c>
      <c r="CW8" s="31">
        <v>38</v>
      </c>
      <c r="CX8" s="36">
        <v>216.98</v>
      </c>
      <c r="CY8" s="46">
        <v>36736</v>
      </c>
      <c r="CZ8" s="31">
        <v>0</v>
      </c>
      <c r="DA8" s="36">
        <v>0</v>
      </c>
      <c r="DB8" s="25">
        <v>17259</v>
      </c>
      <c r="DC8" s="31">
        <v>12</v>
      </c>
      <c r="DD8" s="36">
        <v>68.52</v>
      </c>
      <c r="DE8" s="25">
        <v>869869</v>
      </c>
      <c r="DF8" s="31">
        <v>88</v>
      </c>
      <c r="DG8" s="36">
        <v>502.48</v>
      </c>
      <c r="DH8" s="28">
        <v>13389</v>
      </c>
      <c r="DI8" s="31">
        <v>8</v>
      </c>
      <c r="DJ8" s="36">
        <v>45.68</v>
      </c>
      <c r="DK8" s="25">
        <v>12131</v>
      </c>
      <c r="DL8" s="31">
        <v>5</v>
      </c>
      <c r="DM8" s="36">
        <v>28.55</v>
      </c>
      <c r="DN8" s="25">
        <v>7653</v>
      </c>
      <c r="DO8" s="31">
        <v>4</v>
      </c>
      <c r="DP8" s="36">
        <v>22.84</v>
      </c>
      <c r="DQ8" s="25">
        <v>2527</v>
      </c>
      <c r="DR8" s="31">
        <v>2</v>
      </c>
      <c r="DS8" s="36">
        <v>11.42</v>
      </c>
      <c r="DT8" s="25">
        <v>9681</v>
      </c>
      <c r="DU8" s="31">
        <v>7</v>
      </c>
      <c r="DV8" s="36">
        <v>39.97</v>
      </c>
      <c r="DW8" s="25">
        <v>8607</v>
      </c>
      <c r="DX8" s="31">
        <v>6</v>
      </c>
      <c r="DY8" s="36">
        <v>34.26</v>
      </c>
      <c r="DZ8" s="25">
        <v>9190</v>
      </c>
      <c r="EA8" s="31">
        <v>7</v>
      </c>
      <c r="EB8" s="36">
        <v>39.97</v>
      </c>
      <c r="EC8" s="25">
        <v>9320</v>
      </c>
      <c r="ED8" s="31">
        <v>7</v>
      </c>
      <c r="EE8" s="36">
        <v>39.97</v>
      </c>
      <c r="EF8" s="38"/>
      <c r="EG8" s="36">
        <v>0</v>
      </c>
      <c r="EH8" s="38"/>
      <c r="EI8" s="36">
        <v>0</v>
      </c>
      <c r="EJ8" s="41"/>
      <c r="EK8" s="36">
        <v>0</v>
      </c>
      <c r="EL8" s="22"/>
      <c r="EM8" s="36">
        <v>0</v>
      </c>
      <c r="EN8" s="41">
        <v>88</v>
      </c>
      <c r="EO8" s="41">
        <v>188</v>
      </c>
      <c r="EP8" s="60">
        <v>0.71099999999999997</v>
      </c>
      <c r="EQ8" s="48"/>
      <c r="ER8" s="49"/>
      <c r="ES8" s="50"/>
      <c r="ET8" s="51"/>
      <c r="EU8" s="51"/>
      <c r="EV8" s="51"/>
    </row>
    <row r="9" spans="1:152" s="16" customFormat="1" ht="15.75" thickBot="1" x14ac:dyDescent="0.3">
      <c r="A9" s="21">
        <v>44901</v>
      </c>
      <c r="B9" s="29">
        <v>7760739</v>
      </c>
      <c r="C9" s="23">
        <v>23619</v>
      </c>
      <c r="D9" s="24">
        <v>6646233</v>
      </c>
      <c r="E9" s="23">
        <v>23209</v>
      </c>
      <c r="F9" s="44">
        <v>0.98264109403446376</v>
      </c>
      <c r="G9" s="24">
        <v>1150</v>
      </c>
      <c r="H9" s="24">
        <v>1170</v>
      </c>
      <c r="I9" s="107">
        <v>295493</v>
      </c>
      <c r="J9" s="26">
        <v>0</v>
      </c>
      <c r="K9" s="27">
        <v>818</v>
      </c>
      <c r="L9" s="26">
        <v>0</v>
      </c>
      <c r="M9" s="28">
        <v>651178</v>
      </c>
      <c r="N9" s="26">
        <v>0</v>
      </c>
      <c r="O9" s="28">
        <v>1048</v>
      </c>
      <c r="P9" s="26">
        <v>0</v>
      </c>
      <c r="Q9" s="28">
        <v>4887200</v>
      </c>
      <c r="R9" s="26">
        <v>10200</v>
      </c>
      <c r="S9" s="28">
        <v>4356100</v>
      </c>
      <c r="T9" s="26">
        <v>10900</v>
      </c>
      <c r="U9" s="28">
        <v>3103252</v>
      </c>
      <c r="V9" s="106">
        <v>754</v>
      </c>
      <c r="W9" s="28">
        <v>2394750</v>
      </c>
      <c r="X9" s="26">
        <v>594</v>
      </c>
      <c r="Y9" s="28">
        <v>352594</v>
      </c>
      <c r="Z9" s="26">
        <v>93</v>
      </c>
      <c r="AA9" s="53"/>
      <c r="AB9" s="54">
        <v>0.44444444444444442</v>
      </c>
      <c r="AC9" s="30">
        <v>177.77777777777777</v>
      </c>
      <c r="AD9" s="121">
        <v>14</v>
      </c>
      <c r="AE9" s="28">
        <v>14222</v>
      </c>
      <c r="AF9" s="26">
        <v>376</v>
      </c>
      <c r="AG9" s="22">
        <v>609820</v>
      </c>
      <c r="AH9" s="31">
        <v>480</v>
      </c>
      <c r="AI9" s="28">
        <v>87</v>
      </c>
      <c r="AJ9" s="32">
        <v>0</v>
      </c>
      <c r="AK9" s="28">
        <v>6636</v>
      </c>
      <c r="AL9" s="32">
        <v>5</v>
      </c>
      <c r="AM9" s="17">
        <v>95892</v>
      </c>
      <c r="AN9" s="32">
        <v>175</v>
      </c>
      <c r="AO9" s="17"/>
      <c r="AP9" s="32">
        <v>0</v>
      </c>
      <c r="AQ9" s="28">
        <v>667770</v>
      </c>
      <c r="AR9" s="26">
        <v>170</v>
      </c>
      <c r="AS9" s="35">
        <v>9871</v>
      </c>
      <c r="AT9" s="26">
        <v>29</v>
      </c>
      <c r="AU9" s="34">
        <v>523</v>
      </c>
      <c r="AV9" s="26">
        <v>22</v>
      </c>
      <c r="AW9" s="27">
        <v>9732</v>
      </c>
      <c r="AX9" s="26">
        <v>2</v>
      </c>
      <c r="AY9" s="28">
        <v>11540</v>
      </c>
      <c r="AZ9" s="26">
        <v>3</v>
      </c>
      <c r="BA9" s="28">
        <v>21249</v>
      </c>
      <c r="BB9" s="26">
        <v>6</v>
      </c>
      <c r="BC9" s="28">
        <v>22226</v>
      </c>
      <c r="BD9" s="26">
        <v>6</v>
      </c>
      <c r="BE9" s="22">
        <v>57</v>
      </c>
      <c r="BF9" s="31">
        <v>4</v>
      </c>
      <c r="BG9" s="28">
        <v>15207</v>
      </c>
      <c r="BH9" s="31">
        <v>5</v>
      </c>
      <c r="BI9" s="28">
        <v>7035</v>
      </c>
      <c r="BJ9" s="31">
        <v>1</v>
      </c>
      <c r="BK9" s="28">
        <v>29131</v>
      </c>
      <c r="BL9" s="31">
        <v>6</v>
      </c>
      <c r="BM9" s="28">
        <v>6653</v>
      </c>
      <c r="BN9" s="31">
        <v>4</v>
      </c>
      <c r="BO9" s="28">
        <v>41731</v>
      </c>
      <c r="BP9" s="31">
        <v>55</v>
      </c>
      <c r="BQ9" s="28">
        <v>3641</v>
      </c>
      <c r="BR9" s="31">
        <v>0</v>
      </c>
      <c r="BS9" s="31">
        <v>15</v>
      </c>
      <c r="BT9" s="31">
        <v>155</v>
      </c>
      <c r="BU9" s="28">
        <v>682470</v>
      </c>
      <c r="BV9" s="31">
        <v>230</v>
      </c>
      <c r="BW9" s="28"/>
      <c r="BX9" s="31">
        <v>0</v>
      </c>
      <c r="BY9" s="28">
        <v>878990</v>
      </c>
      <c r="BZ9" s="31">
        <v>220</v>
      </c>
      <c r="CA9" s="22">
        <v>28886</v>
      </c>
      <c r="CB9" s="31">
        <v>36</v>
      </c>
      <c r="CC9" s="36">
        <v>50</v>
      </c>
      <c r="CD9" s="31">
        <v>450</v>
      </c>
      <c r="CE9" s="37">
        <v>53</v>
      </c>
      <c r="CF9" s="22">
        <v>166</v>
      </c>
      <c r="CG9" s="55">
        <v>21748.407406629569</v>
      </c>
      <c r="CH9" s="38"/>
      <c r="CI9" s="56">
        <v>0</v>
      </c>
      <c r="CJ9" s="25">
        <v>3011075</v>
      </c>
      <c r="CK9" s="31">
        <v>2056</v>
      </c>
      <c r="CL9" s="36">
        <v>11739.76</v>
      </c>
      <c r="CM9" s="33">
        <v>70</v>
      </c>
      <c r="CN9" s="39">
        <v>7542.5</v>
      </c>
      <c r="CO9" s="25">
        <v>72</v>
      </c>
      <c r="CP9" s="57">
        <v>7758</v>
      </c>
      <c r="CQ9" s="33">
        <v>70</v>
      </c>
      <c r="CR9" s="58">
        <v>7542.5</v>
      </c>
      <c r="CS9" s="59">
        <v>22843</v>
      </c>
      <c r="CT9" s="40">
        <v>1508.5</v>
      </c>
      <c r="CU9" s="28"/>
      <c r="CV9" s="25">
        <v>52001</v>
      </c>
      <c r="CW9" s="31">
        <v>37</v>
      </c>
      <c r="CX9" s="36">
        <v>211.27</v>
      </c>
      <c r="CY9" s="46">
        <v>36740</v>
      </c>
      <c r="CZ9" s="31">
        <v>4</v>
      </c>
      <c r="DA9" s="36">
        <v>22.84</v>
      </c>
      <c r="DB9" s="25">
        <v>17276</v>
      </c>
      <c r="DC9" s="31">
        <v>17</v>
      </c>
      <c r="DD9" s="36">
        <v>97.07</v>
      </c>
      <c r="DE9" s="25">
        <v>869989</v>
      </c>
      <c r="DF9" s="31">
        <v>120</v>
      </c>
      <c r="DG9" s="36">
        <v>685.2</v>
      </c>
      <c r="DH9" s="28">
        <v>13399</v>
      </c>
      <c r="DI9" s="31">
        <v>10</v>
      </c>
      <c r="DJ9" s="36">
        <v>57.1</v>
      </c>
      <c r="DK9" s="25">
        <v>12138</v>
      </c>
      <c r="DL9" s="31">
        <v>7</v>
      </c>
      <c r="DM9" s="36">
        <v>39.97</v>
      </c>
      <c r="DN9" s="25">
        <v>7658</v>
      </c>
      <c r="DO9" s="31">
        <v>5</v>
      </c>
      <c r="DP9" s="36">
        <v>28.55</v>
      </c>
      <c r="DQ9" s="25">
        <v>2528</v>
      </c>
      <c r="DR9" s="31">
        <v>1</v>
      </c>
      <c r="DS9" s="36">
        <v>5.71</v>
      </c>
      <c r="DT9" s="25">
        <v>9688</v>
      </c>
      <c r="DU9" s="31">
        <v>7</v>
      </c>
      <c r="DV9" s="36">
        <v>39.97</v>
      </c>
      <c r="DW9" s="25">
        <v>8612</v>
      </c>
      <c r="DX9" s="31">
        <v>5</v>
      </c>
      <c r="DY9" s="36">
        <v>28.55</v>
      </c>
      <c r="DZ9" s="25">
        <v>9197</v>
      </c>
      <c r="EA9" s="31">
        <v>7</v>
      </c>
      <c r="EB9" s="36">
        <v>39.97</v>
      </c>
      <c r="EC9" s="25">
        <v>9326</v>
      </c>
      <c r="ED9" s="31">
        <v>6</v>
      </c>
      <c r="EE9" s="36">
        <v>34.26</v>
      </c>
      <c r="EF9" s="38"/>
      <c r="EG9" s="36">
        <v>0</v>
      </c>
      <c r="EH9" s="38"/>
      <c r="EI9" s="36">
        <v>0</v>
      </c>
      <c r="EJ9" s="41"/>
      <c r="EK9" s="36">
        <v>0</v>
      </c>
      <c r="EL9" s="22"/>
      <c r="EM9" s="36">
        <v>0</v>
      </c>
      <c r="EN9" s="16">
        <v>90</v>
      </c>
      <c r="EO9" s="16">
        <v>210</v>
      </c>
      <c r="EP9" s="60">
        <v>0.75</v>
      </c>
      <c r="EQ9" s="48"/>
      <c r="ER9" s="49"/>
      <c r="ES9" s="50"/>
      <c r="ET9" s="51"/>
      <c r="EU9" s="51"/>
      <c r="EV9" s="51"/>
    </row>
    <row r="10" spans="1:152" s="16" customFormat="1" ht="15.75" thickBot="1" x14ac:dyDescent="0.3">
      <c r="A10" s="21">
        <v>44902</v>
      </c>
      <c r="B10" s="29">
        <v>7785212</v>
      </c>
      <c r="C10" s="23">
        <v>24473</v>
      </c>
      <c r="D10" s="24">
        <v>6670334</v>
      </c>
      <c r="E10" s="23">
        <v>24101</v>
      </c>
      <c r="F10" s="44">
        <v>0.98479957504188287</v>
      </c>
      <c r="G10" s="24">
        <v>1150</v>
      </c>
      <c r="H10" s="33">
        <v>1170</v>
      </c>
      <c r="I10" s="108">
        <v>295493</v>
      </c>
      <c r="J10" s="26">
        <v>0</v>
      </c>
      <c r="K10" s="27">
        <v>818</v>
      </c>
      <c r="L10" s="26">
        <v>0</v>
      </c>
      <c r="M10" s="16">
        <v>651178</v>
      </c>
      <c r="N10" s="26">
        <v>0</v>
      </c>
      <c r="O10" s="28">
        <v>1048</v>
      </c>
      <c r="P10" s="26">
        <v>0</v>
      </c>
      <c r="Q10" s="28">
        <v>4897800</v>
      </c>
      <c r="R10" s="26">
        <v>10600</v>
      </c>
      <c r="S10" s="28">
        <v>4367200</v>
      </c>
      <c r="T10" s="26">
        <v>11100</v>
      </c>
      <c r="U10" s="28">
        <v>3103950</v>
      </c>
      <c r="V10" s="26">
        <v>698</v>
      </c>
      <c r="W10" s="28">
        <v>2395355</v>
      </c>
      <c r="X10" s="26">
        <v>605</v>
      </c>
      <c r="Y10" s="28">
        <v>352709</v>
      </c>
      <c r="Z10" s="26">
        <v>115</v>
      </c>
      <c r="AA10" s="53"/>
      <c r="AB10" s="54">
        <v>0.52777777777777779</v>
      </c>
      <c r="AC10" s="30">
        <v>211.11111111111111</v>
      </c>
      <c r="AD10" s="121">
        <v>11</v>
      </c>
      <c r="AE10" s="28">
        <v>14410</v>
      </c>
      <c r="AF10" s="26">
        <v>188</v>
      </c>
      <c r="AG10" s="22">
        <v>610260</v>
      </c>
      <c r="AH10" s="31">
        <v>440</v>
      </c>
      <c r="AI10" s="28">
        <v>87</v>
      </c>
      <c r="AJ10" s="32">
        <v>0</v>
      </c>
      <c r="AK10" s="28">
        <v>6641</v>
      </c>
      <c r="AL10" s="32">
        <v>5</v>
      </c>
      <c r="AM10" s="17">
        <v>96006</v>
      </c>
      <c r="AN10" s="32">
        <v>114</v>
      </c>
      <c r="AO10" s="17"/>
      <c r="AP10" s="32">
        <v>0</v>
      </c>
      <c r="AQ10" s="28">
        <v>667940</v>
      </c>
      <c r="AR10" s="26">
        <v>170</v>
      </c>
      <c r="AS10" s="35">
        <v>9900</v>
      </c>
      <c r="AT10" s="26">
        <v>29</v>
      </c>
      <c r="AU10" s="34">
        <v>545</v>
      </c>
      <c r="AV10" s="26">
        <v>22</v>
      </c>
      <c r="AW10" s="27">
        <v>9732</v>
      </c>
      <c r="AX10" s="26">
        <v>0</v>
      </c>
      <c r="AY10" s="28">
        <v>11543</v>
      </c>
      <c r="AZ10" s="26">
        <v>3</v>
      </c>
      <c r="BA10" s="28">
        <v>21259</v>
      </c>
      <c r="BB10" s="26">
        <v>10</v>
      </c>
      <c r="BC10" s="28">
        <v>22232</v>
      </c>
      <c r="BD10" s="26">
        <v>6</v>
      </c>
      <c r="BE10" s="22">
        <v>60</v>
      </c>
      <c r="BF10" s="31">
        <v>3</v>
      </c>
      <c r="BG10" s="16">
        <v>15212</v>
      </c>
      <c r="BH10" s="31">
        <v>5</v>
      </c>
      <c r="BI10" s="28">
        <v>7037</v>
      </c>
      <c r="BJ10" s="31">
        <v>2</v>
      </c>
      <c r="BK10" s="28">
        <v>29134</v>
      </c>
      <c r="BL10" s="31">
        <v>3</v>
      </c>
      <c r="BM10" s="28">
        <v>6658</v>
      </c>
      <c r="BN10" s="31">
        <v>5</v>
      </c>
      <c r="BO10" s="28">
        <v>41786</v>
      </c>
      <c r="BP10" s="31">
        <v>55</v>
      </c>
      <c r="BQ10" s="28">
        <v>3641</v>
      </c>
      <c r="BR10" s="31">
        <v>0</v>
      </c>
      <c r="BS10" s="31">
        <v>18</v>
      </c>
      <c r="BT10" s="31">
        <v>152</v>
      </c>
      <c r="BU10" s="28">
        <v>682670</v>
      </c>
      <c r="BV10" s="31">
        <v>200</v>
      </c>
      <c r="BW10" s="28"/>
      <c r="BX10" s="31">
        <v>0</v>
      </c>
      <c r="BY10" s="28">
        <v>879210</v>
      </c>
      <c r="BZ10" s="31">
        <v>220</v>
      </c>
      <c r="CA10" s="22">
        <v>28932</v>
      </c>
      <c r="CB10" s="31">
        <v>46</v>
      </c>
      <c r="CC10" s="36">
        <v>50</v>
      </c>
      <c r="CD10" s="31">
        <v>420</v>
      </c>
      <c r="CE10" s="37">
        <v>56</v>
      </c>
      <c r="CF10" s="22">
        <v>166</v>
      </c>
      <c r="CG10" s="55">
        <v>21748.407406629569</v>
      </c>
      <c r="CH10" s="38"/>
      <c r="CI10" s="56">
        <v>0</v>
      </c>
      <c r="CJ10" s="25">
        <v>3012653</v>
      </c>
      <c r="CK10" s="31">
        <v>1578</v>
      </c>
      <c r="CL10" s="36">
        <v>9010.3799999999992</v>
      </c>
      <c r="CM10" s="33">
        <v>68</v>
      </c>
      <c r="CN10" s="39">
        <v>7327</v>
      </c>
      <c r="CO10" s="25">
        <v>70</v>
      </c>
      <c r="CP10" s="57">
        <v>7542.5</v>
      </c>
      <c r="CQ10" s="33">
        <v>68</v>
      </c>
      <c r="CR10" s="58">
        <v>7327</v>
      </c>
      <c r="CS10" s="59">
        <v>22196.5</v>
      </c>
      <c r="CT10" s="40">
        <v>646.5</v>
      </c>
      <c r="CU10" s="28">
        <v>7666</v>
      </c>
      <c r="CV10" s="25">
        <v>52039</v>
      </c>
      <c r="CW10" s="31">
        <v>38</v>
      </c>
      <c r="CX10" s="36">
        <v>216.98</v>
      </c>
      <c r="CY10" s="46">
        <v>36743</v>
      </c>
      <c r="CZ10" s="31">
        <v>3</v>
      </c>
      <c r="DA10" s="36">
        <v>17.13</v>
      </c>
      <c r="DB10" s="25">
        <v>17292</v>
      </c>
      <c r="DC10" s="31">
        <v>16</v>
      </c>
      <c r="DD10" s="36">
        <v>91.36</v>
      </c>
      <c r="DE10" s="25">
        <v>870107</v>
      </c>
      <c r="DF10" s="31">
        <v>118</v>
      </c>
      <c r="DG10" s="36">
        <v>673.78</v>
      </c>
      <c r="DH10" s="28">
        <v>13408</v>
      </c>
      <c r="DI10" s="31">
        <v>9</v>
      </c>
      <c r="DJ10" s="36">
        <v>51.39</v>
      </c>
      <c r="DK10" s="25">
        <v>12143</v>
      </c>
      <c r="DL10" s="31">
        <v>5</v>
      </c>
      <c r="DM10" s="36">
        <v>28.55</v>
      </c>
      <c r="DN10" s="25">
        <v>7663</v>
      </c>
      <c r="DO10" s="31">
        <v>5</v>
      </c>
      <c r="DP10" s="36">
        <v>28.55</v>
      </c>
      <c r="DQ10" s="25">
        <v>2530</v>
      </c>
      <c r="DR10" s="31">
        <v>2</v>
      </c>
      <c r="DS10" s="36">
        <v>11.42</v>
      </c>
      <c r="DT10" s="25">
        <v>9696</v>
      </c>
      <c r="DU10" s="31">
        <v>8</v>
      </c>
      <c r="DV10" s="36">
        <v>45.68</v>
      </c>
      <c r="DW10" s="25">
        <v>8618</v>
      </c>
      <c r="DX10" s="31">
        <v>6</v>
      </c>
      <c r="DY10" s="36">
        <v>34.26</v>
      </c>
      <c r="DZ10" s="25">
        <v>9205</v>
      </c>
      <c r="EA10" s="31">
        <v>8</v>
      </c>
      <c r="EB10" s="36">
        <v>45.68</v>
      </c>
      <c r="EC10" s="25">
        <v>9333</v>
      </c>
      <c r="ED10" s="31">
        <v>7</v>
      </c>
      <c r="EE10" s="36">
        <v>39.97</v>
      </c>
      <c r="EF10" s="38"/>
      <c r="EG10" s="36">
        <v>0</v>
      </c>
      <c r="EH10" s="38"/>
      <c r="EI10" s="36">
        <v>0</v>
      </c>
      <c r="EJ10" s="41"/>
      <c r="EK10" s="36">
        <v>0</v>
      </c>
      <c r="EL10" s="22"/>
      <c r="EM10" s="36">
        <v>0</v>
      </c>
      <c r="EN10" s="41">
        <v>89</v>
      </c>
      <c r="EO10" s="42">
        <v>212</v>
      </c>
      <c r="EP10" s="60">
        <v>0.72299999999999998</v>
      </c>
      <c r="EQ10" s="48"/>
      <c r="ER10" s="49"/>
      <c r="ES10" s="50"/>
      <c r="ET10" s="51"/>
      <c r="EU10" s="51"/>
      <c r="EV10" s="51"/>
    </row>
    <row r="11" spans="1:152" s="16" customFormat="1" ht="15.75" thickBot="1" x14ac:dyDescent="0.3">
      <c r="A11" s="21">
        <v>44903</v>
      </c>
      <c r="B11" s="29">
        <v>7810854</v>
      </c>
      <c r="C11" s="23">
        <v>25642</v>
      </c>
      <c r="D11" s="24">
        <v>6695521</v>
      </c>
      <c r="E11" s="23">
        <v>25187</v>
      </c>
      <c r="F11" s="44">
        <v>0.98225567428437721</v>
      </c>
      <c r="G11" s="24">
        <v>1150</v>
      </c>
      <c r="H11" s="33">
        <v>1170</v>
      </c>
      <c r="I11" s="108">
        <v>295493</v>
      </c>
      <c r="J11" s="26">
        <v>0</v>
      </c>
      <c r="K11" s="27">
        <v>818</v>
      </c>
      <c r="L11" s="26">
        <v>0</v>
      </c>
      <c r="M11" s="24">
        <v>651178</v>
      </c>
      <c r="N11" s="26">
        <v>0</v>
      </c>
      <c r="O11" s="28">
        <v>1048</v>
      </c>
      <c r="P11" s="26">
        <v>0</v>
      </c>
      <c r="Q11" s="28">
        <v>4897800</v>
      </c>
      <c r="R11" s="26">
        <v>10600</v>
      </c>
      <c r="S11" s="28">
        <v>4378300</v>
      </c>
      <c r="T11" s="26">
        <v>11100</v>
      </c>
      <c r="U11" s="28">
        <v>3104717</v>
      </c>
      <c r="V11" s="26">
        <v>767</v>
      </c>
      <c r="W11" s="28">
        <v>2395943</v>
      </c>
      <c r="X11" s="26">
        <v>588</v>
      </c>
      <c r="Y11" s="28">
        <v>352768</v>
      </c>
      <c r="Z11" s="26">
        <v>59</v>
      </c>
      <c r="AA11" s="53"/>
      <c r="AB11" s="54">
        <v>0.3888888888888889</v>
      </c>
      <c r="AC11" s="30">
        <v>155.55555555555557</v>
      </c>
      <c r="AD11" s="121">
        <v>10</v>
      </c>
      <c r="AE11" s="28">
        <v>14559</v>
      </c>
      <c r="AF11" s="26">
        <v>149</v>
      </c>
      <c r="AG11" s="22">
        <v>610750</v>
      </c>
      <c r="AH11" s="31">
        <v>490</v>
      </c>
      <c r="AI11" s="28">
        <v>87</v>
      </c>
      <c r="AJ11" s="32">
        <v>0</v>
      </c>
      <c r="AK11" s="28">
        <v>6646</v>
      </c>
      <c r="AL11" s="32">
        <v>5</v>
      </c>
      <c r="AM11" s="17">
        <v>96094</v>
      </c>
      <c r="AN11" s="32">
        <v>88</v>
      </c>
      <c r="AO11" s="17"/>
      <c r="AP11" s="32">
        <v>0</v>
      </c>
      <c r="AQ11" s="28">
        <v>668150</v>
      </c>
      <c r="AR11" s="26">
        <v>210</v>
      </c>
      <c r="AS11" s="35">
        <v>9929</v>
      </c>
      <c r="AT11" s="26">
        <v>29</v>
      </c>
      <c r="AU11" s="34">
        <v>564</v>
      </c>
      <c r="AV11" s="26">
        <v>19</v>
      </c>
      <c r="AW11" s="27">
        <v>9735</v>
      </c>
      <c r="AX11" s="26">
        <v>3</v>
      </c>
      <c r="AY11" s="28">
        <v>11546</v>
      </c>
      <c r="AZ11" s="26">
        <v>3</v>
      </c>
      <c r="BA11" s="28">
        <v>21266</v>
      </c>
      <c r="BB11" s="26">
        <v>7</v>
      </c>
      <c r="BC11" s="28">
        <v>22240</v>
      </c>
      <c r="BD11" s="26">
        <v>8</v>
      </c>
      <c r="BE11" s="22">
        <v>64</v>
      </c>
      <c r="BF11" s="31">
        <v>4</v>
      </c>
      <c r="BG11" s="28">
        <v>15217</v>
      </c>
      <c r="BH11" s="31">
        <v>5</v>
      </c>
      <c r="BI11" s="28">
        <v>7038</v>
      </c>
      <c r="BJ11" s="31">
        <v>1</v>
      </c>
      <c r="BK11" s="28">
        <v>29139</v>
      </c>
      <c r="BL11" s="31">
        <v>5</v>
      </c>
      <c r="BM11" s="28">
        <v>6665</v>
      </c>
      <c r="BN11" s="31">
        <v>7</v>
      </c>
      <c r="BO11" s="28">
        <v>41835</v>
      </c>
      <c r="BP11" s="31">
        <v>49</v>
      </c>
      <c r="BQ11" s="28">
        <v>3641</v>
      </c>
      <c r="BR11" s="31">
        <v>0</v>
      </c>
      <c r="BS11" s="31">
        <v>16</v>
      </c>
      <c r="BT11" s="31">
        <v>194</v>
      </c>
      <c r="BU11" s="28">
        <v>682870</v>
      </c>
      <c r="BV11" s="31">
        <v>200</v>
      </c>
      <c r="BW11" s="28"/>
      <c r="BX11" s="31">
        <v>0</v>
      </c>
      <c r="BY11" s="28">
        <v>879470</v>
      </c>
      <c r="BZ11" s="31">
        <v>260</v>
      </c>
      <c r="CA11" s="22">
        <v>28968</v>
      </c>
      <c r="CB11" s="31">
        <v>36</v>
      </c>
      <c r="CC11" s="36">
        <v>50</v>
      </c>
      <c r="CD11" s="31">
        <v>460</v>
      </c>
      <c r="CE11" s="37">
        <v>57</v>
      </c>
      <c r="CF11" s="22">
        <v>166</v>
      </c>
      <c r="CG11" s="55">
        <v>21748.407406629569</v>
      </c>
      <c r="CH11" s="38"/>
      <c r="CI11" s="56">
        <v>0</v>
      </c>
      <c r="CJ11" s="25">
        <v>3015090</v>
      </c>
      <c r="CK11" s="31">
        <v>2437</v>
      </c>
      <c r="CL11" s="36">
        <v>13915.27</v>
      </c>
      <c r="CM11" s="33">
        <v>86</v>
      </c>
      <c r="CN11" s="39">
        <v>9266.5</v>
      </c>
      <c r="CO11" s="25">
        <v>86</v>
      </c>
      <c r="CP11" s="57">
        <v>9266.5</v>
      </c>
      <c r="CQ11" s="33">
        <v>86</v>
      </c>
      <c r="CR11" s="58">
        <v>9266.5</v>
      </c>
      <c r="CS11" s="59">
        <v>27799.5</v>
      </c>
      <c r="CT11" s="40">
        <v>2063</v>
      </c>
      <c r="CU11" s="28"/>
      <c r="CV11" s="25">
        <v>52074</v>
      </c>
      <c r="CW11" s="31">
        <v>35</v>
      </c>
      <c r="CX11" s="36">
        <v>199.85</v>
      </c>
      <c r="CY11" s="46">
        <v>36747</v>
      </c>
      <c r="CZ11" s="31">
        <v>4</v>
      </c>
      <c r="DA11" s="36">
        <v>22.84</v>
      </c>
      <c r="DB11" s="25">
        <v>17309</v>
      </c>
      <c r="DC11" s="31">
        <v>17</v>
      </c>
      <c r="DD11" s="36">
        <v>97.07</v>
      </c>
      <c r="DE11" s="25">
        <v>870225</v>
      </c>
      <c r="DF11" s="31">
        <v>118</v>
      </c>
      <c r="DG11" s="36">
        <v>673.78</v>
      </c>
      <c r="DH11" s="28">
        <v>13417</v>
      </c>
      <c r="DI11" s="31">
        <v>9</v>
      </c>
      <c r="DJ11" s="36">
        <v>51.39</v>
      </c>
      <c r="DK11" s="25">
        <v>12149</v>
      </c>
      <c r="DL11" s="31">
        <v>6</v>
      </c>
      <c r="DM11" s="36">
        <v>34.26</v>
      </c>
      <c r="DN11" s="25">
        <v>7668</v>
      </c>
      <c r="DO11" s="31">
        <v>5</v>
      </c>
      <c r="DP11" s="36">
        <v>28.55</v>
      </c>
      <c r="DQ11" s="25">
        <v>2531</v>
      </c>
      <c r="DR11" s="31">
        <v>1</v>
      </c>
      <c r="DS11" s="36">
        <v>5.71</v>
      </c>
      <c r="DT11" s="25">
        <v>9703</v>
      </c>
      <c r="DU11" s="31">
        <v>7</v>
      </c>
      <c r="DV11" s="36">
        <v>39.97</v>
      </c>
      <c r="DW11" s="25">
        <v>8624</v>
      </c>
      <c r="DX11" s="31">
        <v>6</v>
      </c>
      <c r="DY11" s="36">
        <v>34.26</v>
      </c>
      <c r="DZ11" s="25">
        <v>9213</v>
      </c>
      <c r="EA11" s="31">
        <v>8</v>
      </c>
      <c r="EB11" s="36">
        <v>45.68</v>
      </c>
      <c r="EC11" s="25">
        <v>9339</v>
      </c>
      <c r="ED11" s="31">
        <v>6</v>
      </c>
      <c r="EE11" s="36">
        <v>34.26</v>
      </c>
      <c r="EF11" s="38"/>
      <c r="EG11" s="36">
        <v>0</v>
      </c>
      <c r="EH11" s="38"/>
      <c r="EI11" s="36">
        <v>0</v>
      </c>
      <c r="EJ11" s="41"/>
      <c r="EK11" s="36">
        <v>0</v>
      </c>
      <c r="EL11" s="22"/>
      <c r="EM11" s="36">
        <v>0</v>
      </c>
      <c r="EN11" s="16">
        <v>88</v>
      </c>
      <c r="EO11" s="42">
        <v>208</v>
      </c>
      <c r="EP11" s="60">
        <v>0.71799999999999997</v>
      </c>
      <c r="EQ11" s="48"/>
      <c r="ER11" s="49"/>
      <c r="ES11" s="50"/>
      <c r="ET11" s="51"/>
      <c r="EU11" s="51"/>
      <c r="EV11" s="51"/>
    </row>
    <row r="12" spans="1:152" s="16" customFormat="1" ht="15.75" thickBot="1" x14ac:dyDescent="0.3">
      <c r="A12" s="21">
        <v>44904</v>
      </c>
      <c r="B12" s="29">
        <v>7835611</v>
      </c>
      <c r="C12" s="23">
        <v>24757</v>
      </c>
      <c r="D12" s="24">
        <v>6719158</v>
      </c>
      <c r="E12" s="23">
        <v>23637</v>
      </c>
      <c r="F12" s="44">
        <v>0.95476026982267637</v>
      </c>
      <c r="G12" s="24">
        <v>1150</v>
      </c>
      <c r="H12" s="24">
        <v>1170</v>
      </c>
      <c r="I12" s="108">
        <v>295493</v>
      </c>
      <c r="J12" s="26">
        <v>0</v>
      </c>
      <c r="K12" s="27">
        <v>818</v>
      </c>
      <c r="L12" s="26">
        <v>0</v>
      </c>
      <c r="M12" s="24">
        <v>651178</v>
      </c>
      <c r="N12" s="26">
        <v>0</v>
      </c>
      <c r="O12" s="28">
        <v>1048</v>
      </c>
      <c r="P12" s="26">
        <v>0</v>
      </c>
      <c r="Q12" s="28">
        <v>4919600</v>
      </c>
      <c r="R12" s="26">
        <v>21800</v>
      </c>
      <c r="S12" s="28">
        <v>4389700</v>
      </c>
      <c r="T12" s="26">
        <v>11400</v>
      </c>
      <c r="U12" s="28">
        <v>3105392</v>
      </c>
      <c r="V12" s="26">
        <v>675</v>
      </c>
      <c r="W12" s="28">
        <v>2396513</v>
      </c>
      <c r="X12" s="26">
        <v>570</v>
      </c>
      <c r="Y12" s="28">
        <v>352920</v>
      </c>
      <c r="Z12" s="26">
        <v>152</v>
      </c>
      <c r="AA12" s="53"/>
      <c r="AB12" s="54">
        <v>0.55555555555555558</v>
      </c>
      <c r="AC12" s="30">
        <v>222.22222222222223</v>
      </c>
      <c r="AD12" s="121">
        <v>12</v>
      </c>
      <c r="AE12" s="28">
        <v>14971</v>
      </c>
      <c r="AF12" s="26">
        <v>412</v>
      </c>
      <c r="AG12" s="22">
        <v>611210</v>
      </c>
      <c r="AH12" s="31">
        <v>460</v>
      </c>
      <c r="AI12" s="28">
        <v>87</v>
      </c>
      <c r="AJ12" s="32">
        <v>0</v>
      </c>
      <c r="AK12" s="103">
        <v>6650</v>
      </c>
      <c r="AL12" s="32">
        <v>4</v>
      </c>
      <c r="AM12" s="17">
        <v>96314</v>
      </c>
      <c r="AN12" s="32">
        <v>220</v>
      </c>
      <c r="AO12" s="17"/>
      <c r="AP12" s="32">
        <v>0</v>
      </c>
      <c r="AQ12" s="28">
        <v>668320</v>
      </c>
      <c r="AR12" s="26">
        <v>170</v>
      </c>
      <c r="AS12" s="35">
        <v>9990</v>
      </c>
      <c r="AT12" s="26">
        <v>61</v>
      </c>
      <c r="AU12" s="34">
        <v>583</v>
      </c>
      <c r="AV12" s="26">
        <v>19</v>
      </c>
      <c r="AW12" s="27">
        <v>9737</v>
      </c>
      <c r="AX12" s="26">
        <v>2</v>
      </c>
      <c r="AY12" s="28">
        <v>11549</v>
      </c>
      <c r="AZ12" s="26">
        <v>3</v>
      </c>
      <c r="BA12" s="28">
        <v>21273</v>
      </c>
      <c r="BB12" s="26">
        <v>7</v>
      </c>
      <c r="BC12" s="28">
        <v>22246</v>
      </c>
      <c r="BD12" s="26">
        <v>6</v>
      </c>
      <c r="BE12" s="22">
        <v>67</v>
      </c>
      <c r="BF12" s="31">
        <v>3</v>
      </c>
      <c r="BG12" s="28">
        <v>15222</v>
      </c>
      <c r="BH12" s="31">
        <v>5</v>
      </c>
      <c r="BI12" s="28">
        <v>7039</v>
      </c>
      <c r="BJ12" s="31">
        <v>1</v>
      </c>
      <c r="BK12" s="28">
        <v>29144</v>
      </c>
      <c r="BL12" s="31">
        <v>5</v>
      </c>
      <c r="BM12" s="28">
        <v>6668</v>
      </c>
      <c r="BN12" s="31">
        <v>3</v>
      </c>
      <c r="BO12" s="28">
        <v>41890</v>
      </c>
      <c r="BP12" s="31">
        <v>55</v>
      </c>
      <c r="BQ12" s="28">
        <v>3641</v>
      </c>
      <c r="BR12" s="31">
        <v>0</v>
      </c>
      <c r="BS12" s="31">
        <v>15</v>
      </c>
      <c r="BT12" s="31">
        <v>155</v>
      </c>
      <c r="BU12" s="28">
        <v>683070</v>
      </c>
      <c r="BV12" s="31">
        <v>200</v>
      </c>
      <c r="BW12" s="28"/>
      <c r="BX12" s="31">
        <v>0</v>
      </c>
      <c r="BY12" s="28">
        <v>879720</v>
      </c>
      <c r="BZ12" s="31">
        <v>250</v>
      </c>
      <c r="CA12" s="22">
        <v>29009</v>
      </c>
      <c r="CB12" s="31">
        <v>41</v>
      </c>
      <c r="CC12" s="36">
        <v>80</v>
      </c>
      <c r="CD12" s="31">
        <v>450</v>
      </c>
      <c r="CE12" s="37">
        <v>49</v>
      </c>
      <c r="CF12" s="22">
        <v>166</v>
      </c>
      <c r="CG12" s="55">
        <v>21748.407406629569</v>
      </c>
      <c r="CH12" s="38"/>
      <c r="CI12" s="56">
        <v>0</v>
      </c>
      <c r="CJ12" s="25">
        <v>3017170</v>
      </c>
      <c r="CK12" s="31">
        <v>2080</v>
      </c>
      <c r="CL12" s="36">
        <v>11876.8</v>
      </c>
      <c r="CM12" s="33">
        <v>84</v>
      </c>
      <c r="CN12" s="39">
        <v>9051</v>
      </c>
      <c r="CO12" s="25">
        <v>83</v>
      </c>
      <c r="CP12" s="57">
        <v>8943.25</v>
      </c>
      <c r="CQ12" s="33">
        <v>83</v>
      </c>
      <c r="CR12" s="58">
        <v>8943.25</v>
      </c>
      <c r="CS12" s="59">
        <v>26937.5</v>
      </c>
      <c r="CT12" s="40">
        <v>862</v>
      </c>
      <c r="CU12" s="28"/>
      <c r="CV12" s="25">
        <v>52114</v>
      </c>
      <c r="CW12" s="31">
        <v>40</v>
      </c>
      <c r="CX12" s="36">
        <v>228.4</v>
      </c>
      <c r="CY12" s="46">
        <v>36750</v>
      </c>
      <c r="CZ12" s="31">
        <v>3</v>
      </c>
      <c r="DA12" s="36">
        <v>17.13</v>
      </c>
      <c r="DB12" s="25">
        <v>17326</v>
      </c>
      <c r="DC12" s="31">
        <v>17</v>
      </c>
      <c r="DD12" s="36">
        <v>97.07</v>
      </c>
      <c r="DE12" s="25">
        <v>870343</v>
      </c>
      <c r="DF12" s="31">
        <v>118</v>
      </c>
      <c r="DG12" s="36">
        <v>673.78</v>
      </c>
      <c r="DH12" s="103">
        <v>13426</v>
      </c>
      <c r="DI12" s="31">
        <v>9</v>
      </c>
      <c r="DJ12" s="36">
        <v>51.39</v>
      </c>
      <c r="DK12" s="109">
        <v>12155</v>
      </c>
      <c r="DL12" s="31">
        <v>6</v>
      </c>
      <c r="DM12" s="36">
        <v>34.26</v>
      </c>
      <c r="DN12" s="25">
        <v>7672</v>
      </c>
      <c r="DO12" s="31">
        <v>4</v>
      </c>
      <c r="DP12" s="36">
        <v>22.84</v>
      </c>
      <c r="DQ12" s="25">
        <v>2533</v>
      </c>
      <c r="DR12" s="31">
        <v>2</v>
      </c>
      <c r="DS12" s="36">
        <v>11.42</v>
      </c>
      <c r="DT12" s="25">
        <v>9711</v>
      </c>
      <c r="DU12" s="31">
        <v>8</v>
      </c>
      <c r="DV12" s="36">
        <v>45.68</v>
      </c>
      <c r="DW12" s="25">
        <v>8629</v>
      </c>
      <c r="DX12" s="31">
        <v>5</v>
      </c>
      <c r="DY12" s="36">
        <v>28.55</v>
      </c>
      <c r="DZ12" s="25">
        <v>9221</v>
      </c>
      <c r="EA12" s="31">
        <v>8</v>
      </c>
      <c r="EB12" s="36">
        <v>45.68</v>
      </c>
      <c r="EC12" s="25">
        <v>9346</v>
      </c>
      <c r="ED12" s="31">
        <v>7</v>
      </c>
      <c r="EE12" s="36">
        <v>39.97</v>
      </c>
      <c r="EF12" s="38"/>
      <c r="EG12" s="36">
        <v>0</v>
      </c>
      <c r="EH12" s="38"/>
      <c r="EI12" s="36">
        <v>0</v>
      </c>
      <c r="EJ12" s="41"/>
      <c r="EK12" s="36">
        <v>0</v>
      </c>
      <c r="EL12" s="22"/>
      <c r="EM12" s="36">
        <v>0</v>
      </c>
      <c r="EN12" s="41">
        <v>96</v>
      </c>
      <c r="EO12" s="42">
        <v>231</v>
      </c>
      <c r="EP12" s="60">
        <v>0.78900000000000003</v>
      </c>
      <c r="EQ12" s="48"/>
      <c r="ER12" s="49"/>
      <c r="ES12" s="50"/>
      <c r="ET12" s="51"/>
      <c r="EU12" s="51"/>
      <c r="EV12" s="51"/>
    </row>
    <row r="13" spans="1:152" s="16" customFormat="1" ht="15.75" thickBot="1" x14ac:dyDescent="0.3">
      <c r="A13" s="21">
        <v>44905</v>
      </c>
      <c r="B13" s="29">
        <v>7858323</v>
      </c>
      <c r="C13" s="23">
        <v>22712</v>
      </c>
      <c r="D13" s="24">
        <v>6742275</v>
      </c>
      <c r="E13" s="23">
        <v>23117</v>
      </c>
      <c r="F13" s="44">
        <v>1.0178319830926383</v>
      </c>
      <c r="G13" s="24">
        <v>1150</v>
      </c>
      <c r="H13" s="24">
        <v>1170</v>
      </c>
      <c r="I13" s="108">
        <v>295493</v>
      </c>
      <c r="J13" s="26">
        <v>0</v>
      </c>
      <c r="K13" s="27">
        <v>818</v>
      </c>
      <c r="L13" s="26">
        <v>0</v>
      </c>
      <c r="M13" s="24">
        <v>651178</v>
      </c>
      <c r="N13" s="26">
        <v>22</v>
      </c>
      <c r="O13" s="28">
        <v>1048</v>
      </c>
      <c r="P13" s="26">
        <v>0</v>
      </c>
      <c r="Q13" s="28">
        <v>4930100</v>
      </c>
      <c r="R13" s="26">
        <v>10500</v>
      </c>
      <c r="S13" s="28">
        <v>4400000</v>
      </c>
      <c r="T13" s="26">
        <v>10300</v>
      </c>
      <c r="U13" s="28">
        <v>3106103</v>
      </c>
      <c r="V13" s="26">
        <v>711</v>
      </c>
      <c r="W13" s="28">
        <v>2397116</v>
      </c>
      <c r="X13" s="26">
        <v>603</v>
      </c>
      <c r="Y13" s="28">
        <v>352979</v>
      </c>
      <c r="Z13" s="26">
        <v>59</v>
      </c>
      <c r="AA13" s="53"/>
      <c r="AB13" s="54">
        <v>0.66666666666666663</v>
      </c>
      <c r="AC13" s="30">
        <v>266.66666666666663</v>
      </c>
      <c r="AD13" s="121">
        <v>13</v>
      </c>
      <c r="AE13" s="28">
        <v>15332</v>
      </c>
      <c r="AF13" s="26">
        <v>361</v>
      </c>
      <c r="AG13" s="22">
        <v>611580</v>
      </c>
      <c r="AH13" s="31">
        <v>370</v>
      </c>
      <c r="AI13" s="28">
        <v>87</v>
      </c>
      <c r="AJ13" s="32">
        <v>0</v>
      </c>
      <c r="AK13" s="28">
        <v>6654</v>
      </c>
      <c r="AL13" s="32">
        <v>4</v>
      </c>
      <c r="AM13" s="17">
        <v>96420</v>
      </c>
      <c r="AN13" s="32">
        <v>106</v>
      </c>
      <c r="AO13" s="17"/>
      <c r="AP13" s="32">
        <v>0</v>
      </c>
      <c r="AQ13" s="28">
        <v>668470</v>
      </c>
      <c r="AR13" s="26">
        <v>150</v>
      </c>
      <c r="AS13" s="35">
        <v>10025</v>
      </c>
      <c r="AT13" s="26">
        <v>35</v>
      </c>
      <c r="AU13" s="34">
        <v>607</v>
      </c>
      <c r="AV13" s="26">
        <v>24</v>
      </c>
      <c r="AW13" s="27">
        <v>9739</v>
      </c>
      <c r="AX13" s="26">
        <v>2</v>
      </c>
      <c r="AY13" s="28">
        <v>11552</v>
      </c>
      <c r="AZ13" s="26">
        <v>3</v>
      </c>
      <c r="BA13" s="28">
        <v>21283</v>
      </c>
      <c r="BB13" s="26">
        <v>10</v>
      </c>
      <c r="BC13" s="28">
        <v>22251</v>
      </c>
      <c r="BD13" s="26">
        <v>5</v>
      </c>
      <c r="BE13" s="22">
        <v>70</v>
      </c>
      <c r="BF13" s="31">
        <v>3</v>
      </c>
      <c r="BG13" s="28">
        <v>15227</v>
      </c>
      <c r="BH13" s="31">
        <v>5</v>
      </c>
      <c r="BI13" s="28">
        <v>7041</v>
      </c>
      <c r="BJ13" s="31">
        <v>2</v>
      </c>
      <c r="BK13" s="28">
        <v>29149</v>
      </c>
      <c r="BL13" s="31">
        <v>5</v>
      </c>
      <c r="BM13" s="28">
        <v>6673</v>
      </c>
      <c r="BN13" s="31">
        <v>5</v>
      </c>
      <c r="BO13" s="28">
        <v>41948</v>
      </c>
      <c r="BP13" s="31">
        <v>58</v>
      </c>
      <c r="BQ13" s="28">
        <v>3641</v>
      </c>
      <c r="BR13" s="31">
        <v>0</v>
      </c>
      <c r="BS13" s="31">
        <v>18</v>
      </c>
      <c r="BT13" s="31">
        <v>132</v>
      </c>
      <c r="BU13" s="28">
        <v>683240</v>
      </c>
      <c r="BV13" s="31">
        <v>170</v>
      </c>
      <c r="BW13" s="28"/>
      <c r="BX13" s="31">
        <v>0</v>
      </c>
      <c r="BY13" s="28">
        <v>879910</v>
      </c>
      <c r="BZ13" s="31">
        <v>190</v>
      </c>
      <c r="CA13" s="22">
        <v>29046</v>
      </c>
      <c r="CB13" s="31">
        <v>37</v>
      </c>
      <c r="CC13" s="36">
        <v>40</v>
      </c>
      <c r="CD13" s="31">
        <v>360</v>
      </c>
      <c r="CE13" s="37">
        <v>59</v>
      </c>
      <c r="CF13" s="22">
        <v>166</v>
      </c>
      <c r="CG13" s="55">
        <v>21748.407406629569</v>
      </c>
      <c r="CH13" s="38"/>
      <c r="CI13" s="56">
        <v>0</v>
      </c>
      <c r="CJ13" s="25">
        <v>3018758</v>
      </c>
      <c r="CK13" s="31">
        <v>1588</v>
      </c>
      <c r="CL13" s="36">
        <v>9067.48</v>
      </c>
      <c r="CM13" s="33">
        <v>80</v>
      </c>
      <c r="CN13" s="39">
        <v>8620</v>
      </c>
      <c r="CO13" s="25">
        <v>80</v>
      </c>
      <c r="CP13" s="57">
        <v>8620</v>
      </c>
      <c r="CQ13" s="33">
        <v>80</v>
      </c>
      <c r="CR13" s="58">
        <v>8620</v>
      </c>
      <c r="CS13" s="59">
        <v>25860</v>
      </c>
      <c r="CT13" s="40">
        <v>1077.5</v>
      </c>
      <c r="CU13" s="28"/>
      <c r="CV13" s="25">
        <v>52149</v>
      </c>
      <c r="CW13" s="31">
        <v>35</v>
      </c>
      <c r="CX13" s="36">
        <v>199.85</v>
      </c>
      <c r="CY13" s="46">
        <v>36755</v>
      </c>
      <c r="CZ13" s="31">
        <v>5</v>
      </c>
      <c r="DA13" s="36">
        <v>28.55</v>
      </c>
      <c r="DB13" s="25">
        <v>17341</v>
      </c>
      <c r="DC13" s="31">
        <v>15</v>
      </c>
      <c r="DD13" s="36">
        <v>85.65</v>
      </c>
      <c r="DE13" s="25">
        <v>870463</v>
      </c>
      <c r="DF13" s="31">
        <v>120</v>
      </c>
      <c r="DG13" s="36">
        <v>685.2</v>
      </c>
      <c r="DH13" s="28">
        <v>13436</v>
      </c>
      <c r="DI13" s="31">
        <v>10</v>
      </c>
      <c r="DJ13" s="36">
        <v>57.1</v>
      </c>
      <c r="DK13" s="25">
        <v>12162</v>
      </c>
      <c r="DL13" s="31">
        <v>7</v>
      </c>
      <c r="DM13" s="36">
        <v>39.97</v>
      </c>
      <c r="DN13" s="25">
        <v>7677</v>
      </c>
      <c r="DO13" s="31">
        <v>5</v>
      </c>
      <c r="DP13" s="36">
        <v>28.55</v>
      </c>
      <c r="DQ13" s="25">
        <v>2534</v>
      </c>
      <c r="DR13" s="31">
        <v>1</v>
      </c>
      <c r="DS13" s="36">
        <v>5.71</v>
      </c>
      <c r="DT13" s="25">
        <v>9718</v>
      </c>
      <c r="DU13" s="31">
        <v>7</v>
      </c>
      <c r="DV13" s="36">
        <v>39.97</v>
      </c>
      <c r="DW13" s="25">
        <v>8636</v>
      </c>
      <c r="DX13" s="31">
        <v>7</v>
      </c>
      <c r="DY13" s="36">
        <v>39.97</v>
      </c>
      <c r="DZ13" s="25">
        <v>9228</v>
      </c>
      <c r="EA13" s="31">
        <v>7</v>
      </c>
      <c r="EB13" s="36">
        <v>39.97</v>
      </c>
      <c r="EC13" s="25">
        <v>9352</v>
      </c>
      <c r="ED13" s="31">
        <v>6</v>
      </c>
      <c r="EE13" s="36">
        <v>34.26</v>
      </c>
      <c r="EF13" s="38"/>
      <c r="EG13" s="36">
        <v>0</v>
      </c>
      <c r="EH13" s="38"/>
      <c r="EI13" s="36">
        <v>0</v>
      </c>
      <c r="EJ13" s="41"/>
      <c r="EK13" s="36">
        <v>0</v>
      </c>
      <c r="EL13" s="22"/>
      <c r="EM13" s="36">
        <v>0</v>
      </c>
      <c r="EN13" s="41">
        <v>85</v>
      </c>
      <c r="EO13" s="42">
        <v>209</v>
      </c>
      <c r="EP13" s="60">
        <v>0.70499999999999996</v>
      </c>
      <c r="EQ13" s="48"/>
      <c r="ER13" s="49"/>
      <c r="ES13" s="50"/>
      <c r="ET13" s="51"/>
      <c r="EU13" s="51"/>
      <c r="EV13" s="51"/>
    </row>
    <row r="14" spans="1:152" s="16" customFormat="1" ht="15.75" thickBot="1" x14ac:dyDescent="0.3">
      <c r="A14" s="21">
        <v>44906</v>
      </c>
      <c r="B14" s="29">
        <v>7879436</v>
      </c>
      <c r="C14" s="23">
        <v>21113</v>
      </c>
      <c r="D14" s="24">
        <v>6763105</v>
      </c>
      <c r="E14" s="23">
        <v>20830</v>
      </c>
      <c r="F14" s="44">
        <v>0.98659593615308105</v>
      </c>
      <c r="G14" s="24">
        <v>1150</v>
      </c>
      <c r="H14" s="24">
        <v>1170</v>
      </c>
      <c r="I14" s="24">
        <v>295519</v>
      </c>
      <c r="J14" s="26">
        <v>26</v>
      </c>
      <c r="K14" s="27">
        <v>818</v>
      </c>
      <c r="L14" s="26">
        <v>0</v>
      </c>
      <c r="M14" s="28">
        <v>651200</v>
      </c>
      <c r="N14" s="26">
        <v>731</v>
      </c>
      <c r="O14" s="28">
        <v>1058</v>
      </c>
      <c r="P14" s="26">
        <v>10</v>
      </c>
      <c r="Q14" s="28">
        <v>4940200</v>
      </c>
      <c r="R14" s="26">
        <v>10100</v>
      </c>
      <c r="S14" s="28">
        <v>4410100</v>
      </c>
      <c r="T14" s="26">
        <v>10100</v>
      </c>
      <c r="U14" s="28">
        <v>3106875</v>
      </c>
      <c r="V14" s="26">
        <v>772</v>
      </c>
      <c r="W14" s="28">
        <v>2397701</v>
      </c>
      <c r="X14" s="26">
        <v>585</v>
      </c>
      <c r="Y14" s="28">
        <v>353078</v>
      </c>
      <c r="Z14" s="26">
        <v>99</v>
      </c>
      <c r="AA14" s="53"/>
      <c r="AB14" s="54">
        <v>0.66666666666666663</v>
      </c>
      <c r="AC14" s="30">
        <v>266.66666666666663</v>
      </c>
      <c r="AD14" s="121">
        <v>8</v>
      </c>
      <c r="AE14" s="28">
        <v>15526</v>
      </c>
      <c r="AF14" s="26">
        <v>194</v>
      </c>
      <c r="AG14" s="22">
        <v>612020</v>
      </c>
      <c r="AH14" s="31">
        <v>440</v>
      </c>
      <c r="AI14" s="28">
        <v>87</v>
      </c>
      <c r="AJ14" s="32">
        <v>0</v>
      </c>
      <c r="AK14" s="28">
        <v>6658</v>
      </c>
      <c r="AL14" s="32">
        <v>4</v>
      </c>
      <c r="AM14" s="17">
        <v>96578</v>
      </c>
      <c r="AN14" s="32">
        <v>158</v>
      </c>
      <c r="AO14" s="17"/>
      <c r="AP14" s="32">
        <v>0</v>
      </c>
      <c r="AQ14" s="28">
        <v>668640</v>
      </c>
      <c r="AR14" s="26">
        <v>170</v>
      </c>
      <c r="AS14" s="35">
        <v>10052</v>
      </c>
      <c r="AT14" s="26">
        <v>27</v>
      </c>
      <c r="AU14" s="34">
        <v>630</v>
      </c>
      <c r="AV14" s="26">
        <v>23</v>
      </c>
      <c r="AW14" s="27">
        <v>9741</v>
      </c>
      <c r="AX14" s="26">
        <v>2</v>
      </c>
      <c r="AY14" s="28">
        <v>11555</v>
      </c>
      <c r="AZ14" s="26">
        <v>3</v>
      </c>
      <c r="BA14" s="28">
        <v>21290</v>
      </c>
      <c r="BB14" s="26">
        <v>7</v>
      </c>
      <c r="BC14" s="28">
        <v>22258</v>
      </c>
      <c r="BD14" s="26">
        <v>7</v>
      </c>
      <c r="BE14" s="22">
        <v>73</v>
      </c>
      <c r="BF14" s="31">
        <v>3</v>
      </c>
      <c r="BG14" s="28">
        <v>15228</v>
      </c>
      <c r="BH14" s="31">
        <v>1</v>
      </c>
      <c r="BI14" s="28">
        <v>7042</v>
      </c>
      <c r="BJ14" s="31">
        <v>1</v>
      </c>
      <c r="BK14" s="28">
        <v>29157</v>
      </c>
      <c r="BL14" s="31">
        <v>8</v>
      </c>
      <c r="BM14" s="28">
        <v>6678</v>
      </c>
      <c r="BN14" s="31">
        <v>5</v>
      </c>
      <c r="BO14" s="28">
        <v>41987</v>
      </c>
      <c r="BP14" s="31">
        <v>39</v>
      </c>
      <c r="BQ14" s="28">
        <v>3641</v>
      </c>
      <c r="BR14" s="31">
        <v>0</v>
      </c>
      <c r="BS14" s="31">
        <v>11</v>
      </c>
      <c r="BT14" s="31">
        <v>159</v>
      </c>
      <c r="BU14" s="28">
        <v>683440</v>
      </c>
      <c r="BV14" s="31">
        <v>200</v>
      </c>
      <c r="BW14" s="28"/>
      <c r="BX14" s="31">
        <v>0</v>
      </c>
      <c r="BY14" s="28">
        <v>880130</v>
      </c>
      <c r="BZ14" s="31">
        <v>220</v>
      </c>
      <c r="CA14" s="22">
        <v>29093</v>
      </c>
      <c r="CB14" s="31">
        <v>47</v>
      </c>
      <c r="CC14" s="36">
        <v>50</v>
      </c>
      <c r="CD14" s="31">
        <v>420</v>
      </c>
      <c r="CE14" s="37">
        <v>52</v>
      </c>
      <c r="CF14" s="22">
        <v>166</v>
      </c>
      <c r="CG14" s="55">
        <v>21748.407406629569</v>
      </c>
      <c r="CH14" s="38"/>
      <c r="CI14" s="56">
        <v>0</v>
      </c>
      <c r="CJ14" s="25">
        <v>3020577</v>
      </c>
      <c r="CK14" s="31">
        <v>1819</v>
      </c>
      <c r="CL14" s="36">
        <v>10386.49</v>
      </c>
      <c r="CM14" s="33">
        <v>79</v>
      </c>
      <c r="CN14" s="39">
        <v>8512.25</v>
      </c>
      <c r="CO14" s="25">
        <v>76</v>
      </c>
      <c r="CP14" s="57">
        <v>8189</v>
      </c>
      <c r="CQ14" s="33">
        <v>76</v>
      </c>
      <c r="CR14" s="58">
        <v>8189</v>
      </c>
      <c r="CS14" s="59">
        <v>24890.25</v>
      </c>
      <c r="CT14" s="40">
        <v>969.75</v>
      </c>
      <c r="CU14" s="28"/>
      <c r="CV14" s="25">
        <v>52184</v>
      </c>
      <c r="CW14" s="31">
        <v>35</v>
      </c>
      <c r="CX14" s="36">
        <v>199.85</v>
      </c>
      <c r="CY14" s="46">
        <v>36755</v>
      </c>
      <c r="CZ14" s="31">
        <v>0</v>
      </c>
      <c r="DA14" s="36">
        <v>0</v>
      </c>
      <c r="DB14" s="25">
        <v>17355</v>
      </c>
      <c r="DC14" s="31">
        <v>14</v>
      </c>
      <c r="DD14" s="36">
        <v>79.94</v>
      </c>
      <c r="DE14" s="25">
        <v>870576</v>
      </c>
      <c r="DF14" s="31">
        <v>113</v>
      </c>
      <c r="DG14" s="36">
        <v>645.23</v>
      </c>
      <c r="DH14" s="28">
        <v>13446</v>
      </c>
      <c r="DI14" s="31">
        <v>10</v>
      </c>
      <c r="DJ14" s="36">
        <v>57.1</v>
      </c>
      <c r="DK14" s="25">
        <v>12167</v>
      </c>
      <c r="DL14" s="31">
        <v>5</v>
      </c>
      <c r="DM14" s="36">
        <v>28.55</v>
      </c>
      <c r="DN14" s="25">
        <v>7682</v>
      </c>
      <c r="DO14" s="31">
        <v>5</v>
      </c>
      <c r="DP14" s="36">
        <v>28.55</v>
      </c>
      <c r="DQ14" s="25">
        <v>2536</v>
      </c>
      <c r="DR14" s="31">
        <v>2</v>
      </c>
      <c r="DS14" s="36">
        <v>11.42</v>
      </c>
      <c r="DT14" s="25">
        <v>9725</v>
      </c>
      <c r="DU14" s="31">
        <v>7</v>
      </c>
      <c r="DV14" s="36">
        <v>39.97</v>
      </c>
      <c r="DW14" s="25">
        <v>8640</v>
      </c>
      <c r="DX14" s="31">
        <v>4</v>
      </c>
      <c r="DY14" s="36">
        <v>22.84</v>
      </c>
      <c r="DZ14" s="25">
        <v>9235</v>
      </c>
      <c r="EA14" s="31">
        <v>7</v>
      </c>
      <c r="EB14" s="36">
        <v>39.97</v>
      </c>
      <c r="EC14" s="25">
        <v>9357</v>
      </c>
      <c r="ED14" s="31">
        <v>5</v>
      </c>
      <c r="EE14" s="36">
        <v>28.55</v>
      </c>
      <c r="EF14" s="38"/>
      <c r="EG14" s="36"/>
      <c r="EH14" s="38"/>
      <c r="EI14" s="36"/>
      <c r="EJ14" s="41"/>
      <c r="EK14" s="36"/>
      <c r="EL14" s="22"/>
      <c r="EM14" s="36"/>
      <c r="EN14" s="41">
        <v>86</v>
      </c>
      <c r="EO14" s="42">
        <v>220</v>
      </c>
      <c r="EP14" s="60">
        <v>0.76100000000000001</v>
      </c>
      <c r="EQ14" s="48"/>
      <c r="ER14" s="49"/>
      <c r="ES14" s="50"/>
      <c r="ET14" s="51"/>
      <c r="EU14" s="51"/>
      <c r="EV14" s="51"/>
    </row>
    <row r="15" spans="1:152" s="16" customFormat="1" ht="15.75" thickBot="1" x14ac:dyDescent="0.3">
      <c r="A15" s="21">
        <v>44907</v>
      </c>
      <c r="B15" s="29">
        <v>7905708</v>
      </c>
      <c r="C15" s="23">
        <v>26272</v>
      </c>
      <c r="D15" s="24">
        <v>6788894</v>
      </c>
      <c r="E15" s="23">
        <v>25789</v>
      </c>
      <c r="F15" s="44">
        <v>0.98161540803897684</v>
      </c>
      <c r="G15" s="24">
        <v>1172</v>
      </c>
      <c r="H15" s="24">
        <v>1170</v>
      </c>
      <c r="I15" s="24">
        <v>296149</v>
      </c>
      <c r="J15" s="26">
        <v>630</v>
      </c>
      <c r="K15" s="27">
        <v>820</v>
      </c>
      <c r="L15" s="26">
        <v>2</v>
      </c>
      <c r="M15" s="28">
        <v>651909</v>
      </c>
      <c r="N15" s="26">
        <v>709</v>
      </c>
      <c r="O15" s="28">
        <v>1049</v>
      </c>
      <c r="P15" s="26" t="s">
        <v>146</v>
      </c>
      <c r="Q15" s="28">
        <v>4951500</v>
      </c>
      <c r="R15" s="26">
        <v>11300</v>
      </c>
      <c r="S15" s="28">
        <v>4422200</v>
      </c>
      <c r="T15" s="26">
        <v>12100</v>
      </c>
      <c r="U15" s="28">
        <v>3108744</v>
      </c>
      <c r="V15" s="26">
        <v>1869</v>
      </c>
      <c r="W15" s="28">
        <v>2398326</v>
      </c>
      <c r="X15" s="26">
        <v>625</v>
      </c>
      <c r="Y15" s="28">
        <v>353162</v>
      </c>
      <c r="Z15" s="26">
        <v>84</v>
      </c>
      <c r="AA15" s="53"/>
      <c r="AB15" s="54">
        <v>0.72222222222222221</v>
      </c>
      <c r="AC15" s="30">
        <v>288.88888888888886</v>
      </c>
      <c r="AD15" s="121">
        <v>14</v>
      </c>
      <c r="AE15" s="28">
        <v>16144</v>
      </c>
      <c r="AF15" s="26">
        <v>618</v>
      </c>
      <c r="AG15" s="22">
        <v>612580</v>
      </c>
      <c r="AH15" s="31">
        <v>560</v>
      </c>
      <c r="AI15" s="28">
        <v>88</v>
      </c>
      <c r="AJ15" s="32">
        <v>1</v>
      </c>
      <c r="AK15" s="28">
        <v>6667</v>
      </c>
      <c r="AL15" s="32">
        <v>9</v>
      </c>
      <c r="AM15" s="17">
        <v>96690</v>
      </c>
      <c r="AN15" s="32">
        <v>112</v>
      </c>
      <c r="AO15" s="17"/>
      <c r="AP15" s="32">
        <v>0</v>
      </c>
      <c r="AQ15" s="28">
        <v>668850</v>
      </c>
      <c r="AR15" s="26">
        <v>210</v>
      </c>
      <c r="AS15" s="35">
        <v>10117</v>
      </c>
      <c r="AT15" s="26">
        <v>65</v>
      </c>
      <c r="AU15" s="34">
        <v>662</v>
      </c>
      <c r="AV15" s="26">
        <v>32</v>
      </c>
      <c r="AW15" s="27">
        <v>9744</v>
      </c>
      <c r="AX15" s="26">
        <v>3</v>
      </c>
      <c r="AY15" s="28">
        <v>11559</v>
      </c>
      <c r="AZ15" s="26">
        <v>4</v>
      </c>
      <c r="BA15" s="28">
        <v>21297</v>
      </c>
      <c r="BB15" s="26">
        <v>7</v>
      </c>
      <c r="BC15" s="28">
        <v>22264</v>
      </c>
      <c r="BD15" s="26">
        <v>6</v>
      </c>
      <c r="BE15" s="22">
        <v>76</v>
      </c>
      <c r="BF15" s="31">
        <v>3</v>
      </c>
      <c r="BG15" s="28">
        <v>15231</v>
      </c>
      <c r="BH15" s="31">
        <v>3</v>
      </c>
      <c r="BI15" s="28">
        <v>7043</v>
      </c>
      <c r="BJ15" s="31">
        <v>1</v>
      </c>
      <c r="BK15" s="28">
        <v>29161</v>
      </c>
      <c r="BL15" s="31">
        <v>4</v>
      </c>
      <c r="BM15" s="28">
        <v>6683</v>
      </c>
      <c r="BN15" s="31">
        <v>5</v>
      </c>
      <c r="BO15" s="28">
        <v>42048</v>
      </c>
      <c r="BP15" s="31">
        <v>61</v>
      </c>
      <c r="BQ15" s="28">
        <v>3641</v>
      </c>
      <c r="BR15" s="31">
        <v>0</v>
      </c>
      <c r="BS15" s="31">
        <v>13</v>
      </c>
      <c r="BT15" s="31">
        <v>197</v>
      </c>
      <c r="BU15" s="28">
        <v>683690</v>
      </c>
      <c r="BV15" s="31">
        <v>250</v>
      </c>
      <c r="BW15" s="28"/>
      <c r="BX15" s="31">
        <v>0</v>
      </c>
      <c r="BY15" s="28">
        <v>880410</v>
      </c>
      <c r="BZ15" s="31">
        <v>280</v>
      </c>
      <c r="CA15" s="22">
        <v>29126</v>
      </c>
      <c r="CB15" s="31">
        <v>33</v>
      </c>
      <c r="CC15" s="36">
        <v>70</v>
      </c>
      <c r="CD15" s="31">
        <v>530</v>
      </c>
      <c r="CE15" s="37">
        <v>64</v>
      </c>
      <c r="CF15" s="22">
        <v>164</v>
      </c>
      <c r="CG15" s="55">
        <v>21465.037245596908</v>
      </c>
      <c r="CH15" s="38"/>
      <c r="CI15" s="56">
        <v>283.37016103266069</v>
      </c>
      <c r="CJ15" s="25">
        <v>3022964</v>
      </c>
      <c r="CK15" s="31">
        <v>2387</v>
      </c>
      <c r="CL15" s="36">
        <v>13629.77</v>
      </c>
      <c r="CM15" s="33">
        <v>74</v>
      </c>
      <c r="CN15" s="39">
        <v>7973.5</v>
      </c>
      <c r="CO15" s="25">
        <v>74</v>
      </c>
      <c r="CP15" s="57">
        <v>7973.5</v>
      </c>
      <c r="CQ15" s="33">
        <v>72</v>
      </c>
      <c r="CR15" s="58">
        <v>7758</v>
      </c>
      <c r="CS15" s="59">
        <v>23705</v>
      </c>
      <c r="CT15" s="40">
        <v>1185.25</v>
      </c>
      <c r="CU15" s="28"/>
      <c r="CV15" s="25">
        <v>52223</v>
      </c>
      <c r="CW15" s="31">
        <v>39</v>
      </c>
      <c r="CX15" s="36">
        <v>222.69</v>
      </c>
      <c r="CY15" s="46">
        <v>36755</v>
      </c>
      <c r="CZ15" s="31">
        <v>0</v>
      </c>
      <c r="DA15" s="36">
        <v>0</v>
      </c>
      <c r="DB15" s="25">
        <v>17370</v>
      </c>
      <c r="DC15" s="31">
        <v>15</v>
      </c>
      <c r="DD15" s="36">
        <v>85.65</v>
      </c>
      <c r="DE15" s="25">
        <v>870696</v>
      </c>
      <c r="DF15" s="31">
        <v>120</v>
      </c>
      <c r="DG15" s="36">
        <v>685.2</v>
      </c>
      <c r="DH15" s="28">
        <v>13457</v>
      </c>
      <c r="DI15" s="31">
        <v>11</v>
      </c>
      <c r="DJ15" s="36">
        <v>62.81</v>
      </c>
      <c r="DK15" s="25">
        <v>12174</v>
      </c>
      <c r="DL15" s="31">
        <v>7</v>
      </c>
      <c r="DM15" s="36">
        <v>39.97</v>
      </c>
      <c r="DN15" s="25">
        <v>7687</v>
      </c>
      <c r="DO15" s="31">
        <v>5</v>
      </c>
      <c r="DP15" s="36">
        <v>28.55</v>
      </c>
      <c r="DQ15" s="25">
        <v>2537</v>
      </c>
      <c r="DR15" s="31">
        <v>1</v>
      </c>
      <c r="DS15" s="36">
        <v>5.71</v>
      </c>
      <c r="DT15" s="25">
        <v>9734</v>
      </c>
      <c r="DU15" s="31">
        <v>9</v>
      </c>
      <c r="DV15" s="36">
        <v>51.39</v>
      </c>
      <c r="DW15" s="25">
        <v>8647</v>
      </c>
      <c r="DX15" s="31">
        <v>7</v>
      </c>
      <c r="DY15" s="36">
        <v>39.97</v>
      </c>
      <c r="DZ15" s="25">
        <v>9243</v>
      </c>
      <c r="EA15" s="31">
        <v>8</v>
      </c>
      <c r="EB15" s="36">
        <v>45.68</v>
      </c>
      <c r="EC15" s="25">
        <v>9364</v>
      </c>
      <c r="ED15" s="31">
        <v>7</v>
      </c>
      <c r="EE15" s="36">
        <v>39.97</v>
      </c>
      <c r="EF15" s="38"/>
      <c r="EG15" s="36">
        <v>0</v>
      </c>
      <c r="EH15" s="38"/>
      <c r="EI15" s="36">
        <v>0</v>
      </c>
      <c r="EJ15" s="41"/>
      <c r="EK15" s="36">
        <v>0</v>
      </c>
      <c r="EL15" s="22"/>
      <c r="EM15" s="36">
        <v>0</v>
      </c>
      <c r="EN15" s="41">
        <v>82</v>
      </c>
      <c r="EO15" s="42">
        <v>210</v>
      </c>
      <c r="EP15" s="60">
        <v>0.72199999999999998</v>
      </c>
      <c r="EQ15" s="48"/>
      <c r="ER15" s="49"/>
      <c r="ES15" s="50"/>
      <c r="ET15" s="51"/>
      <c r="EU15" s="51"/>
      <c r="EV15" s="51"/>
    </row>
    <row r="16" spans="1:152" s="16" customFormat="1" ht="15.75" thickBot="1" x14ac:dyDescent="0.3">
      <c r="A16" s="21">
        <v>44908</v>
      </c>
      <c r="B16" s="29">
        <v>7929996</v>
      </c>
      <c r="C16" s="23">
        <v>24288</v>
      </c>
      <c r="D16" s="24">
        <v>6812736</v>
      </c>
      <c r="E16" s="23">
        <v>23842</v>
      </c>
      <c r="F16" s="44">
        <v>0.98163702239789197</v>
      </c>
      <c r="G16" s="24">
        <v>1172</v>
      </c>
      <c r="H16" s="24">
        <v>1170</v>
      </c>
      <c r="I16" s="24">
        <v>296149</v>
      </c>
      <c r="J16" s="26">
        <v>0</v>
      </c>
      <c r="K16" s="27">
        <v>820</v>
      </c>
      <c r="L16" s="26">
        <v>0</v>
      </c>
      <c r="M16" s="28">
        <v>651909</v>
      </c>
      <c r="N16" s="26">
        <v>0</v>
      </c>
      <c r="O16" s="28">
        <v>1049</v>
      </c>
      <c r="P16" s="26">
        <v>0</v>
      </c>
      <c r="Q16" s="28">
        <v>4962100</v>
      </c>
      <c r="R16" s="26">
        <v>10600</v>
      </c>
      <c r="S16" s="28">
        <v>4433200</v>
      </c>
      <c r="T16" s="26">
        <v>11000</v>
      </c>
      <c r="U16" s="28">
        <v>3110601</v>
      </c>
      <c r="V16" s="26">
        <v>1857</v>
      </c>
      <c r="W16" s="28">
        <v>2398836</v>
      </c>
      <c r="X16" s="26">
        <v>510</v>
      </c>
      <c r="Y16" s="28">
        <v>353285</v>
      </c>
      <c r="Z16" s="26">
        <v>123</v>
      </c>
      <c r="AA16" s="53"/>
      <c r="AB16" s="54">
        <v>0.77777777777777779</v>
      </c>
      <c r="AC16" s="30">
        <v>311.11111111111114</v>
      </c>
      <c r="AD16" s="121">
        <v>13</v>
      </c>
      <c r="AE16" s="28">
        <v>16389</v>
      </c>
      <c r="AF16" s="26">
        <v>245</v>
      </c>
      <c r="AG16" s="22">
        <v>612990</v>
      </c>
      <c r="AH16" s="31">
        <v>410</v>
      </c>
      <c r="AI16" s="28">
        <v>88</v>
      </c>
      <c r="AJ16" s="32">
        <v>0</v>
      </c>
      <c r="AK16" s="28">
        <v>6677</v>
      </c>
      <c r="AL16" s="32">
        <v>10</v>
      </c>
      <c r="AM16" s="17">
        <v>96859</v>
      </c>
      <c r="AN16" s="32">
        <v>169</v>
      </c>
      <c r="AO16" s="17"/>
      <c r="AP16" s="32">
        <v>0</v>
      </c>
      <c r="AQ16" s="28">
        <v>669030</v>
      </c>
      <c r="AR16" s="26">
        <v>180</v>
      </c>
      <c r="AS16" s="35">
        <v>10162</v>
      </c>
      <c r="AT16" s="26">
        <v>45</v>
      </c>
      <c r="AU16" s="34">
        <v>688</v>
      </c>
      <c r="AV16" s="26">
        <v>26</v>
      </c>
      <c r="AW16" s="27">
        <v>9747</v>
      </c>
      <c r="AX16" s="26">
        <v>3</v>
      </c>
      <c r="AY16" s="28">
        <v>11560</v>
      </c>
      <c r="AZ16" s="26">
        <v>1</v>
      </c>
      <c r="BA16" s="28">
        <v>21306</v>
      </c>
      <c r="BB16" s="26">
        <v>9</v>
      </c>
      <c r="BC16" s="28">
        <v>22269</v>
      </c>
      <c r="BD16" s="26">
        <v>5</v>
      </c>
      <c r="BE16" s="22">
        <v>78</v>
      </c>
      <c r="BF16" s="31">
        <v>2</v>
      </c>
      <c r="BG16" s="28">
        <v>15233</v>
      </c>
      <c r="BH16" s="31">
        <v>2</v>
      </c>
      <c r="BI16" s="28">
        <v>7044</v>
      </c>
      <c r="BJ16" s="31">
        <v>1</v>
      </c>
      <c r="BK16" s="28">
        <v>29163</v>
      </c>
      <c r="BL16" s="31">
        <v>2</v>
      </c>
      <c r="BM16" s="28">
        <v>6689</v>
      </c>
      <c r="BN16" s="31">
        <v>6</v>
      </c>
      <c r="BO16" s="28">
        <v>42103</v>
      </c>
      <c r="BP16" s="31">
        <v>55</v>
      </c>
      <c r="BQ16" s="28">
        <v>3641</v>
      </c>
      <c r="BR16" s="31">
        <v>0</v>
      </c>
      <c r="BS16" s="31">
        <v>13</v>
      </c>
      <c r="BT16" s="31">
        <v>167</v>
      </c>
      <c r="BU16" s="28">
        <v>683870</v>
      </c>
      <c r="BV16" s="31">
        <v>180</v>
      </c>
      <c r="BW16" s="28"/>
      <c r="BX16" s="31">
        <v>0</v>
      </c>
      <c r="BY16" s="28">
        <v>880620</v>
      </c>
      <c r="BZ16" s="31">
        <v>210</v>
      </c>
      <c r="CA16" s="22">
        <v>29168</v>
      </c>
      <c r="CB16" s="31">
        <v>42</v>
      </c>
      <c r="CC16" s="36">
        <v>30</v>
      </c>
      <c r="CD16" s="31">
        <v>390</v>
      </c>
      <c r="CE16" s="37">
        <v>55</v>
      </c>
      <c r="CF16" s="22">
        <v>164</v>
      </c>
      <c r="CG16" s="55">
        <v>21465.037245596908</v>
      </c>
      <c r="CH16" s="38"/>
      <c r="CI16" s="56">
        <v>0</v>
      </c>
      <c r="CJ16" s="25">
        <v>3024427</v>
      </c>
      <c r="CK16" s="31">
        <v>1463</v>
      </c>
      <c r="CL16" s="36">
        <v>8353.73</v>
      </c>
      <c r="CM16" s="33">
        <v>71</v>
      </c>
      <c r="CN16" s="39">
        <v>7650.25</v>
      </c>
      <c r="CO16" s="25">
        <v>72</v>
      </c>
      <c r="CP16" s="57">
        <v>7758</v>
      </c>
      <c r="CQ16" s="33">
        <v>71</v>
      </c>
      <c r="CR16" s="58">
        <v>7650.25</v>
      </c>
      <c r="CS16" s="59">
        <v>23058.5</v>
      </c>
      <c r="CT16" s="40">
        <v>646.5</v>
      </c>
      <c r="CU16" s="28"/>
      <c r="CV16" s="25">
        <v>52258</v>
      </c>
      <c r="CW16" s="31">
        <v>35</v>
      </c>
      <c r="CX16" s="36">
        <v>199.85</v>
      </c>
      <c r="CY16" s="46">
        <v>36759</v>
      </c>
      <c r="CZ16" s="31">
        <v>4</v>
      </c>
      <c r="DA16" s="36">
        <v>22.84</v>
      </c>
      <c r="DB16" s="25">
        <v>17384</v>
      </c>
      <c r="DC16" s="31">
        <v>14</v>
      </c>
      <c r="DD16" s="36">
        <v>79.94</v>
      </c>
      <c r="DE16" s="25">
        <v>870790</v>
      </c>
      <c r="DF16" s="31">
        <v>94</v>
      </c>
      <c r="DG16" s="36">
        <v>536.74</v>
      </c>
      <c r="DH16" s="28">
        <v>13465</v>
      </c>
      <c r="DI16" s="31">
        <v>8</v>
      </c>
      <c r="DJ16" s="36">
        <v>45.68</v>
      </c>
      <c r="DK16" s="25">
        <v>12180</v>
      </c>
      <c r="DL16" s="31">
        <v>6</v>
      </c>
      <c r="DM16" s="36">
        <v>34.26</v>
      </c>
      <c r="DN16" s="25">
        <v>7691</v>
      </c>
      <c r="DO16" s="31">
        <v>4</v>
      </c>
      <c r="DP16" s="36">
        <v>22.84</v>
      </c>
      <c r="DQ16" s="25">
        <v>2539</v>
      </c>
      <c r="DR16" s="31">
        <v>2</v>
      </c>
      <c r="DS16" s="36">
        <v>11.42</v>
      </c>
      <c r="DT16" s="25">
        <v>9740</v>
      </c>
      <c r="DU16" s="31">
        <v>6</v>
      </c>
      <c r="DV16" s="36">
        <v>34.26</v>
      </c>
      <c r="DW16" s="25">
        <v>8654</v>
      </c>
      <c r="DX16" s="31">
        <v>7</v>
      </c>
      <c r="DY16" s="36">
        <v>39.97</v>
      </c>
      <c r="DZ16" s="25">
        <v>9250</v>
      </c>
      <c r="EA16" s="31">
        <v>7</v>
      </c>
      <c r="EB16" s="36">
        <v>39.97</v>
      </c>
      <c r="EC16" s="25">
        <v>9371</v>
      </c>
      <c r="ED16" s="31">
        <v>7</v>
      </c>
      <c r="EE16" s="36">
        <v>39.97</v>
      </c>
      <c r="EF16" s="38"/>
      <c r="EG16" s="36">
        <v>0</v>
      </c>
      <c r="EH16" s="38"/>
      <c r="EI16" s="36">
        <v>0</v>
      </c>
      <c r="EJ16" s="41"/>
      <c r="EK16" s="36">
        <v>0</v>
      </c>
      <c r="EL16" s="22"/>
      <c r="EM16" s="36">
        <v>0</v>
      </c>
      <c r="EN16" s="41">
        <v>84</v>
      </c>
      <c r="EO16" s="42">
        <v>215</v>
      </c>
      <c r="EP16" s="60">
        <v>0.75</v>
      </c>
      <c r="EQ16" s="48"/>
      <c r="ER16" s="49"/>
      <c r="ES16" s="50"/>
      <c r="ET16" s="51"/>
      <c r="EU16" s="51"/>
      <c r="EV16" s="51"/>
    </row>
    <row r="17" spans="1:154" s="19" customFormat="1" ht="15.75" thickBot="1" x14ac:dyDescent="0.3">
      <c r="A17" s="21">
        <v>44909</v>
      </c>
      <c r="B17" s="29">
        <v>7954924</v>
      </c>
      <c r="C17" s="23">
        <v>24928</v>
      </c>
      <c r="D17" s="24">
        <v>6837219</v>
      </c>
      <c r="E17" s="23">
        <v>24483</v>
      </c>
      <c r="F17" s="44">
        <v>0.98214858793324777</v>
      </c>
      <c r="G17" s="24">
        <v>1184</v>
      </c>
      <c r="H17" s="24">
        <v>1170</v>
      </c>
      <c r="I17" s="24">
        <v>296149</v>
      </c>
      <c r="J17" s="26">
        <v>0</v>
      </c>
      <c r="K17" s="27">
        <v>820</v>
      </c>
      <c r="L17" s="26">
        <v>0</v>
      </c>
      <c r="M17" s="28">
        <v>651909</v>
      </c>
      <c r="N17" s="26">
        <v>0</v>
      </c>
      <c r="O17" s="28">
        <v>1050</v>
      </c>
      <c r="P17" s="26">
        <v>1</v>
      </c>
      <c r="Q17" s="28">
        <v>4973100</v>
      </c>
      <c r="R17" s="26">
        <v>11000</v>
      </c>
      <c r="S17" s="28">
        <v>4444400</v>
      </c>
      <c r="T17" s="26">
        <v>11200</v>
      </c>
      <c r="U17" s="28">
        <v>3112059</v>
      </c>
      <c r="V17" s="26">
        <v>1458</v>
      </c>
      <c r="W17" s="28">
        <v>2399405</v>
      </c>
      <c r="X17" s="26">
        <v>569</v>
      </c>
      <c r="Y17" s="28">
        <v>353304</v>
      </c>
      <c r="Z17" s="26">
        <v>19</v>
      </c>
      <c r="AA17" s="53"/>
      <c r="AB17" s="54">
        <v>0.83333333333333337</v>
      </c>
      <c r="AC17" s="30">
        <v>333.33333333333337</v>
      </c>
      <c r="AD17" s="121">
        <v>11</v>
      </c>
      <c r="AE17" s="28">
        <v>16774</v>
      </c>
      <c r="AF17" s="26">
        <v>385</v>
      </c>
      <c r="AG17" s="22">
        <v>613370</v>
      </c>
      <c r="AH17" s="31">
        <v>380</v>
      </c>
      <c r="AI17" s="28">
        <v>88</v>
      </c>
      <c r="AJ17" s="32">
        <v>0</v>
      </c>
      <c r="AK17" s="28">
        <v>6682</v>
      </c>
      <c r="AL17" s="32">
        <v>5</v>
      </c>
      <c r="AM17" s="17">
        <v>96914</v>
      </c>
      <c r="AN17" s="32">
        <v>55</v>
      </c>
      <c r="AO17" s="17"/>
      <c r="AP17" s="32">
        <v>0</v>
      </c>
      <c r="AQ17" s="28">
        <v>669210</v>
      </c>
      <c r="AR17" s="26">
        <v>180</v>
      </c>
      <c r="AS17" s="35">
        <v>10192</v>
      </c>
      <c r="AT17" s="26">
        <v>30</v>
      </c>
      <c r="AU17" s="34">
        <v>714</v>
      </c>
      <c r="AV17" s="26">
        <v>26</v>
      </c>
      <c r="AW17" s="27">
        <v>9750</v>
      </c>
      <c r="AX17" s="26">
        <v>3</v>
      </c>
      <c r="AY17" s="28">
        <v>11563</v>
      </c>
      <c r="AZ17" s="26">
        <v>3</v>
      </c>
      <c r="BA17" s="28">
        <v>21315</v>
      </c>
      <c r="BB17" s="26">
        <v>9</v>
      </c>
      <c r="BC17" s="28">
        <v>22274</v>
      </c>
      <c r="BD17" s="26">
        <v>5</v>
      </c>
      <c r="BE17" s="22">
        <v>80</v>
      </c>
      <c r="BF17" s="31">
        <v>2</v>
      </c>
      <c r="BG17" s="28">
        <v>15236</v>
      </c>
      <c r="BH17" s="31">
        <v>3</v>
      </c>
      <c r="BI17" s="28">
        <v>7044</v>
      </c>
      <c r="BJ17" s="31">
        <v>0</v>
      </c>
      <c r="BK17" s="28">
        <v>29171</v>
      </c>
      <c r="BL17" s="31">
        <v>8</v>
      </c>
      <c r="BM17" s="28">
        <v>6691</v>
      </c>
      <c r="BN17" s="31">
        <v>2</v>
      </c>
      <c r="BO17" s="28">
        <v>42152</v>
      </c>
      <c r="BP17" s="31">
        <v>49</v>
      </c>
      <c r="BQ17" s="28">
        <v>3641</v>
      </c>
      <c r="BR17" s="31">
        <v>0</v>
      </c>
      <c r="BS17" s="31">
        <v>14</v>
      </c>
      <c r="BT17" s="31">
        <v>166</v>
      </c>
      <c r="BU17" s="28">
        <v>684020</v>
      </c>
      <c r="BV17" s="31">
        <v>150</v>
      </c>
      <c r="BW17" s="28"/>
      <c r="BX17" s="31">
        <v>0</v>
      </c>
      <c r="BY17" s="28">
        <v>880840</v>
      </c>
      <c r="BZ17" s="31">
        <v>220</v>
      </c>
      <c r="CA17" s="22">
        <v>29201</v>
      </c>
      <c r="CB17" s="31">
        <v>33</v>
      </c>
      <c r="CC17" s="36">
        <v>40</v>
      </c>
      <c r="CD17" s="31">
        <v>370</v>
      </c>
      <c r="CE17" s="37">
        <v>53</v>
      </c>
      <c r="CF17" s="22">
        <v>164</v>
      </c>
      <c r="CG17" s="55">
        <v>21465.037245596908</v>
      </c>
      <c r="CH17" s="38"/>
      <c r="CI17" s="56">
        <v>0</v>
      </c>
      <c r="CJ17" s="25">
        <v>3026920</v>
      </c>
      <c r="CK17" s="31">
        <v>2493</v>
      </c>
      <c r="CL17" s="36">
        <v>14235.03</v>
      </c>
      <c r="CM17" s="33">
        <v>65</v>
      </c>
      <c r="CN17" s="39">
        <v>7003.75</v>
      </c>
      <c r="CO17" s="25">
        <v>66</v>
      </c>
      <c r="CP17" s="57">
        <v>7111.5</v>
      </c>
      <c r="CQ17" s="33">
        <v>65</v>
      </c>
      <c r="CR17" s="58">
        <v>7003.75</v>
      </c>
      <c r="CS17" s="59">
        <v>21119</v>
      </c>
      <c r="CT17" s="40">
        <v>1939.5</v>
      </c>
      <c r="CU17" s="28"/>
      <c r="CV17" s="25">
        <v>52298</v>
      </c>
      <c r="CW17" s="31">
        <v>40</v>
      </c>
      <c r="CX17" s="36">
        <v>228.4</v>
      </c>
      <c r="CY17" s="46">
        <v>36762</v>
      </c>
      <c r="CZ17" s="31">
        <v>3</v>
      </c>
      <c r="DA17" s="36">
        <v>17.13</v>
      </c>
      <c r="DB17" s="25">
        <v>17402</v>
      </c>
      <c r="DC17" s="31">
        <v>18</v>
      </c>
      <c r="DD17" s="36">
        <v>102.78</v>
      </c>
      <c r="DE17" s="25">
        <v>870903</v>
      </c>
      <c r="DF17" s="31">
        <v>113</v>
      </c>
      <c r="DG17" s="36">
        <v>645.23</v>
      </c>
      <c r="DH17" s="28">
        <v>13475</v>
      </c>
      <c r="DI17" s="31">
        <v>10</v>
      </c>
      <c r="DJ17" s="36">
        <v>57.1</v>
      </c>
      <c r="DK17" s="25">
        <v>12187</v>
      </c>
      <c r="DL17" s="31">
        <v>7</v>
      </c>
      <c r="DM17" s="36">
        <v>39.97</v>
      </c>
      <c r="DN17" s="25">
        <v>7697</v>
      </c>
      <c r="DO17" s="31">
        <v>6</v>
      </c>
      <c r="DP17" s="36">
        <v>34.26</v>
      </c>
      <c r="DQ17" s="25">
        <v>2540</v>
      </c>
      <c r="DR17" s="31">
        <v>1</v>
      </c>
      <c r="DS17" s="36">
        <v>5.71</v>
      </c>
      <c r="DT17" s="25">
        <v>9748</v>
      </c>
      <c r="DU17" s="31">
        <v>8</v>
      </c>
      <c r="DV17" s="36">
        <v>45.68</v>
      </c>
      <c r="DW17" s="25">
        <v>8660</v>
      </c>
      <c r="DX17" s="31">
        <v>6</v>
      </c>
      <c r="DY17" s="36">
        <v>34.26</v>
      </c>
      <c r="DZ17" s="25">
        <v>9257</v>
      </c>
      <c r="EA17" s="31">
        <v>7</v>
      </c>
      <c r="EB17" s="36">
        <v>39.97</v>
      </c>
      <c r="EC17" s="25">
        <v>9377</v>
      </c>
      <c r="ED17" s="31">
        <v>6</v>
      </c>
      <c r="EE17" s="36">
        <v>34.26</v>
      </c>
      <c r="EF17" s="38"/>
      <c r="EG17" s="36">
        <v>0</v>
      </c>
      <c r="EH17" s="38"/>
      <c r="EI17" s="36">
        <v>0</v>
      </c>
      <c r="EJ17" s="41"/>
      <c r="EK17" s="36">
        <v>0</v>
      </c>
      <c r="EL17" s="22"/>
      <c r="EM17" s="36">
        <v>0</v>
      </c>
      <c r="EN17" s="41">
        <v>84</v>
      </c>
      <c r="EO17" s="42">
        <v>215</v>
      </c>
      <c r="EP17" s="60">
        <v>0.75</v>
      </c>
      <c r="EQ17" s="48"/>
      <c r="ER17" s="49"/>
      <c r="ES17" s="50"/>
      <c r="ET17" s="51"/>
      <c r="EU17" s="51"/>
      <c r="EV17" s="51"/>
    </row>
    <row r="18" spans="1:154" s="16" customFormat="1" ht="15.75" thickBot="1" x14ac:dyDescent="0.3">
      <c r="A18" s="21">
        <v>44910</v>
      </c>
      <c r="B18" s="29">
        <v>7982204</v>
      </c>
      <c r="C18" s="23">
        <v>27280</v>
      </c>
      <c r="D18" s="24">
        <v>6864048</v>
      </c>
      <c r="E18" s="23">
        <v>26829</v>
      </c>
      <c r="F18" s="44">
        <v>0.98346774193548392</v>
      </c>
      <c r="G18" s="24">
        <v>1184</v>
      </c>
      <c r="H18" s="24">
        <v>1170</v>
      </c>
      <c r="I18" s="24">
        <v>296149</v>
      </c>
      <c r="J18" s="26">
        <v>0</v>
      </c>
      <c r="K18" s="27">
        <v>820</v>
      </c>
      <c r="L18" s="26">
        <v>0</v>
      </c>
      <c r="M18" s="28">
        <v>651909</v>
      </c>
      <c r="N18" s="26">
        <v>0</v>
      </c>
      <c r="O18" s="28">
        <v>1050</v>
      </c>
      <c r="P18" s="26">
        <v>0</v>
      </c>
      <c r="Q18" s="28">
        <v>4985000</v>
      </c>
      <c r="R18" s="26">
        <v>11900</v>
      </c>
      <c r="S18" s="28">
        <v>4456800</v>
      </c>
      <c r="T18" s="26">
        <v>12400</v>
      </c>
      <c r="U18" s="28">
        <v>3113934</v>
      </c>
      <c r="V18" s="26">
        <v>1875</v>
      </c>
      <c r="W18" s="28">
        <v>2400031</v>
      </c>
      <c r="X18" s="26">
        <v>626</v>
      </c>
      <c r="Y18" s="28">
        <v>353362</v>
      </c>
      <c r="Z18" s="26">
        <v>58</v>
      </c>
      <c r="AA18" s="53"/>
      <c r="AB18" s="54">
        <v>0.66666666666666663</v>
      </c>
      <c r="AC18" s="30">
        <v>266.66666666666663</v>
      </c>
      <c r="AD18" s="121">
        <v>9</v>
      </c>
      <c r="AE18" s="28">
        <v>16995</v>
      </c>
      <c r="AF18" s="26">
        <v>221</v>
      </c>
      <c r="AG18" s="22">
        <v>613810</v>
      </c>
      <c r="AH18" s="31">
        <v>440</v>
      </c>
      <c r="AI18" s="28">
        <v>88</v>
      </c>
      <c r="AJ18" s="32">
        <v>0</v>
      </c>
      <c r="AK18" s="28">
        <v>6687</v>
      </c>
      <c r="AL18" s="32">
        <v>5</v>
      </c>
      <c r="AM18" s="17">
        <v>96969</v>
      </c>
      <c r="AN18" s="32">
        <v>55</v>
      </c>
      <c r="AO18" s="17"/>
      <c r="AP18" s="32">
        <v>0</v>
      </c>
      <c r="AQ18" s="28">
        <v>669380</v>
      </c>
      <c r="AR18" s="26">
        <v>170</v>
      </c>
      <c r="AS18" s="35">
        <v>10222</v>
      </c>
      <c r="AT18" s="26">
        <v>30</v>
      </c>
      <c r="AU18" s="34">
        <v>751</v>
      </c>
      <c r="AV18" s="26">
        <v>37</v>
      </c>
      <c r="AW18" s="27">
        <v>9751</v>
      </c>
      <c r="AX18" s="26">
        <v>1</v>
      </c>
      <c r="AY18" s="28">
        <v>11564</v>
      </c>
      <c r="AZ18" s="26">
        <v>1</v>
      </c>
      <c r="BA18" s="28">
        <v>21326</v>
      </c>
      <c r="BB18" s="26">
        <v>11</v>
      </c>
      <c r="BC18" s="28">
        <v>22280</v>
      </c>
      <c r="BD18" s="26">
        <v>6</v>
      </c>
      <c r="BE18" s="22">
        <v>83</v>
      </c>
      <c r="BF18" s="31">
        <v>3</v>
      </c>
      <c r="BG18" s="28">
        <v>15241</v>
      </c>
      <c r="BH18" s="31">
        <v>5</v>
      </c>
      <c r="BI18" s="28">
        <v>7046</v>
      </c>
      <c r="BJ18" s="31">
        <v>2</v>
      </c>
      <c r="BK18" s="28">
        <v>29176</v>
      </c>
      <c r="BL18" s="31">
        <v>5</v>
      </c>
      <c r="BM18" s="28">
        <v>6697</v>
      </c>
      <c r="BN18" s="31">
        <v>6</v>
      </c>
      <c r="BO18" s="28">
        <v>42206</v>
      </c>
      <c r="BP18" s="31">
        <v>54</v>
      </c>
      <c r="BQ18" s="28">
        <v>3641</v>
      </c>
      <c r="BR18" s="31">
        <v>0</v>
      </c>
      <c r="BS18" s="31">
        <v>19</v>
      </c>
      <c r="BT18" s="31">
        <v>151</v>
      </c>
      <c r="BU18" s="28">
        <v>684180</v>
      </c>
      <c r="BV18" s="31">
        <v>160</v>
      </c>
      <c r="BW18" s="28"/>
      <c r="BX18" s="31">
        <v>0</v>
      </c>
      <c r="BY18" s="28">
        <v>881070</v>
      </c>
      <c r="BZ18" s="31">
        <v>230</v>
      </c>
      <c r="CA18" s="22">
        <v>29251</v>
      </c>
      <c r="CB18" s="31">
        <v>50</v>
      </c>
      <c r="CC18" s="36">
        <v>60</v>
      </c>
      <c r="CD18" s="31">
        <v>390</v>
      </c>
      <c r="CE18" s="37">
        <v>72</v>
      </c>
      <c r="CF18" s="22">
        <v>164</v>
      </c>
      <c r="CG18" s="55">
        <v>21465.037245596908</v>
      </c>
      <c r="CH18" s="38"/>
      <c r="CI18" s="56">
        <v>0</v>
      </c>
      <c r="CJ18" s="25">
        <v>3028970</v>
      </c>
      <c r="CK18" s="31">
        <v>2050</v>
      </c>
      <c r="CL18" s="36">
        <v>11705.5</v>
      </c>
      <c r="CM18" s="33">
        <v>61</v>
      </c>
      <c r="CN18" s="39">
        <v>6572.75</v>
      </c>
      <c r="CO18" s="25">
        <v>64</v>
      </c>
      <c r="CP18" s="57">
        <v>6896</v>
      </c>
      <c r="CQ18" s="33">
        <v>61</v>
      </c>
      <c r="CR18" s="58">
        <v>6572.75</v>
      </c>
      <c r="CS18" s="59">
        <v>20041.5</v>
      </c>
      <c r="CT18" s="40">
        <v>1077.5</v>
      </c>
      <c r="CU18" s="28">
        <v>8457</v>
      </c>
      <c r="CV18" s="25">
        <v>52334</v>
      </c>
      <c r="CW18" s="31">
        <v>36</v>
      </c>
      <c r="CX18" s="36">
        <v>205.56</v>
      </c>
      <c r="CY18" s="46">
        <v>36769</v>
      </c>
      <c r="CZ18" s="31">
        <v>7</v>
      </c>
      <c r="DA18" s="36">
        <v>39.97</v>
      </c>
      <c r="DB18" s="25">
        <v>17418</v>
      </c>
      <c r="DC18" s="31">
        <v>16</v>
      </c>
      <c r="DD18" s="36">
        <v>91.36</v>
      </c>
      <c r="DE18" s="25">
        <v>871027</v>
      </c>
      <c r="DF18" s="31">
        <v>124</v>
      </c>
      <c r="DG18" s="36">
        <v>708.04</v>
      </c>
      <c r="DH18" s="28">
        <v>13489</v>
      </c>
      <c r="DI18" s="31">
        <v>14</v>
      </c>
      <c r="DJ18" s="36">
        <v>79.94</v>
      </c>
      <c r="DK18" s="25">
        <v>12195</v>
      </c>
      <c r="DL18" s="31">
        <v>8</v>
      </c>
      <c r="DM18" s="36">
        <v>45.68</v>
      </c>
      <c r="DN18" s="25">
        <v>7705</v>
      </c>
      <c r="DO18" s="31">
        <v>8</v>
      </c>
      <c r="DP18" s="36">
        <v>45.68</v>
      </c>
      <c r="DQ18" s="25">
        <v>2542</v>
      </c>
      <c r="DR18" s="31">
        <v>2</v>
      </c>
      <c r="DS18" s="36">
        <v>11.42</v>
      </c>
      <c r="DT18" s="25">
        <v>9758</v>
      </c>
      <c r="DU18" s="31">
        <v>10</v>
      </c>
      <c r="DV18" s="36">
        <v>57.1</v>
      </c>
      <c r="DW18" s="25">
        <v>8667</v>
      </c>
      <c r="DX18" s="31">
        <v>7</v>
      </c>
      <c r="DY18" s="36">
        <v>39.97</v>
      </c>
      <c r="DZ18" s="25">
        <v>9266</v>
      </c>
      <c r="EA18" s="31">
        <v>9</v>
      </c>
      <c r="EB18" s="36">
        <v>51.39</v>
      </c>
      <c r="EC18" s="25">
        <v>9384</v>
      </c>
      <c r="ED18" s="31">
        <v>7</v>
      </c>
      <c r="EE18" s="36">
        <v>39.97</v>
      </c>
      <c r="EF18" s="38"/>
      <c r="EG18" s="36">
        <v>0</v>
      </c>
      <c r="EH18" s="38"/>
      <c r="EI18" s="36">
        <v>0</v>
      </c>
      <c r="EJ18" s="41"/>
      <c r="EK18" s="36">
        <v>0</v>
      </c>
      <c r="EL18" s="22"/>
      <c r="EM18" s="36">
        <v>0</v>
      </c>
      <c r="EN18" s="41">
        <v>86</v>
      </c>
      <c r="EO18" s="42">
        <v>229</v>
      </c>
      <c r="EP18" s="60">
        <v>0.76300000000000001</v>
      </c>
      <c r="EQ18" s="48"/>
      <c r="ER18" s="49"/>
      <c r="ES18" s="50"/>
      <c r="ET18" s="51"/>
      <c r="EU18" s="51"/>
      <c r="EV18" s="51"/>
    </row>
    <row r="19" spans="1:154" s="16" customFormat="1" ht="15.75" thickBot="1" x14ac:dyDescent="0.3">
      <c r="A19" s="21">
        <v>44911</v>
      </c>
      <c r="B19" s="29">
        <v>8005472</v>
      </c>
      <c r="C19" s="23">
        <v>23268</v>
      </c>
      <c r="D19" s="24">
        <v>6886972</v>
      </c>
      <c r="E19" s="23">
        <v>22924</v>
      </c>
      <c r="F19" s="44">
        <v>0.98521574694859892</v>
      </c>
      <c r="G19" s="24">
        <v>1184</v>
      </c>
      <c r="H19" s="24">
        <v>1170</v>
      </c>
      <c r="I19" s="24">
        <v>296149</v>
      </c>
      <c r="J19" s="26">
        <v>0</v>
      </c>
      <c r="K19" s="27">
        <v>820</v>
      </c>
      <c r="L19" s="26">
        <v>0</v>
      </c>
      <c r="M19" s="28">
        <v>651909</v>
      </c>
      <c r="N19" s="26">
        <v>0</v>
      </c>
      <c r="O19" s="28">
        <v>1050</v>
      </c>
      <c r="P19" s="26">
        <v>0</v>
      </c>
      <c r="Q19" s="28">
        <v>4995200</v>
      </c>
      <c r="R19" s="26">
        <v>10200</v>
      </c>
      <c r="S19" s="28">
        <v>4467300</v>
      </c>
      <c r="T19" s="26">
        <v>10500</v>
      </c>
      <c r="U19" s="28">
        <v>3114645</v>
      </c>
      <c r="V19" s="26">
        <v>711</v>
      </c>
      <c r="W19" s="28">
        <v>2400577</v>
      </c>
      <c r="X19" s="26">
        <v>546</v>
      </c>
      <c r="Y19" s="28">
        <v>353438</v>
      </c>
      <c r="Z19" s="26">
        <v>76</v>
      </c>
      <c r="AA19" s="53"/>
      <c r="AB19" s="54">
        <v>0.55555555555555558</v>
      </c>
      <c r="AC19" s="30">
        <v>222.22222222222223</v>
      </c>
      <c r="AD19" s="121">
        <v>6</v>
      </c>
      <c r="AE19" s="28">
        <v>17176</v>
      </c>
      <c r="AF19" s="26">
        <v>181</v>
      </c>
      <c r="AG19" s="22">
        <v>614200</v>
      </c>
      <c r="AH19" s="31">
        <v>390</v>
      </c>
      <c r="AI19" s="28">
        <v>88</v>
      </c>
      <c r="AJ19" s="32">
        <v>0</v>
      </c>
      <c r="AK19" s="28">
        <v>6692</v>
      </c>
      <c r="AL19" s="32">
        <v>5</v>
      </c>
      <c r="AM19" s="17">
        <v>97093</v>
      </c>
      <c r="AN19" s="32">
        <v>124</v>
      </c>
      <c r="AO19" s="17"/>
      <c r="AP19" s="32">
        <v>0</v>
      </c>
      <c r="AQ19" s="28">
        <v>669550</v>
      </c>
      <c r="AR19" s="26">
        <v>170</v>
      </c>
      <c r="AS19" s="35">
        <v>10256</v>
      </c>
      <c r="AT19" s="26">
        <v>34</v>
      </c>
      <c r="AU19" s="34">
        <v>780</v>
      </c>
      <c r="AV19" s="26">
        <v>29</v>
      </c>
      <c r="AW19" s="27">
        <v>9753</v>
      </c>
      <c r="AX19" s="26">
        <v>2</v>
      </c>
      <c r="AY19" s="28">
        <v>11565</v>
      </c>
      <c r="AZ19" s="26">
        <v>1</v>
      </c>
      <c r="BA19" s="28">
        <v>21337</v>
      </c>
      <c r="BB19" s="26">
        <v>11</v>
      </c>
      <c r="BC19" s="28">
        <v>22285</v>
      </c>
      <c r="BD19" s="26">
        <v>5</v>
      </c>
      <c r="BE19" s="22">
        <v>86</v>
      </c>
      <c r="BF19" s="31">
        <v>3</v>
      </c>
      <c r="BG19" s="28">
        <v>15244</v>
      </c>
      <c r="BH19" s="31">
        <v>3</v>
      </c>
      <c r="BI19" s="28">
        <v>7047</v>
      </c>
      <c r="BJ19" s="31">
        <v>1</v>
      </c>
      <c r="BK19" s="28">
        <v>29181</v>
      </c>
      <c r="BL19" s="31">
        <v>5</v>
      </c>
      <c r="BM19" s="28">
        <v>6703</v>
      </c>
      <c r="BN19" s="31">
        <v>6</v>
      </c>
      <c r="BO19" s="28">
        <v>42263</v>
      </c>
      <c r="BP19" s="31">
        <v>57</v>
      </c>
      <c r="BQ19" s="28">
        <v>3641</v>
      </c>
      <c r="BR19" s="31">
        <v>0</v>
      </c>
      <c r="BS19" s="31">
        <v>17</v>
      </c>
      <c r="BT19" s="31">
        <v>153</v>
      </c>
      <c r="BU19" s="28">
        <v>684320</v>
      </c>
      <c r="BV19" s="31">
        <v>140</v>
      </c>
      <c r="BW19" s="28"/>
      <c r="BX19" s="31">
        <v>0</v>
      </c>
      <c r="BY19" s="28">
        <v>881380</v>
      </c>
      <c r="BZ19" s="31">
        <v>310</v>
      </c>
      <c r="CA19" s="22">
        <v>29291</v>
      </c>
      <c r="CB19" s="31">
        <v>40</v>
      </c>
      <c r="CC19" s="36">
        <v>140</v>
      </c>
      <c r="CD19" s="31">
        <v>450</v>
      </c>
      <c r="CE19" s="37">
        <v>61</v>
      </c>
      <c r="CF19" s="22">
        <v>164</v>
      </c>
      <c r="CG19" s="55">
        <v>21465.037245596908</v>
      </c>
      <c r="CH19" s="38"/>
      <c r="CI19" s="56">
        <v>0</v>
      </c>
      <c r="CJ19" s="25">
        <v>3030590</v>
      </c>
      <c r="CK19" s="31">
        <v>1620</v>
      </c>
      <c r="CL19" s="36">
        <v>9250.2000000000007</v>
      </c>
      <c r="CM19" s="33">
        <v>85</v>
      </c>
      <c r="CN19" s="39">
        <v>9158.75</v>
      </c>
      <c r="CO19" s="25">
        <v>85</v>
      </c>
      <c r="CP19" s="57">
        <v>9158.75</v>
      </c>
      <c r="CQ19" s="33">
        <v>85</v>
      </c>
      <c r="CR19" s="58">
        <v>9158.75</v>
      </c>
      <c r="CS19" s="59">
        <v>27476.25</v>
      </c>
      <c r="CT19" s="40">
        <v>1022.25</v>
      </c>
      <c r="CU19" s="28"/>
      <c r="CV19" s="25">
        <v>52365</v>
      </c>
      <c r="CW19" s="31">
        <v>31</v>
      </c>
      <c r="CX19" s="36">
        <v>177.01</v>
      </c>
      <c r="CY19" s="46">
        <v>36769</v>
      </c>
      <c r="CZ19" s="31">
        <v>0</v>
      </c>
      <c r="DA19" s="36">
        <v>0</v>
      </c>
      <c r="DB19" s="25">
        <v>17435</v>
      </c>
      <c r="DC19" s="31">
        <v>17</v>
      </c>
      <c r="DD19" s="36">
        <v>97.07</v>
      </c>
      <c r="DE19" s="25">
        <v>871128</v>
      </c>
      <c r="DF19" s="31">
        <v>101</v>
      </c>
      <c r="DG19" s="36">
        <v>576.71</v>
      </c>
      <c r="DH19" s="28">
        <v>13499</v>
      </c>
      <c r="DI19" s="31">
        <v>10</v>
      </c>
      <c r="DJ19" s="36">
        <v>57.1</v>
      </c>
      <c r="DK19" s="25">
        <v>12203</v>
      </c>
      <c r="DL19" s="31">
        <v>8</v>
      </c>
      <c r="DM19" s="36">
        <v>45.68</v>
      </c>
      <c r="DN19" s="25">
        <v>7713</v>
      </c>
      <c r="DO19" s="31">
        <v>8</v>
      </c>
      <c r="DP19" s="36">
        <v>45.68</v>
      </c>
      <c r="DQ19" s="25">
        <v>2543</v>
      </c>
      <c r="DR19" s="31">
        <v>1</v>
      </c>
      <c r="DS19" s="36">
        <v>5.71</v>
      </c>
      <c r="DT19" s="25">
        <v>9769</v>
      </c>
      <c r="DU19" s="31">
        <v>11</v>
      </c>
      <c r="DV19" s="36">
        <v>62.81</v>
      </c>
      <c r="DW19" s="25">
        <v>8673</v>
      </c>
      <c r="DX19" s="31">
        <v>6</v>
      </c>
      <c r="DY19" s="36">
        <v>34.26</v>
      </c>
      <c r="DZ19" s="25">
        <v>9273</v>
      </c>
      <c r="EA19" s="31">
        <v>7</v>
      </c>
      <c r="EB19" s="36">
        <v>39.97</v>
      </c>
      <c r="EC19" s="25">
        <v>9390</v>
      </c>
      <c r="ED19" s="31">
        <v>6</v>
      </c>
      <c r="EE19" s="36">
        <v>34.26</v>
      </c>
      <c r="EF19" s="38"/>
      <c r="EG19" s="36">
        <v>0</v>
      </c>
      <c r="EH19" s="38"/>
      <c r="EI19" s="36">
        <v>0</v>
      </c>
      <c r="EJ19" s="41"/>
      <c r="EK19" s="36">
        <v>0</v>
      </c>
      <c r="EL19" s="22"/>
      <c r="EM19" s="36">
        <v>0</v>
      </c>
      <c r="EN19" s="41">
        <v>88</v>
      </c>
      <c r="EO19" s="42">
        <v>244</v>
      </c>
      <c r="EP19" s="60">
        <v>0.75</v>
      </c>
      <c r="EQ19" s="48"/>
      <c r="ER19" s="49"/>
      <c r="ES19" s="50"/>
      <c r="ET19" s="51"/>
      <c r="EU19" s="51"/>
      <c r="EV19" s="51"/>
    </row>
    <row r="20" spans="1:154" s="16" customFormat="1" ht="15.75" thickBot="1" x14ac:dyDescent="0.3">
      <c r="A20" s="21">
        <v>44912</v>
      </c>
      <c r="B20" s="29">
        <v>8030803</v>
      </c>
      <c r="C20" s="23">
        <v>25331</v>
      </c>
      <c r="D20" s="24">
        <v>6911870</v>
      </c>
      <c r="E20" s="23">
        <v>24898</v>
      </c>
      <c r="F20" s="44">
        <v>0.98290632031897673</v>
      </c>
      <c r="G20" s="24">
        <v>1184</v>
      </c>
      <c r="H20" s="24">
        <v>1170</v>
      </c>
      <c r="I20" s="24">
        <v>296149</v>
      </c>
      <c r="J20" s="26">
        <v>0</v>
      </c>
      <c r="K20" s="27">
        <v>820</v>
      </c>
      <c r="L20" s="26">
        <v>0</v>
      </c>
      <c r="M20" s="28">
        <v>651909</v>
      </c>
      <c r="N20" s="26">
        <v>0</v>
      </c>
      <c r="O20" s="28">
        <v>1050</v>
      </c>
      <c r="P20" s="26">
        <v>0</v>
      </c>
      <c r="Q20" s="28">
        <v>5006300</v>
      </c>
      <c r="R20" s="26">
        <v>11100</v>
      </c>
      <c r="S20" s="28">
        <v>4478800</v>
      </c>
      <c r="T20" s="26">
        <v>11500</v>
      </c>
      <c r="U20" s="28">
        <v>3115474</v>
      </c>
      <c r="V20" s="26">
        <v>829</v>
      </c>
      <c r="W20" s="28">
        <v>2401276</v>
      </c>
      <c r="X20" s="26">
        <v>699</v>
      </c>
      <c r="Y20" s="16">
        <v>353509</v>
      </c>
      <c r="Z20" s="26">
        <v>71</v>
      </c>
      <c r="AA20" s="53"/>
      <c r="AB20" s="54">
        <v>0.55555555555555558</v>
      </c>
      <c r="AC20" s="30">
        <v>222.22222222222223</v>
      </c>
      <c r="AD20" s="121">
        <v>12</v>
      </c>
      <c r="AE20" s="28">
        <v>17623</v>
      </c>
      <c r="AF20" s="26">
        <v>447</v>
      </c>
      <c r="AG20" s="22">
        <v>614690</v>
      </c>
      <c r="AH20" s="31">
        <v>490</v>
      </c>
      <c r="AI20" s="28">
        <v>88</v>
      </c>
      <c r="AJ20" s="32">
        <v>0</v>
      </c>
      <c r="AK20" s="28">
        <v>6703</v>
      </c>
      <c r="AL20" s="32">
        <v>11</v>
      </c>
      <c r="AM20" s="17">
        <v>97198</v>
      </c>
      <c r="AN20" s="32">
        <v>105</v>
      </c>
      <c r="AO20" s="17"/>
      <c r="AP20" s="32">
        <v>0</v>
      </c>
      <c r="AQ20" s="103">
        <v>669780</v>
      </c>
      <c r="AR20" s="26">
        <v>230</v>
      </c>
      <c r="AS20" s="35">
        <v>10285</v>
      </c>
      <c r="AT20" s="26">
        <v>29</v>
      </c>
      <c r="AU20" s="34">
        <v>812</v>
      </c>
      <c r="AV20" s="26">
        <v>32</v>
      </c>
      <c r="AW20" s="27">
        <v>9754</v>
      </c>
      <c r="AX20" s="26">
        <v>1</v>
      </c>
      <c r="AY20" s="28">
        <v>11569</v>
      </c>
      <c r="AZ20" s="26">
        <v>4</v>
      </c>
      <c r="BA20" s="28">
        <v>21349</v>
      </c>
      <c r="BB20" s="26">
        <v>12</v>
      </c>
      <c r="BC20" s="28">
        <v>22291</v>
      </c>
      <c r="BD20" s="26">
        <v>6</v>
      </c>
      <c r="BE20" s="22">
        <v>89</v>
      </c>
      <c r="BF20" s="31">
        <v>3</v>
      </c>
      <c r="BG20" s="28">
        <v>15249</v>
      </c>
      <c r="BH20" s="31">
        <v>5</v>
      </c>
      <c r="BI20" s="28">
        <v>7048</v>
      </c>
      <c r="BJ20" s="31">
        <v>1</v>
      </c>
      <c r="BK20" s="28">
        <v>29183</v>
      </c>
      <c r="BL20" s="31">
        <v>2</v>
      </c>
      <c r="BM20" s="28">
        <v>6708</v>
      </c>
      <c r="BN20" s="31">
        <v>5</v>
      </c>
      <c r="BO20" s="28">
        <v>42314</v>
      </c>
      <c r="BP20" s="31">
        <v>51</v>
      </c>
      <c r="BQ20" s="28">
        <v>3641</v>
      </c>
      <c r="BR20" s="31">
        <v>0</v>
      </c>
      <c r="BS20" s="31">
        <v>20</v>
      </c>
      <c r="BT20" s="31">
        <v>210</v>
      </c>
      <c r="BU20" s="28">
        <v>684490</v>
      </c>
      <c r="BV20" s="31">
        <v>170</v>
      </c>
      <c r="BW20" s="28"/>
      <c r="BX20" s="31">
        <v>0</v>
      </c>
      <c r="BY20" s="28">
        <v>881590</v>
      </c>
      <c r="BZ20" s="31">
        <v>210</v>
      </c>
      <c r="CA20" s="22">
        <v>29340</v>
      </c>
      <c r="CB20" s="31">
        <v>49</v>
      </c>
      <c r="CC20" s="36">
        <v>-20</v>
      </c>
      <c r="CD20" s="31">
        <v>380</v>
      </c>
      <c r="CE20" s="37">
        <v>69</v>
      </c>
      <c r="CF20" s="22">
        <v>164</v>
      </c>
      <c r="CG20" s="55">
        <v>21465.037245596908</v>
      </c>
      <c r="CH20" s="38"/>
      <c r="CI20" s="56">
        <v>0</v>
      </c>
      <c r="CJ20" s="25">
        <v>3033019</v>
      </c>
      <c r="CK20" s="31">
        <v>2429</v>
      </c>
      <c r="CL20" s="36">
        <v>13869.59</v>
      </c>
      <c r="CM20" s="33">
        <v>80</v>
      </c>
      <c r="CN20" s="39">
        <v>8620</v>
      </c>
      <c r="CO20" s="25">
        <v>81</v>
      </c>
      <c r="CP20" s="57">
        <v>8727.75</v>
      </c>
      <c r="CQ20" s="33">
        <v>80</v>
      </c>
      <c r="CR20" s="58">
        <v>8620</v>
      </c>
      <c r="CS20" s="59">
        <v>25967.75</v>
      </c>
      <c r="CT20" s="40">
        <v>1508.5</v>
      </c>
      <c r="CU20" s="28"/>
      <c r="CV20" s="25">
        <v>52408</v>
      </c>
      <c r="CW20" s="31">
        <v>43</v>
      </c>
      <c r="CX20" s="36">
        <v>245.53</v>
      </c>
      <c r="CY20" s="46">
        <v>36773</v>
      </c>
      <c r="CZ20" s="31">
        <v>4</v>
      </c>
      <c r="DA20" s="36">
        <v>22.84</v>
      </c>
      <c r="DB20" s="25">
        <v>17453</v>
      </c>
      <c r="DC20" s="31">
        <v>18</v>
      </c>
      <c r="DD20" s="36">
        <v>102.78</v>
      </c>
      <c r="DE20" s="25">
        <v>871277</v>
      </c>
      <c r="DF20" s="31">
        <v>149</v>
      </c>
      <c r="DG20" s="36">
        <v>850.79</v>
      </c>
      <c r="DH20" s="28">
        <v>13510</v>
      </c>
      <c r="DI20" s="31">
        <v>11</v>
      </c>
      <c r="DJ20" s="36">
        <v>62.81</v>
      </c>
      <c r="DK20" s="25">
        <v>12212</v>
      </c>
      <c r="DL20" s="31">
        <v>9</v>
      </c>
      <c r="DM20" s="36">
        <v>51.39</v>
      </c>
      <c r="DN20" s="25">
        <v>7721</v>
      </c>
      <c r="DO20" s="31">
        <v>8</v>
      </c>
      <c r="DP20" s="36">
        <v>45.68</v>
      </c>
      <c r="DQ20" s="25">
        <v>2545</v>
      </c>
      <c r="DR20" s="31">
        <v>2</v>
      </c>
      <c r="DS20" s="36">
        <v>11.42</v>
      </c>
      <c r="DT20" s="25">
        <v>9778</v>
      </c>
      <c r="DU20" s="31">
        <v>9</v>
      </c>
      <c r="DV20" s="36">
        <v>51.39</v>
      </c>
      <c r="DW20" s="25">
        <v>8679</v>
      </c>
      <c r="DX20" s="31">
        <v>6</v>
      </c>
      <c r="DY20" s="36">
        <v>34.26</v>
      </c>
      <c r="DZ20" s="25">
        <v>9280</v>
      </c>
      <c r="EA20" s="31">
        <v>7</v>
      </c>
      <c r="EB20" s="36">
        <v>39.97</v>
      </c>
      <c r="EC20" s="25">
        <v>9387</v>
      </c>
      <c r="ED20" s="31" t="s">
        <v>146</v>
      </c>
      <c r="EE20" s="36">
        <v>0</v>
      </c>
      <c r="EF20" s="38"/>
      <c r="EG20" s="36">
        <v>0</v>
      </c>
      <c r="EH20" s="38"/>
      <c r="EI20" s="36">
        <v>0</v>
      </c>
      <c r="EJ20" s="41"/>
      <c r="EK20" s="36">
        <v>0</v>
      </c>
      <c r="EL20" s="22"/>
      <c r="EM20" s="36">
        <v>0</v>
      </c>
      <c r="EN20" s="41">
        <v>88</v>
      </c>
      <c r="EO20" s="42">
        <v>236</v>
      </c>
      <c r="EP20" s="60">
        <v>0.7823</v>
      </c>
      <c r="EQ20" s="48"/>
      <c r="ER20" s="49"/>
      <c r="ES20" s="50"/>
      <c r="ET20" s="51"/>
      <c r="EU20" s="51"/>
      <c r="EV20" s="51"/>
      <c r="EX20" s="61"/>
    </row>
    <row r="21" spans="1:154" s="16" customFormat="1" ht="15.75" thickBot="1" x14ac:dyDescent="0.3">
      <c r="A21" s="21">
        <v>44913</v>
      </c>
      <c r="B21" s="29">
        <v>8054816</v>
      </c>
      <c r="C21" s="23">
        <v>24013</v>
      </c>
      <c r="D21" s="24">
        <v>6935481</v>
      </c>
      <c r="E21" s="23">
        <v>23611</v>
      </c>
      <c r="F21" s="44">
        <v>0.98325906800483076</v>
      </c>
      <c r="G21" s="24">
        <v>1184</v>
      </c>
      <c r="H21" s="24">
        <v>1170</v>
      </c>
      <c r="I21" s="24">
        <v>296149</v>
      </c>
      <c r="J21" s="26">
        <v>0</v>
      </c>
      <c r="K21" s="27">
        <v>820</v>
      </c>
      <c r="L21" s="26">
        <v>0</v>
      </c>
      <c r="M21" s="28">
        <v>651909</v>
      </c>
      <c r="N21" s="26">
        <v>0</v>
      </c>
      <c r="O21" s="28">
        <v>1050</v>
      </c>
      <c r="P21" s="26">
        <v>0</v>
      </c>
      <c r="Q21" s="28">
        <v>5016800</v>
      </c>
      <c r="R21" s="26">
        <v>10500</v>
      </c>
      <c r="S21" s="28">
        <v>4489700</v>
      </c>
      <c r="T21" s="26">
        <v>10900</v>
      </c>
      <c r="U21" s="28">
        <v>3116214</v>
      </c>
      <c r="V21" s="26">
        <v>740</v>
      </c>
      <c r="W21" s="28">
        <v>2401810</v>
      </c>
      <c r="X21" s="26">
        <v>534</v>
      </c>
      <c r="Y21" s="28">
        <v>353606</v>
      </c>
      <c r="Z21" s="26">
        <v>97</v>
      </c>
      <c r="AA21" s="53"/>
      <c r="AB21" s="54">
        <v>0.66666666666666663</v>
      </c>
      <c r="AC21" s="30">
        <v>266.66666666666663</v>
      </c>
      <c r="AD21" s="121">
        <v>13</v>
      </c>
      <c r="AE21" s="28">
        <v>17994</v>
      </c>
      <c r="AF21" s="26">
        <v>371</v>
      </c>
      <c r="AG21" s="22">
        <v>615120</v>
      </c>
      <c r="AH21" s="31">
        <v>430</v>
      </c>
      <c r="AI21" s="28">
        <v>88</v>
      </c>
      <c r="AJ21" s="32">
        <v>0</v>
      </c>
      <c r="AK21" s="28">
        <v>6708</v>
      </c>
      <c r="AL21" s="32">
        <v>5</v>
      </c>
      <c r="AM21" s="17">
        <v>97330</v>
      </c>
      <c r="AN21" s="32">
        <v>132</v>
      </c>
      <c r="AO21" s="17"/>
      <c r="AP21" s="32">
        <v>0</v>
      </c>
      <c r="AQ21" s="28">
        <v>669960</v>
      </c>
      <c r="AR21" s="26">
        <v>180</v>
      </c>
      <c r="AS21" s="35">
        <v>10317</v>
      </c>
      <c r="AT21" s="26">
        <v>32</v>
      </c>
      <c r="AU21" s="34">
        <v>840</v>
      </c>
      <c r="AV21" s="26">
        <v>28</v>
      </c>
      <c r="AW21" s="27">
        <v>9755</v>
      </c>
      <c r="AX21" s="26">
        <v>1</v>
      </c>
      <c r="AY21" s="28">
        <v>11571</v>
      </c>
      <c r="AZ21" s="26">
        <v>2</v>
      </c>
      <c r="BA21" s="28">
        <v>21360</v>
      </c>
      <c r="BB21" s="26">
        <v>11</v>
      </c>
      <c r="BC21" s="28">
        <v>22297</v>
      </c>
      <c r="BD21" s="26">
        <v>6</v>
      </c>
      <c r="BE21" s="22">
        <v>91</v>
      </c>
      <c r="BF21" s="31">
        <v>2</v>
      </c>
      <c r="BG21" s="28">
        <v>15253</v>
      </c>
      <c r="BH21" s="31">
        <v>4</v>
      </c>
      <c r="BI21" s="28">
        <v>7050</v>
      </c>
      <c r="BJ21" s="31">
        <v>2</v>
      </c>
      <c r="BK21" s="28">
        <v>29186</v>
      </c>
      <c r="BL21" s="31">
        <v>3</v>
      </c>
      <c r="BM21" s="28">
        <v>6713</v>
      </c>
      <c r="BN21" s="31">
        <v>5</v>
      </c>
      <c r="BO21" s="28">
        <v>42366</v>
      </c>
      <c r="BP21" s="31">
        <v>52</v>
      </c>
      <c r="BQ21" s="28">
        <v>3641</v>
      </c>
      <c r="BR21" s="31">
        <v>0</v>
      </c>
      <c r="BS21" s="31">
        <v>17</v>
      </c>
      <c r="BT21" s="31">
        <v>163</v>
      </c>
      <c r="BU21" s="28">
        <v>684650</v>
      </c>
      <c r="BV21" s="31">
        <v>160</v>
      </c>
      <c r="BW21" s="28"/>
      <c r="BX21" s="31">
        <v>0</v>
      </c>
      <c r="BY21" s="28">
        <v>881850</v>
      </c>
      <c r="BZ21" s="31">
        <v>260</v>
      </c>
      <c r="CA21" s="22">
        <v>29377</v>
      </c>
      <c r="CB21" s="31">
        <v>37</v>
      </c>
      <c r="CC21" s="36">
        <v>80</v>
      </c>
      <c r="CD21" s="31">
        <v>420</v>
      </c>
      <c r="CE21" s="37">
        <v>61</v>
      </c>
      <c r="CF21" s="22">
        <v>164</v>
      </c>
      <c r="CG21" s="55">
        <v>21465.037245596908</v>
      </c>
      <c r="CH21" s="38"/>
      <c r="CI21" s="56">
        <v>0</v>
      </c>
      <c r="CJ21" s="25">
        <v>3035191</v>
      </c>
      <c r="CK21" s="31">
        <v>2172</v>
      </c>
      <c r="CL21" s="36">
        <v>12402.12</v>
      </c>
      <c r="CM21" s="33">
        <v>75</v>
      </c>
      <c r="CN21" s="39">
        <v>8081.25</v>
      </c>
      <c r="CO21" s="25">
        <v>72</v>
      </c>
      <c r="CP21" s="57">
        <v>7758</v>
      </c>
      <c r="CQ21" s="33">
        <v>75</v>
      </c>
      <c r="CR21" s="58">
        <v>8081.25</v>
      </c>
      <c r="CS21" s="59">
        <v>23920.5</v>
      </c>
      <c r="CT21" s="40">
        <v>2047.25</v>
      </c>
      <c r="CU21" s="28"/>
      <c r="CV21" s="25">
        <v>52443</v>
      </c>
      <c r="CW21" s="31">
        <v>35</v>
      </c>
      <c r="CX21" s="36">
        <v>199.85</v>
      </c>
      <c r="CY21" s="46">
        <v>36773</v>
      </c>
      <c r="CZ21" s="31">
        <v>0</v>
      </c>
      <c r="DA21" s="36">
        <v>0</v>
      </c>
      <c r="DB21" s="25">
        <v>17468</v>
      </c>
      <c r="DC21" s="31">
        <v>15</v>
      </c>
      <c r="DD21" s="36">
        <v>85.65</v>
      </c>
      <c r="DE21" s="25">
        <v>871388</v>
      </c>
      <c r="DF21" s="31">
        <v>111</v>
      </c>
      <c r="DG21" s="36">
        <v>633.80999999999995</v>
      </c>
      <c r="DH21" s="28">
        <v>13520</v>
      </c>
      <c r="DI21" s="31">
        <v>10</v>
      </c>
      <c r="DJ21" s="36">
        <v>57.1</v>
      </c>
      <c r="DK21" s="25">
        <v>12223</v>
      </c>
      <c r="DL21" s="31">
        <v>11</v>
      </c>
      <c r="DM21" s="36">
        <v>62.81</v>
      </c>
      <c r="DN21" s="25">
        <v>7728</v>
      </c>
      <c r="DO21" s="31">
        <v>7</v>
      </c>
      <c r="DP21" s="36">
        <v>39.97</v>
      </c>
      <c r="DQ21" s="25">
        <v>2546</v>
      </c>
      <c r="DR21" s="31">
        <v>1</v>
      </c>
      <c r="DS21" s="36">
        <v>5.71</v>
      </c>
      <c r="DT21" s="25">
        <v>9788</v>
      </c>
      <c r="DU21" s="31">
        <v>10</v>
      </c>
      <c r="DV21" s="36">
        <v>57.1</v>
      </c>
      <c r="DW21" s="25">
        <v>8685</v>
      </c>
      <c r="DX21" s="31">
        <v>6</v>
      </c>
      <c r="DY21" s="36">
        <v>34.26</v>
      </c>
      <c r="DZ21" s="16">
        <v>9287</v>
      </c>
      <c r="EA21" s="31">
        <v>7</v>
      </c>
      <c r="EB21" s="36">
        <v>39.97</v>
      </c>
      <c r="EC21" s="25">
        <v>9405</v>
      </c>
      <c r="ED21" s="31">
        <v>18</v>
      </c>
      <c r="EE21" s="36">
        <v>102.78</v>
      </c>
      <c r="EF21" s="38"/>
      <c r="EG21" s="36">
        <v>0</v>
      </c>
      <c r="EH21" s="38"/>
      <c r="EI21" s="36">
        <v>0</v>
      </c>
      <c r="EJ21" s="41"/>
      <c r="EK21" s="36">
        <v>0</v>
      </c>
      <c r="EL21" s="22"/>
      <c r="EM21" s="36">
        <v>0</v>
      </c>
      <c r="EN21" s="41">
        <v>88</v>
      </c>
      <c r="EO21" s="42">
        <v>236</v>
      </c>
      <c r="EP21" s="60">
        <v>0.7823</v>
      </c>
      <c r="EQ21" s="48"/>
      <c r="ER21" s="49"/>
      <c r="ES21" s="50"/>
      <c r="ET21" s="51"/>
      <c r="EU21" s="51"/>
      <c r="EV21" s="51"/>
    </row>
    <row r="22" spans="1:154" s="16" customFormat="1" ht="15.75" thickBot="1" x14ac:dyDescent="0.3">
      <c r="A22" s="21">
        <v>44914</v>
      </c>
      <c r="B22" s="29">
        <v>8080566</v>
      </c>
      <c r="C22" s="23">
        <v>25750</v>
      </c>
      <c r="D22" s="24">
        <v>6960742</v>
      </c>
      <c r="E22" s="23">
        <v>25261</v>
      </c>
      <c r="F22" s="44">
        <v>0.98100970873786408</v>
      </c>
      <c r="G22" s="24">
        <v>1200</v>
      </c>
      <c r="H22" s="24">
        <v>1170</v>
      </c>
      <c r="I22" s="24">
        <v>296149</v>
      </c>
      <c r="J22" s="26">
        <v>0</v>
      </c>
      <c r="K22" s="27">
        <v>820</v>
      </c>
      <c r="L22" s="26">
        <v>0</v>
      </c>
      <c r="M22" s="28">
        <v>651909</v>
      </c>
      <c r="N22" s="26">
        <v>0</v>
      </c>
      <c r="O22" s="28">
        <v>1050</v>
      </c>
      <c r="P22" s="26">
        <v>0</v>
      </c>
      <c r="Q22" s="28">
        <v>5027800</v>
      </c>
      <c r="R22" s="26">
        <v>11000</v>
      </c>
      <c r="S22" s="28">
        <v>4501600</v>
      </c>
      <c r="T22" s="26">
        <v>11900</v>
      </c>
      <c r="U22" s="28">
        <v>3116959</v>
      </c>
      <c r="V22" s="26">
        <v>745</v>
      </c>
      <c r="W22" s="28">
        <v>2402256</v>
      </c>
      <c r="X22" s="26">
        <v>446</v>
      </c>
      <c r="Y22" s="28">
        <v>353740</v>
      </c>
      <c r="Z22" s="26">
        <v>134</v>
      </c>
      <c r="AA22" s="53"/>
      <c r="AB22" s="54">
        <v>0.80555555555555558</v>
      </c>
      <c r="AC22" s="30">
        <v>322.22222222222223</v>
      </c>
      <c r="AD22" s="121">
        <v>11</v>
      </c>
      <c r="AE22" s="28">
        <v>18251</v>
      </c>
      <c r="AF22" s="26">
        <v>257</v>
      </c>
      <c r="AG22" s="22">
        <v>615510</v>
      </c>
      <c r="AH22" s="31">
        <v>390</v>
      </c>
      <c r="AI22" s="28">
        <v>88</v>
      </c>
      <c r="AJ22" s="32">
        <v>0</v>
      </c>
      <c r="AK22" s="28">
        <v>6713</v>
      </c>
      <c r="AL22" s="32">
        <v>5</v>
      </c>
      <c r="AM22" s="17">
        <v>97519</v>
      </c>
      <c r="AN22" s="32">
        <v>189</v>
      </c>
      <c r="AO22" s="17"/>
      <c r="AP22" s="32">
        <v>0</v>
      </c>
      <c r="AQ22" s="28">
        <v>670130</v>
      </c>
      <c r="AR22" s="26">
        <v>170</v>
      </c>
      <c r="AS22" s="35">
        <v>10351</v>
      </c>
      <c r="AT22" s="26">
        <v>34</v>
      </c>
      <c r="AU22" s="34">
        <v>860</v>
      </c>
      <c r="AV22" s="26">
        <v>20</v>
      </c>
      <c r="AW22" s="27">
        <v>9755</v>
      </c>
      <c r="AX22" s="26">
        <v>0</v>
      </c>
      <c r="AY22" s="28">
        <v>11573</v>
      </c>
      <c r="AZ22" s="26">
        <v>2</v>
      </c>
      <c r="BA22" s="28">
        <v>21374</v>
      </c>
      <c r="BB22" s="26">
        <v>14</v>
      </c>
      <c r="BC22" s="28">
        <v>22302</v>
      </c>
      <c r="BD22" s="26">
        <v>5</v>
      </c>
      <c r="BE22" s="22">
        <v>93</v>
      </c>
      <c r="BF22" s="31">
        <v>2</v>
      </c>
      <c r="BG22" s="28">
        <v>15259</v>
      </c>
      <c r="BH22" s="31">
        <v>6</v>
      </c>
      <c r="BI22" s="28">
        <v>7052</v>
      </c>
      <c r="BJ22" s="31">
        <v>2</v>
      </c>
      <c r="BK22" s="28">
        <v>29191</v>
      </c>
      <c r="BL22" s="31">
        <v>5</v>
      </c>
      <c r="BM22" s="28">
        <v>6718</v>
      </c>
      <c r="BN22" s="31">
        <v>5</v>
      </c>
      <c r="BO22" s="28">
        <v>42422</v>
      </c>
      <c r="BP22" s="31">
        <v>56</v>
      </c>
      <c r="BQ22" s="28">
        <v>3641</v>
      </c>
      <c r="BR22" s="31">
        <v>0</v>
      </c>
      <c r="BS22" s="31">
        <v>22</v>
      </c>
      <c r="BT22" s="31">
        <v>148</v>
      </c>
      <c r="BU22" s="28">
        <v>684800</v>
      </c>
      <c r="BV22" s="31">
        <v>150</v>
      </c>
      <c r="BW22" s="28"/>
      <c r="BX22" s="31">
        <v>0</v>
      </c>
      <c r="BY22" s="28">
        <v>882070</v>
      </c>
      <c r="BZ22" s="31">
        <v>220</v>
      </c>
      <c r="CA22" s="22">
        <v>29422</v>
      </c>
      <c r="CB22" s="31">
        <v>45</v>
      </c>
      <c r="CC22" s="36">
        <v>50</v>
      </c>
      <c r="CD22" s="31">
        <v>370</v>
      </c>
      <c r="CE22" s="37">
        <v>56</v>
      </c>
      <c r="CF22" s="22">
        <v>164</v>
      </c>
      <c r="CG22" s="55">
        <v>21465.037245596908</v>
      </c>
      <c r="CH22" s="38"/>
      <c r="CI22" s="56">
        <v>0</v>
      </c>
      <c r="CJ22" s="25">
        <v>3037016</v>
      </c>
      <c r="CK22" s="31">
        <v>1825</v>
      </c>
      <c r="CL22" s="36">
        <v>10420.75</v>
      </c>
      <c r="CM22" s="33">
        <v>74</v>
      </c>
      <c r="CN22" s="39">
        <v>7973.5</v>
      </c>
      <c r="CO22" s="25">
        <v>71</v>
      </c>
      <c r="CP22" s="57">
        <v>7650.25</v>
      </c>
      <c r="CQ22" s="33">
        <v>74</v>
      </c>
      <c r="CR22" s="58">
        <v>7973.5</v>
      </c>
      <c r="CS22" s="59">
        <v>23597.25</v>
      </c>
      <c r="CT22" s="40">
        <v>323.25</v>
      </c>
      <c r="CU22" s="28"/>
      <c r="CV22" s="25">
        <v>52485</v>
      </c>
      <c r="CW22" s="31">
        <v>42</v>
      </c>
      <c r="CX22" s="36">
        <v>239.82</v>
      </c>
      <c r="CY22" s="46">
        <v>36773</v>
      </c>
      <c r="CZ22" s="31">
        <v>0</v>
      </c>
      <c r="DA22" s="36">
        <v>0</v>
      </c>
      <c r="DB22" s="25">
        <v>17484</v>
      </c>
      <c r="DC22" s="31">
        <v>16</v>
      </c>
      <c r="DD22" s="36">
        <v>91.36</v>
      </c>
      <c r="DE22" s="25">
        <v>871471</v>
      </c>
      <c r="DF22" s="31">
        <v>83</v>
      </c>
      <c r="DG22" s="36">
        <v>473.93</v>
      </c>
      <c r="DH22" s="28">
        <v>13528</v>
      </c>
      <c r="DI22" s="31">
        <v>8</v>
      </c>
      <c r="DJ22" s="36">
        <v>45.68</v>
      </c>
      <c r="DK22" s="25">
        <v>12235</v>
      </c>
      <c r="DL22" s="31">
        <v>12</v>
      </c>
      <c r="DM22" s="36">
        <v>68.52</v>
      </c>
      <c r="DN22" s="25">
        <v>7736</v>
      </c>
      <c r="DO22" s="31">
        <v>8</v>
      </c>
      <c r="DP22" s="36">
        <v>45.68</v>
      </c>
      <c r="DQ22" s="25">
        <v>2548</v>
      </c>
      <c r="DR22" s="31">
        <v>2</v>
      </c>
      <c r="DS22" s="36">
        <v>11.42</v>
      </c>
      <c r="DT22" s="25">
        <v>9798</v>
      </c>
      <c r="DU22" s="31">
        <v>10</v>
      </c>
      <c r="DV22" s="36">
        <v>57.1</v>
      </c>
      <c r="DW22" s="25">
        <v>8690</v>
      </c>
      <c r="DX22" s="31">
        <v>5</v>
      </c>
      <c r="DY22" s="36">
        <v>28.55</v>
      </c>
      <c r="DZ22" s="25">
        <v>9294</v>
      </c>
      <c r="EA22" s="31">
        <v>7</v>
      </c>
      <c r="EB22" s="36">
        <v>39.97</v>
      </c>
      <c r="EC22" s="25">
        <v>9412</v>
      </c>
      <c r="ED22" s="31">
        <v>7</v>
      </c>
      <c r="EE22" s="36">
        <v>39.97</v>
      </c>
      <c r="EF22" s="38"/>
      <c r="EG22" s="36">
        <v>0</v>
      </c>
      <c r="EH22" s="38"/>
      <c r="EI22" s="36">
        <v>0</v>
      </c>
      <c r="EJ22" s="41"/>
      <c r="EK22" s="36">
        <v>0</v>
      </c>
      <c r="EL22" s="22"/>
      <c r="EM22" s="36">
        <v>0</v>
      </c>
      <c r="EN22" s="41">
        <v>90</v>
      </c>
      <c r="EO22" s="42">
        <v>253</v>
      </c>
      <c r="EP22" s="60">
        <v>0.746</v>
      </c>
      <c r="EQ22" s="48"/>
      <c r="ER22" s="49"/>
      <c r="ES22" s="50"/>
      <c r="ET22" s="51"/>
      <c r="EU22" s="51"/>
      <c r="EV22" s="51"/>
    </row>
    <row r="23" spans="1:154" s="16" customFormat="1" ht="15.75" thickBot="1" x14ac:dyDescent="0.3">
      <c r="A23" s="21">
        <v>44915</v>
      </c>
      <c r="B23" s="29">
        <v>8105910</v>
      </c>
      <c r="C23" s="23">
        <v>25344</v>
      </c>
      <c r="D23" s="24">
        <v>6985667</v>
      </c>
      <c r="E23" s="23">
        <v>24925</v>
      </c>
      <c r="F23" s="44">
        <v>0.98346748737373735</v>
      </c>
      <c r="G23" s="24">
        <v>1200</v>
      </c>
      <c r="H23" s="24">
        <v>1170</v>
      </c>
      <c r="I23" s="24">
        <v>296149</v>
      </c>
      <c r="J23" s="26">
        <v>0</v>
      </c>
      <c r="K23" s="27">
        <v>820</v>
      </c>
      <c r="L23" s="26">
        <v>0</v>
      </c>
      <c r="M23" s="28">
        <v>651909</v>
      </c>
      <c r="N23" s="26">
        <v>0</v>
      </c>
      <c r="O23" s="28">
        <v>1050</v>
      </c>
      <c r="P23" s="26">
        <v>0</v>
      </c>
      <c r="Q23" s="28">
        <v>5038800</v>
      </c>
      <c r="R23" s="26">
        <v>11000</v>
      </c>
      <c r="S23" s="28">
        <v>4513300</v>
      </c>
      <c r="T23" s="26">
        <v>11700</v>
      </c>
      <c r="U23" s="28">
        <v>3117854</v>
      </c>
      <c r="V23" s="26">
        <v>895</v>
      </c>
      <c r="W23" s="28">
        <v>2402809</v>
      </c>
      <c r="X23" s="26">
        <v>553</v>
      </c>
      <c r="Y23" s="28">
        <v>353801</v>
      </c>
      <c r="Z23" s="26">
        <v>61</v>
      </c>
      <c r="AA23" s="53"/>
      <c r="AB23" s="54">
        <v>0.88888888888888884</v>
      </c>
      <c r="AC23" s="30">
        <v>355.55555555555554</v>
      </c>
      <c r="AD23" s="121">
        <v>14</v>
      </c>
      <c r="AE23" s="28">
        <v>18749</v>
      </c>
      <c r="AF23" s="26">
        <v>498</v>
      </c>
      <c r="AG23" s="22">
        <v>615940</v>
      </c>
      <c r="AH23" s="31">
        <v>430</v>
      </c>
      <c r="AI23" s="28">
        <v>88</v>
      </c>
      <c r="AJ23" s="32">
        <v>0</v>
      </c>
      <c r="AK23" s="28">
        <v>6718</v>
      </c>
      <c r="AL23" s="32">
        <v>5</v>
      </c>
      <c r="AM23" s="17">
        <v>97619</v>
      </c>
      <c r="AN23" s="32">
        <v>100</v>
      </c>
      <c r="AO23" s="17"/>
      <c r="AP23" s="32">
        <v>0</v>
      </c>
      <c r="AQ23" s="28">
        <v>670310</v>
      </c>
      <c r="AR23" s="26">
        <v>180</v>
      </c>
      <c r="AS23" s="35">
        <v>10379</v>
      </c>
      <c r="AT23" s="26">
        <v>28</v>
      </c>
      <c r="AU23" s="34">
        <v>890</v>
      </c>
      <c r="AV23" s="26">
        <v>30</v>
      </c>
      <c r="AW23" s="27">
        <v>9756</v>
      </c>
      <c r="AX23" s="26">
        <v>1</v>
      </c>
      <c r="AY23" s="28">
        <v>11575</v>
      </c>
      <c r="AZ23" s="26">
        <v>2</v>
      </c>
      <c r="BA23" s="28">
        <v>21385</v>
      </c>
      <c r="BB23" s="26">
        <v>11</v>
      </c>
      <c r="BC23" s="28">
        <v>22308</v>
      </c>
      <c r="BD23" s="26">
        <v>6</v>
      </c>
      <c r="BE23" s="22">
        <v>96</v>
      </c>
      <c r="BF23" s="31">
        <v>3</v>
      </c>
      <c r="BG23" s="28">
        <v>15263</v>
      </c>
      <c r="BH23" s="31">
        <v>4</v>
      </c>
      <c r="BI23" s="28">
        <v>7054</v>
      </c>
      <c r="BJ23" s="31">
        <v>2</v>
      </c>
      <c r="BK23" s="28">
        <v>29196</v>
      </c>
      <c r="BL23" s="31">
        <v>5</v>
      </c>
      <c r="BM23" s="28">
        <v>6722</v>
      </c>
      <c r="BN23" s="31">
        <v>4</v>
      </c>
      <c r="BO23" s="28">
        <v>42473</v>
      </c>
      <c r="BP23" s="31">
        <v>51</v>
      </c>
      <c r="BQ23" s="28">
        <v>3641</v>
      </c>
      <c r="BR23" s="31">
        <v>0</v>
      </c>
      <c r="BS23" s="31">
        <v>18</v>
      </c>
      <c r="BT23" s="31">
        <v>162</v>
      </c>
      <c r="BU23" s="28">
        <v>684970</v>
      </c>
      <c r="BV23" s="31">
        <v>170</v>
      </c>
      <c r="BW23" s="28"/>
      <c r="BX23" s="31">
        <v>0</v>
      </c>
      <c r="BY23" s="28">
        <v>882320</v>
      </c>
      <c r="BZ23" s="31">
        <v>250</v>
      </c>
      <c r="CA23" s="22">
        <v>29454</v>
      </c>
      <c r="CB23" s="31">
        <v>32</v>
      </c>
      <c r="CC23" s="36">
        <v>70</v>
      </c>
      <c r="CD23" s="31">
        <v>420</v>
      </c>
      <c r="CE23" s="37">
        <v>63</v>
      </c>
      <c r="CF23" s="22">
        <v>163.5</v>
      </c>
      <c r="CG23" s="55">
        <v>21393.814754507566</v>
      </c>
      <c r="CH23" s="38"/>
      <c r="CI23" s="56">
        <v>71.222491089341929</v>
      </c>
      <c r="CJ23" s="25">
        <v>3039456</v>
      </c>
      <c r="CK23" s="31">
        <v>2440</v>
      </c>
      <c r="CL23" s="36">
        <v>13932.4</v>
      </c>
      <c r="CM23" s="33">
        <v>69</v>
      </c>
      <c r="CN23" s="39">
        <v>7434.75</v>
      </c>
      <c r="CO23" s="25">
        <v>70</v>
      </c>
      <c r="CP23" s="57">
        <v>7542.5</v>
      </c>
      <c r="CQ23" s="33">
        <v>69</v>
      </c>
      <c r="CR23" s="58">
        <v>7434.75</v>
      </c>
      <c r="CS23" s="59">
        <v>22412</v>
      </c>
      <c r="CT23" s="40">
        <v>1185.25</v>
      </c>
      <c r="CU23" s="28"/>
      <c r="CV23" s="25">
        <v>52529</v>
      </c>
      <c r="CW23" s="31">
        <v>44</v>
      </c>
      <c r="CX23" s="36">
        <v>251.24</v>
      </c>
      <c r="CY23" s="46">
        <v>36777</v>
      </c>
      <c r="CZ23" s="31">
        <v>4</v>
      </c>
      <c r="DA23" s="36">
        <v>22.84</v>
      </c>
      <c r="DB23" s="25">
        <v>17497</v>
      </c>
      <c r="DC23" s="31">
        <v>13</v>
      </c>
      <c r="DD23" s="36">
        <v>74.23</v>
      </c>
      <c r="DE23" s="25">
        <v>871585</v>
      </c>
      <c r="DF23" s="31">
        <v>114</v>
      </c>
      <c r="DG23" s="36">
        <v>650.93999999999994</v>
      </c>
      <c r="DH23" s="28">
        <v>13538</v>
      </c>
      <c r="DI23" s="31">
        <v>10</v>
      </c>
      <c r="DJ23" s="36">
        <v>57.1</v>
      </c>
      <c r="DK23" s="25">
        <v>12244</v>
      </c>
      <c r="DL23" s="31">
        <v>9</v>
      </c>
      <c r="DM23" s="36">
        <v>51.39</v>
      </c>
      <c r="DN23" s="25">
        <v>7741</v>
      </c>
      <c r="DO23" s="31">
        <v>5</v>
      </c>
      <c r="DP23" s="36">
        <v>28.55</v>
      </c>
      <c r="DQ23" s="25">
        <v>2549</v>
      </c>
      <c r="DR23" s="31">
        <v>1</v>
      </c>
      <c r="DS23" s="36">
        <v>5.71</v>
      </c>
      <c r="DT23" s="25">
        <v>9807</v>
      </c>
      <c r="DU23" s="31">
        <v>9</v>
      </c>
      <c r="DV23" s="36">
        <v>51.39</v>
      </c>
      <c r="DW23" s="25">
        <v>8695</v>
      </c>
      <c r="DX23" s="31">
        <v>5</v>
      </c>
      <c r="DY23" s="36">
        <v>28.55</v>
      </c>
      <c r="DZ23" s="25">
        <v>9301</v>
      </c>
      <c r="EA23" s="31">
        <v>7</v>
      </c>
      <c r="EB23" s="36">
        <v>39.97</v>
      </c>
      <c r="EC23" s="25">
        <v>9420</v>
      </c>
      <c r="ED23" s="31">
        <v>8</v>
      </c>
      <c r="EE23" s="36">
        <v>45.68</v>
      </c>
      <c r="EF23" s="38"/>
      <c r="EG23" s="36">
        <v>0</v>
      </c>
      <c r="EH23" s="38"/>
      <c r="EI23" s="36">
        <v>0</v>
      </c>
      <c r="EJ23" s="41"/>
      <c r="EK23" s="36">
        <v>0</v>
      </c>
      <c r="EL23" s="22"/>
      <c r="EM23" s="36">
        <v>0</v>
      </c>
      <c r="EN23" s="41">
        <v>66</v>
      </c>
      <c r="EO23" s="42">
        <v>243</v>
      </c>
      <c r="EP23" s="60">
        <v>0.5</v>
      </c>
      <c r="EQ23" s="48"/>
      <c r="ER23" s="49"/>
      <c r="ES23" s="50"/>
      <c r="ET23" s="51"/>
      <c r="EU23" s="51"/>
      <c r="EV23" s="51"/>
    </row>
    <row r="24" spans="1:154" s="16" customFormat="1" ht="15.75" thickBot="1" x14ac:dyDescent="0.3">
      <c r="A24" s="21">
        <v>44916</v>
      </c>
      <c r="B24" s="29">
        <v>8134265</v>
      </c>
      <c r="C24" s="23">
        <v>28355</v>
      </c>
      <c r="D24" s="24">
        <v>7013302</v>
      </c>
      <c r="E24" s="23">
        <v>27635</v>
      </c>
      <c r="F24" s="44">
        <v>0.97460765297125729</v>
      </c>
      <c r="G24" s="24">
        <v>1200</v>
      </c>
      <c r="H24" s="24">
        <v>1170</v>
      </c>
      <c r="I24" s="24">
        <v>296149</v>
      </c>
      <c r="J24" s="26">
        <v>0</v>
      </c>
      <c r="K24" s="27">
        <v>820</v>
      </c>
      <c r="L24" s="26">
        <v>0</v>
      </c>
      <c r="M24" s="28">
        <v>651909</v>
      </c>
      <c r="N24" s="26">
        <v>0</v>
      </c>
      <c r="O24" s="28">
        <v>1050</v>
      </c>
      <c r="P24" s="26">
        <v>0</v>
      </c>
      <c r="Q24" s="28">
        <v>5052000</v>
      </c>
      <c r="R24" s="26">
        <v>13200</v>
      </c>
      <c r="S24" s="28">
        <v>4525000</v>
      </c>
      <c r="T24" s="26">
        <v>11700</v>
      </c>
      <c r="U24" s="28">
        <v>3119003</v>
      </c>
      <c r="V24" s="26">
        <v>1149</v>
      </c>
      <c r="W24" s="28">
        <v>2403420</v>
      </c>
      <c r="X24" s="26">
        <v>611</v>
      </c>
      <c r="Y24" s="28">
        <v>353886</v>
      </c>
      <c r="Z24" s="26">
        <v>85</v>
      </c>
      <c r="AA24" s="53"/>
      <c r="AB24" s="54">
        <v>0.83333333333333337</v>
      </c>
      <c r="AC24" s="30">
        <v>333.33333333333337</v>
      </c>
      <c r="AD24" s="121">
        <v>10</v>
      </c>
      <c r="AE24" s="28">
        <v>19023</v>
      </c>
      <c r="AF24" s="26">
        <v>274</v>
      </c>
      <c r="AG24" s="22">
        <v>616440</v>
      </c>
      <c r="AH24" s="31">
        <v>500</v>
      </c>
      <c r="AI24" s="28">
        <v>88</v>
      </c>
      <c r="AJ24" s="32">
        <v>0</v>
      </c>
      <c r="AK24" s="28">
        <v>6729</v>
      </c>
      <c r="AL24" s="32">
        <v>11</v>
      </c>
      <c r="AM24" s="17">
        <v>97719</v>
      </c>
      <c r="AN24" s="32">
        <v>100</v>
      </c>
      <c r="AO24" s="17"/>
      <c r="AP24" s="32">
        <v>0</v>
      </c>
      <c r="AQ24" s="28">
        <v>670510</v>
      </c>
      <c r="AR24" s="26">
        <v>200</v>
      </c>
      <c r="AS24" s="35">
        <v>10411</v>
      </c>
      <c r="AT24" s="26">
        <v>32</v>
      </c>
      <c r="AU24" s="34">
        <v>919</v>
      </c>
      <c r="AV24" s="26">
        <v>29</v>
      </c>
      <c r="AW24" s="27">
        <v>9756</v>
      </c>
      <c r="AX24" s="26">
        <v>0</v>
      </c>
      <c r="AY24" s="28">
        <v>11577</v>
      </c>
      <c r="AZ24" s="26">
        <v>2</v>
      </c>
      <c r="BA24" s="28">
        <v>21397</v>
      </c>
      <c r="BB24" s="26">
        <v>12</v>
      </c>
      <c r="BC24" s="28">
        <v>22313</v>
      </c>
      <c r="BD24" s="26">
        <v>5</v>
      </c>
      <c r="BE24" s="22">
        <v>99</v>
      </c>
      <c r="BF24" s="31">
        <v>3</v>
      </c>
      <c r="BG24" s="28">
        <v>15267</v>
      </c>
      <c r="BH24" s="31">
        <v>4</v>
      </c>
      <c r="BI24" s="28">
        <v>7055</v>
      </c>
      <c r="BJ24" s="31">
        <v>1</v>
      </c>
      <c r="BK24" s="28">
        <v>29200</v>
      </c>
      <c r="BL24" s="31">
        <v>4</v>
      </c>
      <c r="BM24" s="28">
        <v>6727</v>
      </c>
      <c r="BN24" s="31">
        <v>5</v>
      </c>
      <c r="BO24" s="28">
        <v>42530</v>
      </c>
      <c r="BP24" s="31">
        <v>57</v>
      </c>
      <c r="BQ24" s="28">
        <v>3641</v>
      </c>
      <c r="BR24" s="31">
        <v>0</v>
      </c>
      <c r="BS24" s="31">
        <v>19</v>
      </c>
      <c r="BT24" s="31">
        <v>181</v>
      </c>
      <c r="BU24" s="28">
        <v>685120</v>
      </c>
      <c r="BV24" s="31">
        <v>150</v>
      </c>
      <c r="BW24" s="28"/>
      <c r="BX24" s="31">
        <v>0</v>
      </c>
      <c r="BY24" s="28">
        <v>882610</v>
      </c>
      <c r="BZ24" s="31">
        <v>290</v>
      </c>
      <c r="CA24" s="22">
        <v>29500</v>
      </c>
      <c r="CB24" s="31">
        <v>46</v>
      </c>
      <c r="CC24" s="36">
        <v>90</v>
      </c>
      <c r="CD24" s="31">
        <v>440</v>
      </c>
      <c r="CE24" s="37">
        <v>61</v>
      </c>
      <c r="CF24" s="22">
        <v>163.5</v>
      </c>
      <c r="CG24" s="55">
        <v>21393.814754507566</v>
      </c>
      <c r="CH24" s="38"/>
      <c r="CI24" s="56">
        <v>0</v>
      </c>
      <c r="CJ24" s="25">
        <v>3041550</v>
      </c>
      <c r="CK24" s="31">
        <v>2094</v>
      </c>
      <c r="CL24" s="36">
        <v>11956.74</v>
      </c>
      <c r="CM24" s="33">
        <v>65</v>
      </c>
      <c r="CN24" s="39">
        <v>7003.75</v>
      </c>
      <c r="CO24" s="25">
        <v>66</v>
      </c>
      <c r="CP24" s="57">
        <v>7111.5</v>
      </c>
      <c r="CQ24" s="33">
        <v>65</v>
      </c>
      <c r="CR24" s="58">
        <v>7003.75</v>
      </c>
      <c r="CS24" s="59">
        <v>21119</v>
      </c>
      <c r="CT24" s="40">
        <v>1293</v>
      </c>
      <c r="CU24" s="28">
        <v>7774</v>
      </c>
      <c r="CV24" s="25">
        <v>52571</v>
      </c>
      <c r="CW24" s="31">
        <v>42</v>
      </c>
      <c r="CX24" s="36">
        <v>239.82</v>
      </c>
      <c r="CY24" s="46">
        <v>36780</v>
      </c>
      <c r="CZ24" s="31">
        <v>3</v>
      </c>
      <c r="DA24" s="36">
        <v>17.13</v>
      </c>
      <c r="DB24" s="25">
        <v>17512</v>
      </c>
      <c r="DC24" s="31">
        <v>15</v>
      </c>
      <c r="DD24" s="36">
        <v>85.65</v>
      </c>
      <c r="DE24" s="25">
        <v>871704</v>
      </c>
      <c r="DF24" s="31">
        <v>119</v>
      </c>
      <c r="DG24" s="36">
        <v>679.49</v>
      </c>
      <c r="DH24" s="28">
        <v>13549</v>
      </c>
      <c r="DI24" s="31">
        <v>11</v>
      </c>
      <c r="DJ24" s="36">
        <v>62.81</v>
      </c>
      <c r="DK24" s="25">
        <v>12258</v>
      </c>
      <c r="DL24" s="31">
        <v>14</v>
      </c>
      <c r="DM24" s="36">
        <v>79.94</v>
      </c>
      <c r="DN24" s="25">
        <v>7749</v>
      </c>
      <c r="DO24" s="31">
        <v>8</v>
      </c>
      <c r="DP24" s="36">
        <v>45.68</v>
      </c>
      <c r="DQ24" s="25">
        <v>2551</v>
      </c>
      <c r="DR24" s="31">
        <v>2</v>
      </c>
      <c r="DS24" s="36">
        <v>11.42</v>
      </c>
      <c r="DT24" s="25">
        <v>9817</v>
      </c>
      <c r="DU24" s="31">
        <v>10</v>
      </c>
      <c r="DV24" s="36">
        <v>57.1</v>
      </c>
      <c r="DW24" s="25">
        <v>8699</v>
      </c>
      <c r="DX24" s="31">
        <v>4</v>
      </c>
      <c r="DY24" s="36">
        <v>22.84</v>
      </c>
      <c r="DZ24" s="25">
        <v>9308</v>
      </c>
      <c r="EA24" s="31">
        <v>7</v>
      </c>
      <c r="EB24" s="36">
        <v>39.97</v>
      </c>
      <c r="EC24" s="25">
        <v>9428</v>
      </c>
      <c r="ED24" s="31">
        <v>8</v>
      </c>
      <c r="EE24" s="36">
        <v>45.68</v>
      </c>
      <c r="EF24" s="38"/>
      <c r="EG24" s="36">
        <v>0</v>
      </c>
      <c r="EH24" s="38"/>
      <c r="EI24" s="36">
        <v>0</v>
      </c>
      <c r="EJ24" s="41"/>
      <c r="EK24" s="36">
        <v>0</v>
      </c>
      <c r="EL24" s="22"/>
      <c r="EM24" s="36">
        <v>0</v>
      </c>
      <c r="EN24" s="41">
        <v>66</v>
      </c>
      <c r="EO24" s="42">
        <v>211</v>
      </c>
      <c r="EP24" s="60">
        <v>0.5</v>
      </c>
      <c r="EQ24" s="48"/>
      <c r="ER24" s="49"/>
      <c r="ES24" s="50"/>
      <c r="ET24" s="51"/>
      <c r="EU24" s="51"/>
      <c r="EV24" s="51"/>
    </row>
    <row r="25" spans="1:154" s="16" customFormat="1" ht="15.75" thickBot="1" x14ac:dyDescent="0.3">
      <c r="A25" s="21">
        <v>44917</v>
      </c>
      <c r="B25" s="29">
        <v>8164937</v>
      </c>
      <c r="C25" s="23">
        <v>30672</v>
      </c>
      <c r="D25" s="24">
        <v>7043132</v>
      </c>
      <c r="E25" s="23">
        <v>29830</v>
      </c>
      <c r="F25" s="44">
        <v>0.97254825247782994</v>
      </c>
      <c r="G25" s="24">
        <v>1362</v>
      </c>
      <c r="H25" s="24">
        <v>1170</v>
      </c>
      <c r="I25" s="24">
        <v>296149</v>
      </c>
      <c r="J25" s="26">
        <v>0</v>
      </c>
      <c r="K25" s="27">
        <v>820</v>
      </c>
      <c r="L25" s="26">
        <v>0</v>
      </c>
      <c r="M25" s="28">
        <v>651909</v>
      </c>
      <c r="N25" s="26">
        <v>0</v>
      </c>
      <c r="O25" s="28">
        <v>1050</v>
      </c>
      <c r="P25" s="26">
        <v>0</v>
      </c>
      <c r="Q25" s="28">
        <v>5066200</v>
      </c>
      <c r="R25" s="26">
        <v>14200</v>
      </c>
      <c r="S25" s="28">
        <v>4537500</v>
      </c>
      <c r="T25" s="26">
        <v>12500</v>
      </c>
      <c r="U25" s="28">
        <v>3121136</v>
      </c>
      <c r="V25" s="26">
        <v>2133</v>
      </c>
      <c r="W25" s="28">
        <v>2404092</v>
      </c>
      <c r="X25" s="26">
        <v>672</v>
      </c>
      <c r="Y25" s="28">
        <v>353971</v>
      </c>
      <c r="Z25" s="26">
        <v>85</v>
      </c>
      <c r="AA25" s="53"/>
      <c r="AB25" s="54">
        <v>0.86111111111111116</v>
      </c>
      <c r="AC25" s="30">
        <v>344.44444444444446</v>
      </c>
      <c r="AD25" s="121">
        <v>8</v>
      </c>
      <c r="AE25" s="28">
        <v>19286</v>
      </c>
      <c r="AF25" s="26">
        <v>263</v>
      </c>
      <c r="AG25" s="22">
        <v>616850</v>
      </c>
      <c r="AH25" s="31">
        <v>410</v>
      </c>
      <c r="AI25" s="28">
        <v>89</v>
      </c>
      <c r="AJ25" s="32">
        <v>1</v>
      </c>
      <c r="AK25" s="28">
        <v>6734</v>
      </c>
      <c r="AL25" s="32">
        <v>5</v>
      </c>
      <c r="AM25" s="17">
        <v>97843</v>
      </c>
      <c r="AN25" s="32">
        <v>124</v>
      </c>
      <c r="AO25" s="17"/>
      <c r="AP25" s="32">
        <v>0</v>
      </c>
      <c r="AQ25" s="28">
        <v>670700</v>
      </c>
      <c r="AR25" s="26">
        <v>190</v>
      </c>
      <c r="AS25" s="35">
        <v>10443</v>
      </c>
      <c r="AT25" s="26">
        <v>32</v>
      </c>
      <c r="AU25" s="34">
        <v>956</v>
      </c>
      <c r="AV25" s="26">
        <v>37</v>
      </c>
      <c r="AW25" s="27">
        <v>9756</v>
      </c>
      <c r="AX25" s="26">
        <v>0</v>
      </c>
      <c r="AY25" s="28">
        <v>11579</v>
      </c>
      <c r="AZ25" s="26">
        <v>2</v>
      </c>
      <c r="BA25" s="28">
        <v>21410</v>
      </c>
      <c r="BB25" s="26">
        <v>13</v>
      </c>
      <c r="BC25" s="28">
        <v>22318</v>
      </c>
      <c r="BD25" s="26">
        <v>5</v>
      </c>
      <c r="BE25" s="22">
        <v>102</v>
      </c>
      <c r="BF25" s="31">
        <v>3</v>
      </c>
      <c r="BG25" s="28">
        <v>15275</v>
      </c>
      <c r="BH25" s="31">
        <v>8</v>
      </c>
      <c r="BI25" s="28">
        <v>7057</v>
      </c>
      <c r="BJ25" s="31">
        <v>2</v>
      </c>
      <c r="BK25" s="28">
        <v>29205</v>
      </c>
      <c r="BL25" s="31">
        <v>5</v>
      </c>
      <c r="BM25" s="28">
        <v>6733</v>
      </c>
      <c r="BN25" s="31">
        <v>6</v>
      </c>
      <c r="BO25" s="28">
        <v>42589</v>
      </c>
      <c r="BP25" s="31">
        <v>59</v>
      </c>
      <c r="BQ25" s="28">
        <v>3641</v>
      </c>
      <c r="BR25" s="31">
        <v>0</v>
      </c>
      <c r="BS25" s="31">
        <v>24</v>
      </c>
      <c r="BT25" s="31">
        <v>166</v>
      </c>
      <c r="BU25" s="103">
        <v>685280</v>
      </c>
      <c r="BV25" s="31">
        <v>160</v>
      </c>
      <c r="BW25" s="28"/>
      <c r="BX25" s="31">
        <v>0</v>
      </c>
      <c r="BY25" s="28">
        <v>882890</v>
      </c>
      <c r="BZ25" s="31">
        <v>280</v>
      </c>
      <c r="CA25" s="22"/>
      <c r="CB25" s="31"/>
      <c r="CC25" s="36">
        <v>90</v>
      </c>
      <c r="CD25" s="31">
        <v>440</v>
      </c>
      <c r="CE25" s="37">
        <v>76</v>
      </c>
      <c r="CF25" s="22">
        <v>163.5</v>
      </c>
      <c r="CG25" s="55">
        <v>21393.814754507566</v>
      </c>
      <c r="CH25" s="38"/>
      <c r="CI25" s="56">
        <v>0</v>
      </c>
      <c r="CJ25" s="25">
        <v>3043389</v>
      </c>
      <c r="CK25" s="31">
        <v>1839</v>
      </c>
      <c r="CL25" s="36">
        <v>10500.69</v>
      </c>
      <c r="CM25" s="33">
        <v>85</v>
      </c>
      <c r="CN25" s="39">
        <v>9158.75</v>
      </c>
      <c r="CO25" s="25">
        <v>85</v>
      </c>
      <c r="CP25" s="57">
        <v>9158.75</v>
      </c>
      <c r="CQ25" s="33">
        <v>85</v>
      </c>
      <c r="CR25" s="58">
        <v>9158.75</v>
      </c>
      <c r="CS25" s="59">
        <v>27476.25</v>
      </c>
      <c r="CT25" s="40">
        <v>1416.75</v>
      </c>
      <c r="CU25" s="28"/>
      <c r="CV25" s="25">
        <v>52611</v>
      </c>
      <c r="CW25" s="31">
        <v>40</v>
      </c>
      <c r="CX25" s="36">
        <v>228.4</v>
      </c>
      <c r="CY25" s="46">
        <v>36784</v>
      </c>
      <c r="CZ25" s="31">
        <v>4</v>
      </c>
      <c r="DA25" s="36">
        <v>22.84</v>
      </c>
      <c r="DB25" s="25">
        <v>17530</v>
      </c>
      <c r="DC25" s="31">
        <v>18</v>
      </c>
      <c r="DD25" s="36">
        <v>102.78</v>
      </c>
      <c r="DE25" s="25">
        <v>871845</v>
      </c>
      <c r="DF25" s="31">
        <v>141</v>
      </c>
      <c r="DG25" s="36">
        <v>805.11</v>
      </c>
      <c r="DH25" s="28">
        <v>13563</v>
      </c>
      <c r="DI25" s="31">
        <v>14</v>
      </c>
      <c r="DJ25" s="36">
        <v>79.94</v>
      </c>
      <c r="DK25" s="25">
        <v>12268</v>
      </c>
      <c r="DL25" s="31">
        <v>10</v>
      </c>
      <c r="DM25" s="36">
        <v>57.1</v>
      </c>
      <c r="DN25" s="25">
        <v>7755</v>
      </c>
      <c r="DO25" s="31">
        <v>6</v>
      </c>
      <c r="DP25" s="36">
        <v>34.26</v>
      </c>
      <c r="DQ25" s="25">
        <v>2553</v>
      </c>
      <c r="DR25" s="31">
        <v>2</v>
      </c>
      <c r="DS25" s="36">
        <v>11.42</v>
      </c>
      <c r="DT25" s="25">
        <v>9827</v>
      </c>
      <c r="DU25" s="31">
        <v>10</v>
      </c>
      <c r="DV25" s="36">
        <v>57.1</v>
      </c>
      <c r="DW25" s="25">
        <v>8702</v>
      </c>
      <c r="DX25" s="31">
        <v>3</v>
      </c>
      <c r="DY25" s="36">
        <v>17.13</v>
      </c>
      <c r="DZ25" s="25">
        <v>9316</v>
      </c>
      <c r="EA25" s="31">
        <v>8</v>
      </c>
      <c r="EB25" s="36">
        <v>45.68</v>
      </c>
      <c r="EC25" s="25">
        <v>9437</v>
      </c>
      <c r="ED25" s="31">
        <v>9</v>
      </c>
      <c r="EE25" s="36">
        <v>51.39</v>
      </c>
      <c r="EF25" s="38"/>
      <c r="EG25" s="36">
        <v>0</v>
      </c>
      <c r="EH25" s="38"/>
      <c r="EI25" s="36">
        <v>0</v>
      </c>
      <c r="EJ25" s="41"/>
      <c r="EK25" s="36">
        <v>0</v>
      </c>
      <c r="EL25" s="22"/>
      <c r="EM25" s="36">
        <v>0</v>
      </c>
      <c r="EN25" s="41">
        <v>70</v>
      </c>
      <c r="EO25" s="42">
        <v>223</v>
      </c>
      <c r="EP25" s="60">
        <v>0.53400000000000003</v>
      </c>
      <c r="EQ25" s="48"/>
      <c r="ER25" s="49"/>
      <c r="ES25" s="50"/>
      <c r="ET25" s="51"/>
      <c r="EU25" s="51"/>
      <c r="EV25" s="51"/>
    </row>
    <row r="26" spans="1:154" s="16" customFormat="1" ht="15.75" thickBot="1" x14ac:dyDescent="0.3">
      <c r="A26" s="21">
        <v>44918</v>
      </c>
      <c r="B26" s="29">
        <v>8188272</v>
      </c>
      <c r="C26" s="23">
        <v>23335</v>
      </c>
      <c r="D26" s="24">
        <v>7065971</v>
      </c>
      <c r="E26" s="23">
        <v>22839</v>
      </c>
      <c r="F26" s="44">
        <v>0.97874437540175707</v>
      </c>
      <c r="G26" s="24">
        <v>1362</v>
      </c>
      <c r="H26" s="24">
        <v>1170</v>
      </c>
      <c r="I26" s="24">
        <v>296149</v>
      </c>
      <c r="J26" s="26">
        <v>0</v>
      </c>
      <c r="K26" s="27">
        <v>820</v>
      </c>
      <c r="L26" s="26">
        <v>0</v>
      </c>
      <c r="M26" s="28">
        <v>651909</v>
      </c>
      <c r="N26" s="26">
        <v>0</v>
      </c>
      <c r="O26" s="28">
        <v>1050</v>
      </c>
      <c r="P26" s="26">
        <v>0</v>
      </c>
      <c r="Q26" s="28">
        <v>5076100</v>
      </c>
      <c r="R26" s="26">
        <v>9900</v>
      </c>
      <c r="S26" s="28">
        <v>4548400</v>
      </c>
      <c r="T26" s="26">
        <v>10900</v>
      </c>
      <c r="U26" s="28">
        <v>3122911</v>
      </c>
      <c r="V26" s="26">
        <v>1775</v>
      </c>
      <c r="W26" s="28">
        <v>2404498</v>
      </c>
      <c r="X26" s="26">
        <v>406</v>
      </c>
      <c r="Y26" s="28">
        <v>354055</v>
      </c>
      <c r="Z26" s="26">
        <v>84</v>
      </c>
      <c r="AA26" s="53"/>
      <c r="AB26" s="54">
        <v>0.61111111111111116</v>
      </c>
      <c r="AC26" s="30">
        <v>244.44444444444446</v>
      </c>
      <c r="AD26" s="121">
        <v>5</v>
      </c>
      <c r="AE26" s="28">
        <v>19451</v>
      </c>
      <c r="AF26" s="26">
        <v>165</v>
      </c>
      <c r="AG26" s="22">
        <v>617200</v>
      </c>
      <c r="AH26" s="31">
        <v>350</v>
      </c>
      <c r="AI26" s="28">
        <v>89</v>
      </c>
      <c r="AJ26" s="32">
        <v>0</v>
      </c>
      <c r="AK26" s="28">
        <v>6741</v>
      </c>
      <c r="AL26" s="32">
        <v>7</v>
      </c>
      <c r="AM26" s="17">
        <v>97966</v>
      </c>
      <c r="AN26" s="32">
        <v>123</v>
      </c>
      <c r="AO26" s="17"/>
      <c r="AP26" s="32">
        <v>0</v>
      </c>
      <c r="AQ26" s="28">
        <v>670830</v>
      </c>
      <c r="AR26" s="26">
        <v>130</v>
      </c>
      <c r="AS26" s="35">
        <v>10475</v>
      </c>
      <c r="AT26" s="26">
        <v>32</v>
      </c>
      <c r="AU26" s="34">
        <v>976</v>
      </c>
      <c r="AV26" s="26">
        <v>20</v>
      </c>
      <c r="AW26" s="27">
        <v>9757</v>
      </c>
      <c r="AX26" s="26">
        <v>1</v>
      </c>
      <c r="AY26" s="28">
        <v>11581</v>
      </c>
      <c r="AZ26" s="26">
        <v>2</v>
      </c>
      <c r="BA26" s="28">
        <v>21420</v>
      </c>
      <c r="BB26" s="26">
        <v>10</v>
      </c>
      <c r="BC26" s="28">
        <v>22323</v>
      </c>
      <c r="BD26" s="26">
        <v>5</v>
      </c>
      <c r="BE26" s="22">
        <v>104</v>
      </c>
      <c r="BF26" s="31">
        <v>2</v>
      </c>
      <c r="BG26" s="28">
        <v>15282</v>
      </c>
      <c r="BH26" s="31">
        <v>7</v>
      </c>
      <c r="BI26" s="28">
        <v>7058</v>
      </c>
      <c r="BJ26" s="31">
        <v>1</v>
      </c>
      <c r="BK26" s="28">
        <v>29210</v>
      </c>
      <c r="BL26" s="31">
        <v>5</v>
      </c>
      <c r="BM26" s="28">
        <v>6738</v>
      </c>
      <c r="BN26" s="31">
        <v>5</v>
      </c>
      <c r="BO26" s="28">
        <v>42640</v>
      </c>
      <c r="BP26" s="31">
        <v>51</v>
      </c>
      <c r="BQ26" s="28">
        <v>3641</v>
      </c>
      <c r="BR26" s="31">
        <v>0</v>
      </c>
      <c r="BS26" s="31">
        <v>19</v>
      </c>
      <c r="BT26" s="31">
        <v>111</v>
      </c>
      <c r="BU26" s="28">
        <v>685410</v>
      </c>
      <c r="BV26" s="31">
        <v>130</v>
      </c>
      <c r="BW26" s="28"/>
      <c r="BX26" s="31">
        <v>0</v>
      </c>
      <c r="BY26" s="28">
        <v>883100</v>
      </c>
      <c r="BZ26" s="31">
        <v>210</v>
      </c>
      <c r="CA26" s="22">
        <v>29581</v>
      </c>
      <c r="CB26" s="31">
        <v>29581</v>
      </c>
      <c r="CC26" s="36">
        <v>80</v>
      </c>
      <c r="CD26" s="31">
        <v>340</v>
      </c>
      <c r="CE26" s="37">
        <v>53</v>
      </c>
      <c r="CF26" s="22">
        <v>163.5</v>
      </c>
      <c r="CG26" s="55">
        <v>21393.814754507566</v>
      </c>
      <c r="CH26" s="38"/>
      <c r="CI26" s="56">
        <v>0</v>
      </c>
      <c r="CJ26" s="25">
        <v>3045699</v>
      </c>
      <c r="CK26" s="31">
        <v>2310</v>
      </c>
      <c r="CL26" s="36">
        <v>13190.1</v>
      </c>
      <c r="CM26" s="33">
        <v>80</v>
      </c>
      <c r="CN26" s="39">
        <v>8620</v>
      </c>
      <c r="CO26" s="25">
        <v>81</v>
      </c>
      <c r="CP26" s="57">
        <v>8727.75</v>
      </c>
      <c r="CQ26" s="33">
        <v>80</v>
      </c>
      <c r="CR26" s="58">
        <v>8620</v>
      </c>
      <c r="CS26" s="59">
        <v>25967.75</v>
      </c>
      <c r="CT26" s="40">
        <v>1508.5</v>
      </c>
      <c r="CU26" s="28"/>
      <c r="CV26" s="25">
        <v>52643</v>
      </c>
      <c r="CW26" s="31">
        <v>32</v>
      </c>
      <c r="CX26" s="36">
        <v>182.72</v>
      </c>
      <c r="CY26" s="46">
        <v>36789</v>
      </c>
      <c r="CZ26" s="31">
        <v>5</v>
      </c>
      <c r="DA26" s="36">
        <v>28.55</v>
      </c>
      <c r="DB26" s="25">
        <v>17547</v>
      </c>
      <c r="DC26" s="31">
        <v>17</v>
      </c>
      <c r="DD26" s="36">
        <v>97.07</v>
      </c>
      <c r="DE26" s="25">
        <v>871922</v>
      </c>
      <c r="DF26" s="31">
        <v>77</v>
      </c>
      <c r="DG26" s="36">
        <v>439.67</v>
      </c>
      <c r="DH26" s="28">
        <v>13570</v>
      </c>
      <c r="DI26" s="31">
        <v>7</v>
      </c>
      <c r="DJ26" s="36">
        <v>39.97</v>
      </c>
      <c r="DK26" s="25">
        <v>12278</v>
      </c>
      <c r="DL26" s="31">
        <v>10</v>
      </c>
      <c r="DM26" s="36">
        <v>57.1</v>
      </c>
      <c r="DN26" s="25">
        <v>7761</v>
      </c>
      <c r="DO26" s="31">
        <v>6</v>
      </c>
      <c r="DP26" s="36">
        <v>34.26</v>
      </c>
      <c r="DQ26" s="25">
        <v>2554</v>
      </c>
      <c r="DR26" s="31">
        <v>1</v>
      </c>
      <c r="DS26" s="36">
        <v>5.71</v>
      </c>
      <c r="DT26" s="25">
        <v>9837</v>
      </c>
      <c r="DU26" s="31">
        <v>10</v>
      </c>
      <c r="DV26" s="36">
        <v>57.1</v>
      </c>
      <c r="DW26" s="25">
        <v>8709</v>
      </c>
      <c r="DX26" s="31">
        <v>7</v>
      </c>
      <c r="DY26" s="36">
        <v>39.97</v>
      </c>
      <c r="DZ26" s="25">
        <v>9322</v>
      </c>
      <c r="EA26" s="31">
        <v>6</v>
      </c>
      <c r="EB26" s="36">
        <v>34.26</v>
      </c>
      <c r="EC26" s="25">
        <v>9443</v>
      </c>
      <c r="ED26" s="31">
        <v>6</v>
      </c>
      <c r="EE26" s="36">
        <v>34.26</v>
      </c>
      <c r="EF26" s="38"/>
      <c r="EG26" s="36">
        <v>0</v>
      </c>
      <c r="EH26" s="38"/>
      <c r="EI26" s="36">
        <v>0</v>
      </c>
      <c r="EJ26" s="41"/>
      <c r="EK26" s="36">
        <v>0</v>
      </c>
      <c r="EL26" s="22"/>
      <c r="EM26" s="36">
        <v>0</v>
      </c>
      <c r="EN26" s="41">
        <v>76</v>
      </c>
      <c r="EO26" s="42">
        <v>243</v>
      </c>
      <c r="EP26" s="60">
        <v>0.59299999999999997</v>
      </c>
      <c r="EQ26" s="48"/>
      <c r="ER26" s="49"/>
      <c r="ES26" s="50"/>
      <c r="ET26" s="51"/>
      <c r="EU26" s="51"/>
      <c r="EV26" s="51"/>
    </row>
    <row r="27" spans="1:154" s="16" customFormat="1" ht="15.75" thickBot="1" x14ac:dyDescent="0.3">
      <c r="A27" s="21">
        <v>44919</v>
      </c>
      <c r="B27" s="29">
        <v>8215193</v>
      </c>
      <c r="C27" s="23">
        <v>26921</v>
      </c>
      <c r="D27" s="24">
        <v>7092412</v>
      </c>
      <c r="E27" s="23">
        <v>26441</v>
      </c>
      <c r="F27" s="44">
        <v>0.98217005311838346</v>
      </c>
      <c r="G27" s="24">
        <v>1362</v>
      </c>
      <c r="H27" s="24">
        <v>1170</v>
      </c>
      <c r="I27" s="24">
        <v>296149</v>
      </c>
      <c r="J27" s="26">
        <v>0</v>
      </c>
      <c r="K27" s="27">
        <v>820</v>
      </c>
      <c r="L27" s="26">
        <v>0</v>
      </c>
      <c r="M27" s="28">
        <v>651909</v>
      </c>
      <c r="N27" s="26">
        <v>0</v>
      </c>
      <c r="O27" s="28">
        <v>1050</v>
      </c>
      <c r="P27" s="26">
        <v>0</v>
      </c>
      <c r="Q27" s="28">
        <v>5087500</v>
      </c>
      <c r="R27" s="26">
        <v>11400</v>
      </c>
      <c r="S27" s="28">
        <v>4560900</v>
      </c>
      <c r="T27" s="26">
        <v>12500</v>
      </c>
      <c r="U27" s="28">
        <v>3123897</v>
      </c>
      <c r="V27" s="26">
        <v>986</v>
      </c>
      <c r="W27" s="28">
        <v>2405182</v>
      </c>
      <c r="X27" s="26">
        <v>684</v>
      </c>
      <c r="Y27" s="28">
        <v>354139</v>
      </c>
      <c r="Z27" s="26">
        <v>84</v>
      </c>
      <c r="AA27" s="53"/>
      <c r="AB27" s="54">
        <v>0.55555555555555558</v>
      </c>
      <c r="AC27" s="30">
        <v>222.22222222222223</v>
      </c>
      <c r="AD27" s="121">
        <v>10</v>
      </c>
      <c r="AE27" s="28">
        <v>19786</v>
      </c>
      <c r="AF27" s="26">
        <v>335</v>
      </c>
      <c r="AG27" s="22">
        <v>617750</v>
      </c>
      <c r="AH27" s="31">
        <v>550</v>
      </c>
      <c r="AI27" s="28">
        <v>89</v>
      </c>
      <c r="AJ27" s="32">
        <v>0</v>
      </c>
      <c r="AK27" s="28">
        <v>6750</v>
      </c>
      <c r="AL27" s="32">
        <v>9</v>
      </c>
      <c r="AM27" s="17">
        <v>98096</v>
      </c>
      <c r="AN27" s="32">
        <v>130</v>
      </c>
      <c r="AO27" s="17"/>
      <c r="AP27" s="32">
        <v>0</v>
      </c>
      <c r="AQ27" s="103">
        <v>671040</v>
      </c>
      <c r="AR27" s="26">
        <v>210</v>
      </c>
      <c r="AS27" s="35">
        <v>10500</v>
      </c>
      <c r="AT27" s="26">
        <v>25</v>
      </c>
      <c r="AU27" s="34">
        <v>1012</v>
      </c>
      <c r="AV27" s="26">
        <v>36</v>
      </c>
      <c r="AW27" s="27">
        <v>9757</v>
      </c>
      <c r="AX27" s="26">
        <v>0</v>
      </c>
      <c r="AY27" s="28">
        <v>11582</v>
      </c>
      <c r="AZ27" s="26">
        <v>1</v>
      </c>
      <c r="BA27" s="28">
        <v>21428</v>
      </c>
      <c r="BB27" s="26">
        <v>8</v>
      </c>
      <c r="BC27" s="28">
        <v>22328</v>
      </c>
      <c r="BD27" s="26">
        <v>5</v>
      </c>
      <c r="BE27" s="22">
        <v>106</v>
      </c>
      <c r="BF27" s="31">
        <v>2</v>
      </c>
      <c r="BG27" s="28">
        <v>15287</v>
      </c>
      <c r="BH27" s="31">
        <v>5</v>
      </c>
      <c r="BI27" s="28">
        <v>7060</v>
      </c>
      <c r="BJ27" s="31">
        <v>2</v>
      </c>
      <c r="BK27" s="28">
        <v>29217</v>
      </c>
      <c r="BL27" s="31">
        <v>7</v>
      </c>
      <c r="BM27" s="28">
        <v>6744</v>
      </c>
      <c r="BN27" s="31">
        <v>6</v>
      </c>
      <c r="BO27" s="28">
        <v>42698</v>
      </c>
      <c r="BP27" s="31">
        <v>58</v>
      </c>
      <c r="BQ27" s="28">
        <v>3641</v>
      </c>
      <c r="BR27" s="31">
        <v>0</v>
      </c>
      <c r="BS27" s="31">
        <v>15</v>
      </c>
      <c r="BT27" s="31">
        <v>195</v>
      </c>
      <c r="BU27" s="28">
        <v>685620</v>
      </c>
      <c r="BV27" s="31">
        <v>210</v>
      </c>
      <c r="BW27" s="28"/>
      <c r="BX27" s="31">
        <v>0</v>
      </c>
      <c r="BY27" s="28">
        <v>883410</v>
      </c>
      <c r="BZ27" s="31">
        <v>310</v>
      </c>
      <c r="CA27" s="22">
        <v>29621</v>
      </c>
      <c r="CB27" s="31">
        <v>40</v>
      </c>
      <c r="CC27" s="36">
        <v>80</v>
      </c>
      <c r="CD27" s="31">
        <v>520</v>
      </c>
      <c r="CE27" s="37">
        <v>65</v>
      </c>
      <c r="CF27" s="22">
        <v>163.5</v>
      </c>
      <c r="CG27" s="55">
        <v>21393.814754507566</v>
      </c>
      <c r="CH27" s="38"/>
      <c r="CI27" s="56">
        <v>0</v>
      </c>
      <c r="CJ27" s="25">
        <v>3047725</v>
      </c>
      <c r="CK27" s="31">
        <v>2026</v>
      </c>
      <c r="CL27" s="36">
        <v>11568.46</v>
      </c>
      <c r="CM27" s="33">
        <v>76</v>
      </c>
      <c r="CN27" s="39">
        <v>8189</v>
      </c>
      <c r="CO27" s="25">
        <v>77</v>
      </c>
      <c r="CP27" s="57">
        <v>8296.75</v>
      </c>
      <c r="CQ27" s="33">
        <v>76</v>
      </c>
      <c r="CR27" s="58">
        <v>8189</v>
      </c>
      <c r="CS27" s="59">
        <v>24674.75</v>
      </c>
      <c r="CT27" s="40">
        <v>1293</v>
      </c>
      <c r="CU27" s="28"/>
      <c r="CV27" s="25">
        <v>52692</v>
      </c>
      <c r="CW27" s="31">
        <v>49</v>
      </c>
      <c r="CX27" s="36">
        <v>279.79000000000002</v>
      </c>
      <c r="CY27" s="46">
        <v>36793</v>
      </c>
      <c r="CZ27" s="31">
        <v>4</v>
      </c>
      <c r="DA27" s="36">
        <v>22.84</v>
      </c>
      <c r="DB27" s="25">
        <v>17566</v>
      </c>
      <c r="DC27" s="31">
        <v>19</v>
      </c>
      <c r="DD27" s="36">
        <v>108.49</v>
      </c>
      <c r="DE27" s="25">
        <v>872050</v>
      </c>
      <c r="DF27" s="31">
        <v>128</v>
      </c>
      <c r="DG27" s="36">
        <v>730.88</v>
      </c>
      <c r="DH27" s="28">
        <v>13583</v>
      </c>
      <c r="DI27" s="31">
        <v>13</v>
      </c>
      <c r="DJ27" s="36">
        <v>74.23</v>
      </c>
      <c r="DK27" s="25">
        <v>12287</v>
      </c>
      <c r="DL27" s="31">
        <v>9</v>
      </c>
      <c r="DM27" s="36">
        <v>51.39</v>
      </c>
      <c r="DN27" s="25">
        <v>7767</v>
      </c>
      <c r="DO27" s="31">
        <v>6</v>
      </c>
      <c r="DP27" s="36">
        <v>34.26</v>
      </c>
      <c r="DQ27" s="25">
        <v>2555</v>
      </c>
      <c r="DR27" s="31">
        <v>1</v>
      </c>
      <c r="DS27" s="36">
        <v>5.71</v>
      </c>
      <c r="DT27" s="25">
        <v>9843</v>
      </c>
      <c r="DU27" s="31">
        <v>6</v>
      </c>
      <c r="DV27" s="36">
        <v>34.26</v>
      </c>
      <c r="DW27" s="25">
        <v>8711</v>
      </c>
      <c r="DX27" s="31">
        <v>2</v>
      </c>
      <c r="DY27" s="36">
        <v>11.42</v>
      </c>
      <c r="DZ27" s="25">
        <v>9330</v>
      </c>
      <c r="EA27" s="31">
        <v>8</v>
      </c>
      <c r="EB27" s="36">
        <v>45.68</v>
      </c>
      <c r="EC27" s="25">
        <v>9451</v>
      </c>
      <c r="ED27" s="31">
        <v>8</v>
      </c>
      <c r="EE27" s="36">
        <v>45.68</v>
      </c>
      <c r="EF27" s="38"/>
      <c r="EG27" s="36">
        <v>0</v>
      </c>
      <c r="EH27" s="38"/>
      <c r="EI27" s="36">
        <v>0</v>
      </c>
      <c r="EJ27" s="41"/>
      <c r="EK27" s="36">
        <v>0</v>
      </c>
      <c r="EL27" s="22"/>
      <c r="EM27" s="36">
        <v>0</v>
      </c>
      <c r="EN27" s="41">
        <v>83</v>
      </c>
      <c r="EO27" s="42">
        <v>282</v>
      </c>
      <c r="EP27" s="60">
        <v>0.62</v>
      </c>
      <c r="EQ27" s="48"/>
      <c r="ER27" s="49"/>
      <c r="ES27" s="50"/>
      <c r="ET27" s="51"/>
      <c r="EU27" s="51"/>
      <c r="EV27" s="51"/>
    </row>
    <row r="28" spans="1:154" s="16" customFormat="1" ht="15.75" thickBot="1" x14ac:dyDescent="0.3">
      <c r="A28" s="21">
        <v>44920</v>
      </c>
      <c r="B28" s="29">
        <v>8241907</v>
      </c>
      <c r="C28" s="23">
        <v>26714</v>
      </c>
      <c r="D28" s="24">
        <v>7118700</v>
      </c>
      <c r="E28" s="23">
        <v>26288</v>
      </c>
      <c r="F28" s="44">
        <v>0.98405330538294522</v>
      </c>
      <c r="G28" s="24">
        <v>1362</v>
      </c>
      <c r="H28" s="24">
        <v>1170</v>
      </c>
      <c r="I28" s="24">
        <v>296149</v>
      </c>
      <c r="J28" s="26">
        <v>0</v>
      </c>
      <c r="K28" s="27">
        <v>820</v>
      </c>
      <c r="L28" s="26">
        <v>0</v>
      </c>
      <c r="M28" s="28">
        <v>651909</v>
      </c>
      <c r="N28" s="26">
        <v>0</v>
      </c>
      <c r="O28" s="28">
        <v>1050</v>
      </c>
      <c r="P28" s="26">
        <v>0</v>
      </c>
      <c r="Q28" s="28">
        <v>5098900</v>
      </c>
      <c r="R28" s="26">
        <v>11400</v>
      </c>
      <c r="S28" s="28">
        <v>4573300</v>
      </c>
      <c r="T28" s="26">
        <v>12400</v>
      </c>
      <c r="U28" s="28">
        <v>3124723</v>
      </c>
      <c r="V28" s="26">
        <v>826</v>
      </c>
      <c r="W28" s="28">
        <v>2405752</v>
      </c>
      <c r="X28" s="26">
        <v>570</v>
      </c>
      <c r="Y28" s="28">
        <v>354210</v>
      </c>
      <c r="Z28" s="26">
        <v>71</v>
      </c>
      <c r="AA28" s="53"/>
      <c r="AB28" s="110">
        <v>0.61111111111111116</v>
      </c>
      <c r="AC28" s="30">
        <v>244.44444444444446</v>
      </c>
      <c r="AD28" s="121">
        <v>10</v>
      </c>
      <c r="AE28" s="28">
        <v>20080</v>
      </c>
      <c r="AF28" s="26">
        <v>294</v>
      </c>
      <c r="AG28" s="22">
        <v>618180</v>
      </c>
      <c r="AH28" s="31">
        <v>430</v>
      </c>
      <c r="AI28" s="28">
        <v>89</v>
      </c>
      <c r="AJ28" s="32">
        <v>0</v>
      </c>
      <c r="AK28" s="28">
        <v>6755</v>
      </c>
      <c r="AL28" s="32">
        <v>5</v>
      </c>
      <c r="AM28" s="17">
        <v>98251</v>
      </c>
      <c r="AN28" s="32">
        <v>155</v>
      </c>
      <c r="AO28" s="17"/>
      <c r="AP28" s="32">
        <v>0</v>
      </c>
      <c r="AQ28" s="28">
        <v>671200</v>
      </c>
      <c r="AR28" s="26">
        <v>160</v>
      </c>
      <c r="AS28" s="35">
        <v>10538</v>
      </c>
      <c r="AT28" s="26">
        <v>38</v>
      </c>
      <c r="AU28" s="34">
        <v>1041</v>
      </c>
      <c r="AV28" s="26">
        <v>29</v>
      </c>
      <c r="AW28" s="27">
        <v>9757</v>
      </c>
      <c r="AX28" s="26">
        <v>0</v>
      </c>
      <c r="AY28" s="28">
        <v>11584</v>
      </c>
      <c r="AZ28" s="26">
        <v>2</v>
      </c>
      <c r="BA28" s="28">
        <v>21439</v>
      </c>
      <c r="BB28" s="26">
        <v>11</v>
      </c>
      <c r="BC28" s="28">
        <v>22332</v>
      </c>
      <c r="BD28" s="26">
        <v>4</v>
      </c>
      <c r="BE28" s="22">
        <v>108</v>
      </c>
      <c r="BF28" s="31">
        <v>2</v>
      </c>
      <c r="BG28" s="28">
        <v>15292</v>
      </c>
      <c r="BH28" s="31">
        <v>5</v>
      </c>
      <c r="BI28" s="28">
        <v>7062</v>
      </c>
      <c r="BJ28" s="31">
        <v>2</v>
      </c>
      <c r="BK28" s="28">
        <v>29222</v>
      </c>
      <c r="BL28" s="31">
        <v>5</v>
      </c>
      <c r="BM28" s="28">
        <v>6749</v>
      </c>
      <c r="BN28" s="31">
        <v>5</v>
      </c>
      <c r="BO28" s="28">
        <v>42753</v>
      </c>
      <c r="BP28" s="31">
        <v>55</v>
      </c>
      <c r="BQ28" s="28">
        <v>3641</v>
      </c>
      <c r="BR28" s="31">
        <v>0</v>
      </c>
      <c r="BS28" s="31">
        <v>18</v>
      </c>
      <c r="BT28" s="31">
        <v>142</v>
      </c>
      <c r="BU28" s="28">
        <v>685800</v>
      </c>
      <c r="BV28" s="31">
        <v>180</v>
      </c>
      <c r="BW28" s="28"/>
      <c r="BX28" s="31">
        <v>0</v>
      </c>
      <c r="BY28" s="28">
        <v>883650</v>
      </c>
      <c r="BZ28" s="31">
        <v>240</v>
      </c>
      <c r="CA28" s="22">
        <v>29648</v>
      </c>
      <c r="CB28" s="31">
        <v>27</v>
      </c>
      <c r="CC28" s="36">
        <v>80</v>
      </c>
      <c r="CD28" s="31">
        <v>420</v>
      </c>
      <c r="CE28" s="37">
        <v>60</v>
      </c>
      <c r="CF28" s="22">
        <v>163.5</v>
      </c>
      <c r="CG28" s="55">
        <v>21393.814754507566</v>
      </c>
      <c r="CH28" s="38"/>
      <c r="CI28" s="56">
        <v>0</v>
      </c>
      <c r="CJ28" s="25">
        <v>3049396</v>
      </c>
      <c r="CK28" s="31">
        <v>1671</v>
      </c>
      <c r="CL28" s="36">
        <v>9541.41</v>
      </c>
      <c r="CM28" s="33">
        <v>75</v>
      </c>
      <c r="CN28" s="39">
        <v>8081.25</v>
      </c>
      <c r="CO28" s="25">
        <v>75</v>
      </c>
      <c r="CP28" s="57">
        <v>8081.25</v>
      </c>
      <c r="CQ28" s="33">
        <v>75</v>
      </c>
      <c r="CR28" s="58">
        <v>8081.25</v>
      </c>
      <c r="CS28" s="59">
        <v>24243.75</v>
      </c>
      <c r="CT28" s="40">
        <v>431</v>
      </c>
      <c r="CU28" s="28"/>
      <c r="CV28" s="25">
        <v>52734</v>
      </c>
      <c r="CW28" s="31">
        <v>42</v>
      </c>
      <c r="CX28" s="36">
        <v>239.82</v>
      </c>
      <c r="CY28" s="46">
        <v>36796</v>
      </c>
      <c r="CZ28" s="31">
        <v>3</v>
      </c>
      <c r="DA28" s="36">
        <v>17.13</v>
      </c>
      <c r="DB28" s="25">
        <v>17583</v>
      </c>
      <c r="DC28" s="31">
        <v>17</v>
      </c>
      <c r="DD28" s="36">
        <v>97.07</v>
      </c>
      <c r="DE28" s="25">
        <v>872148</v>
      </c>
      <c r="DF28" s="31">
        <v>98</v>
      </c>
      <c r="DG28" s="36">
        <v>559.58000000000004</v>
      </c>
      <c r="DH28" s="28">
        <v>13593</v>
      </c>
      <c r="DI28" s="31">
        <v>10</v>
      </c>
      <c r="DJ28" s="36">
        <v>57.1</v>
      </c>
      <c r="DK28" s="25">
        <v>12298</v>
      </c>
      <c r="DL28" s="31">
        <v>11</v>
      </c>
      <c r="DM28" s="36">
        <v>62.81</v>
      </c>
      <c r="DN28" s="25">
        <v>7774</v>
      </c>
      <c r="DO28" s="31">
        <v>7</v>
      </c>
      <c r="DP28" s="36">
        <v>39.97</v>
      </c>
      <c r="DQ28" s="25">
        <v>2557</v>
      </c>
      <c r="DR28" s="31">
        <v>2</v>
      </c>
      <c r="DS28" s="36">
        <v>11.42</v>
      </c>
      <c r="DT28" s="25">
        <v>9854</v>
      </c>
      <c r="DU28" s="31">
        <v>11</v>
      </c>
      <c r="DV28" s="36">
        <v>62.81</v>
      </c>
      <c r="DW28" s="25">
        <v>8717</v>
      </c>
      <c r="DX28" s="31">
        <v>6</v>
      </c>
      <c r="DY28" s="36">
        <v>34.26</v>
      </c>
      <c r="DZ28" s="25">
        <v>9337</v>
      </c>
      <c r="EA28" s="31">
        <v>7</v>
      </c>
      <c r="EB28" s="36">
        <v>39.97</v>
      </c>
      <c r="EC28" s="25">
        <v>9459</v>
      </c>
      <c r="ED28" s="31">
        <v>8</v>
      </c>
      <c r="EE28" s="36">
        <v>45.68</v>
      </c>
      <c r="EF28" s="38"/>
      <c r="EG28" s="36">
        <v>0</v>
      </c>
      <c r="EH28" s="38"/>
      <c r="EI28" s="36">
        <v>0</v>
      </c>
      <c r="EJ28" s="41"/>
      <c r="EK28" s="36">
        <v>0</v>
      </c>
      <c r="EL28" s="22"/>
      <c r="EM28" s="36">
        <v>0</v>
      </c>
      <c r="EN28" s="41">
        <v>88</v>
      </c>
      <c r="EO28" s="42">
        <v>276</v>
      </c>
      <c r="EP28" s="60">
        <v>0.66</v>
      </c>
      <c r="EQ28" s="48"/>
      <c r="ER28" s="49"/>
      <c r="ES28" s="50"/>
      <c r="ET28" s="51"/>
      <c r="EU28" s="51"/>
      <c r="EV28" s="51"/>
    </row>
    <row r="29" spans="1:154" s="16" customFormat="1" ht="15.75" thickBot="1" x14ac:dyDescent="0.3">
      <c r="A29" s="21">
        <v>44921</v>
      </c>
      <c r="B29" s="29">
        <v>8268860</v>
      </c>
      <c r="C29" s="23">
        <v>26953</v>
      </c>
      <c r="D29" s="24">
        <v>7145129</v>
      </c>
      <c r="E29" s="23">
        <v>26429</v>
      </c>
      <c r="F29" s="44">
        <v>0.98055875041739327</v>
      </c>
      <c r="G29" s="24">
        <v>1362</v>
      </c>
      <c r="H29" s="24">
        <v>1170</v>
      </c>
      <c r="I29" s="24">
        <v>296149</v>
      </c>
      <c r="J29" s="26">
        <v>0</v>
      </c>
      <c r="K29" s="27">
        <v>820</v>
      </c>
      <c r="L29" s="26">
        <v>0</v>
      </c>
      <c r="M29" s="28">
        <v>651909</v>
      </c>
      <c r="N29" s="26">
        <v>0</v>
      </c>
      <c r="O29" s="28">
        <v>1050</v>
      </c>
      <c r="P29" s="26">
        <v>0</v>
      </c>
      <c r="Q29" s="28">
        <v>5110500</v>
      </c>
      <c r="R29" s="26">
        <v>11600</v>
      </c>
      <c r="S29" s="28">
        <v>4585700</v>
      </c>
      <c r="T29" s="26">
        <v>12400</v>
      </c>
      <c r="U29" s="28">
        <v>3125604</v>
      </c>
      <c r="V29" s="26">
        <v>881</v>
      </c>
      <c r="W29" s="28">
        <v>2406315</v>
      </c>
      <c r="X29" s="26">
        <v>563</v>
      </c>
      <c r="Y29" s="28">
        <v>354276</v>
      </c>
      <c r="Z29" s="26">
        <v>66</v>
      </c>
      <c r="AA29" s="53"/>
      <c r="AB29" s="110">
        <v>0.61111111111111116</v>
      </c>
      <c r="AC29" s="30">
        <v>244.44444444444446</v>
      </c>
      <c r="AD29" s="121">
        <v>10</v>
      </c>
      <c r="AE29" s="28">
        <v>20482</v>
      </c>
      <c r="AF29" s="26">
        <v>402</v>
      </c>
      <c r="AG29" s="22">
        <v>618630</v>
      </c>
      <c r="AH29" s="31">
        <v>450</v>
      </c>
      <c r="AI29" s="28">
        <v>89</v>
      </c>
      <c r="AJ29" s="32">
        <v>0</v>
      </c>
      <c r="AK29" s="103">
        <v>6766</v>
      </c>
      <c r="AL29" s="32">
        <v>11</v>
      </c>
      <c r="AM29" s="17">
        <v>98406</v>
      </c>
      <c r="AN29" s="32">
        <v>155</v>
      </c>
      <c r="AO29" s="17"/>
      <c r="AP29" s="32">
        <v>0</v>
      </c>
      <c r="AQ29" s="28">
        <v>671400</v>
      </c>
      <c r="AR29" s="26">
        <v>200</v>
      </c>
      <c r="AS29" s="35">
        <v>10576</v>
      </c>
      <c r="AT29" s="26">
        <v>38</v>
      </c>
      <c r="AU29" s="34">
        <v>1068</v>
      </c>
      <c r="AV29" s="26">
        <v>27</v>
      </c>
      <c r="AW29" s="27">
        <v>9758</v>
      </c>
      <c r="AX29" s="26">
        <v>1</v>
      </c>
      <c r="AY29" s="28">
        <v>11586</v>
      </c>
      <c r="AZ29" s="26">
        <v>2</v>
      </c>
      <c r="BA29" s="28">
        <v>21447</v>
      </c>
      <c r="BB29" s="26">
        <v>8</v>
      </c>
      <c r="BC29" s="28">
        <v>22338</v>
      </c>
      <c r="BD29" s="26">
        <v>6</v>
      </c>
      <c r="BE29" s="22">
        <v>110</v>
      </c>
      <c r="BF29" s="31">
        <v>2</v>
      </c>
      <c r="BG29" s="28">
        <v>15295</v>
      </c>
      <c r="BH29" s="31">
        <v>3</v>
      </c>
      <c r="BI29" s="28">
        <v>7064</v>
      </c>
      <c r="BJ29" s="31">
        <v>2</v>
      </c>
      <c r="BK29" s="28">
        <v>29228</v>
      </c>
      <c r="BL29" s="31">
        <v>6</v>
      </c>
      <c r="BM29" s="28">
        <v>6756</v>
      </c>
      <c r="BN29" s="31">
        <v>7</v>
      </c>
      <c r="BO29" s="28">
        <v>42812</v>
      </c>
      <c r="BP29" s="31">
        <v>59</v>
      </c>
      <c r="BQ29" s="28">
        <v>3641</v>
      </c>
      <c r="BR29" s="31">
        <v>0</v>
      </c>
      <c r="BS29" s="31">
        <v>13</v>
      </c>
      <c r="BT29" s="31">
        <v>187</v>
      </c>
      <c r="BU29" s="28">
        <v>685960</v>
      </c>
      <c r="BV29" s="31">
        <v>160</v>
      </c>
      <c r="BW29" s="28"/>
      <c r="BX29" s="31">
        <v>0</v>
      </c>
      <c r="BY29" s="28">
        <v>883930</v>
      </c>
      <c r="BZ29" s="31">
        <v>280</v>
      </c>
      <c r="CA29" s="22">
        <v>29685</v>
      </c>
      <c r="CB29" s="31">
        <v>37</v>
      </c>
      <c r="CC29" s="36">
        <v>80</v>
      </c>
      <c r="CD29" s="31">
        <v>440</v>
      </c>
      <c r="CE29" s="37">
        <v>58</v>
      </c>
      <c r="CF29" s="22">
        <v>163.5</v>
      </c>
      <c r="CG29" s="55">
        <v>21393.814754507566</v>
      </c>
      <c r="CH29" s="38"/>
      <c r="CI29" s="56">
        <v>0</v>
      </c>
      <c r="CJ29" s="25">
        <v>3051910</v>
      </c>
      <c r="CK29" s="31">
        <v>2514</v>
      </c>
      <c r="CL29" s="36">
        <v>14354.94</v>
      </c>
      <c r="CM29" s="33">
        <v>69</v>
      </c>
      <c r="CN29" s="39">
        <v>7434.75</v>
      </c>
      <c r="CO29" s="25">
        <v>71</v>
      </c>
      <c r="CP29" s="57">
        <v>7650.25</v>
      </c>
      <c r="CQ29" s="33">
        <v>69</v>
      </c>
      <c r="CR29" s="58">
        <v>7434.75</v>
      </c>
      <c r="CS29" s="59">
        <v>22519.75</v>
      </c>
      <c r="CT29" s="40">
        <v>1724</v>
      </c>
      <c r="CU29" s="28"/>
      <c r="CV29" s="25">
        <v>52771</v>
      </c>
      <c r="CW29" s="31">
        <v>37</v>
      </c>
      <c r="CX29" s="36">
        <v>211.27</v>
      </c>
      <c r="CY29" s="46">
        <v>36796</v>
      </c>
      <c r="CZ29" s="31">
        <v>0</v>
      </c>
      <c r="DA29" s="36">
        <v>0</v>
      </c>
      <c r="DB29" s="25">
        <v>17599</v>
      </c>
      <c r="DC29" s="31">
        <v>16</v>
      </c>
      <c r="DD29" s="36">
        <v>91.36</v>
      </c>
      <c r="DE29" s="25">
        <v>872257</v>
      </c>
      <c r="DF29" s="31">
        <v>109</v>
      </c>
      <c r="DG29" s="36">
        <v>622.39</v>
      </c>
      <c r="DH29" s="28">
        <v>13602</v>
      </c>
      <c r="DI29" s="31">
        <v>9</v>
      </c>
      <c r="DJ29" s="36">
        <v>51.39</v>
      </c>
      <c r="DK29" s="25">
        <v>12307</v>
      </c>
      <c r="DL29" s="31">
        <v>9</v>
      </c>
      <c r="DM29" s="36">
        <v>51.39</v>
      </c>
      <c r="DN29" s="25">
        <v>7780</v>
      </c>
      <c r="DO29" s="31">
        <v>6</v>
      </c>
      <c r="DP29" s="36">
        <v>34.26</v>
      </c>
      <c r="DQ29" s="25">
        <v>2558</v>
      </c>
      <c r="DR29" s="31">
        <v>1</v>
      </c>
      <c r="DS29" s="36">
        <v>5.71</v>
      </c>
      <c r="DT29" s="25">
        <v>9863</v>
      </c>
      <c r="DU29" s="31">
        <v>9</v>
      </c>
      <c r="DV29" s="36">
        <v>51.39</v>
      </c>
      <c r="DW29" s="25">
        <v>8723</v>
      </c>
      <c r="DX29" s="31">
        <v>6</v>
      </c>
      <c r="DY29" s="36">
        <v>34.26</v>
      </c>
      <c r="DZ29" s="25">
        <v>9344</v>
      </c>
      <c r="EA29" s="31">
        <v>7</v>
      </c>
      <c r="EB29" s="36">
        <v>39.97</v>
      </c>
      <c r="EC29" s="25">
        <v>9467</v>
      </c>
      <c r="ED29" s="31">
        <v>8</v>
      </c>
      <c r="EE29" s="36">
        <v>45.68</v>
      </c>
      <c r="EF29" s="38"/>
      <c r="EG29" s="36">
        <v>0</v>
      </c>
      <c r="EH29" s="38"/>
      <c r="EI29" s="36">
        <v>0</v>
      </c>
      <c r="EJ29" s="41"/>
      <c r="EK29" s="36">
        <v>0</v>
      </c>
      <c r="EL29" s="22"/>
      <c r="EM29" s="36">
        <v>0</v>
      </c>
      <c r="EN29" s="41">
        <v>91</v>
      </c>
      <c r="EO29" s="42">
        <v>205</v>
      </c>
      <c r="EP29" s="60">
        <v>0.69</v>
      </c>
      <c r="EQ29" s="48"/>
      <c r="ER29" s="49"/>
      <c r="ES29" s="50"/>
      <c r="ET29" s="51"/>
      <c r="EU29" s="51"/>
      <c r="EV29" s="51"/>
    </row>
    <row r="30" spans="1:154" s="16" customFormat="1" ht="15.75" thickBot="1" x14ac:dyDescent="0.3">
      <c r="A30" s="21">
        <v>44922</v>
      </c>
      <c r="B30" s="29">
        <v>8292947</v>
      </c>
      <c r="C30" s="23">
        <v>24087</v>
      </c>
      <c r="D30" s="24">
        <v>7168710</v>
      </c>
      <c r="E30" s="23">
        <v>23581</v>
      </c>
      <c r="F30" s="44">
        <v>0.97899281770249513</v>
      </c>
      <c r="G30" s="24">
        <v>1362</v>
      </c>
      <c r="H30" s="24">
        <v>1170</v>
      </c>
      <c r="I30" s="24">
        <v>296149</v>
      </c>
      <c r="J30" s="26">
        <v>0</v>
      </c>
      <c r="K30" s="27">
        <v>820</v>
      </c>
      <c r="L30" s="26">
        <v>0</v>
      </c>
      <c r="M30" s="28">
        <v>651909</v>
      </c>
      <c r="N30" s="26">
        <v>0</v>
      </c>
      <c r="O30" s="28">
        <v>1050</v>
      </c>
      <c r="P30" s="26">
        <v>0</v>
      </c>
      <c r="Q30" s="28">
        <v>5122100</v>
      </c>
      <c r="R30" s="26">
        <v>11600</v>
      </c>
      <c r="S30" s="28">
        <v>4598100</v>
      </c>
      <c r="T30" s="26">
        <v>12400</v>
      </c>
      <c r="U30" s="28">
        <v>3126850</v>
      </c>
      <c r="V30" s="26">
        <v>1246</v>
      </c>
      <c r="W30" s="28">
        <v>2406915</v>
      </c>
      <c r="X30" s="26">
        <v>600</v>
      </c>
      <c r="Y30" s="28">
        <v>354308</v>
      </c>
      <c r="Z30" s="26">
        <v>32</v>
      </c>
      <c r="AA30" s="53"/>
      <c r="AB30" s="54">
        <v>0.5</v>
      </c>
      <c r="AC30" s="30">
        <v>200</v>
      </c>
      <c r="AD30" s="121">
        <v>10</v>
      </c>
      <c r="AE30" s="28">
        <v>20808</v>
      </c>
      <c r="AF30" s="26">
        <v>326</v>
      </c>
      <c r="AG30" s="22">
        <v>619080</v>
      </c>
      <c r="AH30" s="31">
        <v>450</v>
      </c>
      <c r="AI30" s="28">
        <v>89</v>
      </c>
      <c r="AJ30" s="32">
        <v>0</v>
      </c>
      <c r="AK30" s="28">
        <v>6771</v>
      </c>
      <c r="AL30" s="32">
        <v>5</v>
      </c>
      <c r="AM30" s="17">
        <v>98501</v>
      </c>
      <c r="AN30" s="32">
        <v>95</v>
      </c>
      <c r="AO30" s="17"/>
      <c r="AP30" s="32">
        <v>0</v>
      </c>
      <c r="AQ30" s="28">
        <v>671580</v>
      </c>
      <c r="AR30" s="26">
        <v>180</v>
      </c>
      <c r="AS30" s="35">
        <v>10586</v>
      </c>
      <c r="AT30" s="26">
        <v>10</v>
      </c>
      <c r="AU30" s="34">
        <v>1099</v>
      </c>
      <c r="AV30" s="26">
        <v>31</v>
      </c>
      <c r="AW30" s="27">
        <v>9759</v>
      </c>
      <c r="AX30" s="26">
        <v>1</v>
      </c>
      <c r="AY30" s="28">
        <v>11588</v>
      </c>
      <c r="AZ30" s="26">
        <v>2</v>
      </c>
      <c r="BA30" s="28">
        <v>21457</v>
      </c>
      <c r="BB30" s="26">
        <v>10</v>
      </c>
      <c r="BC30" s="28">
        <v>22343</v>
      </c>
      <c r="BD30" s="26">
        <v>5</v>
      </c>
      <c r="BE30" s="22">
        <v>112</v>
      </c>
      <c r="BF30" s="31">
        <v>2</v>
      </c>
      <c r="BG30" s="28">
        <v>15301</v>
      </c>
      <c r="BH30" s="31">
        <v>6</v>
      </c>
      <c r="BI30" s="28">
        <v>7065</v>
      </c>
      <c r="BJ30" s="31">
        <v>1</v>
      </c>
      <c r="BK30" s="28">
        <v>29231</v>
      </c>
      <c r="BL30" s="31">
        <v>3</v>
      </c>
      <c r="BM30" s="28">
        <v>6761</v>
      </c>
      <c r="BN30" s="31">
        <v>5</v>
      </c>
      <c r="BO30" s="28">
        <v>42864</v>
      </c>
      <c r="BP30" s="31">
        <v>52</v>
      </c>
      <c r="BQ30" s="28">
        <v>3641</v>
      </c>
      <c r="BR30" s="31">
        <v>0</v>
      </c>
      <c r="BS30" s="31">
        <v>18</v>
      </c>
      <c r="BT30" s="31">
        <v>162</v>
      </c>
      <c r="BU30" s="28">
        <v>686140</v>
      </c>
      <c r="BV30" s="31">
        <v>180</v>
      </c>
      <c r="BW30" s="28"/>
      <c r="BX30" s="31">
        <v>0</v>
      </c>
      <c r="BY30" s="28">
        <v>884190</v>
      </c>
      <c r="BZ30" s="31">
        <v>260</v>
      </c>
      <c r="CA30" s="22">
        <v>29741</v>
      </c>
      <c r="CB30" s="31">
        <v>56</v>
      </c>
      <c r="CC30" s="36">
        <v>80</v>
      </c>
      <c r="CD30" s="31">
        <v>440</v>
      </c>
      <c r="CE30" s="37">
        <v>63</v>
      </c>
      <c r="CF30" s="22">
        <v>163.5</v>
      </c>
      <c r="CG30" s="55">
        <v>21393.814754507566</v>
      </c>
      <c r="CH30" s="38"/>
      <c r="CI30" s="56">
        <v>0</v>
      </c>
      <c r="CJ30" s="25">
        <v>3053990</v>
      </c>
      <c r="CK30" s="31">
        <v>2080</v>
      </c>
      <c r="CL30" s="36">
        <v>11876.8</v>
      </c>
      <c r="CM30" s="33">
        <v>65</v>
      </c>
      <c r="CN30" s="39">
        <v>7003.75</v>
      </c>
      <c r="CO30" s="25">
        <v>67</v>
      </c>
      <c r="CP30" s="57">
        <v>7219.25</v>
      </c>
      <c r="CQ30" s="33">
        <v>65</v>
      </c>
      <c r="CR30" s="58">
        <v>7003.75</v>
      </c>
      <c r="CS30" s="59">
        <v>21226.75</v>
      </c>
      <c r="CT30" s="40">
        <v>1293</v>
      </c>
      <c r="CU30" s="28">
        <v>7998</v>
      </c>
      <c r="CV30" s="25">
        <v>52814</v>
      </c>
      <c r="CW30" s="31">
        <v>43</v>
      </c>
      <c r="CX30" s="36">
        <v>245.53</v>
      </c>
      <c r="CY30" s="46">
        <v>36800</v>
      </c>
      <c r="CZ30" s="31">
        <v>4</v>
      </c>
      <c r="DA30" s="36">
        <v>22.84</v>
      </c>
      <c r="DB30" s="25">
        <v>17614</v>
      </c>
      <c r="DC30" s="31">
        <v>15</v>
      </c>
      <c r="DD30" s="36">
        <v>85.65</v>
      </c>
      <c r="DE30" s="25">
        <v>872375</v>
      </c>
      <c r="DF30" s="31">
        <v>118</v>
      </c>
      <c r="DG30" s="36">
        <v>673.78</v>
      </c>
      <c r="DH30" s="28">
        <v>13613</v>
      </c>
      <c r="DI30" s="31">
        <v>11</v>
      </c>
      <c r="DJ30" s="36">
        <v>62.81</v>
      </c>
      <c r="DK30" s="25">
        <v>12318</v>
      </c>
      <c r="DL30" s="31">
        <v>11</v>
      </c>
      <c r="DM30" s="36">
        <v>62.81</v>
      </c>
      <c r="DN30" s="25">
        <v>7786</v>
      </c>
      <c r="DO30" s="31">
        <v>6</v>
      </c>
      <c r="DP30" s="36">
        <v>34.26</v>
      </c>
      <c r="DQ30" s="25">
        <v>2560</v>
      </c>
      <c r="DR30" s="31">
        <v>2</v>
      </c>
      <c r="DS30" s="36">
        <v>11.42</v>
      </c>
      <c r="DT30" s="25">
        <v>9872</v>
      </c>
      <c r="DU30" s="31">
        <v>9</v>
      </c>
      <c r="DV30" s="36">
        <v>51.39</v>
      </c>
      <c r="DW30" s="25">
        <v>8728</v>
      </c>
      <c r="DX30" s="31">
        <v>5</v>
      </c>
      <c r="DY30" s="36">
        <v>28.55</v>
      </c>
      <c r="DZ30" s="25">
        <v>9351</v>
      </c>
      <c r="EA30" s="31">
        <v>7</v>
      </c>
      <c r="EB30" s="36">
        <v>39.97</v>
      </c>
      <c r="EC30" s="25">
        <v>9474</v>
      </c>
      <c r="ED30" s="31">
        <v>7</v>
      </c>
      <c r="EE30" s="36">
        <v>39.97</v>
      </c>
      <c r="EF30" s="38"/>
      <c r="EG30" s="36">
        <v>0</v>
      </c>
      <c r="EH30" s="38"/>
      <c r="EI30" s="36">
        <v>0</v>
      </c>
      <c r="EJ30" s="41"/>
      <c r="EK30" s="36">
        <v>0</v>
      </c>
      <c r="EL30" s="22"/>
      <c r="EM30" s="36">
        <v>0</v>
      </c>
      <c r="EN30" s="41">
        <v>99</v>
      </c>
      <c r="EO30" s="42">
        <v>223</v>
      </c>
      <c r="EP30" s="60">
        <v>0.79</v>
      </c>
      <c r="EQ30" s="48"/>
      <c r="ER30" s="49"/>
      <c r="ES30" s="50"/>
      <c r="ET30" s="51"/>
      <c r="EU30" s="51"/>
      <c r="EV30" s="51"/>
    </row>
    <row r="31" spans="1:154" s="16" customFormat="1" ht="15.75" thickBot="1" x14ac:dyDescent="0.3">
      <c r="A31" s="21">
        <v>44923</v>
      </c>
      <c r="B31" s="29">
        <v>8320293</v>
      </c>
      <c r="C31" s="23">
        <v>27346</v>
      </c>
      <c r="D31" s="24">
        <v>7195491</v>
      </c>
      <c r="E31" s="23">
        <v>26781</v>
      </c>
      <c r="F31" s="44">
        <v>0.97933884297520657</v>
      </c>
      <c r="G31" s="24">
        <v>1362</v>
      </c>
      <c r="H31" s="24">
        <v>1170</v>
      </c>
      <c r="I31" s="24">
        <v>296274</v>
      </c>
      <c r="J31" s="26">
        <v>125</v>
      </c>
      <c r="K31" s="27">
        <v>820</v>
      </c>
      <c r="L31" s="26">
        <v>0</v>
      </c>
      <c r="M31" s="28">
        <v>652066</v>
      </c>
      <c r="N31" s="26">
        <v>157</v>
      </c>
      <c r="O31" s="28">
        <v>1050</v>
      </c>
      <c r="P31" s="26">
        <v>0</v>
      </c>
      <c r="Q31" s="28">
        <v>5132700</v>
      </c>
      <c r="R31" s="26">
        <v>10600</v>
      </c>
      <c r="S31" s="28">
        <v>4609400</v>
      </c>
      <c r="T31" s="26">
        <v>11300</v>
      </c>
      <c r="U31" s="28">
        <v>3127698</v>
      </c>
      <c r="V31" s="26">
        <v>848</v>
      </c>
      <c r="W31" s="28">
        <v>2407539</v>
      </c>
      <c r="X31" s="26">
        <v>624</v>
      </c>
      <c r="Y31" s="28">
        <v>354364</v>
      </c>
      <c r="Z31" s="26">
        <v>56</v>
      </c>
      <c r="AA31" s="53"/>
      <c r="AB31" s="54">
        <v>0.58333333333333337</v>
      </c>
      <c r="AC31" s="30">
        <v>233.33333333333334</v>
      </c>
      <c r="AD31" s="121">
        <v>11</v>
      </c>
      <c r="AE31" s="28">
        <v>21086</v>
      </c>
      <c r="AF31" s="26">
        <v>278</v>
      </c>
      <c r="AG31" s="22">
        <v>619530</v>
      </c>
      <c r="AH31" s="31">
        <v>450</v>
      </c>
      <c r="AI31" s="28">
        <v>89</v>
      </c>
      <c r="AJ31" s="32">
        <v>0</v>
      </c>
      <c r="AK31" s="28">
        <v>6776</v>
      </c>
      <c r="AL31" s="32">
        <v>5</v>
      </c>
      <c r="AM31" s="122">
        <v>98538</v>
      </c>
      <c r="AN31" s="32">
        <v>37</v>
      </c>
      <c r="AO31" s="17"/>
      <c r="AP31" s="32">
        <v>0</v>
      </c>
      <c r="AQ31" s="28">
        <v>671760</v>
      </c>
      <c r="AR31" s="26">
        <v>180</v>
      </c>
      <c r="AS31" s="35">
        <v>10616</v>
      </c>
      <c r="AT31" s="26">
        <v>30</v>
      </c>
      <c r="AU31" s="34">
        <v>1132</v>
      </c>
      <c r="AV31" s="26">
        <v>33</v>
      </c>
      <c r="AW31" s="27">
        <v>9760</v>
      </c>
      <c r="AX31" s="26">
        <v>1</v>
      </c>
      <c r="AY31" s="28">
        <v>11590</v>
      </c>
      <c r="AZ31" s="26">
        <v>2</v>
      </c>
      <c r="BA31" s="28">
        <v>21467</v>
      </c>
      <c r="BB31" s="26">
        <v>10</v>
      </c>
      <c r="BC31" s="28">
        <v>22349</v>
      </c>
      <c r="BD31" s="26">
        <v>6</v>
      </c>
      <c r="BE31" s="22">
        <v>115</v>
      </c>
      <c r="BF31" s="31">
        <v>3</v>
      </c>
      <c r="BG31" s="28">
        <v>15305</v>
      </c>
      <c r="BH31" s="31">
        <v>4</v>
      </c>
      <c r="BI31" s="28">
        <v>7067</v>
      </c>
      <c r="BJ31" s="31">
        <v>2</v>
      </c>
      <c r="BK31" s="28">
        <v>29237</v>
      </c>
      <c r="BL31" s="31">
        <v>6</v>
      </c>
      <c r="BM31" s="28">
        <v>6766</v>
      </c>
      <c r="BN31" s="31">
        <v>5</v>
      </c>
      <c r="BO31" s="28">
        <v>42918</v>
      </c>
      <c r="BP31" s="31">
        <v>54</v>
      </c>
      <c r="BQ31" s="28">
        <v>3641</v>
      </c>
      <c r="BR31" s="31">
        <v>0</v>
      </c>
      <c r="BS31" s="31">
        <v>17</v>
      </c>
      <c r="BT31" s="31">
        <v>163</v>
      </c>
      <c r="BU31" s="28">
        <v>686330</v>
      </c>
      <c r="BV31" s="31">
        <v>190</v>
      </c>
      <c r="BW31" s="28"/>
      <c r="BX31" s="31">
        <v>0</v>
      </c>
      <c r="BY31" s="28">
        <v>884440</v>
      </c>
      <c r="BZ31" s="31">
        <v>250</v>
      </c>
      <c r="CA31" s="22">
        <v>29812</v>
      </c>
      <c r="CB31" s="31">
        <v>71</v>
      </c>
      <c r="CC31" s="36">
        <v>70</v>
      </c>
      <c r="CD31" s="31">
        <v>440</v>
      </c>
      <c r="CE31" s="37">
        <v>66</v>
      </c>
      <c r="CF31" s="22">
        <v>163.5</v>
      </c>
      <c r="CG31" s="55">
        <v>21393.814754507566</v>
      </c>
      <c r="CH31" s="38"/>
      <c r="CI31" s="56">
        <v>0</v>
      </c>
      <c r="CJ31" s="25">
        <v>3055720</v>
      </c>
      <c r="CK31" s="31">
        <v>1730</v>
      </c>
      <c r="CL31" s="36">
        <v>9878.2999999999993</v>
      </c>
      <c r="CM31" s="33">
        <v>86</v>
      </c>
      <c r="CN31" s="39">
        <v>9266.5</v>
      </c>
      <c r="CO31" s="25">
        <v>86</v>
      </c>
      <c r="CP31" s="57">
        <v>9266.5</v>
      </c>
      <c r="CQ31" s="33">
        <v>86</v>
      </c>
      <c r="CR31" s="58">
        <v>9266.5</v>
      </c>
      <c r="CS31" s="59">
        <v>27799.5</v>
      </c>
      <c r="CT31" s="40">
        <v>1425.25</v>
      </c>
      <c r="CU31" s="28"/>
      <c r="CV31" s="25">
        <v>52858</v>
      </c>
      <c r="CW31" s="31">
        <v>44</v>
      </c>
      <c r="CX31" s="36">
        <v>251.24</v>
      </c>
      <c r="CY31" s="46">
        <v>36803</v>
      </c>
      <c r="CZ31" s="31">
        <v>3</v>
      </c>
      <c r="DA31" s="36">
        <v>17.13</v>
      </c>
      <c r="DB31" s="25">
        <v>17630</v>
      </c>
      <c r="DC31" s="31">
        <v>16</v>
      </c>
      <c r="DD31" s="36">
        <v>91.36</v>
      </c>
      <c r="DE31" s="25">
        <v>872497</v>
      </c>
      <c r="DF31" s="31">
        <v>122</v>
      </c>
      <c r="DG31" s="36">
        <v>696.62</v>
      </c>
      <c r="DH31" s="28">
        <v>13624</v>
      </c>
      <c r="DI31" s="31">
        <v>11</v>
      </c>
      <c r="DJ31" s="36">
        <v>62.81</v>
      </c>
      <c r="DK31" s="25">
        <v>12379</v>
      </c>
      <c r="DL31" s="31">
        <v>61</v>
      </c>
      <c r="DM31" s="36">
        <v>348.31</v>
      </c>
      <c r="DN31" s="25">
        <v>7793</v>
      </c>
      <c r="DO31" s="31">
        <v>7</v>
      </c>
      <c r="DP31" s="36">
        <v>39.97</v>
      </c>
      <c r="DQ31" s="25">
        <v>2561</v>
      </c>
      <c r="DR31" s="31">
        <v>1</v>
      </c>
      <c r="DS31" s="36">
        <v>5.71</v>
      </c>
      <c r="DT31" s="25">
        <v>9881</v>
      </c>
      <c r="DU31" s="31">
        <v>9</v>
      </c>
      <c r="DV31" s="36">
        <v>51.39</v>
      </c>
      <c r="DW31" s="25">
        <v>8733</v>
      </c>
      <c r="DX31" s="31">
        <v>5</v>
      </c>
      <c r="DY31" s="36">
        <v>28.55</v>
      </c>
      <c r="DZ31" s="25">
        <v>9358</v>
      </c>
      <c r="EA31" s="31">
        <v>7</v>
      </c>
      <c r="EB31" s="36">
        <v>39.97</v>
      </c>
      <c r="EC31" s="25">
        <v>9482</v>
      </c>
      <c r="ED31" s="31">
        <v>8</v>
      </c>
      <c r="EE31" s="36">
        <v>45.68</v>
      </c>
      <c r="EF31" s="38"/>
      <c r="EG31" s="36">
        <v>0</v>
      </c>
      <c r="EH31" s="38"/>
      <c r="EI31" s="36">
        <v>0</v>
      </c>
      <c r="EJ31" s="41"/>
      <c r="EK31" s="36">
        <v>0</v>
      </c>
      <c r="EL31" s="22"/>
      <c r="EM31" s="36">
        <v>0</v>
      </c>
      <c r="EN31" s="41">
        <v>109</v>
      </c>
      <c r="EO31" s="42">
        <v>347</v>
      </c>
      <c r="EP31" s="60">
        <v>0.83399999999999996</v>
      </c>
      <c r="EQ31" s="48"/>
      <c r="ER31" s="49"/>
      <c r="ES31" s="50"/>
      <c r="ET31" s="51"/>
      <c r="EU31" s="51"/>
      <c r="EV31" s="51"/>
    </row>
    <row r="32" spans="1:154" s="16" customFormat="1" ht="15.75" thickBot="1" x14ac:dyDescent="0.3">
      <c r="A32" s="21">
        <v>44924</v>
      </c>
      <c r="B32" s="29">
        <v>8347318</v>
      </c>
      <c r="C32" s="23">
        <v>27025</v>
      </c>
      <c r="D32" s="24">
        <v>7222124</v>
      </c>
      <c r="E32" s="23">
        <v>26633</v>
      </c>
      <c r="F32" s="44">
        <v>0.98549491211840889</v>
      </c>
      <c r="G32" s="24">
        <v>1362</v>
      </c>
      <c r="H32" s="24">
        <v>1170</v>
      </c>
      <c r="I32" s="24">
        <v>296274</v>
      </c>
      <c r="J32" s="26">
        <v>0</v>
      </c>
      <c r="K32" s="27">
        <v>820</v>
      </c>
      <c r="L32" s="26">
        <v>0</v>
      </c>
      <c r="M32" s="28">
        <v>652066</v>
      </c>
      <c r="N32" s="26">
        <v>0</v>
      </c>
      <c r="O32" s="28">
        <v>1050</v>
      </c>
      <c r="P32" s="26">
        <v>0</v>
      </c>
      <c r="Q32" s="28">
        <v>5144500</v>
      </c>
      <c r="R32" s="26">
        <v>11800</v>
      </c>
      <c r="S32" s="28">
        <v>4621700</v>
      </c>
      <c r="T32" s="26">
        <v>12300</v>
      </c>
      <c r="U32" s="28">
        <v>3128861</v>
      </c>
      <c r="V32" s="26">
        <v>1163</v>
      </c>
      <c r="W32" s="28">
        <v>2408127</v>
      </c>
      <c r="X32" s="26">
        <v>588</v>
      </c>
      <c r="Y32" s="28">
        <v>354429</v>
      </c>
      <c r="Z32" s="26">
        <v>65</v>
      </c>
      <c r="AA32" s="53"/>
      <c r="AB32" s="54">
        <v>0.83333333333333337</v>
      </c>
      <c r="AC32" s="30">
        <v>333.33333333333337</v>
      </c>
      <c r="AD32" s="121">
        <v>18</v>
      </c>
      <c r="AE32" s="28">
        <v>21821</v>
      </c>
      <c r="AF32" s="26">
        <v>735</v>
      </c>
      <c r="AG32" s="22">
        <v>620020</v>
      </c>
      <c r="AH32" s="31">
        <v>490</v>
      </c>
      <c r="AI32" s="28">
        <v>89</v>
      </c>
      <c r="AJ32" s="32">
        <v>0</v>
      </c>
      <c r="AK32" s="28">
        <v>6789</v>
      </c>
      <c r="AL32" s="32">
        <v>13</v>
      </c>
      <c r="AM32" s="17">
        <v>98659</v>
      </c>
      <c r="AN32" s="32">
        <v>121</v>
      </c>
      <c r="AO32" s="17"/>
      <c r="AP32" s="32">
        <v>0</v>
      </c>
      <c r="AQ32" s="28">
        <v>671980</v>
      </c>
      <c r="AR32" s="26">
        <v>220</v>
      </c>
      <c r="AS32" s="35">
        <v>10649</v>
      </c>
      <c r="AT32" s="26">
        <v>33</v>
      </c>
      <c r="AU32" s="34">
        <v>1166</v>
      </c>
      <c r="AV32" s="26">
        <v>34</v>
      </c>
      <c r="AW32" s="27">
        <v>9761</v>
      </c>
      <c r="AX32" s="26">
        <v>1</v>
      </c>
      <c r="AY32" s="28">
        <v>11592</v>
      </c>
      <c r="AZ32" s="26">
        <v>2</v>
      </c>
      <c r="BA32" s="28">
        <v>21480</v>
      </c>
      <c r="BB32" s="26">
        <v>13</v>
      </c>
      <c r="BC32" s="28">
        <v>22355</v>
      </c>
      <c r="BD32" s="26">
        <v>6</v>
      </c>
      <c r="BE32" s="22">
        <v>119</v>
      </c>
      <c r="BF32" s="31">
        <v>4</v>
      </c>
      <c r="BG32" s="28">
        <v>15311</v>
      </c>
      <c r="BH32" s="31">
        <v>6</v>
      </c>
      <c r="BI32" s="28">
        <v>7069</v>
      </c>
      <c r="BJ32" s="31">
        <v>2</v>
      </c>
      <c r="BK32" s="28">
        <v>29244</v>
      </c>
      <c r="BL32" s="31">
        <v>7</v>
      </c>
      <c r="BM32" s="28">
        <v>6773</v>
      </c>
      <c r="BN32" s="31">
        <v>7</v>
      </c>
      <c r="BO32" s="28">
        <v>42978</v>
      </c>
      <c r="BP32" s="31">
        <v>60</v>
      </c>
      <c r="BQ32" s="28">
        <v>3641</v>
      </c>
      <c r="BR32" s="31">
        <v>0</v>
      </c>
      <c r="BS32" s="31">
        <v>23</v>
      </c>
      <c r="BT32" s="31">
        <v>197</v>
      </c>
      <c r="BU32" s="28">
        <v>686510</v>
      </c>
      <c r="BV32" s="31">
        <v>180</v>
      </c>
      <c r="BW32" s="28"/>
      <c r="BX32" s="31">
        <v>0</v>
      </c>
      <c r="BY32" s="28">
        <v>884740</v>
      </c>
      <c r="BZ32" s="31">
        <v>300</v>
      </c>
      <c r="CA32" s="22">
        <v>29813</v>
      </c>
      <c r="CB32" s="31">
        <v>1</v>
      </c>
      <c r="CC32" s="36">
        <v>80</v>
      </c>
      <c r="CD32" s="31">
        <v>480</v>
      </c>
      <c r="CE32" s="37">
        <v>75</v>
      </c>
      <c r="CF32" s="22">
        <v>163.5</v>
      </c>
      <c r="CG32" s="55">
        <v>21393.814754507566</v>
      </c>
      <c r="CH32" s="38"/>
      <c r="CI32" s="56">
        <v>0</v>
      </c>
      <c r="CJ32" s="25">
        <v>3058277</v>
      </c>
      <c r="CK32" s="31">
        <v>2557</v>
      </c>
      <c r="CL32" s="36">
        <v>14600.47</v>
      </c>
      <c r="CM32" s="33">
        <v>82</v>
      </c>
      <c r="CN32" s="39">
        <v>8835.5</v>
      </c>
      <c r="CO32" s="25">
        <v>82</v>
      </c>
      <c r="CP32" s="57">
        <v>8835.5</v>
      </c>
      <c r="CQ32" s="33">
        <v>80</v>
      </c>
      <c r="CR32" s="58">
        <v>8620</v>
      </c>
      <c r="CS32" s="59">
        <v>26291</v>
      </c>
      <c r="CT32" s="40">
        <v>1508.5</v>
      </c>
      <c r="CU32" s="28"/>
      <c r="CV32" s="25">
        <v>52897</v>
      </c>
      <c r="CW32" s="31">
        <v>39</v>
      </c>
      <c r="CX32" s="36">
        <v>222.69</v>
      </c>
      <c r="CY32" s="46">
        <v>36808</v>
      </c>
      <c r="CZ32" s="31">
        <v>5</v>
      </c>
      <c r="DA32" s="36">
        <v>28.55</v>
      </c>
      <c r="DB32" s="25">
        <v>17648</v>
      </c>
      <c r="DC32" s="31">
        <v>18</v>
      </c>
      <c r="DD32" s="36">
        <v>102.78</v>
      </c>
      <c r="DE32" s="25">
        <v>872614</v>
      </c>
      <c r="DF32" s="31">
        <v>117</v>
      </c>
      <c r="DG32" s="36">
        <v>668.07</v>
      </c>
      <c r="DH32" s="28">
        <v>13637</v>
      </c>
      <c r="DI32" s="31">
        <v>13</v>
      </c>
      <c r="DJ32" s="36">
        <v>74.23</v>
      </c>
      <c r="DK32" s="25">
        <v>12339</v>
      </c>
      <c r="DL32" s="31" t="s">
        <v>146</v>
      </c>
      <c r="DM32" s="36">
        <v>0</v>
      </c>
      <c r="DN32" s="25">
        <v>7799</v>
      </c>
      <c r="DO32" s="31">
        <v>6</v>
      </c>
      <c r="DP32" s="36">
        <v>34.26</v>
      </c>
      <c r="DQ32" s="25">
        <v>2563</v>
      </c>
      <c r="DR32" s="31">
        <v>2</v>
      </c>
      <c r="DS32" s="36">
        <v>11.42</v>
      </c>
      <c r="DT32" s="25">
        <v>9891</v>
      </c>
      <c r="DU32" s="31">
        <v>10</v>
      </c>
      <c r="DV32" s="36">
        <v>57.1</v>
      </c>
      <c r="DW32" s="25">
        <v>8734</v>
      </c>
      <c r="DX32" s="31">
        <v>1</v>
      </c>
      <c r="DY32" s="36">
        <v>5.71</v>
      </c>
      <c r="DZ32" s="25">
        <v>9366</v>
      </c>
      <c r="EA32" s="31">
        <v>8</v>
      </c>
      <c r="EB32" s="36">
        <v>45.68</v>
      </c>
      <c r="EC32" s="25">
        <v>9491</v>
      </c>
      <c r="ED32" s="31">
        <v>9</v>
      </c>
      <c r="EE32" s="36">
        <v>51.39</v>
      </c>
      <c r="EF32" s="38"/>
      <c r="EG32" s="36">
        <v>0</v>
      </c>
      <c r="EH32" s="38"/>
      <c r="EI32" s="36">
        <v>0</v>
      </c>
      <c r="EJ32" s="41"/>
      <c r="EK32" s="36">
        <v>0</v>
      </c>
      <c r="EL32" s="22"/>
      <c r="EM32" s="36">
        <v>0</v>
      </c>
      <c r="EN32" s="41">
        <v>110</v>
      </c>
      <c r="EO32" s="42">
        <v>339</v>
      </c>
      <c r="EP32" s="60">
        <v>0.84499999999999997</v>
      </c>
      <c r="EQ32" s="48"/>
      <c r="ER32" s="49"/>
      <c r="ES32" s="50"/>
      <c r="ET32" s="51"/>
      <c r="EU32" s="51"/>
      <c r="EV32" s="51"/>
    </row>
    <row r="33" spans="1:152" s="16" customFormat="1" ht="15.75" thickBot="1" x14ac:dyDescent="0.3">
      <c r="A33" s="21">
        <v>44925</v>
      </c>
      <c r="B33" s="29">
        <v>8373068</v>
      </c>
      <c r="C33" s="23">
        <v>25750</v>
      </c>
      <c r="D33" s="24">
        <v>7247257</v>
      </c>
      <c r="E33" s="23">
        <v>25133</v>
      </c>
      <c r="F33" s="44">
        <v>0.97603883495145627</v>
      </c>
      <c r="G33" s="24">
        <v>1374</v>
      </c>
      <c r="H33" s="24">
        <v>1170</v>
      </c>
      <c r="I33" s="24">
        <v>296274</v>
      </c>
      <c r="J33" s="26">
        <v>0</v>
      </c>
      <c r="K33" s="27">
        <v>820</v>
      </c>
      <c r="L33" s="26">
        <v>0</v>
      </c>
      <c r="M33" s="28">
        <v>652066</v>
      </c>
      <c r="N33" s="26">
        <v>0</v>
      </c>
      <c r="O33" s="28">
        <v>1050</v>
      </c>
      <c r="P33" s="26">
        <v>0</v>
      </c>
      <c r="Q33" s="28">
        <v>5156100</v>
      </c>
      <c r="R33" s="26">
        <v>11600</v>
      </c>
      <c r="S33" s="28">
        <v>4632800</v>
      </c>
      <c r="T33" s="26">
        <v>11100</v>
      </c>
      <c r="U33" s="28">
        <v>3129410</v>
      </c>
      <c r="V33" s="26">
        <v>549</v>
      </c>
      <c r="W33" s="28">
        <v>2408773</v>
      </c>
      <c r="X33" s="26">
        <v>646</v>
      </c>
      <c r="Y33" s="28">
        <v>354482</v>
      </c>
      <c r="Z33" s="26">
        <v>53</v>
      </c>
      <c r="AA33" s="53"/>
      <c r="AB33" s="54">
        <v>0.77777777777777779</v>
      </c>
      <c r="AC33" s="30">
        <v>311.11111111111114</v>
      </c>
      <c r="AD33" s="121">
        <v>12</v>
      </c>
      <c r="AE33" s="28">
        <v>22099</v>
      </c>
      <c r="AF33" s="26">
        <v>278</v>
      </c>
      <c r="AG33" s="22">
        <v>620400</v>
      </c>
      <c r="AH33" s="31">
        <v>380</v>
      </c>
      <c r="AI33" s="28">
        <v>89</v>
      </c>
      <c r="AJ33" s="32">
        <v>0</v>
      </c>
      <c r="AK33" s="28">
        <v>6802</v>
      </c>
      <c r="AL33" s="32">
        <v>13</v>
      </c>
      <c r="AM33" s="17">
        <v>98718</v>
      </c>
      <c r="AN33" s="32">
        <v>59</v>
      </c>
      <c r="AO33" s="17"/>
      <c r="AP33" s="32">
        <v>0</v>
      </c>
      <c r="AQ33" s="28">
        <v>672170</v>
      </c>
      <c r="AR33" s="26">
        <v>190</v>
      </c>
      <c r="AS33" s="35">
        <v>10680</v>
      </c>
      <c r="AT33" s="26">
        <v>31</v>
      </c>
      <c r="AU33" s="34">
        <v>1191</v>
      </c>
      <c r="AV33" s="26">
        <v>25</v>
      </c>
      <c r="AW33" s="27">
        <v>9762</v>
      </c>
      <c r="AX33" s="26">
        <v>1</v>
      </c>
      <c r="AY33" s="28">
        <v>11593</v>
      </c>
      <c r="AZ33" s="26">
        <v>1</v>
      </c>
      <c r="BA33" s="28">
        <v>21489</v>
      </c>
      <c r="BB33" s="26">
        <v>9</v>
      </c>
      <c r="BC33" s="28">
        <v>22360</v>
      </c>
      <c r="BD33" s="26">
        <v>5</v>
      </c>
      <c r="BE33" s="22">
        <v>122</v>
      </c>
      <c r="BF33" s="31">
        <v>3</v>
      </c>
      <c r="BG33" s="28">
        <v>15315</v>
      </c>
      <c r="BH33" s="31">
        <v>4</v>
      </c>
      <c r="BI33" s="28">
        <v>7070</v>
      </c>
      <c r="BJ33" s="31">
        <v>1</v>
      </c>
      <c r="BK33" s="28">
        <v>29248</v>
      </c>
      <c r="BL33" s="31">
        <v>4</v>
      </c>
      <c r="BM33" s="28">
        <v>6778</v>
      </c>
      <c r="BN33" s="31">
        <v>5</v>
      </c>
      <c r="BO33" s="28">
        <v>43034</v>
      </c>
      <c r="BP33" s="31">
        <v>56</v>
      </c>
      <c r="BQ33" s="28">
        <v>3641</v>
      </c>
      <c r="BR33" s="31">
        <v>0</v>
      </c>
      <c r="BS33" s="31">
        <v>16</v>
      </c>
      <c r="BT33" s="31">
        <v>174</v>
      </c>
      <c r="BU33" s="28">
        <v>686640</v>
      </c>
      <c r="BV33" s="31">
        <v>130</v>
      </c>
      <c r="BW33" s="28"/>
      <c r="BX33" s="31">
        <v>0</v>
      </c>
      <c r="BY33" s="28">
        <v>884970</v>
      </c>
      <c r="BZ33" s="31">
        <v>230</v>
      </c>
      <c r="CA33" s="22">
        <v>30038</v>
      </c>
      <c r="CB33" s="31">
        <v>225</v>
      </c>
      <c r="CC33" s="36">
        <v>40</v>
      </c>
      <c r="CD33" s="31">
        <v>360</v>
      </c>
      <c r="CE33" s="37">
        <v>54</v>
      </c>
      <c r="CF33" s="22">
        <v>163</v>
      </c>
      <c r="CG33" s="55">
        <v>21322.444075286221</v>
      </c>
      <c r="CH33" s="38"/>
      <c r="CI33" s="56">
        <v>71.370679221345199</v>
      </c>
      <c r="CJ33" s="25">
        <v>3060077</v>
      </c>
      <c r="CK33" s="31">
        <v>1800</v>
      </c>
      <c r="CL33" s="36">
        <v>10278</v>
      </c>
      <c r="CM33" s="33">
        <v>78</v>
      </c>
      <c r="CN33" s="39">
        <v>8404.5</v>
      </c>
      <c r="CO33" s="25">
        <v>79</v>
      </c>
      <c r="CP33" s="57">
        <v>8512.25</v>
      </c>
      <c r="CQ33" s="33">
        <v>78</v>
      </c>
      <c r="CR33" s="58">
        <v>8404.5</v>
      </c>
      <c r="CS33" s="59">
        <v>25321.25</v>
      </c>
      <c r="CT33" s="40">
        <v>969.75</v>
      </c>
      <c r="CU33" s="28"/>
      <c r="CV33" s="25">
        <v>52937</v>
      </c>
      <c r="CW33" s="31">
        <v>40</v>
      </c>
      <c r="CX33" s="36">
        <v>228.4</v>
      </c>
      <c r="CY33" s="46">
        <v>36812</v>
      </c>
      <c r="CZ33" s="31">
        <v>4</v>
      </c>
      <c r="DA33" s="36">
        <v>22.84</v>
      </c>
      <c r="DB33" s="25">
        <v>17666</v>
      </c>
      <c r="DC33" s="31">
        <v>18</v>
      </c>
      <c r="DD33" s="36">
        <v>102.78</v>
      </c>
      <c r="DE33" s="25">
        <v>872749</v>
      </c>
      <c r="DF33" s="31">
        <v>135</v>
      </c>
      <c r="DG33" s="36">
        <v>770.85</v>
      </c>
      <c r="DH33" s="28">
        <v>13646</v>
      </c>
      <c r="DI33" s="31">
        <v>9</v>
      </c>
      <c r="DJ33" s="36">
        <v>51.39</v>
      </c>
      <c r="DK33" s="25">
        <v>12348</v>
      </c>
      <c r="DL33" s="31">
        <v>9</v>
      </c>
      <c r="DM33" s="36">
        <v>51.39</v>
      </c>
      <c r="DN33" s="25">
        <v>7805</v>
      </c>
      <c r="DO33" s="31">
        <v>6</v>
      </c>
      <c r="DP33" s="36">
        <v>34.26</v>
      </c>
      <c r="DQ33" s="25">
        <v>2564</v>
      </c>
      <c r="DR33" s="31">
        <v>1</v>
      </c>
      <c r="DS33" s="36">
        <v>5.71</v>
      </c>
      <c r="DT33" s="25">
        <v>9900</v>
      </c>
      <c r="DU33" s="31">
        <v>9</v>
      </c>
      <c r="DV33" s="36">
        <v>51.39</v>
      </c>
      <c r="DW33" s="25">
        <v>8740</v>
      </c>
      <c r="DX33" s="31">
        <v>6</v>
      </c>
      <c r="DY33" s="36">
        <v>34.26</v>
      </c>
      <c r="DZ33" s="25">
        <v>9372</v>
      </c>
      <c r="EA33" s="31">
        <v>6</v>
      </c>
      <c r="EB33" s="36">
        <v>34.26</v>
      </c>
      <c r="EC33" s="25">
        <v>9498</v>
      </c>
      <c r="ED33" s="31">
        <v>7</v>
      </c>
      <c r="EE33" s="36">
        <v>39.97</v>
      </c>
      <c r="EF33" s="38"/>
      <c r="EG33" s="36">
        <v>0</v>
      </c>
      <c r="EH33" s="38"/>
      <c r="EI33" s="36">
        <v>0</v>
      </c>
      <c r="EJ33" s="41"/>
      <c r="EK33" s="36">
        <v>0</v>
      </c>
      <c r="EL33" s="22"/>
      <c r="EM33" s="36">
        <v>0</v>
      </c>
      <c r="EN33" s="41">
        <v>99</v>
      </c>
      <c r="EO33" s="42">
        <v>304</v>
      </c>
      <c r="EP33" s="60">
        <v>0.8</v>
      </c>
      <c r="EQ33" s="48"/>
      <c r="ER33" s="49"/>
      <c r="ES33" s="50"/>
      <c r="ET33" s="51"/>
      <c r="EU33" s="51"/>
      <c r="EV33" s="51"/>
    </row>
    <row r="34" spans="1:152" s="16" customFormat="1" ht="15.75" thickBot="1" x14ac:dyDescent="0.3">
      <c r="A34" s="21">
        <v>44926</v>
      </c>
      <c r="B34" s="112">
        <v>8396988</v>
      </c>
      <c r="C34" s="23">
        <v>23920</v>
      </c>
      <c r="D34" s="46">
        <v>7270796</v>
      </c>
      <c r="E34" s="23">
        <v>23539</v>
      </c>
      <c r="F34" s="44">
        <v>0.98407190635451502</v>
      </c>
      <c r="G34" s="46">
        <v>1374</v>
      </c>
      <c r="H34" s="113">
        <v>1170</v>
      </c>
      <c r="I34" s="46">
        <v>296274</v>
      </c>
      <c r="J34" s="26">
        <v>0</v>
      </c>
      <c r="K34" s="22">
        <v>820</v>
      </c>
      <c r="L34" s="26">
        <v>0</v>
      </c>
      <c r="M34" s="22">
        <v>652066</v>
      </c>
      <c r="N34" s="26">
        <v>0</v>
      </c>
      <c r="O34" s="22">
        <v>1050</v>
      </c>
      <c r="P34" s="26">
        <v>0</v>
      </c>
      <c r="Q34" s="22">
        <v>5166600</v>
      </c>
      <c r="R34" s="26">
        <v>10500</v>
      </c>
      <c r="S34" s="22">
        <v>4643700</v>
      </c>
      <c r="T34" s="26">
        <v>10900</v>
      </c>
      <c r="U34" s="22">
        <v>3130321</v>
      </c>
      <c r="V34" s="26">
        <v>911</v>
      </c>
      <c r="W34" s="22">
        <v>2409311</v>
      </c>
      <c r="X34" s="26">
        <v>538</v>
      </c>
      <c r="Y34" s="22">
        <v>354568</v>
      </c>
      <c r="Z34" s="26">
        <v>86</v>
      </c>
      <c r="AA34" s="114"/>
      <c r="AB34" s="115">
        <v>0.61111111111111116</v>
      </c>
      <c r="AC34" s="30">
        <v>244.44444444444446</v>
      </c>
      <c r="AD34" s="121">
        <v>6</v>
      </c>
      <c r="AE34" s="22">
        <v>22308</v>
      </c>
      <c r="AF34" s="26">
        <v>209</v>
      </c>
      <c r="AG34" s="22">
        <v>626820</v>
      </c>
      <c r="AH34" s="31">
        <v>6420</v>
      </c>
      <c r="AI34" s="22">
        <v>89</v>
      </c>
      <c r="AJ34" s="32">
        <v>0</v>
      </c>
      <c r="AK34" s="22">
        <v>6819</v>
      </c>
      <c r="AL34" s="32">
        <v>17</v>
      </c>
      <c r="AM34" s="7">
        <v>98869</v>
      </c>
      <c r="AN34" s="32">
        <v>151</v>
      </c>
      <c r="AO34" s="7"/>
      <c r="AP34" s="32">
        <v>0</v>
      </c>
      <c r="AQ34" s="22">
        <v>672420</v>
      </c>
      <c r="AR34" s="26">
        <v>250</v>
      </c>
      <c r="AS34" s="45">
        <v>10713</v>
      </c>
      <c r="AT34" s="26">
        <v>33</v>
      </c>
      <c r="AU34" s="22">
        <v>1217</v>
      </c>
      <c r="AV34" s="26">
        <v>26</v>
      </c>
      <c r="AW34" s="22">
        <v>9763</v>
      </c>
      <c r="AX34" s="26">
        <v>1</v>
      </c>
      <c r="AY34" s="22">
        <v>11595</v>
      </c>
      <c r="AZ34" s="26">
        <v>2</v>
      </c>
      <c r="BA34" s="22">
        <v>21502</v>
      </c>
      <c r="BB34" s="26">
        <v>13</v>
      </c>
      <c r="BC34" s="22">
        <v>22365</v>
      </c>
      <c r="BD34" s="26">
        <v>5</v>
      </c>
      <c r="BE34" s="22">
        <v>125</v>
      </c>
      <c r="BF34" s="31">
        <v>3</v>
      </c>
      <c r="BG34" s="22">
        <v>15320</v>
      </c>
      <c r="BH34" s="31">
        <v>5</v>
      </c>
      <c r="BI34" s="22">
        <v>7071</v>
      </c>
      <c r="BJ34" s="31">
        <v>1</v>
      </c>
      <c r="BK34" s="22">
        <v>29252</v>
      </c>
      <c r="BL34" s="31">
        <v>4</v>
      </c>
      <c r="BM34" s="22">
        <v>6785</v>
      </c>
      <c r="BN34" s="31">
        <v>7</v>
      </c>
      <c r="BO34" s="22">
        <v>43090</v>
      </c>
      <c r="BP34" s="31">
        <v>56</v>
      </c>
      <c r="BQ34" s="22">
        <v>3641</v>
      </c>
      <c r="BR34" s="31">
        <v>0</v>
      </c>
      <c r="BS34" s="31">
        <v>21</v>
      </c>
      <c r="BT34" s="31">
        <v>229</v>
      </c>
      <c r="BU34" s="22">
        <v>686780</v>
      </c>
      <c r="BV34" s="31">
        <v>140</v>
      </c>
      <c r="BW34" s="22"/>
      <c r="BX34" s="116"/>
      <c r="BY34" s="22">
        <v>885240</v>
      </c>
      <c r="BZ34" s="31">
        <v>270</v>
      </c>
      <c r="CA34" s="22"/>
      <c r="CB34" s="116"/>
      <c r="CC34" s="36">
        <v>20</v>
      </c>
      <c r="CD34" s="31">
        <v>410</v>
      </c>
      <c r="CE34" s="37">
        <v>63</v>
      </c>
      <c r="CF34" s="22">
        <v>163</v>
      </c>
      <c r="CG34" s="55">
        <v>21322.444075286221</v>
      </c>
      <c r="CH34" s="117"/>
      <c r="CI34" s="56">
        <v>0</v>
      </c>
      <c r="CJ34" s="46">
        <v>3062082</v>
      </c>
      <c r="CK34" s="31">
        <v>2005</v>
      </c>
      <c r="CL34" s="36">
        <v>11448.55</v>
      </c>
      <c r="CM34" s="46">
        <v>75</v>
      </c>
      <c r="CN34" s="39">
        <v>8081.25</v>
      </c>
      <c r="CO34" s="46">
        <v>75</v>
      </c>
      <c r="CP34" s="57">
        <v>8081.25</v>
      </c>
      <c r="CQ34" s="46">
        <v>75</v>
      </c>
      <c r="CR34" s="58">
        <v>8081.25</v>
      </c>
      <c r="CS34" s="59">
        <v>24243.75</v>
      </c>
      <c r="CT34" s="40">
        <v>1077.5</v>
      </c>
      <c r="CU34" s="47"/>
      <c r="CV34" s="46">
        <v>52981</v>
      </c>
      <c r="CW34" s="31">
        <v>44</v>
      </c>
      <c r="CX34" s="36">
        <v>251.24</v>
      </c>
      <c r="CY34" s="46">
        <v>36816</v>
      </c>
      <c r="CZ34" s="31">
        <v>4</v>
      </c>
      <c r="DA34" s="36">
        <v>22.84</v>
      </c>
      <c r="DB34" s="118">
        <v>17681</v>
      </c>
      <c r="DC34" s="31">
        <v>15</v>
      </c>
      <c r="DD34" s="36">
        <v>85.65</v>
      </c>
      <c r="DE34" s="46">
        <v>872857</v>
      </c>
      <c r="DF34" s="31">
        <v>108</v>
      </c>
      <c r="DG34" s="36">
        <v>616.67999999999995</v>
      </c>
      <c r="DH34" s="22">
        <v>13655</v>
      </c>
      <c r="DI34" s="31">
        <v>9</v>
      </c>
      <c r="DJ34" s="36">
        <v>51.39</v>
      </c>
      <c r="DK34" s="46">
        <v>12357</v>
      </c>
      <c r="DL34" s="31">
        <v>9</v>
      </c>
      <c r="DM34" s="36">
        <v>51.39</v>
      </c>
      <c r="DN34" s="46">
        <v>7811</v>
      </c>
      <c r="DO34" s="31">
        <v>6</v>
      </c>
      <c r="DP34" s="36">
        <v>34.26</v>
      </c>
      <c r="DQ34" s="46">
        <v>2566</v>
      </c>
      <c r="DR34" s="31">
        <v>2</v>
      </c>
      <c r="DS34" s="36">
        <v>11.42</v>
      </c>
      <c r="DT34" s="25">
        <v>9910</v>
      </c>
      <c r="DU34" s="31">
        <v>10</v>
      </c>
      <c r="DV34" s="36">
        <v>57.1</v>
      </c>
      <c r="DW34" s="46">
        <v>8746</v>
      </c>
      <c r="DX34" s="31">
        <v>6</v>
      </c>
      <c r="DY34" s="36">
        <v>34.26</v>
      </c>
      <c r="DZ34" s="46">
        <v>9379</v>
      </c>
      <c r="EA34" s="31">
        <v>7</v>
      </c>
      <c r="EB34" s="36">
        <v>39.97</v>
      </c>
      <c r="EC34" s="46">
        <v>9507</v>
      </c>
      <c r="ED34" s="31">
        <v>9</v>
      </c>
      <c r="EE34" s="36">
        <v>51.39</v>
      </c>
      <c r="EF34" s="117"/>
      <c r="EG34" s="36">
        <v>0</v>
      </c>
      <c r="EH34" s="117"/>
      <c r="EI34" s="36">
        <v>0</v>
      </c>
      <c r="EJ34" s="22"/>
      <c r="EK34" s="36">
        <v>0</v>
      </c>
      <c r="EL34" s="22"/>
      <c r="EM34" s="36">
        <v>0</v>
      </c>
      <c r="EN34" s="22">
        <v>110</v>
      </c>
      <c r="EO34" s="22">
        <v>336</v>
      </c>
      <c r="EP34" s="119">
        <v>0.84099999999999997</v>
      </c>
      <c r="EQ34" s="46"/>
      <c r="ER34" s="46"/>
      <c r="ES34" s="46"/>
      <c r="ET34" s="7"/>
      <c r="EU34" s="7"/>
      <c r="EV34" s="7"/>
    </row>
    <row r="35" spans="1:152" x14ac:dyDescent="0.2">
      <c r="C35" s="62">
        <f>SUM(C4:C33)</f>
        <v>754713</v>
      </c>
      <c r="E35" s="62">
        <f>SUM(E4:E33)</f>
        <v>741117</v>
      </c>
      <c r="H35" s="62"/>
      <c r="J35" s="62">
        <f>SUM(J4:J33)</f>
        <v>781</v>
      </c>
      <c r="L35" s="62">
        <f>SUM(L4:L33)</f>
        <v>3</v>
      </c>
      <c r="N35" s="62">
        <f>SUM(N4:N33)</f>
        <v>1620</v>
      </c>
      <c r="P35" s="62">
        <f>SUM(P4:P33)</f>
        <v>12</v>
      </c>
      <c r="R35" s="62">
        <f>SUM(R4:R33)</f>
        <v>341400</v>
      </c>
      <c r="T35" s="62">
        <f>SUM(T4:T33)</f>
        <v>341900</v>
      </c>
      <c r="V35" s="62">
        <f>SUM(V4:V33)</f>
        <v>30779</v>
      </c>
      <c r="X35" s="62">
        <f>SUM(X4:X33)</f>
        <v>17449</v>
      </c>
      <c r="Z35" s="62">
        <f>SUM(Z4:Z33)</f>
        <v>2529</v>
      </c>
      <c r="AA35" s="63"/>
      <c r="AD35" s="62">
        <f>SUM(AD4:AD33)</f>
        <v>341</v>
      </c>
      <c r="AF35" s="62">
        <f>SUM(AF4:AF33)</f>
        <v>9035</v>
      </c>
      <c r="AH35" s="62">
        <f>SUM(AH4:AH33)</f>
        <v>13820</v>
      </c>
      <c r="AJ35" s="62">
        <f>SUM(AJ4:AJ33)</f>
        <v>2</v>
      </c>
      <c r="AL35" s="62">
        <f>SUM(AL4:AL33)</f>
        <v>246</v>
      </c>
      <c r="AR35" s="62">
        <f>SUM(AR4:AR33)</f>
        <v>5820</v>
      </c>
      <c r="AS35" s="64"/>
      <c r="AT35" s="62">
        <f>SUM(AT4:AT33)</f>
        <v>994</v>
      </c>
      <c r="AV35" s="62">
        <f>SUM(AV4:AV33)</f>
        <v>802</v>
      </c>
      <c r="AX35" s="62">
        <f>SUM(AX4:AX33)</f>
        <v>43</v>
      </c>
      <c r="AZ35" s="62">
        <f>SUM(AZ4:AZ33)</f>
        <v>73</v>
      </c>
      <c r="BB35" s="62">
        <f>SUM(BB4:BB33)</f>
        <v>285</v>
      </c>
      <c r="BD35" s="62">
        <f>SUM(BD4:BD33)</f>
        <v>176</v>
      </c>
      <c r="BF35" s="62">
        <f>SUM(BF4:BF33)</f>
        <v>82</v>
      </c>
      <c r="BH35" s="62">
        <f>SUM(BH4:BH33)</f>
        <v>135</v>
      </c>
      <c r="BJ35" s="62">
        <f>SUM(BJ4:BJ33)</f>
        <v>45</v>
      </c>
      <c r="BL35" s="62">
        <f>SUM(BL4:BL33)</f>
        <v>149</v>
      </c>
      <c r="BN35" s="62">
        <f>SUM(BN4:BN33)</f>
        <v>155</v>
      </c>
      <c r="BP35" s="62">
        <f>SUM(BP4:BP33)</f>
        <v>1616</v>
      </c>
      <c r="BR35" s="62">
        <f>SUM(BR4:BR33)</f>
        <v>0</v>
      </c>
      <c r="BS35" s="62">
        <f>SUM(BS4:BS33)</f>
        <v>502</v>
      </c>
      <c r="BT35" s="62">
        <f>SUM(BT4:BT33)</f>
        <v>5318</v>
      </c>
      <c r="BV35" s="62">
        <f>SUM(BV4:BV33)</f>
        <v>5520</v>
      </c>
      <c r="BW35" s="45"/>
      <c r="BX35" s="62">
        <f>SUM(BX4:BX33)</f>
        <v>0</v>
      </c>
      <c r="BZ35" s="62">
        <f>SUM(BZ4:BZ33)</f>
        <v>7750</v>
      </c>
      <c r="CA35" s="65"/>
      <c r="CB35" s="62">
        <f>SUM(CB4:CB33)</f>
        <v>30813</v>
      </c>
      <c r="CC35" s="62">
        <f>SUM(CC4:CC33)</f>
        <v>1910</v>
      </c>
      <c r="CD35" s="62">
        <f>SUM(CD4:CD33)</f>
        <v>13270</v>
      </c>
      <c r="CE35" s="62">
        <f>SUM(CE4:CE33)</f>
        <v>1796</v>
      </c>
      <c r="CG35" s="62">
        <f>SUM(CG4:CG33)</f>
        <v>646424.73006224143</v>
      </c>
      <c r="CI35" s="62">
        <f>SUM(CI4:CI33)</f>
        <v>496.41633273623302</v>
      </c>
      <c r="CK35" s="62">
        <f>SUM(CK4:CK33)</f>
        <v>61140</v>
      </c>
      <c r="CL35" s="62">
        <f>SUM(CL4:CL33)</f>
        <v>349109.39999999997</v>
      </c>
      <c r="CN35" s="62">
        <f>SUM(CN4:CN33)</f>
        <v>243946</v>
      </c>
      <c r="CP35" s="62">
        <f>SUM(CP4:CP33)</f>
        <v>245777.75</v>
      </c>
      <c r="CR35" s="62">
        <f>SUM(CR4:CR33)</f>
        <v>242976.25</v>
      </c>
      <c r="CS35" s="62">
        <f>SUM(CS4:CS33)</f>
        <v>732700</v>
      </c>
      <c r="CT35" s="62">
        <f>SUM(CT4:CT33)</f>
        <v>36977.75</v>
      </c>
      <c r="CU35" s="62">
        <f>SUM(CU3:CU33)</f>
        <v>42042</v>
      </c>
      <c r="CW35" s="62">
        <f>SUM(CW4:CW33)</f>
        <v>1178</v>
      </c>
      <c r="CX35" s="62">
        <f>SUM(CX4:CX33)</f>
        <v>6726.3799999999983</v>
      </c>
      <c r="CZ35" s="62">
        <f>SUM(CZ4:CZ33)</f>
        <v>92</v>
      </c>
      <c r="DA35" s="62">
        <f>SUM(DA4:DA33)</f>
        <v>525.31999999999994</v>
      </c>
      <c r="DB35" s="47"/>
      <c r="DC35" s="62">
        <f>SUM(DC4:DC33)</f>
        <v>482</v>
      </c>
      <c r="DD35" s="62">
        <f>SUM(DD4:DD33)</f>
        <v>2752.2200000000007</v>
      </c>
      <c r="DF35" s="62">
        <f>SUM(DF4:DF33)</f>
        <v>3401</v>
      </c>
      <c r="DG35" s="62">
        <f>SUM(DG4:DG33)</f>
        <v>19419.709999999995</v>
      </c>
      <c r="DI35" s="62">
        <f>SUM(DI4:DI33)</f>
        <v>305</v>
      </c>
      <c r="DJ35" s="62">
        <f>SUM(DJ4:DJ33)</f>
        <v>1741.55</v>
      </c>
      <c r="DL35" s="62">
        <f>SUM(DL4:DL33)</f>
        <v>286</v>
      </c>
      <c r="DM35" s="62">
        <f>SUM(DM4:DM33)</f>
        <v>1633.06</v>
      </c>
      <c r="DO35" s="62">
        <f>SUM(DO4:DO33)</f>
        <v>175</v>
      </c>
      <c r="DP35" s="62">
        <f>SUM(DP4:DP33)</f>
        <v>999.24999999999989</v>
      </c>
      <c r="DR35" s="62">
        <f>SUM(DR4:DR33)</f>
        <v>42</v>
      </c>
      <c r="DS35" s="62">
        <f>SUM(DS4:DS33)</f>
        <v>239.81999999999996</v>
      </c>
      <c r="DU35" s="62">
        <f>SUM(DU4:DU33)</f>
        <v>248</v>
      </c>
      <c r="DV35" s="62">
        <f>SUM(DV4:DV33)</f>
        <v>1416.0800000000002</v>
      </c>
      <c r="DX35" s="62">
        <f>SUM(DX4:DX33)</f>
        <v>162</v>
      </c>
      <c r="DY35" s="62">
        <f>SUM(DY4:DY33)</f>
        <v>925.01999999999975</v>
      </c>
      <c r="EA35" s="62">
        <f>SUM(EA4:EA33)</f>
        <v>220</v>
      </c>
      <c r="EB35" s="62">
        <f>SUM(EB4:EB33)</f>
        <v>1256.2000000000003</v>
      </c>
      <c r="ED35" s="62">
        <f>SUM(ED4:ED33)</f>
        <v>216</v>
      </c>
      <c r="EE35" s="62">
        <f>SUM(EE4:EE33)</f>
        <v>1233.3599999999999</v>
      </c>
      <c r="EG35" s="62">
        <f>SUM(EG4:EG33)</f>
        <v>0</v>
      </c>
      <c r="EI35" s="62">
        <f>SUM(EI4:EI33)</f>
        <v>0</v>
      </c>
      <c r="EK35" s="62">
        <f>SUM(EK4:EK33)</f>
        <v>0</v>
      </c>
      <c r="EM35" s="62">
        <f>SUM(EM4:EM33)</f>
        <v>0</v>
      </c>
      <c r="EN35" s="62">
        <f>SUM(EN4:EN33)</f>
        <v>2724</v>
      </c>
      <c r="EO35" s="62">
        <f>SUM(EO4:EO33)</f>
        <v>7318</v>
      </c>
      <c r="EP35" s="62">
        <f>SUM(EP4:EP33)</f>
        <v>22.136599999999998</v>
      </c>
    </row>
    <row r="36" spans="1:152" ht="15" x14ac:dyDescent="0.25">
      <c r="S36" s="66"/>
      <c r="W36" s="66"/>
      <c r="X36" s="66"/>
      <c r="CF36" s="66"/>
      <c r="CG36" s="66"/>
      <c r="CH36" s="66"/>
      <c r="CI36" s="66"/>
      <c r="EF36" s="66"/>
      <c r="EG36" s="66"/>
      <c r="EH36" s="66"/>
      <c r="EI36" s="66"/>
    </row>
    <row r="37" spans="1:152" x14ac:dyDescent="0.2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G37">
        <v>7</v>
      </c>
      <c r="H37">
        <v>8</v>
      </c>
      <c r="I37">
        <v>9</v>
      </c>
      <c r="J37">
        <v>10</v>
      </c>
      <c r="K37">
        <v>11</v>
      </c>
      <c r="L37">
        <v>12</v>
      </c>
      <c r="M37">
        <v>13</v>
      </c>
      <c r="N37">
        <v>14</v>
      </c>
      <c r="O37">
        <v>15</v>
      </c>
      <c r="P37">
        <v>16</v>
      </c>
      <c r="Q37">
        <v>17</v>
      </c>
      <c r="R37">
        <v>18</v>
      </c>
      <c r="S37">
        <v>19</v>
      </c>
      <c r="T37">
        <v>20</v>
      </c>
      <c r="U37">
        <v>21</v>
      </c>
      <c r="V37">
        <v>22</v>
      </c>
      <c r="W37">
        <v>23</v>
      </c>
      <c r="X37">
        <v>24</v>
      </c>
      <c r="Y37">
        <v>25</v>
      </c>
      <c r="Z37">
        <v>26</v>
      </c>
      <c r="AA37">
        <v>27</v>
      </c>
      <c r="AB37">
        <v>28</v>
      </c>
      <c r="AC37">
        <v>29</v>
      </c>
      <c r="AD37">
        <v>30</v>
      </c>
      <c r="AE37">
        <v>31</v>
      </c>
      <c r="AF37">
        <v>32</v>
      </c>
      <c r="AG37">
        <v>33</v>
      </c>
      <c r="AH37">
        <v>34</v>
      </c>
      <c r="AI37">
        <v>35</v>
      </c>
      <c r="AJ37">
        <v>36</v>
      </c>
      <c r="AK37">
        <v>37</v>
      </c>
      <c r="AL37">
        <v>38</v>
      </c>
      <c r="AM37">
        <v>39</v>
      </c>
      <c r="AN37">
        <v>40</v>
      </c>
      <c r="AO37">
        <v>41</v>
      </c>
      <c r="AP37">
        <v>42</v>
      </c>
      <c r="AQ37">
        <v>43</v>
      </c>
      <c r="AR37">
        <v>44</v>
      </c>
      <c r="AS37">
        <v>45</v>
      </c>
      <c r="AT37">
        <v>46</v>
      </c>
      <c r="AU37">
        <v>47</v>
      </c>
      <c r="AV37">
        <v>48</v>
      </c>
      <c r="AW37">
        <v>49</v>
      </c>
      <c r="AX37">
        <v>50</v>
      </c>
      <c r="AY37">
        <v>51</v>
      </c>
      <c r="AZ37">
        <v>52</v>
      </c>
      <c r="BA37">
        <v>53</v>
      </c>
      <c r="BB37">
        <v>54</v>
      </c>
      <c r="BC37">
        <v>55</v>
      </c>
      <c r="BD37">
        <v>56</v>
      </c>
      <c r="BE37">
        <v>57</v>
      </c>
      <c r="BF37">
        <v>58</v>
      </c>
      <c r="BG37">
        <v>59</v>
      </c>
      <c r="BH37">
        <v>60</v>
      </c>
      <c r="BI37">
        <v>61</v>
      </c>
      <c r="BJ37">
        <v>62</v>
      </c>
      <c r="BK37">
        <v>63</v>
      </c>
      <c r="BL37">
        <v>64</v>
      </c>
      <c r="BM37">
        <v>65</v>
      </c>
      <c r="BN37">
        <v>66</v>
      </c>
      <c r="BO37">
        <v>67</v>
      </c>
      <c r="BP37">
        <v>68</v>
      </c>
      <c r="BQ37">
        <v>69</v>
      </c>
      <c r="BR37">
        <v>70</v>
      </c>
      <c r="BS37">
        <v>71</v>
      </c>
      <c r="BT37">
        <v>72</v>
      </c>
      <c r="BU37">
        <v>73</v>
      </c>
      <c r="BV37">
        <v>74</v>
      </c>
      <c r="BW37">
        <v>75</v>
      </c>
      <c r="BX37">
        <v>76</v>
      </c>
      <c r="BY37">
        <v>77</v>
      </c>
      <c r="BZ37">
        <v>78</v>
      </c>
      <c r="CA37">
        <v>79</v>
      </c>
      <c r="CB37">
        <v>80</v>
      </c>
      <c r="CC37">
        <v>81</v>
      </c>
      <c r="CD37">
        <v>82</v>
      </c>
      <c r="CE37">
        <v>83</v>
      </c>
      <c r="CF37">
        <v>84</v>
      </c>
      <c r="CG37">
        <v>85</v>
      </c>
      <c r="CH37">
        <v>86</v>
      </c>
      <c r="CI37">
        <v>87</v>
      </c>
      <c r="CJ37">
        <v>88</v>
      </c>
      <c r="CK37">
        <v>89</v>
      </c>
      <c r="CL37">
        <v>90</v>
      </c>
      <c r="CM37">
        <v>91</v>
      </c>
      <c r="CN37">
        <v>92</v>
      </c>
      <c r="CO37">
        <v>93</v>
      </c>
      <c r="CP37">
        <v>94</v>
      </c>
      <c r="CQ37">
        <v>95</v>
      </c>
      <c r="CR37">
        <v>96</v>
      </c>
      <c r="CS37">
        <v>97</v>
      </c>
      <c r="CT37">
        <v>98</v>
      </c>
      <c r="CU37">
        <v>99</v>
      </c>
      <c r="CV37">
        <v>100</v>
      </c>
      <c r="CW37">
        <v>101</v>
      </c>
      <c r="CX37">
        <v>102</v>
      </c>
      <c r="CY37">
        <v>103</v>
      </c>
      <c r="CZ37">
        <v>104</v>
      </c>
      <c r="DA37">
        <v>105</v>
      </c>
      <c r="DB37">
        <v>65</v>
      </c>
      <c r="DC37">
        <v>107</v>
      </c>
      <c r="DD37">
        <v>108</v>
      </c>
      <c r="DE37">
        <v>109</v>
      </c>
      <c r="DF37">
        <v>110</v>
      </c>
      <c r="DG37">
        <v>111</v>
      </c>
      <c r="DH37">
        <v>112</v>
      </c>
      <c r="DI37">
        <v>113</v>
      </c>
      <c r="DJ37">
        <v>114</v>
      </c>
      <c r="DK37">
        <v>115</v>
      </c>
      <c r="DL37">
        <v>116</v>
      </c>
      <c r="DM37">
        <v>117</v>
      </c>
      <c r="DN37">
        <v>118</v>
      </c>
      <c r="DO37">
        <v>119</v>
      </c>
      <c r="DP37">
        <v>120</v>
      </c>
      <c r="DQ37">
        <v>121</v>
      </c>
      <c r="DR37">
        <v>122</v>
      </c>
      <c r="DS37">
        <v>123</v>
      </c>
      <c r="DT37">
        <v>124</v>
      </c>
      <c r="DU37">
        <v>125</v>
      </c>
      <c r="DV37">
        <v>126</v>
      </c>
      <c r="DW37">
        <v>127</v>
      </c>
      <c r="DX37">
        <v>128</v>
      </c>
      <c r="DY37">
        <v>129</v>
      </c>
      <c r="DZ37">
        <v>130</v>
      </c>
      <c r="EA37">
        <v>131</v>
      </c>
      <c r="EB37">
        <v>132</v>
      </c>
      <c r="EC37">
        <v>133</v>
      </c>
      <c r="ED37">
        <v>134</v>
      </c>
      <c r="EE37">
        <v>135</v>
      </c>
      <c r="EF37">
        <v>136</v>
      </c>
      <c r="EG37">
        <v>137</v>
      </c>
      <c r="EH37">
        <v>138</v>
      </c>
      <c r="EI37">
        <v>139</v>
      </c>
      <c r="EJ37">
        <v>140</v>
      </c>
      <c r="EK37">
        <v>141</v>
      </c>
      <c r="EL37">
        <v>142</v>
      </c>
      <c r="EM37">
        <v>143</v>
      </c>
      <c r="EN37">
        <v>144</v>
      </c>
      <c r="EO37">
        <v>145</v>
      </c>
      <c r="EP37">
        <v>146</v>
      </c>
      <c r="EQ37">
        <v>147</v>
      </c>
      <c r="ER37">
        <v>148</v>
      </c>
      <c r="ES37">
        <v>149</v>
      </c>
    </row>
    <row r="38" spans="1:152" ht="15" x14ac:dyDescent="0.25">
      <c r="S38" s="66"/>
      <c r="W38" s="66"/>
      <c r="X38" s="66"/>
      <c r="CF38" s="66"/>
      <c r="CG38" s="66"/>
      <c r="CH38" s="66"/>
      <c r="CI38" s="66"/>
      <c r="EF38" s="66">
        <f>EF23-EF20</f>
        <v>0</v>
      </c>
      <c r="EG38" s="66"/>
      <c r="EH38" s="66"/>
      <c r="EI38" s="66"/>
    </row>
    <row r="39" spans="1:152" ht="15" x14ac:dyDescent="0.25">
      <c r="S39" s="66"/>
      <c r="W39" s="66"/>
      <c r="X39" s="66"/>
      <c r="CF39" s="66"/>
      <c r="CG39" s="66"/>
      <c r="CH39" s="66"/>
      <c r="CI39" s="66"/>
      <c r="EF39" s="66"/>
      <c r="EG39" s="66"/>
      <c r="EH39" s="66"/>
      <c r="EI39" s="66"/>
    </row>
    <row r="40" spans="1:152" ht="15" x14ac:dyDescent="0.25">
      <c r="S40" s="66"/>
      <c r="W40" s="66"/>
      <c r="X40" s="66"/>
      <c r="CF40" s="66"/>
      <c r="CG40" s="66"/>
      <c r="CH40" s="66"/>
      <c r="CI40" s="66"/>
      <c r="EF40" s="66"/>
      <c r="EG40" s="66"/>
      <c r="EH40" s="66"/>
      <c r="EI40" s="66"/>
    </row>
    <row r="41" spans="1:152" ht="15" x14ac:dyDescent="0.25">
      <c r="S41" s="66"/>
      <c r="W41" s="66"/>
      <c r="X41" s="66"/>
      <c r="CF41" s="66"/>
      <c r="CG41" s="66"/>
      <c r="CH41" s="66"/>
      <c r="CI41" s="66"/>
      <c r="EF41" s="66"/>
      <c r="EG41" s="66"/>
      <c r="EH41" s="66"/>
      <c r="EI41" s="66"/>
    </row>
    <row r="42" spans="1:152" ht="15" x14ac:dyDescent="0.25">
      <c r="S42" s="66"/>
      <c r="W42" s="66"/>
      <c r="X42" s="66"/>
      <c r="CF42" s="66"/>
      <c r="CG42" s="66"/>
      <c r="CH42" s="66"/>
      <c r="CI42" s="66"/>
      <c r="EF42" s="66"/>
      <c r="EG42" s="66"/>
      <c r="EH42" s="66"/>
      <c r="EI42" s="66"/>
    </row>
    <row r="45" spans="1:152" x14ac:dyDescent="0.2">
      <c r="CK45" t="s">
        <v>135</v>
      </c>
      <c r="CL45" t="s">
        <v>136</v>
      </c>
    </row>
    <row r="46" spans="1:152" x14ac:dyDescent="0.2">
      <c r="CJ46" t="s">
        <v>137</v>
      </c>
      <c r="CK46" s="101">
        <f>2.383*(288/298)*(((CL46/1000)+1.013)/1.013)</f>
        <v>5.713251065013881</v>
      </c>
      <c r="CL46">
        <v>1500</v>
      </c>
    </row>
    <row r="47" spans="1:152" x14ac:dyDescent="0.2">
      <c r="CJ47" t="s">
        <v>101</v>
      </c>
      <c r="CK47" s="101">
        <f>2.383*(288/298)*(((CL47/1000)+1.013)/1.013)</f>
        <v>2.4167074739792103</v>
      </c>
      <c r="CL47">
        <v>50</v>
      </c>
    </row>
    <row r="48" spans="1:152" x14ac:dyDescent="0.2">
      <c r="CJ48" t="s">
        <v>138</v>
      </c>
      <c r="CK48" s="101">
        <f t="shared" ref="CK48:CK55" si="0">2.383*(288/298)*(((CL48/1000)+1.013)/1.013)</f>
        <v>2.4167074739792103</v>
      </c>
      <c r="CL48">
        <v>50</v>
      </c>
    </row>
    <row r="49" spans="88:90" x14ac:dyDescent="0.2">
      <c r="CJ49" t="s">
        <v>139</v>
      </c>
      <c r="CK49" s="101">
        <f t="shared" si="0"/>
        <v>2.3030335570469802</v>
      </c>
    </row>
    <row r="50" spans="88:90" x14ac:dyDescent="0.2">
      <c r="CJ50" t="s">
        <v>140</v>
      </c>
      <c r="CK50" s="101">
        <f t="shared" si="0"/>
        <v>2.3030335570469802</v>
      </c>
    </row>
    <row r="51" spans="88:90" x14ac:dyDescent="0.2">
      <c r="CJ51" t="s">
        <v>141</v>
      </c>
      <c r="CK51" s="101">
        <f t="shared" si="0"/>
        <v>2.3416826888039384</v>
      </c>
      <c r="CL51">
        <v>17</v>
      </c>
    </row>
    <row r="52" spans="88:90" x14ac:dyDescent="0.2">
      <c r="CJ52" t="s">
        <v>142</v>
      </c>
      <c r="CK52" s="101">
        <f t="shared" si="0"/>
        <v>2.3030335570469802</v>
      </c>
    </row>
    <row r="53" spans="88:90" x14ac:dyDescent="0.2">
      <c r="CJ53" t="s">
        <v>143</v>
      </c>
      <c r="CK53" s="101">
        <f t="shared" si="0"/>
        <v>2.3030335570469802</v>
      </c>
    </row>
    <row r="54" spans="88:90" x14ac:dyDescent="0.2">
      <c r="CJ54" t="s">
        <v>144</v>
      </c>
      <c r="CK54" s="101">
        <f t="shared" si="0"/>
        <v>2.3030335570469802</v>
      </c>
    </row>
    <row r="55" spans="88:90" x14ac:dyDescent="0.2">
      <c r="CJ55" t="s">
        <v>145</v>
      </c>
      <c r="CK55" s="101">
        <f t="shared" si="0"/>
        <v>2.3712379072063183</v>
      </c>
      <c r="CL55">
        <v>30</v>
      </c>
    </row>
  </sheetData>
  <sheetProtection selectLockedCells="1" selectUnlockedCells="1"/>
  <mergeCells count="30">
    <mergeCell ref="BW1:BX1"/>
    <mergeCell ref="CA1:CB1"/>
    <mergeCell ref="AY1:AZ1"/>
    <mergeCell ref="BA1:BB1"/>
    <mergeCell ref="BC1:BD1"/>
    <mergeCell ref="BE1:BF1"/>
    <mergeCell ref="BG1:BH1"/>
    <mergeCell ref="BI1:BJ1"/>
    <mergeCell ref="BY1:BZ1"/>
    <mergeCell ref="EC1:EE1"/>
    <mergeCell ref="EQ1:ES1"/>
    <mergeCell ref="ET1:EV1"/>
    <mergeCell ref="B1:H1"/>
    <mergeCell ref="I1:L1"/>
    <mergeCell ref="M1:P1"/>
    <mergeCell ref="Y1:Z1"/>
    <mergeCell ref="AI1:AJ1"/>
    <mergeCell ref="AS1:AT1"/>
    <mergeCell ref="AW1:AX1"/>
    <mergeCell ref="AU1:AV1"/>
    <mergeCell ref="AQ1:AR1"/>
    <mergeCell ref="BU1:BV1"/>
    <mergeCell ref="DE1:DG1"/>
    <mergeCell ref="DH1:DJ1"/>
    <mergeCell ref="DK1:DM1"/>
    <mergeCell ref="DN1:DP1"/>
    <mergeCell ref="DQ1:DS1"/>
    <mergeCell ref="DT1:DV1"/>
    <mergeCell ref="DW1:DY1"/>
    <mergeCell ref="DZ1:EB1"/>
  </mergeCells>
  <conditionalFormatting sqref="BQ42:BX1048576 A1:H2 L1:L2 P1 AU1:BW1 BY1:BZ1 BQ38:BX40 AI38:AN1048576 BY38:XFD44 BY45:CI45 BY57:XFD1048576 CL56:XFD56 BY46:CH56 CJ45:XFD55 EW1:XFD2 CC1:ES1 AI1:AN2 Z36:AN36 I2:K2 M2:P2 BI2:ES2 AA35:AC35 A35:P36 AE35:AN35 AQ36:XFD36 AQ2:BG2 AQ1:AS1 AQ38:BP1048576 U35:Y36 U38:AF1048576 U1:AF2 A37:XFD37 AQ35:BX35 BZ35:XFD35 A38:P1048576">
    <cfRule type="cellIs" dxfId="251" priority="662" operator="lessThan">
      <formula>0</formula>
    </cfRule>
  </conditionalFormatting>
  <conditionalFormatting sqref="CA1">
    <cfRule type="cellIs" dxfId="250" priority="661" operator="lessThan">
      <formula>0</formula>
    </cfRule>
  </conditionalFormatting>
  <conditionalFormatting sqref="AG1:AH2 AG38:AH1048576">
    <cfRule type="cellIs" dxfId="249" priority="660" operator="lessThan">
      <formula>0</formula>
    </cfRule>
  </conditionalFormatting>
  <conditionalFormatting sqref="ET2:EV2 ET1">
    <cfRule type="cellIs" dxfId="248" priority="654" operator="lessThan">
      <formula>0</formula>
    </cfRule>
  </conditionalFormatting>
  <conditionalFormatting sqref="BH2">
    <cfRule type="cellIs" dxfId="247" priority="621" operator="lessThan">
      <formula>0</formula>
    </cfRule>
  </conditionalFormatting>
  <conditionalFormatting sqref="Z35">
    <cfRule type="cellIs" dxfId="246" priority="572" operator="lessThan">
      <formula>0</formula>
    </cfRule>
  </conditionalFormatting>
  <conditionalFormatting sqref="AD35">
    <cfRule type="cellIs" dxfId="245" priority="571" operator="lessThan">
      <formula>0</formula>
    </cfRule>
  </conditionalFormatting>
  <conditionalFormatting sqref="AO1:AP2 AO35:AP36 AO38:AP1048576">
    <cfRule type="cellIs" dxfId="244" priority="566" operator="lessThan">
      <formula>0</formula>
    </cfRule>
  </conditionalFormatting>
  <conditionalFormatting sqref="Q35:S36 Q1:S2 Q38:S1048576">
    <cfRule type="cellIs" dxfId="243" priority="562" operator="lessThan">
      <formula>0</formula>
    </cfRule>
  </conditionalFormatting>
  <conditionalFormatting sqref="T35:T36 T1:T2 T38:T1048576">
    <cfRule type="cellIs" dxfId="242" priority="558" operator="lessThan">
      <formula>0</formula>
    </cfRule>
  </conditionalFormatting>
  <conditionalFormatting sqref="EW20 EY20:XFD20 H5 EN10:EO10 BG4:BG9 Y3:Y8 U3:U7 F3:H3 M11:M13 EW32:XFD34 PK31:XFD31 EW31:PI31 EN3:EO4 EN6:EO8 EO5 EW19:XFD19 EO11:XFD11 EP3:XFD10 Y10:Y19 G6:H18 U9:U18 EN12:XFD18 EN19:EP25 BG11:BG18 DZ19:DZ20 F4:F18 CR5:CT18 V3:X18 Z3:BG3 S8:S18 Q8:Q18 R3:R18 T3:T18 I18:P22 A3:E18 BH3:BL18 DZ22:DZ29 Y21:Y29 EW21:XFD29 EQ19:EV29 A19:H29 A31:H34 Q19:X29 EA19:EM29 EN27:EP29 Q31:AC34 A30:AC30 Z4:AC29 AE4:BF18 BP19:DY29 BP31:EV34 BP30:XFD30 BN3:BN34 BP3:CQ18 AE19:BL34 CU3:EM18">
    <cfRule type="cellIs" dxfId="241" priority="170" operator="lessThan">
      <formula>0</formula>
    </cfRule>
  </conditionalFormatting>
  <conditionalFormatting sqref="CR4:CS4 CR3:CT3">
    <cfRule type="cellIs" dxfId="240" priority="169" operator="lessThan">
      <formula>0</formula>
    </cfRule>
  </conditionalFormatting>
  <conditionalFormatting sqref="EX20">
    <cfRule type="cellIs" dxfId="239" priority="168" operator="lessThan">
      <formula>0</formula>
    </cfRule>
  </conditionalFormatting>
  <conditionalFormatting sqref="S3:S6">
    <cfRule type="cellIs" dxfId="238" priority="167" operator="lessThan">
      <formula>0</formula>
    </cfRule>
  </conditionalFormatting>
  <conditionalFormatting sqref="Q6 Q3:Q4">
    <cfRule type="cellIs" dxfId="237" priority="166" operator="lessThan">
      <formula>0</formula>
    </cfRule>
  </conditionalFormatting>
  <conditionalFormatting sqref="G5">
    <cfRule type="cellIs" dxfId="236" priority="165" operator="lessThan">
      <formula>0</formula>
    </cfRule>
  </conditionalFormatting>
  <conditionalFormatting sqref="H4">
    <cfRule type="cellIs" dxfId="235" priority="164" operator="lessThan">
      <formula>0</formula>
    </cfRule>
  </conditionalFormatting>
  <conditionalFormatting sqref="S7">
    <cfRule type="cellIs" dxfId="234" priority="163" operator="lessThan">
      <formula>0</formula>
    </cfRule>
  </conditionalFormatting>
  <conditionalFormatting sqref="Q5 Q7">
    <cfRule type="cellIs" dxfId="233" priority="162" operator="lessThan">
      <formula>0</formula>
    </cfRule>
  </conditionalFormatting>
  <conditionalFormatting sqref="J14 J16:J17">
    <cfRule type="cellIs" dxfId="232" priority="161" operator="lessThan">
      <formula>0</formula>
    </cfRule>
  </conditionalFormatting>
  <conditionalFormatting sqref="N16:N17">
    <cfRule type="cellIs" dxfId="231" priority="160" operator="lessThan">
      <formula>0</formula>
    </cfRule>
  </conditionalFormatting>
  <conditionalFormatting sqref="P14 P16:P17">
    <cfRule type="cellIs" dxfId="230" priority="159" operator="lessThan">
      <formula>0</formula>
    </cfRule>
  </conditionalFormatting>
  <conditionalFormatting sqref="L14 L16:L17">
    <cfRule type="cellIs" dxfId="229" priority="158" operator="lessThan">
      <formula>0</formula>
    </cfRule>
  </conditionalFormatting>
  <conditionalFormatting sqref="K14 K16:K17">
    <cfRule type="cellIs" dxfId="228" priority="157" operator="lessThan">
      <formula>0</formula>
    </cfRule>
  </conditionalFormatting>
  <conditionalFormatting sqref="O14 O16:O17">
    <cfRule type="cellIs" dxfId="227" priority="156" operator="lessThan">
      <formula>0</formula>
    </cfRule>
  </conditionalFormatting>
  <conditionalFormatting sqref="M14 M16:M17">
    <cfRule type="cellIs" dxfId="226" priority="155" operator="lessThan">
      <formula>0</formula>
    </cfRule>
  </conditionalFormatting>
  <conditionalFormatting sqref="M14 M16:M17">
    <cfRule type="cellIs" dxfId="225" priority="154" operator="lessThan">
      <formula>0</formula>
    </cfRule>
  </conditionalFormatting>
  <conditionalFormatting sqref="I14 I16:I17">
    <cfRule type="cellIs" dxfId="224" priority="153" operator="lessThan">
      <formula>0</formula>
    </cfRule>
  </conditionalFormatting>
  <conditionalFormatting sqref="J23">
    <cfRule type="cellIs" dxfId="223" priority="152" operator="lessThan">
      <formula>0</formula>
    </cfRule>
  </conditionalFormatting>
  <conditionalFormatting sqref="N23">
    <cfRule type="cellIs" dxfId="222" priority="151" operator="lessThan">
      <formula>0</formula>
    </cfRule>
  </conditionalFormatting>
  <conditionalFormatting sqref="P23">
    <cfRule type="cellIs" dxfId="221" priority="150" operator="lessThan">
      <formula>0</formula>
    </cfRule>
  </conditionalFormatting>
  <conditionalFormatting sqref="L23">
    <cfRule type="cellIs" dxfId="220" priority="149" operator="lessThan">
      <formula>0</formula>
    </cfRule>
  </conditionalFormatting>
  <conditionalFormatting sqref="K23">
    <cfRule type="cellIs" dxfId="219" priority="148" operator="lessThan">
      <formula>0</formula>
    </cfRule>
  </conditionalFormatting>
  <conditionalFormatting sqref="I23">
    <cfRule type="cellIs" dxfId="218" priority="147" operator="lessThan">
      <formula>0</formula>
    </cfRule>
  </conditionalFormatting>
  <conditionalFormatting sqref="O23">
    <cfRule type="cellIs" dxfId="217" priority="146" operator="lessThan">
      <formula>0</formula>
    </cfRule>
  </conditionalFormatting>
  <conditionalFormatting sqref="M23">
    <cfRule type="cellIs" dxfId="216" priority="145" operator="lessThan">
      <formula>0</formula>
    </cfRule>
  </conditionalFormatting>
  <conditionalFormatting sqref="M23">
    <cfRule type="cellIs" dxfId="215" priority="144" operator="lessThan">
      <formula>0</formula>
    </cfRule>
  </conditionalFormatting>
  <conditionalFormatting sqref="N27:N28">
    <cfRule type="cellIs" dxfId="214" priority="143" operator="lessThan">
      <formula>0</formula>
    </cfRule>
  </conditionalFormatting>
  <conditionalFormatting sqref="P27:P28">
    <cfRule type="cellIs" dxfId="213" priority="142" operator="lessThan">
      <formula>0</formula>
    </cfRule>
  </conditionalFormatting>
  <conditionalFormatting sqref="L27:L28">
    <cfRule type="cellIs" dxfId="212" priority="141" operator="lessThan">
      <formula>0</formula>
    </cfRule>
  </conditionalFormatting>
  <conditionalFormatting sqref="K27:K28">
    <cfRule type="cellIs" dxfId="211" priority="140" operator="lessThan">
      <formula>0</formula>
    </cfRule>
  </conditionalFormatting>
  <conditionalFormatting sqref="O27:O28">
    <cfRule type="cellIs" dxfId="210" priority="139" operator="lessThan">
      <formula>0</formula>
    </cfRule>
  </conditionalFormatting>
  <conditionalFormatting sqref="M27:M28">
    <cfRule type="cellIs" dxfId="209" priority="138" operator="lessThan">
      <formula>0</formula>
    </cfRule>
  </conditionalFormatting>
  <conditionalFormatting sqref="M27:M28">
    <cfRule type="cellIs" dxfId="208" priority="137" operator="lessThan">
      <formula>0</formula>
    </cfRule>
  </conditionalFormatting>
  <conditionalFormatting sqref="I27:I28">
    <cfRule type="cellIs" dxfId="207" priority="136" operator="lessThan">
      <formula>0</formula>
    </cfRule>
  </conditionalFormatting>
  <conditionalFormatting sqref="J29">
    <cfRule type="cellIs" dxfId="206" priority="135" operator="lessThan">
      <formula>0</formula>
    </cfRule>
  </conditionalFormatting>
  <conditionalFormatting sqref="N29">
    <cfRule type="cellIs" dxfId="205" priority="134" operator="lessThan">
      <formula>0</formula>
    </cfRule>
  </conditionalFormatting>
  <conditionalFormatting sqref="P29">
    <cfRule type="cellIs" dxfId="204" priority="133" operator="lessThan">
      <formula>0</formula>
    </cfRule>
  </conditionalFormatting>
  <conditionalFormatting sqref="L29">
    <cfRule type="cellIs" dxfId="203" priority="132" operator="lessThan">
      <formula>0</formula>
    </cfRule>
  </conditionalFormatting>
  <conditionalFormatting sqref="K29">
    <cfRule type="cellIs" dxfId="202" priority="131" operator="lessThan">
      <formula>0</formula>
    </cfRule>
  </conditionalFormatting>
  <conditionalFormatting sqref="O29">
    <cfRule type="cellIs" dxfId="201" priority="130" operator="lessThan">
      <formula>0</formula>
    </cfRule>
  </conditionalFormatting>
  <conditionalFormatting sqref="M29">
    <cfRule type="cellIs" dxfId="200" priority="129" operator="lessThan">
      <formula>0</formula>
    </cfRule>
  </conditionalFormatting>
  <conditionalFormatting sqref="M29">
    <cfRule type="cellIs" dxfId="199" priority="128" operator="lessThan">
      <formula>0</formula>
    </cfRule>
  </conditionalFormatting>
  <conditionalFormatting sqref="I29">
    <cfRule type="cellIs" dxfId="198" priority="127" operator="lessThan">
      <formula>0</formula>
    </cfRule>
  </conditionalFormatting>
  <conditionalFormatting sqref="J32:J34">
    <cfRule type="cellIs" dxfId="197" priority="126" operator="lessThan">
      <formula>0</formula>
    </cfRule>
  </conditionalFormatting>
  <conditionalFormatting sqref="N32:N34">
    <cfRule type="cellIs" dxfId="196" priority="125" operator="lessThan">
      <formula>0</formula>
    </cfRule>
  </conditionalFormatting>
  <conditionalFormatting sqref="P32:P34">
    <cfRule type="cellIs" dxfId="195" priority="124" operator="lessThan">
      <formula>0</formula>
    </cfRule>
  </conditionalFormatting>
  <conditionalFormatting sqref="L32:L34">
    <cfRule type="cellIs" dxfId="194" priority="123" operator="lessThan">
      <formula>0</formula>
    </cfRule>
  </conditionalFormatting>
  <conditionalFormatting sqref="K32:K34">
    <cfRule type="cellIs" dxfId="193" priority="122" operator="lessThan">
      <formula>0</formula>
    </cfRule>
  </conditionalFormatting>
  <conditionalFormatting sqref="O32:O34">
    <cfRule type="cellIs" dxfId="192" priority="121" operator="lessThan">
      <formula>0</formula>
    </cfRule>
  </conditionalFormatting>
  <conditionalFormatting sqref="M32:M34">
    <cfRule type="cellIs" dxfId="191" priority="120" operator="lessThan">
      <formula>0</formula>
    </cfRule>
  </conditionalFormatting>
  <conditionalFormatting sqref="M32:M34">
    <cfRule type="cellIs" dxfId="190" priority="119" operator="lessThan">
      <formula>0</formula>
    </cfRule>
  </conditionalFormatting>
  <conditionalFormatting sqref="I32:I34">
    <cfRule type="cellIs" dxfId="189" priority="118" operator="lessThan">
      <formula>0</formula>
    </cfRule>
  </conditionalFormatting>
  <conditionalFormatting sqref="CT4">
    <cfRule type="cellIs" dxfId="188" priority="117" operator="lessThan">
      <formula>0</formula>
    </cfRule>
  </conditionalFormatting>
  <conditionalFormatting sqref="J5">
    <cfRule type="cellIs" dxfId="187" priority="116" operator="lessThan">
      <formula>0</formula>
    </cfRule>
  </conditionalFormatting>
  <conditionalFormatting sqref="N5">
    <cfRule type="cellIs" dxfId="186" priority="115" operator="lessThan">
      <formula>0</formula>
    </cfRule>
  </conditionalFormatting>
  <conditionalFormatting sqref="P5">
    <cfRule type="cellIs" dxfId="185" priority="114" operator="lessThan">
      <formula>0</formula>
    </cfRule>
  </conditionalFormatting>
  <conditionalFormatting sqref="L5">
    <cfRule type="cellIs" dxfId="184" priority="113" operator="lessThan">
      <formula>0</formula>
    </cfRule>
  </conditionalFormatting>
  <conditionalFormatting sqref="K5">
    <cfRule type="cellIs" dxfId="183" priority="112" operator="lessThan">
      <formula>0</formula>
    </cfRule>
  </conditionalFormatting>
  <conditionalFormatting sqref="O5">
    <cfRule type="cellIs" dxfId="182" priority="111" operator="lessThan">
      <formula>0</formula>
    </cfRule>
  </conditionalFormatting>
  <conditionalFormatting sqref="M5">
    <cfRule type="cellIs" dxfId="181" priority="110" operator="lessThan">
      <formula>0</formula>
    </cfRule>
  </conditionalFormatting>
  <conditionalFormatting sqref="M5">
    <cfRule type="cellIs" dxfId="180" priority="109" operator="lessThan">
      <formula>0</formula>
    </cfRule>
  </conditionalFormatting>
  <conditionalFormatting sqref="I5">
    <cfRule type="cellIs" dxfId="179" priority="108" operator="lessThan">
      <formula>0</formula>
    </cfRule>
  </conditionalFormatting>
  <conditionalFormatting sqref="J6">
    <cfRule type="cellIs" dxfId="178" priority="107" operator="lessThan">
      <formula>0</formula>
    </cfRule>
  </conditionalFormatting>
  <conditionalFormatting sqref="N6">
    <cfRule type="cellIs" dxfId="177" priority="106" operator="lessThan">
      <formula>0</formula>
    </cfRule>
  </conditionalFormatting>
  <conditionalFormatting sqref="P6">
    <cfRule type="cellIs" dxfId="176" priority="105" operator="lessThan">
      <formula>0</formula>
    </cfRule>
  </conditionalFormatting>
  <conditionalFormatting sqref="L6">
    <cfRule type="cellIs" dxfId="175" priority="104" operator="lessThan">
      <formula>0</formula>
    </cfRule>
  </conditionalFormatting>
  <conditionalFormatting sqref="K6">
    <cfRule type="cellIs" dxfId="174" priority="103" operator="lessThan">
      <formula>0</formula>
    </cfRule>
  </conditionalFormatting>
  <conditionalFormatting sqref="O6">
    <cfRule type="cellIs" dxfId="173" priority="102" operator="lessThan">
      <formula>0</formula>
    </cfRule>
  </conditionalFormatting>
  <conditionalFormatting sqref="M6">
    <cfRule type="cellIs" dxfId="172" priority="101" operator="lessThan">
      <formula>0</formula>
    </cfRule>
  </conditionalFormatting>
  <conditionalFormatting sqref="M6">
    <cfRule type="cellIs" dxfId="171" priority="100" operator="lessThan">
      <formula>0</formula>
    </cfRule>
  </conditionalFormatting>
  <conditionalFormatting sqref="I6">
    <cfRule type="cellIs" dxfId="170" priority="99" operator="lessThan">
      <formula>0</formula>
    </cfRule>
  </conditionalFormatting>
  <conditionalFormatting sqref="J7">
    <cfRule type="cellIs" dxfId="169" priority="98" operator="lessThan">
      <formula>0</formula>
    </cfRule>
  </conditionalFormatting>
  <conditionalFormatting sqref="N7">
    <cfRule type="cellIs" dxfId="168" priority="97" operator="lessThan">
      <formula>0</formula>
    </cfRule>
  </conditionalFormatting>
  <conditionalFormatting sqref="P7">
    <cfRule type="cellIs" dxfId="167" priority="96" operator="lessThan">
      <formula>0</formula>
    </cfRule>
  </conditionalFormatting>
  <conditionalFormatting sqref="L7">
    <cfRule type="cellIs" dxfId="166" priority="95" operator="lessThan">
      <formula>0</formula>
    </cfRule>
  </conditionalFormatting>
  <conditionalFormatting sqref="K7">
    <cfRule type="cellIs" dxfId="165" priority="94" operator="lessThan">
      <formula>0</formula>
    </cfRule>
  </conditionalFormatting>
  <conditionalFormatting sqref="O7">
    <cfRule type="cellIs" dxfId="164" priority="93" operator="lessThan">
      <formula>0</formula>
    </cfRule>
  </conditionalFormatting>
  <conditionalFormatting sqref="M7">
    <cfRule type="cellIs" dxfId="163" priority="92" operator="lessThan">
      <formula>0</formula>
    </cfRule>
  </conditionalFormatting>
  <conditionalFormatting sqref="M7">
    <cfRule type="cellIs" dxfId="162" priority="91" operator="lessThan">
      <formula>0</formula>
    </cfRule>
  </conditionalFormatting>
  <conditionalFormatting sqref="I7">
    <cfRule type="cellIs" dxfId="161" priority="90" operator="lessThan">
      <formula>0</formula>
    </cfRule>
  </conditionalFormatting>
  <conditionalFormatting sqref="J4">
    <cfRule type="cellIs" dxfId="160" priority="89" operator="lessThan">
      <formula>0</formula>
    </cfRule>
  </conditionalFormatting>
  <conditionalFormatting sqref="N4">
    <cfRule type="cellIs" dxfId="159" priority="88" operator="lessThan">
      <formula>0</formula>
    </cfRule>
  </conditionalFormatting>
  <conditionalFormatting sqref="P4">
    <cfRule type="cellIs" dxfId="158" priority="87" operator="lessThan">
      <formula>0</formula>
    </cfRule>
  </conditionalFormatting>
  <conditionalFormatting sqref="L4">
    <cfRule type="cellIs" dxfId="157" priority="86" operator="lessThan">
      <formula>0</formula>
    </cfRule>
  </conditionalFormatting>
  <conditionalFormatting sqref="K4">
    <cfRule type="cellIs" dxfId="156" priority="85" operator="lessThan">
      <formula>0</formula>
    </cfRule>
  </conditionalFormatting>
  <conditionalFormatting sqref="O4">
    <cfRule type="cellIs" dxfId="155" priority="84" operator="lessThan">
      <formula>0</formula>
    </cfRule>
  </conditionalFormatting>
  <conditionalFormatting sqref="M4">
    <cfRule type="cellIs" dxfId="154" priority="83" operator="lessThan">
      <formula>0</formula>
    </cfRule>
  </conditionalFormatting>
  <conditionalFormatting sqref="M4">
    <cfRule type="cellIs" dxfId="153" priority="82" operator="lessThan">
      <formula>0</formula>
    </cfRule>
  </conditionalFormatting>
  <conditionalFormatting sqref="I4">
    <cfRule type="cellIs" dxfId="152" priority="81" operator="lessThan">
      <formula>0</formula>
    </cfRule>
  </conditionalFormatting>
  <conditionalFormatting sqref="J8">
    <cfRule type="cellIs" dxfId="151" priority="80" operator="lessThan">
      <formula>0</formula>
    </cfRule>
  </conditionalFormatting>
  <conditionalFormatting sqref="N8">
    <cfRule type="cellIs" dxfId="150" priority="79" operator="lessThan">
      <formula>0</formula>
    </cfRule>
  </conditionalFormatting>
  <conditionalFormatting sqref="P8">
    <cfRule type="cellIs" dxfId="149" priority="78" operator="lessThan">
      <formula>0</formula>
    </cfRule>
  </conditionalFormatting>
  <conditionalFormatting sqref="L8">
    <cfRule type="cellIs" dxfId="148" priority="77" operator="lessThan">
      <formula>0</formula>
    </cfRule>
  </conditionalFormatting>
  <conditionalFormatting sqref="K8">
    <cfRule type="cellIs" dxfId="147" priority="76" operator="lessThan">
      <formula>0</formula>
    </cfRule>
  </conditionalFormatting>
  <conditionalFormatting sqref="O8">
    <cfRule type="cellIs" dxfId="146" priority="75" operator="lessThan">
      <formula>0</formula>
    </cfRule>
  </conditionalFormatting>
  <conditionalFormatting sqref="M8">
    <cfRule type="cellIs" dxfId="145" priority="74" operator="lessThan">
      <formula>0</formula>
    </cfRule>
  </conditionalFormatting>
  <conditionalFormatting sqref="M8">
    <cfRule type="cellIs" dxfId="144" priority="73" operator="lessThan">
      <formula>0</formula>
    </cfRule>
  </conditionalFormatting>
  <conditionalFormatting sqref="I8">
    <cfRule type="cellIs" dxfId="143" priority="72" operator="lessThan">
      <formula>0</formula>
    </cfRule>
  </conditionalFormatting>
  <conditionalFormatting sqref="J9:J13">
    <cfRule type="cellIs" dxfId="142" priority="71" operator="lessThan">
      <formula>0</formula>
    </cfRule>
  </conditionalFormatting>
  <conditionalFormatting sqref="N9:N15">
    <cfRule type="cellIs" dxfId="141" priority="70" operator="lessThan">
      <formula>0</formula>
    </cfRule>
  </conditionalFormatting>
  <conditionalFormatting sqref="P9">
    <cfRule type="cellIs" dxfId="140" priority="69" operator="lessThan">
      <formula>0</formula>
    </cfRule>
  </conditionalFormatting>
  <conditionalFormatting sqref="L9">
    <cfRule type="cellIs" dxfId="139" priority="68" operator="lessThan">
      <formula>0</formula>
    </cfRule>
  </conditionalFormatting>
  <conditionalFormatting sqref="K9">
    <cfRule type="cellIs" dxfId="138" priority="67" operator="lessThan">
      <formula>0</formula>
    </cfRule>
  </conditionalFormatting>
  <conditionalFormatting sqref="O9">
    <cfRule type="cellIs" dxfId="137" priority="66" operator="lessThan">
      <formula>0</formula>
    </cfRule>
  </conditionalFormatting>
  <conditionalFormatting sqref="M9">
    <cfRule type="cellIs" dxfId="136" priority="65" operator="lessThan">
      <formula>0</formula>
    </cfRule>
  </conditionalFormatting>
  <conditionalFormatting sqref="M9">
    <cfRule type="cellIs" dxfId="135" priority="64" operator="lessThan">
      <formula>0</formula>
    </cfRule>
  </conditionalFormatting>
  <conditionalFormatting sqref="I9">
    <cfRule type="cellIs" dxfId="134" priority="63" operator="lessThan">
      <formula>0</formula>
    </cfRule>
  </conditionalFormatting>
  <conditionalFormatting sqref="P10:P13">
    <cfRule type="cellIs" dxfId="133" priority="62" operator="lessThan">
      <formula>0</formula>
    </cfRule>
  </conditionalFormatting>
  <conditionalFormatting sqref="L10:L13">
    <cfRule type="cellIs" dxfId="132" priority="61" operator="lessThan">
      <formula>0</formula>
    </cfRule>
  </conditionalFormatting>
  <conditionalFormatting sqref="K10:K13">
    <cfRule type="cellIs" dxfId="131" priority="60" operator="lessThan">
      <formula>0</formula>
    </cfRule>
  </conditionalFormatting>
  <conditionalFormatting sqref="O10:O13">
    <cfRule type="cellIs" dxfId="130" priority="59" operator="lessThan">
      <formula>0</formula>
    </cfRule>
  </conditionalFormatting>
  <conditionalFormatting sqref="J24">
    <cfRule type="cellIs" dxfId="129" priority="58" operator="lessThan">
      <formula>0</formula>
    </cfRule>
  </conditionalFormatting>
  <conditionalFormatting sqref="N24">
    <cfRule type="cellIs" dxfId="128" priority="57" operator="lessThan">
      <formula>0</formula>
    </cfRule>
  </conditionalFormatting>
  <conditionalFormatting sqref="P24">
    <cfRule type="cellIs" dxfId="127" priority="56" operator="lessThan">
      <formula>0</formula>
    </cfRule>
  </conditionalFormatting>
  <conditionalFormatting sqref="L24">
    <cfRule type="cellIs" dxfId="126" priority="55" operator="lessThan">
      <formula>0</formula>
    </cfRule>
  </conditionalFormatting>
  <conditionalFormatting sqref="K24">
    <cfRule type="cellIs" dxfId="125" priority="54" operator="lessThan">
      <formula>0</formula>
    </cfRule>
  </conditionalFormatting>
  <conditionalFormatting sqref="I24">
    <cfRule type="cellIs" dxfId="124" priority="53" operator="lessThan">
      <formula>0</formula>
    </cfRule>
  </conditionalFormatting>
  <conditionalFormatting sqref="O24">
    <cfRule type="cellIs" dxfId="123" priority="52" operator="lessThan">
      <formula>0</formula>
    </cfRule>
  </conditionalFormatting>
  <conditionalFormatting sqref="M24">
    <cfRule type="cellIs" dxfId="122" priority="51" operator="lessThan">
      <formula>0</formula>
    </cfRule>
  </conditionalFormatting>
  <conditionalFormatting sqref="M24">
    <cfRule type="cellIs" dxfId="121" priority="50" operator="lessThan">
      <formula>0</formula>
    </cfRule>
  </conditionalFormatting>
  <conditionalFormatting sqref="J25">
    <cfRule type="cellIs" dxfId="120" priority="49" operator="lessThan">
      <formula>0</formula>
    </cfRule>
  </conditionalFormatting>
  <conditionalFormatting sqref="N25">
    <cfRule type="cellIs" dxfId="119" priority="48" operator="lessThan">
      <formula>0</formula>
    </cfRule>
  </conditionalFormatting>
  <conditionalFormatting sqref="P25">
    <cfRule type="cellIs" dxfId="118" priority="47" operator="lessThan">
      <formula>0</formula>
    </cfRule>
  </conditionalFormatting>
  <conditionalFormatting sqref="L25">
    <cfRule type="cellIs" dxfId="117" priority="46" operator="lessThan">
      <formula>0</formula>
    </cfRule>
  </conditionalFormatting>
  <conditionalFormatting sqref="K25">
    <cfRule type="cellIs" dxfId="116" priority="45" operator="lessThan">
      <formula>0</formula>
    </cfRule>
  </conditionalFormatting>
  <conditionalFormatting sqref="I25">
    <cfRule type="cellIs" dxfId="115" priority="44" operator="lessThan">
      <formula>0</formula>
    </cfRule>
  </conditionalFormatting>
  <conditionalFormatting sqref="O25">
    <cfRule type="cellIs" dxfId="114" priority="43" operator="lessThan">
      <formula>0</formula>
    </cfRule>
  </conditionalFormatting>
  <conditionalFormatting sqref="M25">
    <cfRule type="cellIs" dxfId="113" priority="42" operator="lessThan">
      <formula>0</formula>
    </cfRule>
  </conditionalFormatting>
  <conditionalFormatting sqref="M25">
    <cfRule type="cellIs" dxfId="112" priority="41" operator="lessThan">
      <formula>0</formula>
    </cfRule>
  </conditionalFormatting>
  <conditionalFormatting sqref="J26:J28">
    <cfRule type="cellIs" dxfId="111" priority="40" operator="lessThan">
      <formula>0</formula>
    </cfRule>
  </conditionalFormatting>
  <conditionalFormatting sqref="N26">
    <cfRule type="cellIs" dxfId="110" priority="39" operator="lessThan">
      <formula>0</formula>
    </cfRule>
  </conditionalFormatting>
  <conditionalFormatting sqref="P26">
    <cfRule type="cellIs" dxfId="109" priority="38" operator="lessThan">
      <formula>0</formula>
    </cfRule>
  </conditionalFormatting>
  <conditionalFormatting sqref="L26">
    <cfRule type="cellIs" dxfId="108" priority="37" operator="lessThan">
      <formula>0</formula>
    </cfRule>
  </conditionalFormatting>
  <conditionalFormatting sqref="K26">
    <cfRule type="cellIs" dxfId="107" priority="36" operator="lessThan">
      <formula>0</formula>
    </cfRule>
  </conditionalFormatting>
  <conditionalFormatting sqref="I26">
    <cfRule type="cellIs" dxfId="106" priority="35" operator="lessThan">
      <formula>0</formula>
    </cfRule>
  </conditionalFormatting>
  <conditionalFormatting sqref="O26">
    <cfRule type="cellIs" dxfId="105" priority="34" operator="lessThan">
      <formula>0</formula>
    </cfRule>
  </conditionalFormatting>
  <conditionalFormatting sqref="M26">
    <cfRule type="cellIs" dxfId="104" priority="33" operator="lessThan">
      <formula>0</formula>
    </cfRule>
  </conditionalFormatting>
  <conditionalFormatting sqref="M26">
    <cfRule type="cellIs" dxfId="103" priority="32" operator="lessThan">
      <formula>0</formula>
    </cfRule>
  </conditionalFormatting>
  <conditionalFormatting sqref="EN26:EO26">
    <cfRule type="cellIs" dxfId="102" priority="31" operator="lessThan">
      <formula>0</formula>
    </cfRule>
  </conditionalFormatting>
  <conditionalFormatting sqref="EP26">
    <cfRule type="cellIs" dxfId="101" priority="30" operator="lessThan">
      <formula>0</formula>
    </cfRule>
  </conditionalFormatting>
  <conditionalFormatting sqref="J31">
    <cfRule type="cellIs" dxfId="100" priority="29" operator="lessThan">
      <formula>0</formula>
    </cfRule>
  </conditionalFormatting>
  <conditionalFormatting sqref="N31">
    <cfRule type="cellIs" dxfId="99" priority="28" operator="lessThan">
      <formula>0</formula>
    </cfRule>
  </conditionalFormatting>
  <conditionalFormatting sqref="P31">
    <cfRule type="cellIs" dxfId="98" priority="27" operator="lessThan">
      <formula>0</formula>
    </cfRule>
  </conditionalFormatting>
  <conditionalFormatting sqref="L31">
    <cfRule type="cellIs" dxfId="97" priority="26" operator="lessThan">
      <formula>0</formula>
    </cfRule>
  </conditionalFormatting>
  <conditionalFormatting sqref="K31">
    <cfRule type="cellIs" dxfId="96" priority="25" operator="lessThan">
      <formula>0</formula>
    </cfRule>
  </conditionalFormatting>
  <conditionalFormatting sqref="O31">
    <cfRule type="cellIs" dxfId="95" priority="24" operator="lessThan">
      <formula>0</formula>
    </cfRule>
  </conditionalFormatting>
  <conditionalFormatting sqref="M31">
    <cfRule type="cellIs" dxfId="94" priority="23" operator="lessThan">
      <formula>0</formula>
    </cfRule>
  </conditionalFormatting>
  <conditionalFormatting sqref="M31">
    <cfRule type="cellIs" dxfId="93" priority="22" operator="lessThan">
      <formula>0</formula>
    </cfRule>
  </conditionalFormatting>
  <conditionalFormatting sqref="I31">
    <cfRule type="cellIs" dxfId="92" priority="21" operator="lessThan">
      <formula>0</formula>
    </cfRule>
  </conditionalFormatting>
  <conditionalFormatting sqref="Y9">
    <cfRule type="cellIs" dxfId="91" priority="20" operator="lessThan">
      <formula>0</formula>
    </cfRule>
  </conditionalFormatting>
  <conditionalFormatting sqref="J15">
    <cfRule type="cellIs" dxfId="90" priority="19" operator="lessThan">
      <formula>0</formula>
    </cfRule>
  </conditionalFormatting>
  <conditionalFormatting sqref="P15">
    <cfRule type="cellIs" dxfId="89" priority="18" operator="lessThan">
      <formula>0</formula>
    </cfRule>
  </conditionalFormatting>
  <conditionalFormatting sqref="L15">
    <cfRule type="cellIs" dxfId="88" priority="17" operator="lessThan">
      <formula>0</formula>
    </cfRule>
  </conditionalFormatting>
  <conditionalFormatting sqref="K15">
    <cfRule type="cellIs" dxfId="87" priority="16" operator="lessThan">
      <formula>0</formula>
    </cfRule>
  </conditionalFormatting>
  <conditionalFormatting sqref="O15">
    <cfRule type="cellIs" dxfId="86" priority="15" operator="lessThan">
      <formula>0</formula>
    </cfRule>
  </conditionalFormatting>
  <conditionalFormatting sqref="M15">
    <cfRule type="cellIs" dxfId="85" priority="14" operator="lessThan">
      <formula>0</formula>
    </cfRule>
  </conditionalFormatting>
  <conditionalFormatting sqref="M15">
    <cfRule type="cellIs" dxfId="84" priority="13" operator="lessThan">
      <formula>0</formula>
    </cfRule>
  </conditionalFormatting>
  <conditionalFormatting sqref="I15">
    <cfRule type="cellIs" dxfId="83" priority="12" operator="lessThan">
      <formula>0</formula>
    </cfRule>
  </conditionalFormatting>
  <conditionalFormatting sqref="J3">
    <cfRule type="cellIs" dxfId="82" priority="11" operator="lessThan">
      <formula>0</formula>
    </cfRule>
  </conditionalFormatting>
  <conditionalFormatting sqref="N3">
    <cfRule type="cellIs" dxfId="81" priority="10" operator="lessThan">
      <formula>0</formula>
    </cfRule>
  </conditionalFormatting>
  <conditionalFormatting sqref="P3">
    <cfRule type="cellIs" dxfId="80" priority="9" operator="lessThan">
      <formula>0</formula>
    </cfRule>
  </conditionalFormatting>
  <conditionalFormatting sqref="L3">
    <cfRule type="cellIs" dxfId="79" priority="8" operator="lessThan">
      <formula>0</formula>
    </cfRule>
  </conditionalFormatting>
  <conditionalFormatting sqref="K3">
    <cfRule type="cellIs" dxfId="78" priority="7" operator="lessThan">
      <formula>0</formula>
    </cfRule>
  </conditionalFormatting>
  <conditionalFormatting sqref="O3">
    <cfRule type="cellIs" dxfId="77" priority="6" operator="lessThan">
      <formula>0</formula>
    </cfRule>
  </conditionalFormatting>
  <conditionalFormatting sqref="M3">
    <cfRule type="cellIs" dxfId="76" priority="5" operator="lessThan">
      <formula>0</formula>
    </cfRule>
  </conditionalFormatting>
  <conditionalFormatting sqref="M3">
    <cfRule type="cellIs" dxfId="75" priority="4" operator="lessThan">
      <formula>0</formula>
    </cfRule>
  </conditionalFormatting>
  <conditionalFormatting sqref="I3">
    <cfRule type="cellIs" dxfId="74" priority="3" operator="lessThan">
      <formula>0</formula>
    </cfRule>
  </conditionalFormatting>
  <conditionalFormatting sqref="BM3:BM34">
    <cfRule type="cellIs" dxfId="73" priority="2" operator="lessThan">
      <formula>0</formula>
    </cfRule>
  </conditionalFormatting>
  <conditionalFormatting sqref="BO3:BO34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17">
        <f>'[1]Sep 2019'!R3</f>
        <v>2054945</v>
      </c>
    </row>
    <row r="4" spans="14:14" ht="13.5" thickBot="1" x14ac:dyDescent="0.25">
      <c r="N4" s="17">
        <f>'[1]Sep 2019'!R4</f>
        <v>2055440</v>
      </c>
    </row>
    <row r="5" spans="14:14" ht="13.5" thickBot="1" x14ac:dyDescent="0.25">
      <c r="N5" s="17">
        <f>'[1]Sep 2019'!R5</f>
        <v>2056149</v>
      </c>
    </row>
    <row r="6" spans="14:14" ht="13.5" thickBot="1" x14ac:dyDescent="0.25">
      <c r="N6" s="17">
        <f>'[1]Sep 2019'!R6</f>
        <v>2056651</v>
      </c>
    </row>
    <row r="7" spans="14:14" ht="13.5" thickBot="1" x14ac:dyDescent="0.25">
      <c r="N7" s="17">
        <f>'[1]Sep 2019'!R7</f>
        <v>2057174</v>
      </c>
    </row>
    <row r="8" spans="14:14" ht="13.5" thickBot="1" x14ac:dyDescent="0.25">
      <c r="N8" s="17">
        <f>'[1]Sep 2019'!R8</f>
        <v>2057715</v>
      </c>
    </row>
    <row r="9" spans="14:14" ht="13.5" thickBot="1" x14ac:dyDescent="0.25">
      <c r="N9" s="17">
        <f>'[1]Sep 2019'!R9</f>
        <v>2058246</v>
      </c>
    </row>
    <row r="10" spans="14:14" ht="13.5" thickBot="1" x14ac:dyDescent="0.25">
      <c r="N10" s="17">
        <f>'[1]Sep 2019'!R10</f>
        <v>2058780</v>
      </c>
    </row>
    <row r="11" spans="14:14" ht="13.5" thickBot="1" x14ac:dyDescent="0.25">
      <c r="N11" s="17">
        <f>'[1]Sep 2019'!R11</f>
        <v>2059332</v>
      </c>
    </row>
    <row r="12" spans="14:14" ht="13.5" thickBot="1" x14ac:dyDescent="0.25">
      <c r="N12" s="17">
        <f>'[1]Sep 2019'!R12</f>
        <v>2059908</v>
      </c>
    </row>
    <row r="13" spans="14:14" ht="13.5" thickBot="1" x14ac:dyDescent="0.25">
      <c r="N13" s="17">
        <f>'[1]Sep 2019'!R13</f>
        <v>2060432</v>
      </c>
    </row>
    <row r="14" spans="14:14" ht="13.5" thickBot="1" x14ac:dyDescent="0.25">
      <c r="N14" s="17">
        <f>'[1]Sep 2019'!R14</f>
        <v>2061086</v>
      </c>
    </row>
    <row r="15" spans="14:14" ht="13.5" thickBot="1" x14ac:dyDescent="0.25">
      <c r="N15" s="17">
        <f>'[1]Sep 2019'!R15</f>
        <v>2061615</v>
      </c>
    </row>
    <row r="16" spans="14:14" ht="13.5" thickBot="1" x14ac:dyDescent="0.25">
      <c r="N16" s="17">
        <f>'[1]Sep 2019'!R16</f>
        <v>2062113</v>
      </c>
    </row>
    <row r="17" spans="2:125" ht="13.5" thickBot="1" x14ac:dyDescent="0.25">
      <c r="N17" s="17">
        <f>'[1]Sep 2019'!R17</f>
        <v>2062731</v>
      </c>
    </row>
    <row r="18" spans="2:125" ht="13.5" thickBot="1" x14ac:dyDescent="0.25">
      <c r="N18" s="17">
        <f>'[1]Sep 2019'!R18</f>
        <v>2063291</v>
      </c>
      <c r="S18">
        <f>'[1]Sep 2019'!W18</f>
        <v>7</v>
      </c>
      <c r="DU18" s="18">
        <f>'[1]Sep 2019'!EA18</f>
        <v>0.67</v>
      </c>
    </row>
    <row r="19" spans="2:125" ht="13.5" thickBot="1" x14ac:dyDescent="0.25">
      <c r="N19" s="17">
        <f>'[1]Sep 2019'!R19</f>
        <v>2063914</v>
      </c>
      <c r="S19">
        <f>'[1]Sep 2019'!W19</f>
        <v>7</v>
      </c>
      <c r="DU19" s="18">
        <f>'[1]Sep 2019'!EA19</f>
        <v>0.63</v>
      </c>
    </row>
    <row r="20" spans="2:125" ht="13.5" thickBot="1" x14ac:dyDescent="0.25">
      <c r="N20" s="17">
        <f>'[1]Sep 2019'!R20</f>
        <v>2064501</v>
      </c>
      <c r="S20">
        <f>'[1]Sep 2019'!W20</f>
        <v>8</v>
      </c>
      <c r="DU20" s="18">
        <f>'[1]Sep 2019'!EA20</f>
        <v>0.69</v>
      </c>
    </row>
    <row r="21" spans="2:125" ht="13.5" thickBot="1" x14ac:dyDescent="0.25">
      <c r="N21" s="17">
        <f>'[1]Sep 2019'!R21</f>
        <v>2065035</v>
      </c>
      <c r="P21">
        <f>'[1]Sep 2019'!T21</f>
        <v>426545</v>
      </c>
      <c r="S21">
        <f>'[1]Sep 2019'!W21</f>
        <v>8</v>
      </c>
      <c r="DU21" s="18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17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18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17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18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17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18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17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18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17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18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17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18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17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18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17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18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17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18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17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18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17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18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17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18">
        <f>'[1]Sep 2019'!EA33</f>
        <v>0.76</v>
      </c>
    </row>
    <row r="34" spans="2:125" ht="13.5" thickBot="1" x14ac:dyDescent="0.25">
      <c r="B34" s="15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17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18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Preet Sanmukhiya</cp:lastModifiedBy>
  <cp:revision/>
  <dcterms:created xsi:type="dcterms:W3CDTF">2016-09-19T10:41:46Z</dcterms:created>
  <dcterms:modified xsi:type="dcterms:W3CDTF">2023-01-02T08:19:39Z</dcterms:modified>
  <cp:category/>
  <cp:contentStatus/>
</cp:coreProperties>
</file>