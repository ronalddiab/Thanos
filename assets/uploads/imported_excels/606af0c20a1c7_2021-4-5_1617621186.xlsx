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<sst xmlns="http://schemas.openxmlformats.org/spreadsheetml/2006/main" count="544" uniqueCount="330">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</sst>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489472"/>
        <c:axId val="1224953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496896"/>
        <c:axId val="122498432"/>
      </c:lineChart>
      <c:catAx>
        <c:axId val="12248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95360"/>
        <c:crosses val="autoZero"/>
        <c:auto val="1"/>
        <c:lblAlgn val="ctr"/>
        <c:lblOffset val="100"/>
      </c:catAx>
      <c:valAx>
        <c:axId val="1224953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89472"/>
        <c:crosses val="autoZero"/>
        <c:crossBetween val="between"/>
        <c:majorUnit val="200"/>
      </c:valAx>
      <c:catAx>
        <c:axId val="122496896"/>
        <c:scaling>
          <c:orientation val="minMax"/>
        </c:scaling>
        <c:delete val="1"/>
        <c:axPos val="b"/>
        <c:tickLblPos val="none"/>
        <c:crossAx val="122498432"/>
        <c:crosses val="autoZero"/>
        <c:auto val="1"/>
        <c:lblAlgn val="ctr"/>
        <c:lblOffset val="100"/>
      </c:catAx>
      <c:valAx>
        <c:axId val="122498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96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544896"/>
        <c:axId val="1225464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548224"/>
        <c:axId val="122549760"/>
      </c:lineChart>
      <c:catAx>
        <c:axId val="1225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46432"/>
        <c:crosses val="autoZero"/>
        <c:auto val="1"/>
        <c:lblAlgn val="ctr"/>
        <c:lblOffset val="100"/>
      </c:catAx>
      <c:valAx>
        <c:axId val="12254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44896"/>
        <c:crosses val="autoZero"/>
        <c:crossBetween val="between"/>
        <c:majorUnit val="200"/>
      </c:valAx>
      <c:catAx>
        <c:axId val="122548224"/>
        <c:scaling>
          <c:orientation val="minMax"/>
        </c:scaling>
        <c:delete val="1"/>
        <c:axPos val="b"/>
        <c:tickLblPos val="none"/>
        <c:crossAx val="122549760"/>
        <c:crosses val="autoZero"/>
        <c:auto val="1"/>
        <c:lblAlgn val="ctr"/>
        <c:lblOffset val="100"/>
      </c:catAx>
      <c:valAx>
        <c:axId val="122549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48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4950400"/>
        <c:axId val="124951936"/>
      </c:lineChart>
      <c:catAx>
        <c:axId val="1249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1936"/>
        <c:crosses val="autoZero"/>
        <c:auto val="1"/>
        <c:lblAlgn val="ctr"/>
        <c:lblOffset val="200"/>
        <c:tickLblSkip val="1"/>
      </c:catAx>
      <c:valAx>
        <c:axId val="124951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976512"/>
        <c:axId val="124413056"/>
      </c:lineChart>
      <c:catAx>
        <c:axId val="12497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3056"/>
        <c:crosses val="autoZero"/>
        <c:auto val="1"/>
        <c:lblAlgn val="ctr"/>
        <c:lblOffset val="100"/>
      </c:catAx>
      <c:valAx>
        <c:axId val="1244130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6813312"/>
        <c:axId val="126815232"/>
      </c:lineChart>
      <c:catAx>
        <c:axId val="126813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15232"/>
        <c:crosses val="autoZero"/>
        <c:auto val="1"/>
        <c:lblAlgn val="ctr"/>
        <c:lblOffset val="100"/>
      </c:catAx>
      <c:valAx>
        <c:axId val="126815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13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6860672"/>
        <c:axId val="126871040"/>
      </c:lineChart>
      <c:catAx>
        <c:axId val="12686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1040"/>
        <c:crosses val="autoZero"/>
        <c:auto val="1"/>
        <c:lblAlgn val="ctr"/>
        <c:lblOffset val="100"/>
      </c:catAx>
      <c:valAx>
        <c:axId val="126871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60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-333827.29600000003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1996288"/>
        <c:axId val="151997824"/>
      </c:lineChart>
      <c:catAx>
        <c:axId val="15199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7824"/>
        <c:crosses val="autoZero"/>
        <c:auto val="1"/>
        <c:lblAlgn val="ctr"/>
        <c:lblOffset val="100"/>
      </c:catAx>
      <c:valAx>
        <c:axId val="151997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2039808"/>
        <c:axId val="152041344"/>
      </c:lineChart>
      <c:catAx>
        <c:axId val="1520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41344"/>
        <c:crosses val="autoZero"/>
        <c:auto val="1"/>
        <c:lblAlgn val="ctr"/>
        <c:lblOffset val="100"/>
      </c:catAx>
      <c:valAx>
        <c:axId val="15204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1761792"/>
        <c:axId val="81763328"/>
      </c:lineChart>
      <c:catAx>
        <c:axId val="817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63328"/>
        <c:crosses val="autoZero"/>
        <c:auto val="1"/>
        <c:lblAlgn val="ctr"/>
        <c:lblOffset val="100"/>
      </c:catAx>
      <c:valAx>
        <c:axId val="817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657"/>
          <c:y val="7.4713247051120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24783616"/>
        <c:axId val="126489344"/>
      </c:lineChart>
      <c:catAx>
        <c:axId val="1247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89344"/>
        <c:crosses val="autoZero"/>
        <c:auto val="1"/>
        <c:lblAlgn val="ctr"/>
        <c:lblOffset val="200"/>
        <c:tickLblSkip val="1"/>
      </c:catAx>
      <c:valAx>
        <c:axId val="126489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2334848"/>
        <c:axId val="82336384"/>
      </c:lineChart>
      <c:catAx>
        <c:axId val="8233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36384"/>
        <c:crosses val="autoZero"/>
        <c:auto val="1"/>
        <c:lblAlgn val="ctr"/>
        <c:lblOffset val="100"/>
      </c:catAx>
      <c:valAx>
        <c:axId val="8233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3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2356864"/>
        <c:axId val="82924288"/>
      </c:lineChart>
      <c:catAx>
        <c:axId val="82356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24288"/>
        <c:crosses val="autoZero"/>
        <c:auto val="1"/>
        <c:lblAlgn val="ctr"/>
        <c:lblOffset val="100"/>
      </c:catAx>
      <c:valAx>
        <c:axId val="82924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6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108992"/>
        <c:axId val="83110912"/>
      </c:lineChart>
      <c:catAx>
        <c:axId val="8310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0912"/>
        <c:crosses val="autoZero"/>
        <c:auto val="1"/>
        <c:lblAlgn val="ctr"/>
        <c:lblOffset val="100"/>
      </c:catAx>
      <c:valAx>
        <c:axId val="8311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8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3152256"/>
        <c:axId val="83158144"/>
      </c:lineChart>
      <c:catAx>
        <c:axId val="8315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8144"/>
        <c:crosses val="autoZero"/>
        <c:auto val="1"/>
        <c:lblAlgn val="ctr"/>
        <c:lblOffset val="100"/>
      </c:catAx>
      <c:valAx>
        <c:axId val="8315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2663296"/>
        <c:axId val="82664832"/>
      </c:lineChart>
      <c:catAx>
        <c:axId val="8266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4832"/>
        <c:crosses val="autoZero"/>
        <c:auto val="1"/>
        <c:lblAlgn val="ctr"/>
        <c:lblOffset val="100"/>
      </c:catAx>
      <c:valAx>
        <c:axId val="8266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2697216"/>
        <c:axId val="83428096"/>
      </c:lineChart>
      <c:catAx>
        <c:axId val="8269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8096"/>
        <c:crosses val="autoZero"/>
        <c:auto val="1"/>
        <c:lblAlgn val="ctr"/>
        <c:lblOffset val="100"/>
      </c:catAx>
      <c:valAx>
        <c:axId val="8342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9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035"/>
          <c:y val="7.47132470511208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3822464"/>
        <c:axId val="838240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829888"/>
        <c:axId val="83831424"/>
      </c:lineChart>
      <c:catAx>
        <c:axId val="83822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4000"/>
        <c:crosses val="autoZero"/>
        <c:lblAlgn val="ctr"/>
        <c:lblOffset val="100"/>
        <c:tickMarkSkip val="1"/>
      </c:catAx>
      <c:valAx>
        <c:axId val="83824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2464"/>
        <c:crosses val="autoZero"/>
        <c:crossBetween val="between"/>
      </c:valAx>
      <c:catAx>
        <c:axId val="83829888"/>
        <c:scaling>
          <c:orientation val="minMax"/>
        </c:scaling>
        <c:delete val="1"/>
        <c:axPos val="b"/>
        <c:numFmt formatCode="[$-409]d\-mmm\-yy;@" sourceLinked="1"/>
        <c:tickLblPos val="none"/>
        <c:crossAx val="83831424"/>
        <c:crosses val="autoZero"/>
        <c:lblAlgn val="ctr"/>
        <c:lblOffset val="100"/>
      </c:catAx>
      <c:valAx>
        <c:axId val="8383142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9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3872384"/>
        <c:axId val="84091264"/>
      </c:lineChart>
      <c:catAx>
        <c:axId val="8387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1264"/>
        <c:crosses val="autoZero"/>
        <c:auto val="1"/>
        <c:lblAlgn val="ctr"/>
        <c:lblOffset val="100"/>
      </c:catAx>
      <c:valAx>
        <c:axId val="840912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4119936"/>
        <c:axId val="84121472"/>
      </c:lineChart>
      <c:catAx>
        <c:axId val="841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1472"/>
        <c:crosses val="autoZero"/>
        <c:auto val="1"/>
        <c:lblAlgn val="ctr"/>
        <c:lblOffset val="100"/>
      </c:catAx>
      <c:valAx>
        <c:axId val="841214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258048"/>
        <c:axId val="862595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261120"/>
        <c:axId val="86287488"/>
      </c:lineChart>
      <c:catAx>
        <c:axId val="86258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9584"/>
        <c:crosses val="autoZero"/>
        <c:lblAlgn val="ctr"/>
        <c:lblOffset val="100"/>
        <c:tickMarkSkip val="1"/>
      </c:catAx>
      <c:valAx>
        <c:axId val="8625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8048"/>
        <c:crosses val="autoZero"/>
        <c:crossBetween val="between"/>
      </c:valAx>
      <c:catAx>
        <c:axId val="86261120"/>
        <c:scaling>
          <c:orientation val="minMax"/>
        </c:scaling>
        <c:delete val="1"/>
        <c:axPos val="b"/>
        <c:numFmt formatCode="General" sourceLinked="1"/>
        <c:tickLblPos val="none"/>
        <c:crossAx val="86287488"/>
        <c:crosses val="autoZero"/>
        <c:lblAlgn val="ctr"/>
        <c:lblOffset val="100"/>
      </c:catAx>
      <c:valAx>
        <c:axId val="862874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1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6455040"/>
        <c:axId val="86456576"/>
      </c:lineChart>
      <c:catAx>
        <c:axId val="8645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6576"/>
        <c:crosses val="autoZero"/>
        <c:auto val="1"/>
        <c:lblAlgn val="ctr"/>
        <c:lblOffset val="100"/>
      </c:catAx>
      <c:valAx>
        <c:axId val="8645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485248"/>
        <c:axId val="86499328"/>
      </c:lineChart>
      <c:catAx>
        <c:axId val="864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9328"/>
        <c:crosses val="autoZero"/>
        <c:auto val="1"/>
        <c:lblAlgn val="ctr"/>
        <c:lblOffset val="100"/>
      </c:catAx>
      <c:valAx>
        <c:axId val="8649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869888"/>
        <c:axId val="86871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885504"/>
        <c:axId val="86887040"/>
      </c:lineChart>
      <c:catAx>
        <c:axId val="86869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71424"/>
        <c:crosses val="autoZero"/>
        <c:lblAlgn val="ctr"/>
        <c:lblOffset val="100"/>
        <c:tickMarkSkip val="1"/>
      </c:catAx>
      <c:valAx>
        <c:axId val="86871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9888"/>
        <c:crosses val="autoZero"/>
        <c:crossBetween val="between"/>
      </c:valAx>
      <c:catAx>
        <c:axId val="86885504"/>
        <c:scaling>
          <c:orientation val="minMax"/>
        </c:scaling>
        <c:delete val="1"/>
        <c:axPos val="b"/>
        <c:numFmt formatCode="[$-409]d\-mmm\-yy;@" sourceLinked="1"/>
        <c:tickLblPos val="none"/>
        <c:crossAx val="86887040"/>
        <c:crosses val="autoZero"/>
        <c:lblAlgn val="ctr"/>
        <c:lblOffset val="100"/>
      </c:catAx>
      <c:valAx>
        <c:axId val="86887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85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048000"/>
        <c:axId val="880495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8051072"/>
        <c:axId val="88069248"/>
      </c:lineChart>
      <c:catAx>
        <c:axId val="880480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49536"/>
        <c:crosses val="autoZero"/>
        <c:lblAlgn val="ctr"/>
        <c:lblOffset val="100"/>
        <c:tickMarkSkip val="1"/>
      </c:catAx>
      <c:valAx>
        <c:axId val="8804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48000"/>
        <c:crosses val="autoZero"/>
        <c:crossBetween val="between"/>
      </c:valAx>
      <c:catAx>
        <c:axId val="88051072"/>
        <c:scaling>
          <c:orientation val="minMax"/>
        </c:scaling>
        <c:delete val="1"/>
        <c:axPos val="b"/>
        <c:numFmt formatCode="General" sourceLinked="1"/>
        <c:tickLblPos val="none"/>
        <c:crossAx val="88069248"/>
        <c:crosses val="autoZero"/>
        <c:lblAlgn val="ctr"/>
        <c:lblOffset val="100"/>
      </c:catAx>
      <c:valAx>
        <c:axId val="88069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51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333696"/>
        <c:axId val="883354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337024"/>
        <c:axId val="88347008"/>
      </c:lineChart>
      <c:catAx>
        <c:axId val="883336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5488"/>
        <c:crosses val="autoZero"/>
        <c:lblAlgn val="ctr"/>
        <c:lblOffset val="100"/>
        <c:tickMarkSkip val="1"/>
      </c:catAx>
      <c:valAx>
        <c:axId val="88335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3696"/>
        <c:crosses val="autoZero"/>
        <c:crossBetween val="between"/>
      </c:valAx>
      <c:catAx>
        <c:axId val="88337024"/>
        <c:scaling>
          <c:orientation val="minMax"/>
        </c:scaling>
        <c:delete val="1"/>
        <c:axPos val="b"/>
        <c:numFmt formatCode="[$-409]d\-mmm\-yy;@" sourceLinked="1"/>
        <c:tickLblPos val="none"/>
        <c:crossAx val="88347008"/>
        <c:crosses val="autoZero"/>
        <c:lblAlgn val="ctr"/>
        <c:lblOffset val="100"/>
      </c:catAx>
      <c:valAx>
        <c:axId val="883470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7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8393600"/>
        <c:axId val="883951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8396928"/>
        <c:axId val="88398464"/>
      </c:lineChart>
      <c:catAx>
        <c:axId val="883936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5136"/>
        <c:crosses val="autoZero"/>
        <c:lblAlgn val="ctr"/>
        <c:lblOffset val="100"/>
        <c:tickMarkSkip val="1"/>
      </c:catAx>
      <c:valAx>
        <c:axId val="8839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3600"/>
        <c:crosses val="autoZero"/>
        <c:crossBetween val="between"/>
      </c:valAx>
      <c:catAx>
        <c:axId val="88396928"/>
        <c:scaling>
          <c:orientation val="minMax"/>
        </c:scaling>
        <c:delete val="1"/>
        <c:axPos val="b"/>
        <c:numFmt formatCode="General" sourceLinked="1"/>
        <c:tickLblPos val="none"/>
        <c:crossAx val="88398464"/>
        <c:crosses val="autoZero"/>
        <c:lblAlgn val="ctr"/>
        <c:lblOffset val="100"/>
      </c:catAx>
      <c:valAx>
        <c:axId val="88398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6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9684992"/>
        <c:axId val="89703552"/>
      </c:lineChart>
      <c:catAx>
        <c:axId val="8968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03552"/>
        <c:crosses val="autoZero"/>
        <c:auto val="1"/>
        <c:lblAlgn val="ctr"/>
        <c:lblOffset val="100"/>
      </c:catAx>
      <c:valAx>
        <c:axId val="89703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84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9851392"/>
        <c:axId val="89853312"/>
      </c:lineChart>
      <c:catAx>
        <c:axId val="8985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3312"/>
        <c:crosses val="autoZero"/>
        <c:auto val="1"/>
        <c:lblAlgn val="ctr"/>
        <c:lblOffset val="100"/>
      </c:catAx>
      <c:valAx>
        <c:axId val="89853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1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9911296"/>
        <c:axId val="89912832"/>
      </c:lineChart>
      <c:catAx>
        <c:axId val="899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2832"/>
        <c:crosses val="autoZero"/>
        <c:auto val="1"/>
        <c:lblAlgn val="ctr"/>
        <c:lblOffset val="200"/>
        <c:tickLblSkip val="1"/>
      </c:catAx>
      <c:valAx>
        <c:axId val="899128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724992"/>
        <c:axId val="152726528"/>
      </c:lineChart>
      <c:catAx>
        <c:axId val="15272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6528"/>
        <c:crosses val="autoZero"/>
        <c:auto val="1"/>
        <c:lblAlgn val="ctr"/>
        <c:lblOffset val="100"/>
      </c:catAx>
      <c:valAx>
        <c:axId val="152726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-333827.29600000003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2755200"/>
        <c:axId val="153297664"/>
      </c:lineChart>
      <c:catAx>
        <c:axId val="15275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7664"/>
        <c:crosses val="autoZero"/>
        <c:auto val="1"/>
        <c:lblAlgn val="ctr"/>
        <c:lblOffset val="100"/>
      </c:catAx>
      <c:valAx>
        <c:axId val="15329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748224"/>
        <c:axId val="153750144"/>
      </c:lineChart>
      <c:catAx>
        <c:axId val="153748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50144"/>
        <c:crosses val="autoZero"/>
        <c:auto val="1"/>
        <c:lblAlgn val="ctr"/>
        <c:lblOffset val="100"/>
      </c:catAx>
      <c:valAx>
        <c:axId val="153750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48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775104"/>
        <c:axId val="154080384"/>
      </c:lineChart>
      <c:catAx>
        <c:axId val="153775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80384"/>
        <c:crosses val="autoZero"/>
        <c:auto val="1"/>
        <c:lblAlgn val="ctr"/>
        <c:lblOffset val="100"/>
      </c:catAx>
      <c:valAx>
        <c:axId val="154080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75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093056"/>
        <c:axId val="154094592"/>
      </c:lineChart>
      <c:catAx>
        <c:axId val="154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4592"/>
        <c:crosses val="autoZero"/>
        <c:auto val="1"/>
        <c:lblAlgn val="ctr"/>
        <c:lblOffset val="200"/>
        <c:tickLblSkip val="1"/>
      </c:catAx>
      <c:valAx>
        <c:axId val="15409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4127360"/>
        <c:axId val="154133248"/>
      </c:lineChart>
      <c:catAx>
        <c:axId val="1541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3248"/>
        <c:crosses val="autoZero"/>
        <c:auto val="1"/>
        <c:lblAlgn val="ctr"/>
        <c:lblOffset val="100"/>
      </c:catAx>
      <c:valAx>
        <c:axId val="154133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-333827.29600000003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5030272"/>
        <c:axId val="155031808"/>
      </c:lineChart>
      <c:catAx>
        <c:axId val="15503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1808"/>
        <c:crosses val="autoZero"/>
        <c:auto val="1"/>
        <c:lblAlgn val="ctr"/>
        <c:lblOffset val="100"/>
      </c:catAx>
      <c:valAx>
        <c:axId val="155031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465984"/>
        <c:axId val="155492736"/>
      </c:lineChart>
      <c:catAx>
        <c:axId val="15546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2736"/>
        <c:crosses val="autoZero"/>
        <c:auto val="1"/>
        <c:lblAlgn val="ctr"/>
        <c:lblOffset val="100"/>
      </c:catAx>
      <c:valAx>
        <c:axId val="155492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5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652864"/>
        <c:axId val="155654784"/>
      </c:lineChart>
      <c:catAx>
        <c:axId val="155652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4784"/>
        <c:crosses val="autoZero"/>
        <c:auto val="1"/>
        <c:lblAlgn val="ctr"/>
        <c:lblOffset val="100"/>
      </c:catAx>
      <c:valAx>
        <c:axId val="155654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2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5683840"/>
        <c:axId val="155693824"/>
      </c:lineChart>
      <c:catAx>
        <c:axId val="15568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93824"/>
        <c:crosses val="autoZero"/>
        <c:auto val="1"/>
        <c:lblAlgn val="ctr"/>
        <c:lblOffset val="200"/>
        <c:tickLblSkip val="1"/>
      </c:catAx>
      <c:valAx>
        <c:axId val="155693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8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6046080"/>
        <c:axId val="156047616"/>
      </c:lineChart>
      <c:catAx>
        <c:axId val="1560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7616"/>
        <c:crosses val="autoZero"/>
        <c:auto val="1"/>
        <c:lblAlgn val="ctr"/>
        <c:lblOffset val="100"/>
      </c:catAx>
      <c:valAx>
        <c:axId val="15604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6076288"/>
        <c:axId val="156102656"/>
      </c:lineChart>
      <c:catAx>
        <c:axId val="15607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2656"/>
        <c:crosses val="autoZero"/>
        <c:auto val="1"/>
        <c:lblAlgn val="ctr"/>
        <c:lblOffset val="100"/>
      </c:catAx>
      <c:valAx>
        <c:axId val="15610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6409856"/>
        <c:axId val="156411776"/>
      </c:lineChart>
      <c:catAx>
        <c:axId val="156409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11776"/>
        <c:crosses val="autoZero"/>
        <c:auto val="1"/>
        <c:lblAlgn val="ctr"/>
        <c:lblOffset val="100"/>
      </c:catAx>
      <c:valAx>
        <c:axId val="156411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98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596480"/>
        <c:axId val="156610944"/>
      </c:lineChart>
      <c:catAx>
        <c:axId val="15659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10944"/>
        <c:crosses val="autoZero"/>
        <c:auto val="1"/>
        <c:lblAlgn val="ctr"/>
        <c:lblOffset val="100"/>
      </c:catAx>
      <c:valAx>
        <c:axId val="156610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766976"/>
        <c:axId val="156768512"/>
      </c:lineChart>
      <c:catAx>
        <c:axId val="1567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8512"/>
        <c:crosses val="autoZero"/>
        <c:auto val="1"/>
        <c:lblAlgn val="ctr"/>
        <c:lblOffset val="200"/>
        <c:tickLblSkip val="1"/>
      </c:catAx>
      <c:valAx>
        <c:axId val="156768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793088"/>
        <c:axId val="156803072"/>
      </c:lineChart>
      <c:catAx>
        <c:axId val="1567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3072"/>
        <c:crosses val="autoZero"/>
        <c:auto val="1"/>
        <c:lblAlgn val="ctr"/>
        <c:lblOffset val="100"/>
      </c:catAx>
      <c:valAx>
        <c:axId val="156803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7097984"/>
        <c:axId val="157099520"/>
      </c:lineChart>
      <c:catAx>
        <c:axId val="1570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9520"/>
        <c:crosses val="autoZero"/>
        <c:auto val="1"/>
        <c:lblAlgn val="ctr"/>
        <c:lblOffset val="100"/>
      </c:catAx>
      <c:valAx>
        <c:axId val="15709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88.527999999979514</v>
      </c>
      <c r="H6" s="423">
        <v>0</v>
      </c>
      <c r="I6" s="418" t="str">
        <f>IF('UTILITY REPORT 1'!G7&lt;0,"0",'UTILITY REPORT 1'!G7)</f>
        <v>0</v>
      </c>
      <c r="J6" s="423">
        <v>0</v>
      </c>
      <c r="K6" s="417">
        <f>'UTILITY REPORT 1'!C7</f>
        <v>7.79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 t="str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5.19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11.69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12.99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15.58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15.58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11.69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12.99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 t="str">
        <f>IF('Kit report'!F8&lt;0,"0",'Kit report'!F8)</f>
        <v>0</v>
      </c>
      <c r="I6" s="456" t="str">
        <f>IF('Kit report'!X8&lt;0,"0",'Kit report'!X8)</f>
        <v>0</v>
      </c>
      <c r="J6" s="456" t="str">
        <f>IF('Utility summery'!H10&lt;0,"0",'Utility summery'!H10)</f>
        <v>0</v>
      </c>
      <c r="K6" s="457" t="str">
        <f>IF('UTILITY REPORT 1'!H7&lt;0,"0",'UTILITY REPORT 1'!H7)</f>
        <v>0</v>
      </c>
      <c r="L6" s="456">
        <f>'Water-Meter'!K10</f>
        <v>-8369</v>
      </c>
      <c r="M6" s="457" t="str">
        <f>'Water-Meter'!H10</f>
        <v>0</v>
      </c>
      <c r="N6" s="457" t="str">
        <f>'Water-Meter'!Q10</f>
        <v>0</v>
      </c>
      <c r="O6" s="456" t="e">
        <f>K6*E6+H6*I6+#REF!*#REF!+J6*L6</f>
        <v>#REF!</v>
      </c>
      <c r="P6" s="462" t="str">
        <f>'Water-Meter'!E10</f>
        <v>0</v>
      </c>
      <c r="Q6" s="242" t="str">
        <f>IF('Water-Meter'!U10&lt;0,"0",'Water-Meter'!U10)</f>
        <v>0</v>
      </c>
      <c r="R6" s="242" t="str">
        <f>IF('Water-Meter'!X10&lt;0,"0",'Water-Meter'!X10)</f>
        <v>0</v>
      </c>
      <c r="S6" s="242" t="str">
        <f>IF('Water-Meter'!AA10&lt;0,"0",'Water-Meter'!AA10)</f>
        <v>0</v>
      </c>
      <c r="T6" s="242" t="str">
        <f>IF('Water-Meter'!AD10&lt;0,"0",'Water-Meter'!AD10)</f>
        <v>0</v>
      </c>
      <c r="U6" s="242" t="str">
        <f>IF('Water-Meter'!AG10&lt;0,"0",'Water-Meter'!AG10)</f>
        <v>0</v>
      </c>
      <c r="V6" s="242" t="str">
        <f>IF('Water-Meter'!AJ10&lt;0,"0",'Water-Meter'!AJ10)</f>
        <v>0</v>
      </c>
      <c r="W6" s="30">
        <f>'Water-Meter'!AN10</f>
        <v>0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0.14299999999999999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0.23400000000000001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</v>
      </c>
      <c r="C7" s="405">
        <f>'Summery Report'!E9</f>
        <v>7.79</v>
      </c>
      <c r="D7" s="406">
        <v>1</v>
      </c>
      <c r="E7" s="405">
        <f>Gen!S15</f>
        <v>0</v>
      </c>
      <c r="F7" s="405">
        <f>Gen!T15</f>
        <v>0</v>
      </c>
      <c r="G7" s="405" t="str">
        <f>'Water-Meter'!E10</f>
        <v>0</v>
      </c>
      <c r="H7" s="405">
        <f>'Utility report '!AC10</f>
        <v>-48777</v>
      </c>
      <c r="I7" s="405">
        <f>Gen!AJ15</f>
        <v>0</v>
      </c>
    </row>
    <row r="8" spans="1:9" ht="13.5">
      <c r="A8" s="402">
        <f>Gen!A16</f>
        <v>44292</v>
      </c>
      <c r="B8" s="404">
        <f>Gen!B16</f>
        <v>0</v>
      </c>
      <c r="C8" s="405">
        <f>'Summery Report'!E10</f>
        <v>5.19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44293</v>
      </c>
      <c r="B9" s="404">
        <f>Gen!B17</f>
        <v>0</v>
      </c>
      <c r="C9" s="405">
        <f>'Summery Report'!E11</f>
        <v>11.69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44294</v>
      </c>
      <c r="B10" s="404">
        <f>Gen!B18</f>
        <v>0</v>
      </c>
      <c r="C10" s="405">
        <f>'Summery Report'!E12</f>
        <v>12.99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44295</v>
      </c>
      <c r="B11" s="404">
        <f>Gen!B19</f>
        <v>0</v>
      </c>
      <c r="C11" s="405">
        <f>'Summery Report'!E13</f>
        <v>15.58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-48777</v>
      </c>
      <c r="H10" s="153">
        <f>'Utility report '!AE10</f>
        <v>-214314</v>
      </c>
      <c r="I10" s="296" t="str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0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-333827.29600000003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0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0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0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0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0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0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0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10061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354</v>
      </c>
      <c r="J39" s="453">
        <f t="shared" si="3"/>
        <v>0</v>
      </c>
      <c r="K39" s="453">
        <f t="shared" si="3"/>
        <v>13</v>
      </c>
      <c r="L39" s="453">
        <f t="shared" si="3"/>
        <v>335</v>
      </c>
      <c r="M39" s="453">
        <f t="shared" si="3"/>
        <v>-333476.88</v>
      </c>
      <c r="N39" s="453">
        <f t="shared" si="3"/>
        <v>14085.399999999998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T11" sqref="T1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0.14299999999999999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0.23400000000000001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0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 t="shared" si="9"/>
        <v>43.2</v>
      </c>
      <c r="AA9" s="712">
        <f t="shared" si="10"/>
        <v>0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0</v>
      </c>
      <c r="G10" s="438">
        <f t="shared" si="0"/>
        <v>0</v>
      </c>
      <c r="H10" s="720">
        <f>Gen!C15</f>
        <v>28581.490000000005</v>
      </c>
      <c r="I10" s="720">
        <f>Gen!E15</f>
        <v>0</v>
      </c>
      <c r="J10" s="759">
        <f>Gen!T15</f>
        <v>0</v>
      </c>
      <c r="K10" s="764">
        <f>Gen!AK15</f>
        <v>0</v>
      </c>
      <c r="L10" s="755">
        <f t="shared" si="1"/>
        <v>0</v>
      </c>
      <c r="M10" s="448">
        <f>'Water-Meter'!K50</f>
        <v>422.68192012456143</v>
      </c>
      <c r="N10" s="715" t="str">
        <f>'Water-Meter'!E10</f>
        <v>0</v>
      </c>
      <c r="O10" s="706"/>
      <c r="P10" s="713"/>
      <c r="Q10" s="725">
        <f t="shared" si="2"/>
        <v>-19032</v>
      </c>
      <c r="R10" s="426">
        <f t="shared" si="5"/>
        <v>0</v>
      </c>
      <c r="S10" s="701"/>
      <c r="T10" s="702"/>
      <c r="U10" s="725">
        <f t="shared" si="6"/>
        <v>-17812</v>
      </c>
      <c r="V10" s="427">
        <f t="shared" ref="V10:V16" si="16">SUM(U10*S10)</f>
        <v>0</v>
      </c>
      <c r="W10" s="706"/>
      <c r="X10" s="707"/>
      <c r="Y10" s="725">
        <f t="shared" si="8"/>
        <v>-27743</v>
      </c>
      <c r="Z10" s="705">
        <f t="shared" si="9"/>
        <v>0</v>
      </c>
      <c r="AA10" s="712">
        <f t="shared" si="10"/>
        <v>0</v>
      </c>
      <c r="AB10" s="709"/>
      <c r="AC10" s="690">
        <f t="shared" si="11"/>
        <v>-48777</v>
      </c>
      <c r="AD10" s="692"/>
      <c r="AE10" s="178">
        <f t="shared" si="15"/>
        <v>-214314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0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0</v>
      </c>
      <c r="G11" s="438">
        <f t="shared" si="0"/>
        <v>0</v>
      </c>
      <c r="H11" s="720">
        <f>Gen!C16</f>
        <v>28581.490000000005</v>
      </c>
      <c r="I11" s="720">
        <f>Gen!E16</f>
        <v>15000</v>
      </c>
      <c r="J11" s="759">
        <f>Gen!T16</f>
        <v>0</v>
      </c>
      <c r="K11" s="764">
        <f>Gen!AK16</f>
        <v>0</v>
      </c>
      <c r="L11" s="755">
        <f t="shared" si="1"/>
        <v>0</v>
      </c>
      <c r="M11" s="448">
        <f>'Water-Meter'!K51</f>
        <v>0</v>
      </c>
      <c r="N11" s="715">
        <f>'Water-Meter'!E11</f>
        <v>0</v>
      </c>
      <c r="O11" s="706"/>
      <c r="P11" s="713"/>
      <c r="Q11" s="725">
        <f t="shared" si="2"/>
        <v>0</v>
      </c>
      <c r="R11" s="426">
        <f t="shared" si="5"/>
        <v>0</v>
      </c>
      <c r="S11" s="701"/>
      <c r="T11" s="702"/>
      <c r="U11" s="725">
        <f t="shared" si="6"/>
        <v>0</v>
      </c>
      <c r="V11" s="427">
        <f t="shared" si="16"/>
        <v>0</v>
      </c>
      <c r="W11" s="706"/>
      <c r="X11" s="707"/>
      <c r="Y11" s="725">
        <f t="shared" si="8"/>
        <v>0</v>
      </c>
      <c r="Z11" s="705">
        <f t="shared" si="9"/>
        <v>0</v>
      </c>
      <c r="AA11" s="712">
        <f t="shared" si="10"/>
        <v>0</v>
      </c>
      <c r="AB11" s="709"/>
      <c r="AC11" s="690">
        <f t="shared" si="11"/>
        <v>0</v>
      </c>
      <c r="AD11" s="692"/>
      <c r="AE11" s="178">
        <f t="shared" si="15"/>
        <v>0</v>
      </c>
      <c r="AF11" s="719">
        <f>'Lpg (2)'!B15*2000/85</f>
        <v>0</v>
      </c>
      <c r="AG11" s="266">
        <f>'Lpg (2)'!C15*1000/85</f>
        <v>0</v>
      </c>
      <c r="AH11" s="732">
        <f>'Lpg (2)'!D15*1000/85</f>
        <v>0</v>
      </c>
      <c r="AI11" s="722">
        <f t="shared" si="12"/>
        <v>0</v>
      </c>
      <c r="AJ11" s="428">
        <f t="shared" si="4"/>
        <v>964705.8823529412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0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0</v>
      </c>
      <c r="G12" s="438">
        <f t="shared" si="0"/>
        <v>0</v>
      </c>
      <c r="H12" s="720">
        <f>Gen!C17</f>
        <v>28581.490000000005</v>
      </c>
      <c r="I12" s="720">
        <f>Gen!E17</f>
        <v>0</v>
      </c>
      <c r="J12" s="759">
        <f>Gen!T17</f>
        <v>0</v>
      </c>
      <c r="K12" s="764">
        <f>Gen!AK17</f>
        <v>0</v>
      </c>
      <c r="L12" s="755">
        <f t="shared" si="1"/>
        <v>0</v>
      </c>
      <c r="M12" s="448">
        <f>'Water-Meter'!K52</f>
        <v>0</v>
      </c>
      <c r="N12" s="715">
        <f>'Water-Meter'!E12</f>
        <v>0</v>
      </c>
      <c r="O12" s="706"/>
      <c r="P12" s="713"/>
      <c r="Q12" s="725">
        <f t="shared" si="2"/>
        <v>0</v>
      </c>
      <c r="R12" s="426">
        <f t="shared" si="5"/>
        <v>0</v>
      </c>
      <c r="S12" s="701"/>
      <c r="T12" s="702"/>
      <c r="U12" s="725">
        <f t="shared" si="6"/>
        <v>0</v>
      </c>
      <c r="V12" s="427">
        <f t="shared" si="16"/>
        <v>0</v>
      </c>
      <c r="W12" s="706"/>
      <c r="X12" s="707"/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/>
      <c r="AC12" s="690">
        <f t="shared" si="11"/>
        <v>0</v>
      </c>
      <c r="AD12" s="692"/>
      <c r="AE12" s="178">
        <f t="shared" si="15"/>
        <v>0</v>
      </c>
      <c r="AF12" s="719">
        <f>'Lpg (2)'!B16*2000/85</f>
        <v>0</v>
      </c>
      <c r="AG12" s="266">
        <f>'Lpg (2)'!C16*1000/85</f>
        <v>0</v>
      </c>
      <c r="AH12" s="732">
        <f>'Lpg (2)'!D16*1000/85</f>
        <v>0</v>
      </c>
      <c r="AI12" s="722">
        <f t="shared" si="12"/>
        <v>0</v>
      </c>
      <c r="AJ12" s="428">
        <f t="shared" si="4"/>
        <v>0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0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0</v>
      </c>
      <c r="G13" s="438">
        <f t="shared" si="0"/>
        <v>0</v>
      </c>
      <c r="H13" s="720">
        <f>Gen!C18</f>
        <v>28581.490000000005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0</v>
      </c>
      <c r="N13" s="715">
        <f>'Water-Meter'!E13</f>
        <v>0</v>
      </c>
      <c r="O13" s="706"/>
      <c r="P13" s="713"/>
      <c r="Q13" s="725">
        <f t="shared" si="2"/>
        <v>0</v>
      </c>
      <c r="R13" s="426">
        <f t="shared" si="5"/>
        <v>0</v>
      </c>
      <c r="S13" s="701"/>
      <c r="T13" s="702"/>
      <c r="U13" s="725">
        <f t="shared" si="6"/>
        <v>0</v>
      </c>
      <c r="V13" s="427">
        <f t="shared" si="16"/>
        <v>0</v>
      </c>
      <c r="W13" s="706"/>
      <c r="X13" s="707"/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/>
      <c r="AC13" s="690">
        <f t="shared" si="11"/>
        <v>0</v>
      </c>
      <c r="AD13" s="692"/>
      <c r="AE13" s="178">
        <f t="shared" si="15"/>
        <v>0</v>
      </c>
      <c r="AF13" s="719">
        <f>'Lpg (2)'!B17*2000/85</f>
        <v>0</v>
      </c>
      <c r="AG13" s="266">
        <f>'Lpg (2)'!C17*1000/85</f>
        <v>0</v>
      </c>
      <c r="AH13" s="732">
        <f>'Lpg (2)'!D17*1000/85</f>
        <v>0</v>
      </c>
      <c r="AI13" s="722">
        <f t="shared" si="12"/>
        <v>0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0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0</v>
      </c>
      <c r="G14" s="438">
        <f t="shared" si="0"/>
        <v>0</v>
      </c>
      <c r="H14" s="720">
        <f>Gen!C19</f>
        <v>28581.490000000005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0</v>
      </c>
      <c r="N14" s="715">
        <f>'Water-Meter'!E14</f>
        <v>0</v>
      </c>
      <c r="O14" s="706"/>
      <c r="P14" s="713"/>
      <c r="Q14" s="725">
        <f t="shared" si="2"/>
        <v>0</v>
      </c>
      <c r="R14" s="426">
        <f t="shared" si="5"/>
        <v>0</v>
      </c>
      <c r="S14" s="701"/>
      <c r="T14" s="702"/>
      <c r="U14" s="725">
        <f t="shared" si="6"/>
        <v>0</v>
      </c>
      <c r="V14" s="427">
        <f t="shared" si="16"/>
        <v>0</v>
      </c>
      <c r="W14" s="706"/>
      <c r="X14" s="707"/>
      <c r="Y14" s="725">
        <f t="shared" si="8"/>
        <v>0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0</v>
      </c>
      <c r="AD14" s="692"/>
      <c r="AE14" s="178">
        <f t="shared" si="15"/>
        <v>0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0</v>
      </c>
      <c r="AJ14" s="428">
        <f t="shared" si="4"/>
        <v>0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0</v>
      </c>
      <c r="G15" s="438">
        <f t="shared" si="0"/>
        <v>0</v>
      </c>
      <c r="H15" s="720">
        <f>Gen!C20</f>
        <v>28581.490000000005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0</v>
      </c>
      <c r="G16" s="438">
        <f t="shared" si="0"/>
        <v>0</v>
      </c>
      <c r="H16" s="720">
        <f>Gen!C21</f>
        <v>28581.490000000005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0</v>
      </c>
      <c r="G17" s="438">
        <f t="shared" si="0"/>
        <v>0</v>
      </c>
      <c r="H17" s="720">
        <f>Gen!C22</f>
        <v>28581.490000000005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28581.490000000005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28581.490000000005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28581.490000000005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28581.490000000005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28581.490000000005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28581.490000000005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28581.490000000005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28581.490000000005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28581.490000000005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28581.490000000005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28581.490000000005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28581.490000000005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28581.490000000005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28581.490000000005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28581.490000000005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28581.490000000005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28581.490000000005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28581.490000000005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28581.490000000005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13236</v>
      </c>
      <c r="K37" s="770"/>
      <c r="L37" s="756">
        <f t="shared" si="17"/>
        <v>13236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2" sqref="W1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0.14299999999999999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0.23400000000000001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</v>
      </c>
      <c r="B8" s="592">
        <f>Gen!A15</f>
        <v>44291</v>
      </c>
      <c r="C8" s="576"/>
      <c r="D8" s="581">
        <f t="shared" si="1"/>
        <v>9214.2000000000007</v>
      </c>
      <c r="E8" s="577"/>
      <c r="F8" s="581">
        <f t="shared" si="2"/>
        <v>-1105704</v>
      </c>
      <c r="G8" s="576"/>
      <c r="H8" s="623">
        <f t="shared" si="6"/>
        <v>44291</v>
      </c>
      <c r="I8" s="576"/>
      <c r="J8" s="624">
        <f>'Water-Meter'!G10</f>
        <v>0</v>
      </c>
      <c r="K8" s="625">
        <f>'Water-Meter'!G10</f>
        <v>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0</v>
      </c>
      <c r="Q8" s="576">
        <f t="shared" si="8"/>
        <v>0</v>
      </c>
      <c r="R8" s="626">
        <f t="shared" si="4"/>
        <v>0</v>
      </c>
      <c r="S8" s="627">
        <f>Gen!T15</f>
        <v>0</v>
      </c>
      <c r="T8" s="628">
        <f t="shared" si="9"/>
        <v>44291</v>
      </c>
      <c r="U8" s="576"/>
      <c r="V8" s="581">
        <f t="shared" si="5"/>
        <v>8081.8</v>
      </c>
      <c r="W8" s="578"/>
      <c r="X8" s="581">
        <f t="shared" si="0"/>
        <v>-1616360</v>
      </c>
      <c r="Y8" s="623">
        <f t="shared" si="10"/>
        <v>44291</v>
      </c>
      <c r="Z8" s="576"/>
      <c r="AA8" s="576"/>
      <c r="AB8" s="580">
        <f>'Water-Meter'!P10</f>
        <v>0</v>
      </c>
      <c r="AC8" s="633">
        <f t="shared" si="11"/>
        <v>-21130</v>
      </c>
    </row>
    <row r="9" spans="1:29" ht="19.5" thickBot="1">
      <c r="A9" s="642">
        <f>Gen!B16</f>
        <v>0</v>
      </c>
      <c r="B9" s="592">
        <f>Gen!A16</f>
        <v>44292</v>
      </c>
      <c r="C9" s="576"/>
      <c r="D9" s="581">
        <f t="shared" si="1"/>
        <v>0</v>
      </c>
      <c r="E9" s="577"/>
      <c r="F9" s="581">
        <f t="shared" si="2"/>
        <v>0</v>
      </c>
      <c r="G9" s="576"/>
      <c r="H9" s="623">
        <f t="shared" si="6"/>
        <v>44292</v>
      </c>
      <c r="I9" s="576"/>
      <c r="J9" s="624">
        <f>'Water-Meter'!G11</f>
        <v>0</v>
      </c>
      <c r="K9" s="625">
        <f>'Water-Meter'!G11</f>
        <v>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0</v>
      </c>
      <c r="Q9" s="576">
        <f t="shared" si="8"/>
        <v>0</v>
      </c>
      <c r="R9" s="626">
        <f t="shared" si="4"/>
        <v>0</v>
      </c>
      <c r="S9" s="627">
        <f>Gen!T16</f>
        <v>0</v>
      </c>
      <c r="T9" s="628">
        <f t="shared" si="9"/>
        <v>44292</v>
      </c>
      <c r="U9" s="576"/>
      <c r="V9" s="581">
        <f t="shared" si="5"/>
        <v>0</v>
      </c>
      <c r="W9" s="578"/>
      <c r="X9" s="581">
        <f t="shared" si="0"/>
        <v>0</v>
      </c>
      <c r="Y9" s="623">
        <f t="shared" si="10"/>
        <v>44292</v>
      </c>
      <c r="Z9" s="576"/>
      <c r="AA9" s="576"/>
      <c r="AB9" s="580">
        <f>'Water-Meter'!P11</f>
        <v>0</v>
      </c>
      <c r="AC9" s="633">
        <f t="shared" si="11"/>
        <v>0</v>
      </c>
    </row>
    <row r="10" spans="1:29" ht="19.5" thickBot="1">
      <c r="A10" s="642">
        <f>Gen!B17</f>
        <v>0</v>
      </c>
      <c r="B10" s="592">
        <f>Gen!A17</f>
        <v>44293</v>
      </c>
      <c r="C10" s="576"/>
      <c r="D10" s="581">
        <f t="shared" si="1"/>
        <v>0</v>
      </c>
      <c r="E10" s="577"/>
      <c r="F10" s="581">
        <f t="shared" si="2"/>
        <v>0</v>
      </c>
      <c r="G10" s="576"/>
      <c r="H10" s="623">
        <f t="shared" si="6"/>
        <v>44293</v>
      </c>
      <c r="I10" s="576"/>
      <c r="J10" s="624">
        <f>'Water-Meter'!G12</f>
        <v>0</v>
      </c>
      <c r="K10" s="625">
        <f>'Water-Meter'!G12</f>
        <v>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0</v>
      </c>
      <c r="Q10" s="576">
        <f t="shared" si="8"/>
        <v>0</v>
      </c>
      <c r="R10" s="626">
        <f t="shared" si="4"/>
        <v>0</v>
      </c>
      <c r="S10" s="627">
        <f>Gen!T17</f>
        <v>0</v>
      </c>
      <c r="T10" s="628">
        <f t="shared" si="9"/>
        <v>44293</v>
      </c>
      <c r="U10" s="576"/>
      <c r="V10" s="581">
        <f t="shared" si="5"/>
        <v>0</v>
      </c>
      <c r="W10" s="578"/>
      <c r="X10" s="581">
        <f t="shared" si="0"/>
        <v>0</v>
      </c>
      <c r="Y10" s="623">
        <f t="shared" si="10"/>
        <v>44293</v>
      </c>
      <c r="Z10" s="576"/>
      <c r="AA10" s="576"/>
      <c r="AB10" s="580">
        <f>'Water-Meter'!P12</f>
        <v>0</v>
      </c>
      <c r="AC10" s="633">
        <f t="shared" si="11"/>
        <v>0</v>
      </c>
    </row>
    <row r="11" spans="1:29" ht="19.5" thickBot="1">
      <c r="A11" s="642">
        <f>Gen!B18</f>
        <v>0</v>
      </c>
      <c r="B11" s="592">
        <f>Gen!A18</f>
        <v>44294</v>
      </c>
      <c r="C11" s="576"/>
      <c r="D11" s="581">
        <f t="shared" si="1"/>
        <v>0</v>
      </c>
      <c r="E11" s="577"/>
      <c r="F11" s="581">
        <f t="shared" si="2"/>
        <v>0</v>
      </c>
      <c r="G11" s="576"/>
      <c r="H11" s="623">
        <f t="shared" si="6"/>
        <v>44294</v>
      </c>
      <c r="I11" s="576"/>
      <c r="J11" s="624">
        <f>'Water-Meter'!G13</f>
        <v>0</v>
      </c>
      <c r="K11" s="625">
        <f>'Water-Meter'!G13</f>
        <v>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0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44294</v>
      </c>
      <c r="U11" s="576"/>
      <c r="V11" s="581">
        <f t="shared" si="5"/>
        <v>0</v>
      </c>
      <c r="W11" s="578"/>
      <c r="X11" s="581">
        <f t="shared" si="0"/>
        <v>0</v>
      </c>
      <c r="Y11" s="623">
        <f t="shared" si="10"/>
        <v>44294</v>
      </c>
      <c r="Z11" s="576"/>
      <c r="AA11" s="576"/>
      <c r="AB11" s="580">
        <f>'Water-Meter'!P13</f>
        <v>0</v>
      </c>
      <c r="AC11" s="633">
        <f t="shared" si="11"/>
        <v>0</v>
      </c>
    </row>
    <row r="12" spans="1:29" ht="19.5" thickBot="1">
      <c r="A12" s="642">
        <f>Gen!B19</f>
        <v>0</v>
      </c>
      <c r="B12" s="592">
        <f>Gen!A19</f>
        <v>44295</v>
      </c>
      <c r="C12" s="576"/>
      <c r="D12" s="581">
        <f t="shared" si="1"/>
        <v>0</v>
      </c>
      <c r="E12" s="577"/>
      <c r="F12" s="581">
        <f t="shared" si="2"/>
        <v>0</v>
      </c>
      <c r="G12" s="576"/>
      <c r="H12" s="623">
        <f t="shared" si="6"/>
        <v>44295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44295</v>
      </c>
      <c r="U12" s="576"/>
      <c r="V12" s="581">
        <f t="shared" si="5"/>
        <v>0</v>
      </c>
      <c r="W12" s="578"/>
      <c r="X12" s="581">
        <f t="shared" si="0"/>
        <v>0</v>
      </c>
      <c r="Y12" s="623">
        <f t="shared" si="10"/>
        <v>44295</v>
      </c>
      <c r="Z12" s="576"/>
      <c r="AA12" s="576"/>
      <c r="AB12" s="580">
        <f>'Water-Meter'!P14</f>
        <v>0</v>
      </c>
      <c r="AC12" s="633">
        <f t="shared" si="11"/>
        <v>0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44296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44296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44296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44297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44297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44297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44298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44298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44298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0.14299999999999999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0.23400000000000001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-159011</v>
      </c>
      <c r="C9" s="87">
        <f>Gen!B15</f>
        <v>0</v>
      </c>
      <c r="D9" s="434">
        <f t="shared" si="0"/>
        <v>7.79</v>
      </c>
      <c r="E9" s="74">
        <v>7.79</v>
      </c>
      <c r="F9" s="70" t="e">
        <f>Gen!U15</f>
        <v>#DIV/0!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 t="str">
        <f>'Water-Meter'!E10</f>
        <v>0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0</v>
      </c>
      <c r="C10" s="87">
        <f>Gen!B16</f>
        <v>0</v>
      </c>
      <c r="D10" s="434">
        <f t="shared" si="0"/>
        <v>5.19</v>
      </c>
      <c r="E10" s="74">
        <v>5.19</v>
      </c>
      <c r="F10" s="70" t="e">
        <f>Gen!U16</f>
        <v>#DIV/0!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28581.490000000005</v>
      </c>
      <c r="K10" s="295">
        <f>'Water-Meter'!E11</f>
        <v>0</v>
      </c>
      <c r="L10" s="653">
        <f>'Lpg (2)'!G15</f>
        <v>-333827.29600000003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0</v>
      </c>
      <c r="C11" s="87">
        <f>Gen!B17</f>
        <v>0</v>
      </c>
      <c r="D11" s="434">
        <f t="shared" si="0"/>
        <v>11.69</v>
      </c>
      <c r="E11" s="74">
        <v>11.69</v>
      </c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28581.490000000005</v>
      </c>
      <c r="K11" s="295">
        <f>'Water-Meter'!E12</f>
        <v>0</v>
      </c>
      <c r="L11" s="653">
        <f>'Lpg (2)'!G16</f>
        <v>0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0</v>
      </c>
      <c r="C12" s="87">
        <f>Gen!B18</f>
        <v>0</v>
      </c>
      <c r="D12" s="434">
        <f t="shared" si="0"/>
        <v>12.99</v>
      </c>
      <c r="E12" s="74">
        <v>12.99</v>
      </c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28581.490000000005</v>
      </c>
      <c r="K12" s="295">
        <f>'Water-Meter'!E13</f>
        <v>0</v>
      </c>
      <c r="L12" s="653">
        <f>'Lpg (2)'!G17</f>
        <v>0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0</v>
      </c>
      <c r="C13" s="87">
        <f>Gen!B19</f>
        <v>0</v>
      </c>
      <c r="D13" s="434">
        <f t="shared" si="0"/>
        <v>15.58</v>
      </c>
      <c r="E13" s="74">
        <v>15.58</v>
      </c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28581.490000000005</v>
      </c>
      <c r="K13" s="295">
        <f>'Water-Meter'!E14</f>
        <v>0</v>
      </c>
      <c r="L13" s="653">
        <f>'Lpg (2)'!G18</f>
        <v>0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28581.490000000005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0</v>
      </c>
      <c r="C15" s="87">
        <f>Gen!B21</f>
        <v>0</v>
      </c>
      <c r="D15" s="434">
        <f t="shared" si="0"/>
        <v>11.69</v>
      </c>
      <c r="E15" s="74">
        <v>11.69</v>
      </c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28581.490000000005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0</v>
      </c>
      <c r="C16" s="87">
        <f>Gen!B22</f>
        <v>0</v>
      </c>
      <c r="D16" s="434">
        <f t="shared" si="0"/>
        <v>12.99</v>
      </c>
      <c r="E16" s="74">
        <v>12.99</v>
      </c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28581.490000000005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0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28581.490000000005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28581.490000000005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28581.490000000005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28581.490000000005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28581.490000000005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28581.490000000005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28581.490000000005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28581.490000000005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28581.490000000005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28581.490000000005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28581.490000000005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28581.490000000005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28581.490000000005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28581.490000000005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28581.490000000005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28581.490000000005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28581.490000000005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28581.490000000005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28581.490000000005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28581.490000000005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E16" sqref="E1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/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/>
      <c r="H10" s="145"/>
      <c r="I10" s="145">
        <v>31869.200000000001</v>
      </c>
      <c r="J10" s="849">
        <v>21239.8</v>
      </c>
      <c r="K10" s="859">
        <f t="shared" si="0"/>
        <v>36116</v>
      </c>
      <c r="L10" s="305"/>
      <c r="M10" s="304">
        <f t="shared" si="1"/>
        <v>-36116</v>
      </c>
      <c r="N10" s="306">
        <f t="shared" si="2"/>
        <v>31027</v>
      </c>
      <c r="O10" s="125"/>
      <c r="P10" s="304">
        <f t="shared" si="3"/>
        <v>-31027</v>
      </c>
      <c r="Q10" s="304">
        <f t="shared" si="4"/>
        <v>36320</v>
      </c>
      <c r="R10" s="305"/>
      <c r="S10" s="304">
        <f t="shared" si="5"/>
        <v>-36320</v>
      </c>
      <c r="T10" s="304">
        <f t="shared" si="6"/>
        <v>33514</v>
      </c>
      <c r="U10" s="125"/>
      <c r="V10" s="304">
        <f t="shared" si="7"/>
        <v>-33514</v>
      </c>
      <c r="W10" s="306">
        <f t="shared" si="8"/>
        <v>22034</v>
      </c>
      <c r="X10" s="305"/>
      <c r="Y10" s="304">
        <f t="shared" si="9"/>
        <v>-22034</v>
      </c>
      <c r="Z10" s="307">
        <f t="shared" si="10"/>
        <v>-159011</v>
      </c>
      <c r="AA10" s="125"/>
      <c r="AB10" s="125"/>
      <c r="AC10" s="684">
        <f>Gen!AR15</f>
        <v>0</v>
      </c>
    </row>
    <row r="11" spans="1:29" ht="20.100000000000001" customHeight="1">
      <c r="A11" s="857">
        <f>Gen!A16</f>
        <v>44292</v>
      </c>
      <c r="B11" s="852"/>
      <c r="C11" s="851"/>
      <c r="D11" s="145"/>
      <c r="E11" s="853"/>
      <c r="F11" s="145"/>
      <c r="G11" s="145"/>
      <c r="H11" s="145"/>
      <c r="I11" s="145"/>
      <c r="J11" s="849"/>
      <c r="K11" s="859">
        <f t="shared" si="0"/>
        <v>0</v>
      </c>
      <c r="L11" s="305"/>
      <c r="M11" s="304">
        <f t="shared" si="1"/>
        <v>0</v>
      </c>
      <c r="N11" s="306">
        <f t="shared" si="2"/>
        <v>0</v>
      </c>
      <c r="O11" s="1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125"/>
      <c r="V11" s="304">
        <f t="shared" si="7"/>
        <v>0</v>
      </c>
      <c r="W11" s="306">
        <f t="shared" si="8"/>
        <v>0</v>
      </c>
      <c r="X11" s="305"/>
      <c r="Y11" s="304">
        <f t="shared" si="9"/>
        <v>0</v>
      </c>
      <c r="Z11" s="307">
        <f t="shared" si="10"/>
        <v>0</v>
      </c>
      <c r="AA11" s="125"/>
      <c r="AB11" s="125"/>
      <c r="AC11" s="684">
        <f>Gen!AR16</f>
        <v>0</v>
      </c>
    </row>
    <row r="12" spans="1:29" ht="20.100000000000001" customHeight="1">
      <c r="A12" s="857">
        <f>Gen!A17</f>
        <v>44293</v>
      </c>
      <c r="B12" s="852"/>
      <c r="C12" s="851"/>
      <c r="D12" s="145"/>
      <c r="E12" s="853"/>
      <c r="F12" s="145"/>
      <c r="G12" s="145"/>
      <c r="H12" s="145"/>
      <c r="I12" s="145"/>
      <c r="J12" s="849"/>
      <c r="K12" s="859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84">
        <f>Gen!AR17</f>
        <v>0</v>
      </c>
    </row>
    <row r="13" spans="1:29" ht="20.100000000000001" customHeight="1">
      <c r="A13" s="857">
        <f>Gen!A18</f>
        <v>44294</v>
      </c>
      <c r="B13" s="852"/>
      <c r="C13" s="851"/>
      <c r="D13" s="145"/>
      <c r="E13" s="853"/>
      <c r="F13" s="145"/>
      <c r="G13" s="145"/>
      <c r="H13" s="145"/>
      <c r="I13" s="145"/>
      <c r="J13" s="849"/>
      <c r="K13" s="859">
        <f t="shared" si="0"/>
        <v>0</v>
      </c>
      <c r="L13" s="305"/>
      <c r="M13" s="304">
        <f t="shared" si="1"/>
        <v>0</v>
      </c>
      <c r="N13" s="306">
        <f t="shared" si="2"/>
        <v>0</v>
      </c>
      <c r="O13" s="125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84">
        <f>Gen!AR18</f>
        <v>0</v>
      </c>
    </row>
    <row r="14" spans="1:29" ht="20.100000000000001" customHeight="1">
      <c r="A14" s="857">
        <f>Gen!A19</f>
        <v>44295</v>
      </c>
      <c r="B14" s="852"/>
      <c r="C14" s="851"/>
      <c r="D14" s="145"/>
      <c r="E14" s="853"/>
      <c r="F14" s="145"/>
      <c r="G14" s="145"/>
      <c r="H14" s="145"/>
      <c r="I14" s="145"/>
      <c r="J14" s="849"/>
      <c r="K14" s="859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>
        <f t="shared" si="10"/>
        <v>0</v>
      </c>
      <c r="AA14" s="125"/>
      <c r="AB14" s="125"/>
      <c r="AC14" s="684">
        <f>Gen!AR19</f>
        <v>0</v>
      </c>
    </row>
    <row r="15" spans="1:29" ht="20.100000000000001" customHeight="1">
      <c r="A15" s="857">
        <f>Gen!A20</f>
        <v>44296</v>
      </c>
      <c r="B15" s="852"/>
      <c r="C15" s="851"/>
      <c r="D15" s="145"/>
      <c r="E15" s="853"/>
      <c r="F15" s="145"/>
      <c r="G15" s="145"/>
      <c r="H15" s="145"/>
      <c r="I15" s="145"/>
      <c r="J15" s="849"/>
      <c r="K15" s="859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>
      <c r="A16" s="857">
        <f>Gen!A21</f>
        <v>44297</v>
      </c>
      <c r="B16" s="852"/>
      <c r="C16" s="851"/>
      <c r="D16" s="145"/>
      <c r="E16" s="853"/>
      <c r="F16" s="145"/>
      <c r="G16" s="145"/>
      <c r="H16" s="145"/>
      <c r="I16" s="145"/>
      <c r="J16" s="849"/>
      <c r="K16" s="859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>
      <c r="A17" s="857">
        <f>Gen!A22</f>
        <v>44298</v>
      </c>
      <c r="B17" s="852"/>
      <c r="C17" s="851"/>
      <c r="D17" s="145"/>
      <c r="E17" s="853"/>
      <c r="F17" s="145"/>
      <c r="G17" s="145"/>
      <c r="H17" s="145"/>
      <c r="I17" s="145"/>
      <c r="J17" s="849"/>
      <c r="K17" s="859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>
      <c r="A18" s="857">
        <f>Gen!A23</f>
        <v>44299</v>
      </c>
      <c r="B18" s="852"/>
      <c r="C18" s="851"/>
      <c r="D18" s="145"/>
      <c r="E18" s="145"/>
      <c r="F18" s="145"/>
      <c r="G18" s="145"/>
      <c r="H18" s="145"/>
      <c r="I18" s="145"/>
      <c r="J18" s="849"/>
      <c r="K18" s="859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B1" activePane="topRight" state="frozen"/>
      <selection pane="topRight" activeCell="O31" sqref="O31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0.14299999999999999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0.23400000000000001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/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2"/>
      <c r="S15" s="570">
        <f t="shared" si="0"/>
        <v>0</v>
      </c>
      <c r="T15" s="218">
        <f t="shared" si="1"/>
        <v>0</v>
      </c>
      <c r="U15" s="571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/>
      <c r="C16" s="802">
        <f t="shared" si="6"/>
        <v>28581.490000000005</v>
      </c>
      <c r="D16" s="803"/>
      <c r="E16" s="800">
        <v>15000</v>
      </c>
      <c r="F16" s="847" t="s">
        <v>319</v>
      </c>
      <c r="G16" s="801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2"/>
      <c r="S16" s="570">
        <f t="shared" si="0"/>
        <v>0</v>
      </c>
      <c r="T16" s="218">
        <f t="shared" si="1"/>
        <v>0</v>
      </c>
      <c r="U16" s="571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28581.490000000005</v>
      </c>
    </row>
    <row r="17" spans="1:46" ht="13.5" customHeight="1">
      <c r="A17" s="575">
        <v>44293</v>
      </c>
      <c r="B17" s="846"/>
      <c r="C17" s="802">
        <f t="shared" si="6"/>
        <v>28581.490000000005</v>
      </c>
      <c r="D17" s="803"/>
      <c r="E17" s="800"/>
      <c r="F17" s="804"/>
      <c r="G17" s="801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2"/>
      <c r="S17" s="570">
        <f t="shared" si="0"/>
        <v>0</v>
      </c>
      <c r="T17" s="218">
        <f t="shared" si="1"/>
        <v>0</v>
      </c>
      <c r="U17" s="571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28581.490000000005</v>
      </c>
    </row>
    <row r="18" spans="1:46" ht="13.5" customHeight="1">
      <c r="A18" s="575">
        <v>44294</v>
      </c>
      <c r="B18" s="846"/>
      <c r="C18" s="802">
        <f t="shared" si="6"/>
        <v>28581.490000000005</v>
      </c>
      <c r="D18" s="803"/>
      <c r="E18" s="800"/>
      <c r="F18" s="804"/>
      <c r="G18" s="801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0</v>
      </c>
      <c r="T18" s="218">
        <f t="shared" si="1"/>
        <v>0</v>
      </c>
      <c r="U18" s="571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28581.490000000005</v>
      </c>
    </row>
    <row r="19" spans="1:46" ht="13.5" customHeight="1">
      <c r="A19" s="575">
        <v>44295</v>
      </c>
      <c r="B19" s="846"/>
      <c r="C19" s="802">
        <f t="shared" si="6"/>
        <v>28581.490000000005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28581.490000000005</v>
      </c>
    </row>
    <row r="20" spans="1:46" ht="15.75">
      <c r="A20" s="575">
        <v>44296</v>
      </c>
      <c r="B20" s="846"/>
      <c r="C20" s="802">
        <f t="shared" si="6"/>
        <v>28581.490000000005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28581.490000000005</v>
      </c>
    </row>
    <row r="21" spans="1:46" ht="15.75">
      <c r="A21" s="575">
        <v>44297</v>
      </c>
      <c r="B21" s="846"/>
      <c r="C21" s="802">
        <f t="shared" si="6"/>
        <v>28581.490000000005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28581.490000000005</v>
      </c>
    </row>
    <row r="22" spans="1:46" ht="15.75">
      <c r="A22" s="575">
        <v>44298</v>
      </c>
      <c r="B22" s="846"/>
      <c r="C22" s="802">
        <f t="shared" si="6"/>
        <v>28581.490000000005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28581.490000000005</v>
      </c>
    </row>
    <row r="23" spans="1:46" ht="13.5" customHeight="1">
      <c r="A23" s="575">
        <v>44299</v>
      </c>
      <c r="B23" s="846"/>
      <c r="C23" s="802">
        <f t="shared" si="6"/>
        <v>28581.490000000005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28581.490000000005</v>
      </c>
    </row>
    <row r="24" spans="1:46" ht="15.75">
      <c r="A24" s="575">
        <v>44300</v>
      </c>
      <c r="B24" s="846"/>
      <c r="C24" s="802">
        <f t="shared" si="6"/>
        <v>28581.490000000005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28581.490000000005</v>
      </c>
    </row>
    <row r="25" spans="1:46" ht="15.75">
      <c r="A25" s="575">
        <v>44301</v>
      </c>
      <c r="B25" s="826"/>
      <c r="C25" s="802">
        <f t="shared" si="6"/>
        <v>28581.490000000005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28581.490000000005</v>
      </c>
    </row>
    <row r="26" spans="1:46" ht="15.75">
      <c r="A26" s="575">
        <v>44302</v>
      </c>
      <c r="B26" s="826"/>
      <c r="C26" s="802">
        <f t="shared" si="6"/>
        <v>28581.490000000005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28581.490000000005</v>
      </c>
    </row>
    <row r="27" spans="1:46" ht="15.75">
      <c r="A27" s="575">
        <v>44303</v>
      </c>
      <c r="B27" s="826"/>
      <c r="C27" s="802">
        <f t="shared" si="6"/>
        <v>28581.490000000005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28581.490000000005</v>
      </c>
    </row>
    <row r="28" spans="1:46" ht="15.75">
      <c r="A28" s="575">
        <v>44304</v>
      </c>
      <c r="B28" s="826"/>
      <c r="C28" s="802">
        <f t="shared" si="6"/>
        <v>28581.490000000005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28581.490000000005</v>
      </c>
    </row>
    <row r="29" spans="1:46" ht="15.75">
      <c r="A29" s="575">
        <v>44305</v>
      </c>
      <c r="B29" s="826"/>
      <c r="C29" s="802">
        <f t="shared" si="6"/>
        <v>28581.490000000005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28581.490000000005</v>
      </c>
    </row>
    <row r="30" spans="1:46" ht="15.75">
      <c r="A30" s="575">
        <v>44306</v>
      </c>
      <c r="B30" s="826"/>
      <c r="C30" s="802">
        <f t="shared" si="6"/>
        <v>28581.490000000005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28581.490000000005</v>
      </c>
    </row>
    <row r="31" spans="1:46" ht="15.75">
      <c r="A31" s="575">
        <v>44307</v>
      </c>
      <c r="B31" s="826"/>
      <c r="C31" s="802">
        <f t="shared" si="6"/>
        <v>28581.490000000005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28581.490000000005</v>
      </c>
    </row>
    <row r="32" spans="1:46" ht="15.75">
      <c r="A32" s="575">
        <v>44308</v>
      </c>
      <c r="B32" s="826"/>
      <c r="C32" s="802">
        <f t="shared" si="6"/>
        <v>28581.490000000005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28581.490000000005</v>
      </c>
    </row>
    <row r="33" spans="1:46" ht="15.75">
      <c r="A33" s="575">
        <v>44309</v>
      </c>
      <c r="B33" s="826"/>
      <c r="C33" s="802">
        <f t="shared" si="6"/>
        <v>28581.490000000005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28581.490000000005</v>
      </c>
    </row>
    <row r="34" spans="1:46" ht="15.75">
      <c r="A34" s="575">
        <v>44310</v>
      </c>
      <c r="B34" s="826"/>
      <c r="C34" s="802">
        <f t="shared" si="6"/>
        <v>28581.490000000005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28581.490000000005</v>
      </c>
    </row>
    <row r="35" spans="1:46" ht="15.75">
      <c r="A35" s="575">
        <v>44311</v>
      </c>
      <c r="B35" s="826"/>
      <c r="C35" s="802">
        <f t="shared" si="6"/>
        <v>28581.490000000005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28581.490000000005</v>
      </c>
    </row>
    <row r="36" spans="1:46" ht="15.75">
      <c r="A36" s="575">
        <v>44312</v>
      </c>
      <c r="B36" s="826"/>
      <c r="C36" s="802">
        <f t="shared" si="6"/>
        <v>28581.490000000005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28581.490000000005</v>
      </c>
    </row>
    <row r="37" spans="1:46" ht="15.75">
      <c r="A37" s="575">
        <v>44313</v>
      </c>
      <c r="B37" s="826"/>
      <c r="C37" s="802">
        <f t="shared" si="6"/>
        <v>28581.490000000005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28581.490000000005</v>
      </c>
    </row>
    <row r="38" spans="1:46" ht="15.75">
      <c r="A38" s="575">
        <v>44314</v>
      </c>
      <c r="B38" s="826"/>
      <c r="C38" s="802">
        <f t="shared" si="6"/>
        <v>28581.490000000005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28581.490000000005</v>
      </c>
    </row>
    <row r="39" spans="1:46" ht="15.75">
      <c r="A39" s="575">
        <v>44315</v>
      </c>
      <c r="B39" s="826"/>
      <c r="C39" s="802">
        <f t="shared" si="6"/>
        <v>28581.490000000005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28581.490000000005</v>
      </c>
    </row>
    <row r="40" spans="1:46" ht="15.75">
      <c r="A40" s="575">
        <v>44316</v>
      </c>
      <c r="B40" s="826"/>
      <c r="C40" s="802">
        <f t="shared" si="6"/>
        <v>28581.490000000005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28581.490000000005</v>
      </c>
    </row>
    <row r="41" spans="1:46" ht="15.75">
      <c r="A41" s="575"/>
      <c r="B41" s="826"/>
      <c r="C41" s="802">
        <f t="shared" si="6"/>
        <v>28581.490000000005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28581.490000000005</v>
      </c>
    </row>
    <row r="42" spans="1:46" ht="14.25">
      <c r="A42" s="575"/>
      <c r="B42" s="574"/>
      <c r="C42" s="802">
        <f t="shared" si="6"/>
        <v>28581.490000000005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28581.490000000005</v>
      </c>
    </row>
    <row r="43" spans="1:46" ht="14.25">
      <c r="A43" s="495" t="s">
        <v>25</v>
      </c>
      <c r="B43" s="469">
        <f>AVERAGE(B11:B42)</f>
        <v>0.19825000000000001</v>
      </c>
      <c r="C43" s="798">
        <f t="shared" si="6"/>
        <v>28581.490000000005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28581.490000000005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1426.47</v>
      </c>
      <c r="H45" s="308">
        <f t="shared" si="8"/>
        <v>1326.45</v>
      </c>
      <c r="I45" s="313">
        <f t="shared" si="8"/>
        <v>0</v>
      </c>
      <c r="J45" s="308">
        <f t="shared" si="8"/>
        <v>1308.83</v>
      </c>
      <c r="K45" s="313">
        <f t="shared" si="8"/>
        <v>1363.11</v>
      </c>
      <c r="L45" s="308">
        <f t="shared" si="8"/>
        <v>0</v>
      </c>
      <c r="M45" s="313">
        <f t="shared" si="8"/>
        <v>3546</v>
      </c>
      <c r="N45" s="553">
        <f t="shared" si="8"/>
        <v>3175</v>
      </c>
      <c r="O45" s="313">
        <f t="shared" si="8"/>
        <v>0</v>
      </c>
      <c r="P45" s="308">
        <f>SUM(P11:P43)</f>
        <v>3187</v>
      </c>
      <c r="Q45" s="313">
        <f>SUM(Q11:Q44)</f>
        <v>3328</v>
      </c>
      <c r="R45" s="308">
        <f>SUM(R11:R44)</f>
        <v>0</v>
      </c>
      <c r="S45" s="551">
        <f>SUM(G45:L45)</f>
        <v>5424.86</v>
      </c>
      <c r="T45" s="308">
        <f>SUM(M45:R45)</f>
        <v>13236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93.990000000000009</v>
      </c>
      <c r="Y45" s="234">
        <f t="shared" si="9"/>
        <v>0</v>
      </c>
      <c r="Z45" s="546">
        <f t="shared" si="9"/>
        <v>110.53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20</v>
      </c>
      <c r="AI45" s="234">
        <f>SUM(AI9:AI39)</f>
        <v>230.2</v>
      </c>
      <c r="AJ45" s="546">
        <f>SUM(AJ9:AJ44)</f>
        <v>509.62000000000006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5934.48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174.99548387096772</v>
      </c>
      <c r="T47" s="316">
        <f>S45*2315</f>
        <v>12558550.899999999</v>
      </c>
      <c r="U47" s="317" t="s">
        <v>244</v>
      </c>
      <c r="AR47" s="522">
        <f>AR45*2143</f>
        <v>12717590.639999999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5486.4792048929658</v>
      </c>
      <c r="U48" s="317" t="s">
        <v>245</v>
      </c>
      <c r="W48" s="191"/>
      <c r="X48" s="191"/>
      <c r="Y48" s="191"/>
      <c r="Z48" s="191"/>
      <c r="AA48" s="191"/>
      <c r="AR48" s="316">
        <f>AR47/2289</f>
        <v>5555.9592136304054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/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/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D18" sqref="D1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/>
      <c r="C15" s="268"/>
      <c r="D15" s="268"/>
      <c r="E15" s="268"/>
      <c r="F15" s="268"/>
      <c r="G15" s="268">
        <f t="shared" si="0"/>
        <v>-333827.29600000003</v>
      </c>
      <c r="H15" s="111">
        <f>[5]Gen!B16</f>
        <v>0.01</v>
      </c>
      <c r="I15" s="843">
        <f t="shared" si="2"/>
        <v>0</v>
      </c>
      <c r="J15" s="844" t="e">
        <f t="shared" si="1"/>
        <v>#DIV/0!</v>
      </c>
      <c r="M15" s="156"/>
      <c r="N15" s="156"/>
    </row>
    <row r="16" spans="1:15" ht="18.75">
      <c r="A16" s="94">
        <f>Gen!A17</f>
        <v>44293</v>
      </c>
      <c r="B16" s="268"/>
      <c r="C16" s="268"/>
      <c r="D16" s="268"/>
      <c r="E16" s="268"/>
      <c r="F16" s="268"/>
      <c r="G16" s="268">
        <f t="shared" si="0"/>
        <v>0</v>
      </c>
      <c r="H16" s="111">
        <f>[5]Gen!B17</f>
        <v>0.01</v>
      </c>
      <c r="I16" s="843">
        <f t="shared" si="2"/>
        <v>0</v>
      </c>
      <c r="J16" s="844" t="e">
        <f t="shared" si="1"/>
        <v>#DIV/0!</v>
      </c>
      <c r="M16" s="156"/>
      <c r="N16" s="156"/>
    </row>
    <row r="17" spans="1:14" ht="18.75">
      <c r="A17" s="94">
        <f>Gen!A18</f>
        <v>44294</v>
      </c>
      <c r="B17" s="268"/>
      <c r="C17" s="268"/>
      <c r="D17" s="268"/>
      <c r="E17" s="268"/>
      <c r="F17" s="268"/>
      <c r="G17" s="268">
        <f t="shared" si="0"/>
        <v>0</v>
      </c>
      <c r="H17" s="111">
        <f>[5]Gen!B18</f>
        <v>0.01</v>
      </c>
      <c r="I17" s="843">
        <f t="shared" si="2"/>
        <v>0</v>
      </c>
      <c r="J17" s="844" t="e">
        <f t="shared" si="1"/>
        <v>#DIV/0!</v>
      </c>
      <c r="M17" s="156"/>
      <c r="N17" s="156"/>
    </row>
    <row r="18" spans="1:14" ht="18.75">
      <c r="A18" s="94">
        <f>Gen!A19</f>
        <v>44295</v>
      </c>
      <c r="B18" s="268"/>
      <c r="C18" s="268"/>
      <c r="D18" s="268"/>
      <c r="E18" s="268"/>
      <c r="F18" s="268"/>
      <c r="G18" s="268">
        <f t="shared" si="0"/>
        <v>0</v>
      </c>
      <c r="H18" s="111">
        <f>[5]Gen!B19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44296</v>
      </c>
      <c r="B19" s="268"/>
      <c r="C19" s="268"/>
      <c r="D19" s="268"/>
      <c r="E19" s="268"/>
      <c r="F19" s="268"/>
      <c r="G19" s="268">
        <f t="shared" si="0"/>
        <v>0</v>
      </c>
      <c r="H19" s="111">
        <f>[5]Gen!B20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44297</v>
      </c>
      <c r="B20" s="268"/>
      <c r="C20" s="268"/>
      <c r="D20" s="268"/>
      <c r="E20" s="268"/>
      <c r="F20" s="268"/>
      <c r="G20" s="268">
        <f t="shared" si="0"/>
        <v>0</v>
      </c>
      <c r="H20" s="111">
        <f>[5]Gen!B21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0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379149.72</v>
      </c>
      <c r="G42" s="101">
        <f>SUM(G10:G40)</f>
        <v>-332229.70000000007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R1" activePane="topRight" state="frozen"/>
      <selection pane="topRight" activeCell="AI11" sqref="AI1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/>
      <c r="E10" s="58" t="str">
        <f t="shared" si="1"/>
        <v>0</v>
      </c>
      <c r="F10" s="95">
        <f t="shared" si="2"/>
        <v>75790</v>
      </c>
      <c r="G10" s="387"/>
      <c r="H10" s="474" t="str">
        <f t="shared" si="13"/>
        <v>0</v>
      </c>
      <c r="I10" s="95">
        <f t="shared" si="3"/>
        <v>8369</v>
      </c>
      <c r="J10" s="1"/>
      <c r="K10" s="474">
        <f t="shared" ref="K10:K13" si="26">J10-J9</f>
        <v>-8369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/>
      <c r="Q10" s="474" t="str">
        <f t="shared" si="7"/>
        <v>0</v>
      </c>
      <c r="R10" s="250"/>
      <c r="S10" s="245">
        <f t="shared" si="15"/>
        <v>67788</v>
      </c>
      <c r="T10" s="384"/>
      <c r="U10" s="475" t="str">
        <f t="shared" si="16"/>
        <v>0</v>
      </c>
      <c r="V10" s="245">
        <f t="shared" si="8"/>
        <v>73031</v>
      </c>
      <c r="W10" s="384"/>
      <c r="X10" s="475" t="str">
        <f t="shared" si="17"/>
        <v>0</v>
      </c>
      <c r="Y10" s="245">
        <f t="shared" si="9"/>
        <v>89938</v>
      </c>
      <c r="Z10" s="384"/>
      <c r="AA10" s="475" t="str">
        <f t="shared" si="18"/>
        <v>0</v>
      </c>
      <c r="AB10" s="606">
        <f t="shared" si="22"/>
        <v>18837</v>
      </c>
      <c r="AC10" s="607"/>
      <c r="AD10" s="609" t="str">
        <f t="shared" si="23"/>
        <v>0</v>
      </c>
      <c r="AE10" s="245">
        <f t="shared" si="10"/>
        <v>18300</v>
      </c>
      <c r="AF10" s="385"/>
      <c r="AG10" s="475" t="str">
        <f t="shared" si="19"/>
        <v>0</v>
      </c>
      <c r="AH10" s="245">
        <f t="shared" si="11"/>
        <v>30420</v>
      </c>
      <c r="AI10" s="385"/>
      <c r="AJ10" s="475" t="str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44292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6">
        <f t="shared" si="22"/>
        <v>0</v>
      </c>
      <c r="AC11" s="607"/>
      <c r="AD11" s="609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44293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6">
        <f t="shared" si="22"/>
        <v>0</v>
      </c>
      <c r="AC12" s="607"/>
      <c r="AD12" s="609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44294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6">
        <f t="shared" si="22"/>
        <v>0</v>
      </c>
      <c r="AC13" s="607"/>
      <c r="AD13" s="609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44295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6">
        <f t="shared" si="22"/>
        <v>0</v>
      </c>
      <c r="AC14" s="610"/>
      <c r="AD14" s="609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44296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44297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44298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44299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332</v>
      </c>
    </row>
    <row r="38" spans="1:41" ht="18.75">
      <c r="A38" s="57"/>
      <c r="B38" s="21"/>
      <c r="C38" s="927" t="s">
        <v>6</v>
      </c>
      <c r="D38" s="927"/>
      <c r="E38" s="22">
        <f>SUM(E6:E36)</f>
        <v>443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-8362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443</v>
      </c>
      <c r="S38" s="247"/>
      <c r="T38" s="247"/>
      <c r="U38" s="257">
        <f>SUM(U6:U37)</f>
        <v>332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332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/>
      <c r="D51" s="325">
        <f t="shared" si="49"/>
        <v>0</v>
      </c>
      <c r="E51" s="6"/>
      <c r="F51" s="325">
        <f t="shared" si="50"/>
        <v>0</v>
      </c>
      <c r="G51" s="618"/>
      <c r="H51" s="325">
        <f t="shared" si="51"/>
        <v>0</v>
      </c>
      <c r="I51" s="6"/>
      <c r="J51" s="325">
        <f t="shared" si="52"/>
        <v>0</v>
      </c>
      <c r="K51" s="331">
        <f t="shared" si="53"/>
        <v>0</v>
      </c>
    </row>
    <row r="52" spans="1:15" ht="13.5">
      <c r="A52" s="293">
        <f>Gen!A17</f>
        <v>44293</v>
      </c>
      <c r="B52" s="19"/>
      <c r="C52" s="62"/>
      <c r="D52" s="325">
        <f t="shared" si="49"/>
        <v>0</v>
      </c>
      <c r="E52" s="6"/>
      <c r="F52" s="325">
        <f t="shared" si="50"/>
        <v>0</v>
      </c>
      <c r="G52" s="618"/>
      <c r="H52" s="325">
        <f t="shared" si="51"/>
        <v>0</v>
      </c>
      <c r="I52" s="6"/>
      <c r="J52" s="325">
        <f t="shared" si="52"/>
        <v>0</v>
      </c>
      <c r="K52" s="331">
        <f t="shared" si="53"/>
        <v>0</v>
      </c>
    </row>
    <row r="53" spans="1:15" ht="13.5">
      <c r="A53" s="293">
        <f>Gen!A18</f>
        <v>44294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618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44295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618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44296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44297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44298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44299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0.14299999999999999</v>
      </c>
      <c r="D5" s="434">
        <f>SUM(77*C5)</f>
        <v>11.010999999999999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0.23400000000000001</v>
      </c>
      <c r="D7" s="434">
        <f t="shared" si="2"/>
        <v>18.018000000000001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 t="str">
        <f>'Water-Meter'!E10</f>
        <v>0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109.7098888888635</v>
      </c>
      <c r="V9" s="17">
        <f t="shared" si="7"/>
        <v>109.7098888888635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-333827.29600000003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-413701.37755555561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443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H15" sqref="H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0.14299999999999999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0.23400000000000001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28581.490000000005</v>
      </c>
      <c r="F9" s="396" t="str">
        <f>'Water-Meter'!E10</f>
        <v>0</v>
      </c>
      <c r="G9" s="397">
        <f>'Water-Meter'!AN10</f>
        <v>0</v>
      </c>
      <c r="H9" s="395">
        <f>'Utility report '!AC10</f>
        <v>-48777</v>
      </c>
      <c r="I9" s="394">
        <f>'Kit report'!F8</f>
        <v>-1105704</v>
      </c>
      <c r="J9" s="395">
        <f>'Kit report'!X8</f>
        <v>-1616360</v>
      </c>
    </row>
    <row r="10" spans="1:10" ht="17.100000000000001" customHeight="1" thickBot="1">
      <c r="A10" s="217">
        <f>Gen!A16</f>
        <v>44292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28581.490000000005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44293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28581.490000000005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44294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28581.490000000005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44295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28581.490000000005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28581.490000000005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28581.490000000005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28581.490000000005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28581.490000000005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28581.490000000005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28581.490000000005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28581.490000000005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28581.490000000005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28581.490000000005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28581.490000000005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28581.490000000005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28581.490000000005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28581.490000000005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28581.490000000005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28581.490000000005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28581.490000000005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28581.490000000005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28581.490000000005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28581.490000000005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28581.490000000005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28581.490000000005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28581.490000000005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28581.490000000005</v>
      </c>
      <c r="F36" s="396">
        <f>'Water-Meter'!E37</f>
        <v>0</v>
      </c>
      <c r="G36" s="397">
        <f>'Water-Meter'!AN37</f>
        <v>332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2021-04-05T05:41:10Z</dcterms:modified>
</cp:coreProperties>
</file>