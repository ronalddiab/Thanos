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AV9" i="7"/>
  <c r="AV10" i="7"/>
  <c r="AV11" i="7"/>
  <c r="AV12" i="7"/>
  <c r="AV13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<sst xmlns="http://schemas.openxmlformats.org/spreadsheetml/2006/main" count="128" uniqueCount="49">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</sst>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 t="str">
        <f>Hotel!Q13</f>
        <v>0</v>
      </c>
      <c r="F8" s="4" t="str">
        <f>Hotel!R13</f>
        <v>0</v>
      </c>
      <c r="G8" s="4" t="str">
        <f>Hotel!S13</f>
        <v>0</v>
      </c>
      <c r="H8" s="4" t="str">
        <f>Hotel!T13</f>
        <v>0</v>
      </c>
      <c r="I8" s="4" t="str">
        <f>Hotel!U13</f>
        <v>0</v>
      </c>
      <c r="J8" s="4" t="str">
        <f>Hotel!V13</f>
        <v>0</v>
      </c>
      <c r="K8" s="4" t="str">
        <f>Hotel!W13</f>
        <v>0</v>
      </c>
      <c r="L8" s="4" t="str">
        <f>Hotel!X13</f>
        <v>0</v>
      </c>
      <c r="M8" s="4" t="str">
        <f>Hotel!Y13</f>
        <v>0</v>
      </c>
      <c r="N8" s="4" t="str">
        <f>Hotel!Z13</f>
        <v>0</v>
      </c>
      <c r="O8" s="4" t="str">
        <f>Hotel!AA13</f>
        <v>0</v>
      </c>
      <c r="P8" s="4" t="str">
        <f>Hotel!AB13</f>
        <v>0</v>
      </c>
      <c r="Q8" s="4" t="str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U12" sqref="AU1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 t="str">
        <f t="shared" si="16"/>
        <v>0</v>
      </c>
      <c r="R13" s="37" t="str">
        <f t="shared" si="17"/>
        <v>0</v>
      </c>
      <c r="S13" s="37" t="str">
        <f t="shared" si="15"/>
        <v>0</v>
      </c>
      <c r="T13" s="37" t="str">
        <f t="shared" si="32"/>
        <v>0</v>
      </c>
      <c r="U13" s="37" t="str">
        <f t="shared" si="32"/>
        <v>0</v>
      </c>
      <c r="V13" s="37" t="str">
        <f t="shared" si="32"/>
        <v>0</v>
      </c>
      <c r="W13" s="37" t="str">
        <f t="shared" si="32"/>
        <v>0</v>
      </c>
      <c r="X13" s="37" t="str">
        <f t="shared" si="22"/>
        <v>0</v>
      </c>
      <c r="Y13" s="37" t="str">
        <f t="shared" si="23"/>
        <v>0</v>
      </c>
      <c r="Z13" s="37" t="str">
        <f>IF((L13-L12&lt;0), "0",L13-L12)</f>
        <v>0</v>
      </c>
      <c r="AA13" s="37" t="str">
        <f t="shared" si="25"/>
        <v>0</v>
      </c>
      <c r="AB13" s="37" t="str">
        <f t="shared" si="26"/>
        <v>0</v>
      </c>
      <c r="AC13" s="37" t="str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 t="str">
        <f t="shared" si="31"/>
        <v>0</v>
      </c>
      <c r="AW13" s="35">
        <f t="shared" si="30"/>
        <v>0</v>
      </c>
    </row>
    <row r="14" spans="1:49" x14ac:dyDescent="0.25">
      <c r="A14" s="23">
        <v>44204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44205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44206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44207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44208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44209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44210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44211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44212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44213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44214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44215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44216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44217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44218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44219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3320</v>
      </c>
      <c r="R38" s="30">
        <f t="shared" si="62"/>
        <v>11160</v>
      </c>
      <c r="S38" s="30">
        <f t="shared" si="62"/>
        <v>16010</v>
      </c>
      <c r="T38" s="30">
        <f t="shared" si="62"/>
        <v>8620</v>
      </c>
      <c r="U38" s="30">
        <f t="shared" si="62"/>
        <v>34950</v>
      </c>
      <c r="V38" s="30">
        <f t="shared" si="62"/>
        <v>20440</v>
      </c>
      <c r="W38" s="30">
        <f t="shared" si="62"/>
        <v>14000</v>
      </c>
      <c r="X38" s="30">
        <f t="shared" si="62"/>
        <v>22500</v>
      </c>
      <c r="Y38" s="30">
        <f t="shared" si="62"/>
        <v>32990</v>
      </c>
      <c r="Z38" s="30">
        <f t="shared" si="62"/>
        <v>15870</v>
      </c>
      <c r="AA38" s="30">
        <f t="shared" si="62"/>
        <v>22060</v>
      </c>
      <c r="AB38" s="30">
        <f t="shared" si="62"/>
        <v>40280</v>
      </c>
      <c r="AC38" s="30">
        <f t="shared" si="62"/>
        <v>65640</v>
      </c>
      <c r="AD38" s="35">
        <f t="shared" si="62"/>
        <v>307840</v>
      </c>
      <c r="AF38" s="35">
        <f t="shared" ref="AF38:AS38" si="63">SUM(AF7:AF34)</f>
        <v>16.600000000000001</v>
      </c>
      <c r="AG38" s="35">
        <f t="shared" si="63"/>
        <v>55.800000000000004</v>
      </c>
      <c r="AH38" s="35">
        <f t="shared" si="63"/>
        <v>80.05</v>
      </c>
      <c r="AI38" s="35">
        <f t="shared" si="63"/>
        <v>43.1</v>
      </c>
      <c r="AJ38" s="35">
        <f t="shared" si="63"/>
        <v>174.75</v>
      </c>
      <c r="AK38" s="35">
        <f t="shared" si="63"/>
        <v>102.20000000000002</v>
      </c>
      <c r="AL38" s="35">
        <f t="shared" si="63"/>
        <v>70</v>
      </c>
      <c r="AM38" s="35">
        <f t="shared" si="63"/>
        <v>112.50000000000001</v>
      </c>
      <c r="AN38" s="35">
        <f t="shared" si="63"/>
        <v>164.95000000000002</v>
      </c>
      <c r="AO38" s="35">
        <f t="shared" si="63"/>
        <v>79.350000000000009</v>
      </c>
      <c r="AP38" s="35">
        <f t="shared" si="63"/>
        <v>110.30000000000001</v>
      </c>
      <c r="AQ38" s="35">
        <f t="shared" si="63"/>
        <v>201.40000000000003</v>
      </c>
      <c r="AR38" s="35">
        <f t="shared" si="63"/>
        <v>328.2</v>
      </c>
      <c r="AS38" s="35">
        <f t="shared" si="63"/>
        <v>1539.2000000000003</v>
      </c>
      <c r="AU38" s="48"/>
      <c r="AV38" s="35">
        <f>SUM(AV7:AV34)</f>
        <v>10468</v>
      </c>
      <c r="AW38" s="35">
        <f>SUM(AW7:AW34)</f>
        <v>12.778000000000002</v>
      </c>
    </row>
    <row r="39" spans="1:49" x14ac:dyDescent="0.25">
      <c r="D39">
        <v>5.0000000000000001E-3</v>
      </c>
      <c r="AV39" s="36">
        <f>AV38*0.00378541*1000</f>
        <v>39625.671880000002</v>
      </c>
    </row>
    <row r="40" spans="1:49" x14ac:dyDescent="0.25">
      <c r="D40">
        <v>2E-3</v>
      </c>
      <c r="AV40">
        <f>AV39/31</f>
        <v>1278.24748</v>
      </c>
    </row>
    <row r="41" spans="1:49" x14ac:dyDescent="0.25">
      <c r="AV41">
        <f>AV38*0.00378541</f>
        <v>39.625671879999999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2021-01-07T08:47:47Z</dcterms:modified>
</cp:coreProperties>
</file>