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Waste Record\"/>
    </mc:Choice>
  </mc:AlternateContent>
  <xr:revisionPtr revIDLastSave="365" documentId="11_9B892F11F2BDC18C6215275FB31E30571BABF1E2" xr6:coauthVersionLast="47" xr6:coauthVersionMax="47" xr10:uidLastSave="{FF69F73E-0E96-4C19-BA2D-1A997B5B5C13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Jimbaran May 2018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28" i="11" l="1"/>
  <c r="BE28" i="11"/>
  <c r="BF28" i="11"/>
  <c r="BG28" i="11"/>
  <c r="BH28" i="11"/>
  <c r="BI28" i="11"/>
  <c r="BJ28" i="11"/>
  <c r="BK28" i="11"/>
  <c r="BL28" i="11"/>
  <c r="BO28" i="11"/>
  <c r="BP28" i="11"/>
  <c r="BD29" i="11"/>
  <c r="BE29" i="11"/>
  <c r="BF29" i="11"/>
  <c r="BG29" i="11"/>
  <c r="BH29" i="11"/>
  <c r="BI29" i="11"/>
  <c r="BJ29" i="11"/>
  <c r="BK29" i="11"/>
  <c r="BL29" i="11"/>
  <c r="BO29" i="11"/>
  <c r="BP29" i="11"/>
  <c r="BD30" i="11"/>
  <c r="BE30" i="11"/>
  <c r="BF30" i="11"/>
  <c r="BG30" i="11"/>
  <c r="BH30" i="11"/>
  <c r="BI30" i="11"/>
  <c r="BJ30" i="11"/>
  <c r="BK30" i="11"/>
  <c r="BL30" i="11"/>
  <c r="BO30" i="11"/>
  <c r="BP30" i="11"/>
  <c r="BD31" i="11"/>
  <c r="BE31" i="11"/>
  <c r="BF31" i="11"/>
  <c r="BG31" i="11"/>
  <c r="BH31" i="11"/>
  <c r="BI31" i="11"/>
  <c r="BJ31" i="11"/>
  <c r="BK31" i="11"/>
  <c r="BL31" i="11"/>
  <c r="BO31" i="11"/>
  <c r="BP31" i="11"/>
  <c r="BD32" i="11"/>
  <c r="BE32" i="11"/>
  <c r="BF32" i="11"/>
  <c r="BG32" i="11"/>
  <c r="BH32" i="11"/>
  <c r="BI32" i="11"/>
  <c r="BJ32" i="11"/>
  <c r="BK32" i="11"/>
  <c r="BL32" i="11"/>
  <c r="BO32" i="11"/>
  <c r="BP32" i="11"/>
  <c r="BD33" i="11"/>
  <c r="BE33" i="11"/>
  <c r="BF33" i="11"/>
  <c r="BG33" i="11"/>
  <c r="BH33" i="11"/>
  <c r="BI33" i="11"/>
  <c r="BJ33" i="11"/>
  <c r="BK33" i="11"/>
  <c r="BL33" i="11"/>
  <c r="BO33" i="11"/>
  <c r="BP33" i="11"/>
  <c r="BC28" i="11"/>
  <c r="BC29" i="11"/>
  <c r="BC30" i="11"/>
  <c r="BC31" i="11"/>
  <c r="BC32" i="11"/>
  <c r="BC33" i="11"/>
  <c r="AX30" i="11"/>
  <c r="AY30" i="11"/>
  <c r="AZ30" i="11"/>
  <c r="BA30" i="11"/>
  <c r="BB30" i="11"/>
  <c r="AX31" i="11"/>
  <c r="AY31" i="11"/>
  <c r="AZ31" i="11"/>
  <c r="BA31" i="11"/>
  <c r="BB31" i="11"/>
  <c r="AX32" i="11"/>
  <c r="AY32" i="11"/>
  <c r="AZ32" i="11"/>
  <c r="BA32" i="11"/>
  <c r="BB32" i="11"/>
  <c r="AX33" i="11"/>
  <c r="AY33" i="11"/>
  <c r="AZ33" i="11"/>
  <c r="BA33" i="11"/>
  <c r="BB33" i="11"/>
  <c r="AW27" i="11"/>
  <c r="AW28" i="11"/>
  <c r="AW29" i="11"/>
  <c r="AW30" i="11"/>
  <c r="AW31" i="11"/>
  <c r="AW32" i="11"/>
  <c r="AW33" i="11"/>
  <c r="X33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L11" i="11"/>
  <c r="M11" i="11"/>
  <c r="N11" i="11"/>
  <c r="L12" i="11"/>
  <c r="M12" i="11"/>
  <c r="N12" i="11"/>
  <c r="L13" i="11"/>
  <c r="M13" i="11"/>
  <c r="N13" i="11"/>
  <c r="L14" i="11"/>
  <c r="M14" i="11"/>
  <c r="N14" i="11"/>
  <c r="L15" i="11"/>
  <c r="M15" i="11"/>
  <c r="N15" i="11"/>
  <c r="L16" i="11"/>
  <c r="M16" i="11"/>
  <c r="N16" i="11"/>
  <c r="L17" i="11"/>
  <c r="M17" i="11"/>
  <c r="N17" i="11"/>
  <c r="L18" i="11"/>
  <c r="M18" i="11"/>
  <c r="N18" i="11"/>
  <c r="L19" i="11"/>
  <c r="M19" i="11"/>
  <c r="N19" i="11"/>
  <c r="L20" i="11"/>
  <c r="M20" i="11"/>
  <c r="N20" i="11"/>
  <c r="L21" i="11"/>
  <c r="M21" i="11"/>
  <c r="N21" i="11"/>
  <c r="L22" i="11"/>
  <c r="M22" i="11"/>
  <c r="N22" i="11"/>
  <c r="L23" i="11"/>
  <c r="M23" i="11"/>
  <c r="N23" i="11"/>
  <c r="L24" i="11"/>
  <c r="M24" i="11"/>
  <c r="N24" i="11"/>
  <c r="L25" i="11"/>
  <c r="M25" i="11"/>
  <c r="N25" i="11"/>
  <c r="L26" i="11"/>
  <c r="M26" i="11"/>
  <c r="N26" i="11"/>
  <c r="L27" i="11"/>
  <c r="M27" i="11"/>
  <c r="N27" i="11"/>
  <c r="L28" i="11"/>
  <c r="M28" i="11"/>
  <c r="N28" i="11"/>
  <c r="L29" i="11"/>
  <c r="M29" i="11"/>
  <c r="N29" i="11"/>
  <c r="L30" i="11"/>
  <c r="M30" i="11"/>
  <c r="N30" i="11"/>
  <c r="L31" i="11"/>
  <c r="M31" i="11"/>
  <c r="N31" i="11"/>
  <c r="L32" i="11"/>
  <c r="M32" i="11"/>
  <c r="N32" i="11"/>
  <c r="L33" i="11"/>
  <c r="M33" i="11"/>
  <c r="N33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F12" i="11"/>
  <c r="H12" i="11"/>
  <c r="I12" i="11"/>
  <c r="J12" i="11"/>
  <c r="F13" i="11"/>
  <c r="H13" i="11"/>
  <c r="I13" i="11"/>
  <c r="J13" i="11"/>
  <c r="F14" i="11"/>
  <c r="H14" i="11"/>
  <c r="I14" i="11"/>
  <c r="J14" i="11"/>
  <c r="F15" i="11"/>
  <c r="H15" i="11"/>
  <c r="I15" i="11"/>
  <c r="J15" i="11"/>
  <c r="F16" i="11"/>
  <c r="H16" i="11"/>
  <c r="I16" i="11"/>
  <c r="J16" i="11"/>
  <c r="F17" i="11"/>
  <c r="H17" i="11"/>
  <c r="I17" i="11"/>
  <c r="J17" i="11"/>
  <c r="F18" i="11"/>
  <c r="H18" i="11"/>
  <c r="I18" i="11"/>
  <c r="J18" i="11"/>
  <c r="F19" i="11"/>
  <c r="H19" i="11"/>
  <c r="I19" i="11"/>
  <c r="J19" i="11"/>
  <c r="F20" i="11"/>
  <c r="H20" i="11"/>
  <c r="I20" i="11"/>
  <c r="J20" i="11"/>
  <c r="F21" i="11"/>
  <c r="H21" i="11"/>
  <c r="I21" i="11"/>
  <c r="J21" i="11"/>
  <c r="F22" i="11"/>
  <c r="H22" i="11"/>
  <c r="I22" i="11"/>
  <c r="J22" i="11"/>
  <c r="F23" i="11"/>
  <c r="H23" i="11"/>
  <c r="I23" i="11"/>
  <c r="J23" i="11"/>
  <c r="F24" i="11"/>
  <c r="H24" i="11"/>
  <c r="I24" i="11"/>
  <c r="J24" i="11"/>
  <c r="F25" i="11"/>
  <c r="H25" i="11"/>
  <c r="I25" i="11"/>
  <c r="J25" i="11"/>
  <c r="F26" i="11"/>
  <c r="H26" i="11"/>
  <c r="I26" i="11"/>
  <c r="J26" i="11"/>
  <c r="F27" i="11"/>
  <c r="H27" i="11"/>
  <c r="I27" i="11"/>
  <c r="J27" i="11"/>
  <c r="F28" i="11"/>
  <c r="H28" i="11"/>
  <c r="I28" i="11"/>
  <c r="J28" i="11"/>
  <c r="F29" i="11"/>
  <c r="H29" i="11"/>
  <c r="I29" i="11"/>
  <c r="J29" i="11"/>
  <c r="F30" i="11"/>
  <c r="H30" i="11"/>
  <c r="I30" i="11"/>
  <c r="J30" i="11"/>
  <c r="F31" i="11"/>
  <c r="H31" i="11"/>
  <c r="I31" i="11"/>
  <c r="J31" i="11"/>
  <c r="F32" i="11"/>
  <c r="H32" i="11"/>
  <c r="I32" i="11"/>
  <c r="J32" i="11"/>
  <c r="F33" i="11"/>
  <c r="H33" i="11"/>
  <c r="I33" i="11"/>
  <c r="J33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AI43" i="14"/>
  <c r="Y43" i="14"/>
  <c r="Z43" i="14"/>
  <c r="U43" i="14"/>
  <c r="K43" i="14"/>
  <c r="E43" i="14"/>
  <c r="M43" i="14"/>
  <c r="BC20" i="11"/>
  <c r="BC21" i="11"/>
  <c r="BC22" i="11"/>
  <c r="BC23" i="11"/>
  <c r="BC24" i="11"/>
  <c r="BC25" i="11"/>
  <c r="BC26" i="11"/>
  <c r="BC27" i="11"/>
  <c r="AW24" i="11"/>
  <c r="AW25" i="11"/>
  <c r="AW26" i="11"/>
  <c r="X24" i="11"/>
  <c r="X25" i="11"/>
  <c r="X26" i="11"/>
  <c r="X27" i="11"/>
  <c r="X28" i="11"/>
  <c r="X29" i="11"/>
  <c r="X30" i="11"/>
  <c r="X31" i="11"/>
  <c r="W21" i="11"/>
  <c r="X32" i="11"/>
  <c r="W2" i="11"/>
  <c r="O3" i="11"/>
  <c r="O4" i="11"/>
  <c r="O5" i="11"/>
  <c r="O6" i="11"/>
  <c r="O7" i="11"/>
  <c r="O8" i="11"/>
  <c r="O9" i="11"/>
  <c r="O10" i="11"/>
  <c r="O11" i="11"/>
  <c r="O2" i="11"/>
  <c r="K3" i="11"/>
  <c r="K4" i="11"/>
  <c r="K5" i="11"/>
  <c r="K6" i="11"/>
  <c r="K7" i="11"/>
  <c r="K8" i="11"/>
  <c r="K9" i="11"/>
  <c r="K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" i="11"/>
  <c r="F40" i="14"/>
  <c r="G40" i="14"/>
  <c r="H40" i="14"/>
  <c r="I40" i="14"/>
  <c r="J40" i="14"/>
  <c r="L40" i="14"/>
  <c r="N40" i="14"/>
  <c r="O40" i="14"/>
  <c r="P40" i="14"/>
  <c r="Q40" i="14"/>
  <c r="R40" i="14"/>
  <c r="S40" i="14"/>
  <c r="T40" i="14"/>
  <c r="V40" i="14"/>
  <c r="W40" i="14"/>
  <c r="X40" i="14"/>
  <c r="AA40" i="14"/>
  <c r="AB40" i="14"/>
  <c r="AC40" i="14"/>
  <c r="AD40" i="14"/>
  <c r="AE40" i="14"/>
  <c r="AF40" i="14"/>
  <c r="AG40" i="14"/>
  <c r="AH40" i="14"/>
  <c r="AJ40" i="14"/>
  <c r="AK40" i="14"/>
  <c r="AL40" i="14"/>
  <c r="AM40" i="14"/>
  <c r="AM42" i="14" s="1"/>
  <c r="AN40" i="14"/>
  <c r="AN42" i="14" s="1"/>
  <c r="AO40" i="14"/>
  <c r="AO42" i="14" s="1"/>
  <c r="AP40" i="14"/>
  <c r="AP42" i="14" s="1"/>
  <c r="AQ40" i="14"/>
  <c r="AQ42" i="14" s="1"/>
  <c r="AR40" i="14"/>
  <c r="AR42" i="14" s="1"/>
  <c r="AS40" i="14"/>
  <c r="AS42" i="14" s="1"/>
  <c r="AT40" i="14"/>
  <c r="AT42" i="14" s="1"/>
  <c r="AU40" i="14"/>
  <c r="AU42" i="14" s="1"/>
  <c r="AV40" i="14"/>
  <c r="AV42" i="14" s="1"/>
  <c r="AW40" i="14"/>
  <c r="AW42" i="14" s="1"/>
  <c r="AX40" i="14"/>
  <c r="AX42" i="14" s="1"/>
  <c r="AY40" i="14"/>
  <c r="AY42" i="14" s="1"/>
  <c r="AZ40" i="14"/>
  <c r="AZ42" i="14" s="1"/>
  <c r="BA40" i="14"/>
  <c r="BA42" i="14" s="1"/>
  <c r="BB40" i="14"/>
  <c r="BB42" i="14" s="1"/>
  <c r="BC40" i="14"/>
  <c r="BC42" i="14" s="1"/>
  <c r="BD40" i="14"/>
  <c r="BD42" i="14" s="1"/>
  <c r="BE40" i="14"/>
  <c r="BE42" i="14" s="1"/>
  <c r="BF40" i="14"/>
  <c r="BF42" i="14" s="1"/>
  <c r="BG40" i="14"/>
  <c r="BG42" i="14" s="1"/>
  <c r="BH40" i="14"/>
  <c r="BH42" i="14" s="1"/>
  <c r="BI40" i="14"/>
  <c r="BI42" i="14" s="1"/>
  <c r="BJ40" i="14"/>
  <c r="BJ42" i="14" s="1"/>
  <c r="BK40" i="14"/>
  <c r="BK42" i="14" s="1"/>
  <c r="BL40" i="14"/>
  <c r="BL42" i="14" s="1"/>
  <c r="BM40" i="14"/>
  <c r="BM42" i="14" s="1"/>
  <c r="BN40" i="14"/>
  <c r="BN42" i="14" s="1"/>
  <c r="BO40" i="14"/>
  <c r="BO42" i="14" s="1"/>
  <c r="BP40" i="14"/>
  <c r="BP42" i="14" s="1"/>
  <c r="M2" i="11"/>
  <c r="I3" i="11"/>
  <c r="I4" i="11"/>
  <c r="I5" i="11"/>
  <c r="I6" i="11"/>
  <c r="I7" i="11"/>
  <c r="I8" i="11"/>
  <c r="I9" i="11"/>
  <c r="I10" i="11"/>
  <c r="I11" i="11"/>
  <c r="I2" i="11"/>
  <c r="AL42" i="14" l="1"/>
  <c r="AL43" i="14"/>
  <c r="AK42" i="14"/>
  <c r="AK43" i="14"/>
  <c r="AJ42" i="14"/>
  <c r="AJ43" i="14"/>
  <c r="AH41" i="14"/>
  <c r="AH42" i="14"/>
  <c r="AG41" i="14"/>
  <c r="AG42" i="14"/>
  <c r="AF41" i="14"/>
  <c r="AF42" i="14"/>
  <c r="AE41" i="14"/>
  <c r="AE42" i="14"/>
  <c r="AD41" i="14"/>
  <c r="AD42" i="14"/>
  <c r="AC41" i="14"/>
  <c r="AC42" i="14"/>
  <c r="AB41" i="14"/>
  <c r="AB42" i="14"/>
  <c r="AA41" i="14"/>
  <c r="AA42" i="14"/>
  <c r="X41" i="14"/>
  <c r="X42" i="14"/>
  <c r="W41" i="14"/>
  <c r="W42" i="14"/>
  <c r="V41" i="14"/>
  <c r="V42" i="14"/>
  <c r="T41" i="14"/>
  <c r="T42" i="14"/>
  <c r="S41" i="14"/>
  <c r="S42" i="14"/>
  <c r="R41" i="14"/>
  <c r="R42" i="14"/>
  <c r="Q41" i="14"/>
  <c r="Q42" i="14"/>
  <c r="P41" i="14"/>
  <c r="P42" i="14"/>
  <c r="O41" i="14"/>
  <c r="O42" i="14"/>
  <c r="N41" i="14"/>
  <c r="N42" i="14"/>
  <c r="L41" i="14"/>
  <c r="L42" i="14"/>
  <c r="J41" i="14"/>
  <c r="J42" i="14"/>
  <c r="I41" i="14"/>
  <c r="I42" i="14"/>
  <c r="H41" i="14"/>
  <c r="H42" i="14"/>
  <c r="G41" i="14"/>
  <c r="G42" i="14"/>
  <c r="F41" i="14"/>
  <c r="F42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V30" i="11" s="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U30" i="11" s="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T30" i="11" s="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S30" i="11" s="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R30" i="11" s="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Q30" i="11" s="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P30" i="11" s="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O30" i="11" s="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N30" i="11" s="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M30" i="11" s="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L30" i="11" s="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K30" i="11" s="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J30" i="11" s="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H30" i="11" s="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G30" i="11" s="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F30" i="11" s="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E30" i="11" s="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D30" i="11" s="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C30" i="11" s="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B30" i="11" s="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Z30" i="11" s="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V30" i="11" s="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U30" i="11" s="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T30" i="11" s="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S30" i="11" s="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R30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Q30" i="11" s="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P30" i="11" s="1"/>
  <c r="N3" i="11"/>
  <c r="N4" i="11"/>
  <c r="N5" i="11"/>
  <c r="N6" i="11"/>
  <c r="N7" i="11"/>
  <c r="N8" i="11"/>
  <c r="N9" i="11"/>
  <c r="N10" i="11"/>
  <c r="N2" i="11"/>
  <c r="M3" i="11"/>
  <c r="M4" i="11"/>
  <c r="M5" i="11"/>
  <c r="M6" i="11"/>
  <c r="M7" i="11"/>
  <c r="M8" i="11"/>
  <c r="M9" i="11"/>
  <c r="M10" i="11"/>
  <c r="L3" i="11"/>
  <c r="L4" i="11"/>
  <c r="L5" i="11"/>
  <c r="L6" i="11"/>
  <c r="L7" i="11"/>
  <c r="L8" i="11"/>
  <c r="L9" i="11"/>
  <c r="L10" i="11"/>
  <c r="L2" i="11"/>
  <c r="J3" i="11"/>
  <c r="J4" i="11"/>
  <c r="J5" i="11"/>
  <c r="J6" i="11"/>
  <c r="J7" i="11"/>
  <c r="J8" i="11"/>
  <c r="J9" i="11"/>
  <c r="J10" i="11"/>
  <c r="J11" i="11"/>
  <c r="J2" i="11"/>
  <c r="H3" i="11"/>
  <c r="H4" i="11"/>
  <c r="H5" i="11"/>
  <c r="H6" i="11"/>
  <c r="H7" i="11"/>
  <c r="H8" i="11"/>
  <c r="H9" i="11"/>
  <c r="H10" i="11"/>
  <c r="H11" i="11"/>
  <c r="H2" i="11"/>
  <c r="F3" i="11"/>
  <c r="F4" i="11"/>
  <c r="F5" i="11"/>
  <c r="F6" i="11"/>
  <c r="F7" i="11"/>
  <c r="F8" i="11"/>
  <c r="F9" i="11"/>
  <c r="F10" i="11"/>
  <c r="F11" i="11"/>
  <c r="F2" i="11"/>
  <c r="V43" i="14" l="1"/>
  <c r="W43" i="14"/>
  <c r="X43" i="14"/>
  <c r="AA43" i="14"/>
  <c r="AB43" i="14"/>
  <c r="AC43" i="14"/>
  <c r="AD43" i="14"/>
  <c r="AE43" i="14"/>
  <c r="AF43" i="14"/>
  <c r="AG43" i="14"/>
  <c r="AH43" i="14"/>
  <c r="O43" i="14"/>
  <c r="P43" i="14"/>
  <c r="Q43" i="14"/>
  <c r="R43" i="14"/>
  <c r="S43" i="14"/>
  <c r="T43" i="14"/>
  <c r="F43" i="14"/>
  <c r="G43" i="14"/>
  <c r="H43" i="14"/>
  <c r="I43" i="14"/>
  <c r="J43" i="14"/>
  <c r="L43" i="14"/>
  <c r="N43" i="14"/>
  <c r="P31" i="11"/>
  <c r="Q31" i="11"/>
  <c r="R31" i="11"/>
  <c r="S31" i="11"/>
  <c r="T31" i="11"/>
  <c r="U31" i="11"/>
  <c r="V31" i="11"/>
  <c r="Z31" i="11"/>
  <c r="AB31" i="11"/>
  <c r="AC31" i="11"/>
  <c r="AD31" i="11"/>
  <c r="AE31" i="11"/>
  <c r="AF31" i="11"/>
  <c r="AG31" i="11"/>
  <c r="AH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AI30" i="11"/>
  <c r="AA30" i="11"/>
  <c r="Y30" i="11"/>
  <c r="Y31" i="11" l="1"/>
  <c r="AA31" i="11"/>
  <c r="AI31" i="11"/>
  <c r="AV32" i="11"/>
  <c r="AV33" i="11" s="1"/>
  <c r="AU32" i="11"/>
  <c r="AU33" i="11" s="1"/>
  <c r="AT32" i="11"/>
  <c r="AT33" i="11" s="1"/>
  <c r="AS32" i="11"/>
  <c r="AS33" i="11" s="1"/>
  <c r="AR32" i="11"/>
  <c r="AR33" i="11" s="1"/>
  <c r="AQ32" i="11"/>
  <c r="AQ33" i="11" s="1"/>
  <c r="AP32" i="11"/>
  <c r="AP33" i="11" s="1"/>
  <c r="AO32" i="11"/>
  <c r="AO33" i="11" s="1"/>
  <c r="AN32" i="11"/>
  <c r="AN33" i="11" s="1"/>
  <c r="AM32" i="11"/>
  <c r="AM33" i="11" s="1"/>
  <c r="AL32" i="11"/>
  <c r="AL33" i="11" s="1"/>
  <c r="AK32" i="11"/>
  <c r="AK33" i="11" s="1"/>
  <c r="AJ32" i="11"/>
  <c r="AJ33" i="11" s="1"/>
  <c r="AH32" i="11"/>
  <c r="AH33" i="11" s="1"/>
  <c r="AG32" i="11"/>
  <c r="AG33" i="11" s="1"/>
  <c r="AF32" i="11"/>
  <c r="AF33" i="11" s="1"/>
  <c r="AE32" i="11"/>
  <c r="AE33" i="11" s="1"/>
  <c r="AD32" i="11"/>
  <c r="AD33" i="11" s="1"/>
  <c r="AC32" i="11"/>
  <c r="AC33" i="11" s="1"/>
  <c r="AB32" i="11"/>
  <c r="AB33" i="11" s="1"/>
  <c r="Z32" i="11"/>
  <c r="Z33" i="11" s="1"/>
  <c r="V32" i="11"/>
  <c r="V33" i="11" s="1"/>
  <c r="U32" i="11"/>
  <c r="U33" i="11" s="1"/>
  <c r="T32" i="11"/>
  <c r="T33" i="11" s="1"/>
  <c r="S32" i="11"/>
  <c r="S33" i="11" s="1"/>
  <c r="R32" i="11"/>
  <c r="R33" i="11" s="1"/>
  <c r="Q32" i="11"/>
  <c r="Q33" i="11" s="1"/>
  <c r="P32" i="11"/>
  <c r="P33" i="11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I32" i="11" l="1"/>
  <c r="AI33" i="11" s="1"/>
  <c r="AA32" i="11"/>
  <c r="AA33" i="11" s="1"/>
  <c r="Y32" i="11"/>
  <c r="Y33" i="11" s="1"/>
</calcChain>
</file>

<file path=xl/sharedStrings.xml><?xml version="1.0" encoding="utf-8"?>
<sst xmlns="http://schemas.openxmlformats.org/spreadsheetml/2006/main" count="254" uniqueCount="81">
  <si>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</si>
  <si>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</si>
  <si>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</si>
  <si>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</si>
  <si>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</si>
  <si>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</si>
  <si>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</si>
  <si>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</si>
  <si>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</si>
  <si>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</si>
  <si>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</si>
  <si>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</si>
  <si>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</si>
  <si>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</si>
  <si>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</si>
  <si>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</si>
  <si>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</si>
  <si>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</si>
  <si>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</si>
  <si>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</si>
  <si>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</si>
  <si>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</si>
  <si>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</si>
  <si>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</si>
  <si>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</si>
  <si>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</si>
  <si>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</si>
  <si>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</si>
  <si>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</si>
  <si>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</si>
  <si>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</si>
  <si>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</si>
  <si>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</si>
  <si>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</si>
  <si>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</si>
  <si>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</si>
  <si>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</si>
  <si>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</si>
  <si>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</si>
  <si>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</si>
  <si>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</si>
  <si>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</si>
  <si>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</si>
  <si>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</si>
  <si>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</si>
  <si>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</si>
  <si>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</si>
  <si>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</si>
  <si>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</si>
  <si>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</si>
  <si>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</si>
  <si>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</si>
  <si>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</si>
  <si>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</si>
  <si>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</si>
  <si>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</si>
  <si>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</si>
  <si>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</si>
  <si>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</si>
  <si>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</si>
  <si>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</si>
  <si>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</si>
  <si>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</si>
  <si>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</si>
  <si>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</si>
  <si>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</si>
  <si>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</si>
  <si>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</si>
  <si>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</si>
  <si>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Four Seasons Resort Bali at Jimbaran Bay</t>
  </si>
  <si>
    <t>May 2018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</si>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</sst>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#,##0.0_);[Red]\(#,##0.0\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5" fillId="0" borderId="0"/>
  </cellStyleXfs>
  <cellXfs count="98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1" xfId="0" applyFont="1" applyBorder="1" applyAlignment="1">
      <alignment horizontal="right"/>
    </xf>
    <xf numFmtId="0" fontId="13" fillId="0" borderId="1" xfId="0" applyFont="1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17" fillId="0" borderId="1" xfId="0" applyFont="1" applyBorder="1" applyAlignment="1">
      <alignment horizontal="center"/>
    </xf>
    <xf numFmtId="0" fontId="14" fillId="0" borderId="1" xfId="0" applyFont="1" applyBorder="1"/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0" fontId="11" fillId="0" borderId="0" xfId="0" applyFont="1" applyAlignment="1">
      <alignment horizontal="right"/>
    </xf>
    <xf numFmtId="167" fontId="11" fillId="0" borderId="0" xfId="8" applyNumberFormat="1" applyFont="1" applyAlignment="1">
      <alignment horizontal="right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11" fillId="0" borderId="5" xfId="0" applyFont="1" applyBorder="1"/>
    <xf numFmtId="0" fontId="0" fillId="0" borderId="4" xfId="0" applyBorder="1" applyAlignment="1">
      <alignment vertical="center" wrapText="1"/>
    </xf>
    <xf numFmtId="1" fontId="11" fillId="0" borderId="0" xfId="0" applyNumberFormat="1" applyFont="1"/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vertical="center" wrapText="1"/>
    </xf>
    <xf numFmtId="1" fontId="11" fillId="0" borderId="0" xfId="8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0" fontId="8" fillId="7" borderId="5" xfId="0" applyFont="1" applyFill="1" applyBorder="1" applyAlignment="1">
      <alignment horizontal="center" vertical="center" shrinkToFit="1"/>
    </xf>
    <xf numFmtId="166" fontId="12" fillId="0" borderId="5" xfId="0" applyNumberFormat="1" applyFont="1" applyBorder="1"/>
    <xf numFmtId="165" fontId="0" fillId="0" borderId="5" xfId="0" applyNumberFormat="1" applyBorder="1"/>
    <xf numFmtId="0" fontId="0" fillId="3" borderId="5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13" fillId="0" borderId="4" xfId="0" applyFont="1" applyBorder="1" applyAlignment="1">
      <alignment horizontal="right"/>
    </xf>
    <xf numFmtId="0" fontId="13" fillId="0" borderId="4" xfId="0" applyFont="1" applyBorder="1"/>
    <xf numFmtId="0" fontId="0" fillId="0" borderId="5" xfId="0" applyBorder="1" applyAlignment="1">
      <alignment horizontal="center" vertical="center" wrapText="1"/>
    </xf>
    <xf numFmtId="165" fontId="0" fillId="0" borderId="5" xfId="1" applyNumberFormat="1" applyFont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8" fillId="7" borderId="9" xfId="0" applyFont="1" applyFill="1" applyBorder="1" applyAlignment="1">
      <alignment horizontal="center" vertical="center" shrinkToFit="1"/>
    </xf>
    <xf numFmtId="166" fontId="12" fillId="0" borderId="9" xfId="0" applyNumberFormat="1" applyFont="1" applyBorder="1"/>
    <xf numFmtId="0" fontId="8" fillId="7" borderId="14" xfId="0" applyFont="1" applyFill="1" applyBorder="1" applyAlignment="1">
      <alignment horizontal="center" vertical="center" shrinkToFit="1"/>
    </xf>
    <xf numFmtId="166" fontId="12" fillId="0" borderId="14" xfId="0" applyNumberFormat="1" applyFont="1" applyBorder="1"/>
    <xf numFmtId="37" fontId="12" fillId="0" borderId="15" xfId="0" applyNumberFormat="1" applyFont="1" applyBorder="1"/>
    <xf numFmtId="37" fontId="12" fillId="0" borderId="16" xfId="0" applyNumberFormat="1" applyFont="1" applyBorder="1"/>
    <xf numFmtId="37" fontId="12" fillId="0" borderId="17" xfId="0" applyNumberFormat="1" applyFont="1" applyBorder="1"/>
    <xf numFmtId="165" fontId="0" fillId="0" borderId="15" xfId="0" applyNumberFormat="1" applyBorder="1"/>
    <xf numFmtId="0" fontId="0" fillId="3" borderId="11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9" xfId="0" applyBorder="1" applyAlignment="1">
      <alignment vertical="center"/>
    </xf>
    <xf numFmtId="0" fontId="13" fillId="0" borderId="9" xfId="0" applyFont="1" applyBorder="1" applyAlignment="1">
      <alignment horizontal="right"/>
    </xf>
    <xf numFmtId="0" fontId="13" fillId="0" borderId="9" xfId="0" applyFont="1" applyBorder="1"/>
    <xf numFmtId="0" fontId="0" fillId="4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2" xfId="0" applyNumberFormat="1" applyFont="1" applyFill="1" applyBorder="1" applyAlignment="1">
      <alignment horizontal="left"/>
    </xf>
    <xf numFmtId="49" fontId="6" fillId="2" borderId="13" xfId="0" applyNumberFormat="1" applyFont="1" applyFill="1" applyBorder="1" applyAlignment="1">
      <alignment horizontal="left"/>
    </xf>
    <xf numFmtId="0" fontId="7" fillId="6" borderId="5" xfId="0" applyFont="1" applyFill="1" applyBorder="1" applyAlignment="1">
      <alignment horizontal="center" vertical="center" wrapText="1"/>
    </xf>
    <xf numFmtId="164" fontId="0" fillId="0" borderId="5" xfId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5" fontId="0" fillId="0" borderId="5" xfId="1" applyNumberFormat="1" applyFont="1" applyBorder="1"/>
    <xf numFmtId="0" fontId="8" fillId="7" borderId="15" xfId="0" applyFont="1" applyFill="1" applyBorder="1" applyAlignment="1">
      <alignment horizontal="center" vertical="center" shrinkToFit="1"/>
    </xf>
    <xf numFmtId="165" fontId="2" fillId="0" borderId="9" xfId="1" applyNumberFormat="1" applyFont="1" applyBorder="1"/>
    <xf numFmtId="165" fontId="0" fillId="0" borderId="16" xfId="0" applyNumberFormat="1" applyBorder="1"/>
    <xf numFmtId="0" fontId="0" fillId="0" borderId="15" xfId="0" applyBorder="1"/>
    <xf numFmtId="0" fontId="0" fillId="3" borderId="20" xfId="0" applyFill="1" applyBorder="1" applyAlignment="1">
      <alignment vertical="center"/>
    </xf>
    <xf numFmtId="0" fontId="0" fillId="0" borderId="15" xfId="0" applyBorder="1" applyAlignment="1">
      <alignment vertical="center"/>
    </xf>
  </cellXfs>
  <cellStyles count="9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00000000-0005-0000-0000-000008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AV5" sqref="AV5:AV6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6" customFormat="1" ht="30.75">
      <c r="A1" s="36" t="s">
        <v>0</v>
      </c>
      <c r="B1" s="36" t="s">
        <v>1</v>
      </c>
      <c r="C1" s="36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  <c r="AK1" s="37" t="s">
        <v>36</v>
      </c>
      <c r="AL1" s="37" t="s">
        <v>37</v>
      </c>
      <c r="AM1" s="37" t="s">
        <v>38</v>
      </c>
      <c r="AN1" s="37" t="s">
        <v>39</v>
      </c>
      <c r="AO1" s="37" t="s">
        <v>40</v>
      </c>
      <c r="AP1" s="37" t="s">
        <v>41</v>
      </c>
      <c r="AQ1" s="37" t="s">
        <v>42</v>
      </c>
      <c r="AR1" s="37" t="s">
        <v>43</v>
      </c>
      <c r="AS1" s="37" t="s">
        <v>44</v>
      </c>
      <c r="AT1" s="37" t="s">
        <v>45</v>
      </c>
      <c r="AU1" s="37" t="s">
        <v>46</v>
      </c>
      <c r="AV1" s="37" t="s">
        <v>47</v>
      </c>
      <c r="AW1" s="37" t="s">
        <v>48</v>
      </c>
      <c r="AX1" s="37" t="s">
        <v>49</v>
      </c>
      <c r="AY1" s="37" t="s">
        <v>50</v>
      </c>
      <c r="AZ1" s="37" t="s">
        <v>51</v>
      </c>
      <c r="BA1" s="37" t="s">
        <v>52</v>
      </c>
      <c r="BB1" s="37" t="s">
        <v>53</v>
      </c>
      <c r="BC1" s="37" t="s">
        <v>54</v>
      </c>
      <c r="BD1" s="37" t="s">
        <v>55</v>
      </c>
      <c r="BE1" s="37" t="s">
        <v>56</v>
      </c>
      <c r="BF1" s="37" t="s">
        <v>57</v>
      </c>
      <c r="BG1" s="37" t="s">
        <v>58</v>
      </c>
      <c r="BH1" s="37" t="s">
        <v>59</v>
      </c>
      <c r="BI1" s="37" t="s">
        <v>60</v>
      </c>
      <c r="BJ1" s="37" t="s">
        <v>61</v>
      </c>
      <c r="BK1" s="37" t="s">
        <v>62</v>
      </c>
      <c r="BL1" s="37" t="s">
        <v>63</v>
      </c>
      <c r="BM1" s="37" t="s">
        <v>64</v>
      </c>
      <c r="BN1" s="37" t="s">
        <v>65</v>
      </c>
      <c r="BO1" s="37" t="s">
        <v>66</v>
      </c>
    </row>
    <row r="2" spans="1:67">
      <c r="A2" t="s">
        <v>67</v>
      </c>
      <c r="B2" s="38">
        <v>1</v>
      </c>
      <c r="C2" s="38">
        <v>2018</v>
      </c>
      <c r="D2" s="46">
        <v>220.7</v>
      </c>
      <c r="E2" s="46">
        <v>0</v>
      </c>
      <c r="F2" s="46">
        <v>0</v>
      </c>
      <c r="G2" s="46">
        <v>0</v>
      </c>
      <c r="H2" s="46">
        <v>0</v>
      </c>
      <c r="I2" s="46">
        <v>0</v>
      </c>
      <c r="J2" s="46">
        <v>624.9</v>
      </c>
      <c r="K2" s="46">
        <v>0</v>
      </c>
      <c r="L2" s="46">
        <v>0</v>
      </c>
      <c r="M2" s="46">
        <v>0</v>
      </c>
      <c r="N2" s="46">
        <v>873.10000000000014</v>
      </c>
      <c r="O2" s="46">
        <v>0</v>
      </c>
      <c r="P2" s="46">
        <v>0</v>
      </c>
      <c r="Q2" s="46">
        <v>0</v>
      </c>
      <c r="R2" s="46">
        <v>0</v>
      </c>
      <c r="S2" s="46">
        <v>0</v>
      </c>
      <c r="T2" s="46">
        <v>0</v>
      </c>
      <c r="U2" s="46">
        <v>0</v>
      </c>
      <c r="V2" s="46">
        <v>17160</v>
      </c>
      <c r="W2" s="46">
        <v>8284726</v>
      </c>
      <c r="X2" s="46">
        <v>0</v>
      </c>
      <c r="Y2" s="46">
        <v>0</v>
      </c>
      <c r="Z2" s="46">
        <v>0</v>
      </c>
      <c r="AA2" s="46">
        <v>0</v>
      </c>
      <c r="AB2" s="46">
        <v>0</v>
      </c>
      <c r="AC2" s="46">
        <v>0</v>
      </c>
      <c r="AD2" s="46">
        <v>0</v>
      </c>
      <c r="AE2" s="46">
        <v>0</v>
      </c>
      <c r="AF2" s="46">
        <v>0</v>
      </c>
      <c r="AG2" s="46">
        <v>0</v>
      </c>
      <c r="AH2" s="46">
        <v>0</v>
      </c>
      <c r="AI2" s="46">
        <v>0</v>
      </c>
      <c r="AJ2" s="46">
        <v>0</v>
      </c>
      <c r="AK2" s="46">
        <v>0</v>
      </c>
      <c r="AL2" s="46">
        <v>0</v>
      </c>
      <c r="AM2" s="46">
        <v>0</v>
      </c>
      <c r="AN2" s="46">
        <v>0</v>
      </c>
      <c r="AO2" s="46">
        <v>0</v>
      </c>
      <c r="AP2" s="46">
        <v>0</v>
      </c>
      <c r="AQ2" s="46">
        <v>0</v>
      </c>
      <c r="AR2" s="46">
        <v>0</v>
      </c>
      <c r="AS2" s="46">
        <v>0</v>
      </c>
      <c r="AT2" s="46">
        <v>0</v>
      </c>
      <c r="AU2" s="46">
        <v>0</v>
      </c>
      <c r="AV2" s="46">
        <v>760.69999999999993</v>
      </c>
      <c r="AW2" s="46">
        <v>0</v>
      </c>
      <c r="AX2" s="46">
        <v>0</v>
      </c>
      <c r="AY2" s="46">
        <v>0</v>
      </c>
      <c r="AZ2" s="46">
        <v>0</v>
      </c>
      <c r="BA2" s="46">
        <v>0</v>
      </c>
      <c r="BB2" s="46">
        <v>21450</v>
      </c>
      <c r="BC2" s="46">
        <v>0</v>
      </c>
      <c r="BD2" s="46">
        <v>0</v>
      </c>
      <c r="BE2" s="46">
        <v>0</v>
      </c>
      <c r="BF2" s="46">
        <v>0</v>
      </c>
      <c r="BG2" s="46">
        <v>0</v>
      </c>
      <c r="BH2" s="46">
        <v>0</v>
      </c>
      <c r="BI2" s="46">
        <v>0</v>
      </c>
      <c r="BJ2" s="46">
        <v>0</v>
      </c>
      <c r="BK2" s="46">
        <v>0</v>
      </c>
      <c r="BL2" s="46">
        <v>0</v>
      </c>
      <c r="BM2" s="46">
        <v>0</v>
      </c>
      <c r="BN2" s="46">
        <v>0</v>
      </c>
      <c r="BO2" s="46">
        <v>0</v>
      </c>
    </row>
    <row r="3" spans="1:67">
      <c r="A3" t="s">
        <v>67</v>
      </c>
      <c r="B3" s="38">
        <v>2</v>
      </c>
      <c r="C3" s="38">
        <v>2018</v>
      </c>
      <c r="D3" s="47">
        <v>152.89999999999998</v>
      </c>
      <c r="E3" s="48">
        <v>0</v>
      </c>
      <c r="F3" s="46">
        <v>0</v>
      </c>
      <c r="G3" s="48">
        <v>0</v>
      </c>
      <c r="H3" s="47">
        <v>0</v>
      </c>
      <c r="I3" s="48">
        <v>0</v>
      </c>
      <c r="J3" s="47">
        <v>661.5</v>
      </c>
      <c r="K3" s="48">
        <v>0</v>
      </c>
      <c r="L3" s="48">
        <v>0</v>
      </c>
      <c r="M3" s="48">
        <v>0</v>
      </c>
      <c r="N3" s="49">
        <v>463.59999999999997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6">
        <v>16590</v>
      </c>
      <c r="W3" s="48">
        <v>8284726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48">
        <v>0</v>
      </c>
      <c r="AJ3" s="48">
        <v>0</v>
      </c>
      <c r="AK3" s="48">
        <v>0</v>
      </c>
      <c r="AL3" s="48">
        <v>0</v>
      </c>
      <c r="AM3" s="48">
        <v>0</v>
      </c>
      <c r="AN3" s="48">
        <v>0</v>
      </c>
      <c r="AO3" s="48">
        <v>0</v>
      </c>
      <c r="AP3" s="48">
        <v>0</v>
      </c>
      <c r="AQ3" s="48">
        <v>0</v>
      </c>
      <c r="AR3" s="48">
        <v>0</v>
      </c>
      <c r="AS3" s="48">
        <v>0</v>
      </c>
      <c r="AT3" s="48">
        <v>0</v>
      </c>
      <c r="AU3" s="48">
        <v>0</v>
      </c>
      <c r="AV3" s="48">
        <v>496.10000000000008</v>
      </c>
      <c r="AW3" s="48">
        <v>0</v>
      </c>
      <c r="AX3" s="48">
        <v>0</v>
      </c>
      <c r="AY3" s="48">
        <v>0</v>
      </c>
      <c r="AZ3" s="48">
        <v>0</v>
      </c>
      <c r="BA3" s="48">
        <v>0</v>
      </c>
      <c r="BB3" s="50">
        <v>18890</v>
      </c>
      <c r="BC3" s="48">
        <v>0</v>
      </c>
      <c r="BD3" s="48">
        <v>0</v>
      </c>
      <c r="BE3" s="48">
        <v>0</v>
      </c>
      <c r="BF3" s="48">
        <v>0</v>
      </c>
      <c r="BG3" s="48">
        <v>0</v>
      </c>
      <c r="BH3" s="48">
        <v>0</v>
      </c>
      <c r="BI3" s="48">
        <v>0</v>
      </c>
      <c r="BJ3" s="48">
        <v>0</v>
      </c>
      <c r="BK3" s="48">
        <v>0</v>
      </c>
      <c r="BL3" s="48">
        <v>0</v>
      </c>
      <c r="BM3" s="48">
        <v>0</v>
      </c>
      <c r="BN3" s="48">
        <v>0</v>
      </c>
      <c r="BO3" s="48">
        <v>0</v>
      </c>
    </row>
    <row r="4" spans="1:67">
      <c r="A4" t="s">
        <v>67</v>
      </c>
      <c r="B4" s="38">
        <v>3</v>
      </c>
      <c r="C4" s="38">
        <v>2018</v>
      </c>
      <c r="D4" s="47">
        <v>144.29999999999998</v>
      </c>
      <c r="E4" s="48">
        <v>0</v>
      </c>
      <c r="F4" s="46">
        <v>0</v>
      </c>
      <c r="G4" s="48">
        <v>0</v>
      </c>
      <c r="H4" s="47">
        <v>0</v>
      </c>
      <c r="I4" s="48">
        <v>0</v>
      </c>
      <c r="J4" s="47">
        <v>534.59999999999991</v>
      </c>
      <c r="K4" s="48">
        <v>0</v>
      </c>
      <c r="L4" s="48">
        <v>0</v>
      </c>
      <c r="M4" s="48">
        <v>0</v>
      </c>
      <c r="N4" s="49">
        <v>413.19999999999993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6">
        <v>17310</v>
      </c>
      <c r="W4" s="48">
        <v>8284726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48">
        <v>0</v>
      </c>
      <c r="AJ4" s="48">
        <v>0</v>
      </c>
      <c r="AK4" s="48">
        <v>0</v>
      </c>
      <c r="AL4" s="48">
        <v>0</v>
      </c>
      <c r="AM4" s="48">
        <v>0</v>
      </c>
      <c r="AN4" s="48">
        <v>0</v>
      </c>
      <c r="AO4" s="48">
        <v>0</v>
      </c>
      <c r="AP4" s="48">
        <v>0</v>
      </c>
      <c r="AQ4" s="48">
        <v>0</v>
      </c>
      <c r="AR4" s="48">
        <v>0</v>
      </c>
      <c r="AS4" s="48">
        <v>0</v>
      </c>
      <c r="AT4" s="48">
        <v>0</v>
      </c>
      <c r="AU4" s="48">
        <v>0</v>
      </c>
      <c r="AV4" s="48">
        <v>444.00000000000006</v>
      </c>
      <c r="AW4" s="48">
        <v>0</v>
      </c>
      <c r="AX4" s="48">
        <v>0</v>
      </c>
      <c r="AY4" s="48">
        <v>0</v>
      </c>
      <c r="AZ4" s="48">
        <v>0</v>
      </c>
      <c r="BA4" s="48">
        <v>0</v>
      </c>
      <c r="BB4" s="50">
        <v>26010</v>
      </c>
      <c r="BC4" s="48">
        <v>0</v>
      </c>
      <c r="BD4" s="48">
        <v>0</v>
      </c>
      <c r="BE4" s="48">
        <v>0</v>
      </c>
      <c r="BF4" s="48">
        <v>0</v>
      </c>
      <c r="BG4" s="48">
        <v>0</v>
      </c>
      <c r="BH4" s="48">
        <v>0</v>
      </c>
      <c r="BI4" s="48">
        <v>0</v>
      </c>
      <c r="BJ4" s="48">
        <v>0</v>
      </c>
      <c r="BK4" s="48">
        <v>0</v>
      </c>
      <c r="BL4" s="48">
        <v>0</v>
      </c>
      <c r="BM4" s="48">
        <v>0</v>
      </c>
      <c r="BN4" s="48">
        <v>0</v>
      </c>
      <c r="BO4" s="48">
        <v>0</v>
      </c>
    </row>
    <row r="5" spans="1:67">
      <c r="A5" t="s">
        <v>67</v>
      </c>
      <c r="B5" s="38">
        <v>4</v>
      </c>
      <c r="C5" s="38">
        <v>2018</v>
      </c>
      <c r="D5" s="47">
        <v>142.49999999999997</v>
      </c>
      <c r="E5" s="37">
        <v>0</v>
      </c>
      <c r="F5" s="46">
        <v>0</v>
      </c>
      <c r="G5" s="37">
        <v>0</v>
      </c>
      <c r="H5" s="15">
        <v>0</v>
      </c>
      <c r="I5" s="37">
        <v>0</v>
      </c>
      <c r="J5" s="47">
        <v>493.40000000000009</v>
      </c>
      <c r="K5" s="37">
        <v>0</v>
      </c>
      <c r="L5" s="37">
        <v>0</v>
      </c>
      <c r="M5" s="37">
        <v>0</v>
      </c>
      <c r="N5" s="49">
        <v>429.40000000000015</v>
      </c>
      <c r="O5" s="37">
        <v>0</v>
      </c>
      <c r="P5" s="37">
        <v>0</v>
      </c>
      <c r="Q5" s="37">
        <v>0</v>
      </c>
      <c r="R5" s="37">
        <v>0</v>
      </c>
      <c r="S5" s="37">
        <v>0</v>
      </c>
      <c r="T5" s="37">
        <v>0</v>
      </c>
      <c r="U5" s="37">
        <v>0</v>
      </c>
      <c r="V5" s="10">
        <v>19184</v>
      </c>
      <c r="W5" s="15">
        <v>8284726</v>
      </c>
      <c r="X5" s="37">
        <v>0</v>
      </c>
      <c r="Y5" s="37">
        <v>0</v>
      </c>
      <c r="Z5" s="37">
        <v>0</v>
      </c>
      <c r="AA5" s="37">
        <v>0</v>
      </c>
      <c r="AB5" s="37">
        <v>0</v>
      </c>
      <c r="AC5" s="37">
        <v>0</v>
      </c>
      <c r="AD5" s="37">
        <v>0</v>
      </c>
      <c r="AE5" s="37">
        <v>0</v>
      </c>
      <c r="AF5" s="37">
        <v>0</v>
      </c>
      <c r="AG5" s="37">
        <v>0</v>
      </c>
      <c r="AH5" s="37">
        <v>0</v>
      </c>
      <c r="AI5" s="37">
        <v>0</v>
      </c>
      <c r="AJ5" s="37">
        <v>0</v>
      </c>
      <c r="AK5" s="37">
        <v>0</v>
      </c>
      <c r="AL5" s="37">
        <v>0</v>
      </c>
      <c r="AM5" s="37">
        <v>0</v>
      </c>
      <c r="AN5" s="37">
        <v>0</v>
      </c>
      <c r="AO5" s="37">
        <v>0</v>
      </c>
      <c r="AP5" s="37">
        <v>0</v>
      </c>
      <c r="AQ5" s="37">
        <v>0</v>
      </c>
      <c r="AR5" s="37">
        <v>0</v>
      </c>
      <c r="AS5" s="37">
        <v>0</v>
      </c>
      <c r="AT5" s="37">
        <v>0</v>
      </c>
      <c r="AU5" s="37">
        <v>0</v>
      </c>
      <c r="AV5" s="48">
        <v>429.7999999999999</v>
      </c>
      <c r="AW5" s="37">
        <v>0</v>
      </c>
      <c r="AX5" s="37">
        <v>0</v>
      </c>
      <c r="AY5" s="37">
        <v>0</v>
      </c>
      <c r="AZ5" s="37">
        <v>0</v>
      </c>
      <c r="BA5" s="37">
        <v>0</v>
      </c>
      <c r="BB5" s="39">
        <v>15920</v>
      </c>
      <c r="BC5" s="37">
        <v>0</v>
      </c>
      <c r="BD5" s="37">
        <v>0</v>
      </c>
      <c r="BE5" s="37">
        <v>0</v>
      </c>
      <c r="BF5" s="37">
        <v>0</v>
      </c>
      <c r="BG5" s="37">
        <v>0</v>
      </c>
      <c r="BH5" s="37">
        <v>0</v>
      </c>
      <c r="BI5" s="37">
        <v>0</v>
      </c>
      <c r="BJ5" s="37">
        <v>0</v>
      </c>
      <c r="BK5" s="37">
        <v>0</v>
      </c>
      <c r="BL5" s="37">
        <v>0</v>
      </c>
      <c r="BM5" s="37">
        <v>0</v>
      </c>
      <c r="BN5" s="37">
        <v>0</v>
      </c>
      <c r="BO5" s="37">
        <v>0</v>
      </c>
    </row>
    <row r="6" spans="1:67">
      <c r="A6" t="s">
        <v>67</v>
      </c>
      <c r="B6" s="38">
        <v>5</v>
      </c>
      <c r="C6" s="38">
        <v>2018</v>
      </c>
      <c r="D6" s="47">
        <v>134.9</v>
      </c>
      <c r="E6" s="37">
        <v>0</v>
      </c>
      <c r="F6" s="46">
        <v>0</v>
      </c>
      <c r="G6" s="37">
        <v>0</v>
      </c>
      <c r="H6" s="15">
        <v>0</v>
      </c>
      <c r="I6" s="37">
        <v>0</v>
      </c>
      <c r="J6" s="47">
        <v>439.8</v>
      </c>
      <c r="K6" s="37">
        <v>0</v>
      </c>
      <c r="L6" s="37">
        <v>0</v>
      </c>
      <c r="M6" s="37">
        <v>0</v>
      </c>
      <c r="N6" s="49">
        <v>444.59999999999985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10">
        <v>17570</v>
      </c>
      <c r="W6" s="37">
        <v>8284726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  <c r="AH6" s="37">
        <v>0</v>
      </c>
      <c r="AI6" s="37">
        <v>0</v>
      </c>
      <c r="AJ6" s="37">
        <v>0</v>
      </c>
      <c r="AK6" s="37">
        <v>0</v>
      </c>
      <c r="AL6" s="37">
        <v>0</v>
      </c>
      <c r="AM6" s="37">
        <v>0</v>
      </c>
      <c r="AN6" s="37">
        <v>0</v>
      </c>
      <c r="AO6" s="37">
        <v>0</v>
      </c>
      <c r="AP6" s="37">
        <v>0</v>
      </c>
      <c r="AQ6" s="37">
        <v>0</v>
      </c>
      <c r="AR6" s="37">
        <v>0</v>
      </c>
      <c r="AS6" s="37">
        <v>0</v>
      </c>
      <c r="AT6" s="37">
        <v>0</v>
      </c>
      <c r="AU6" s="37">
        <v>0</v>
      </c>
      <c r="AV6" s="48">
        <v>425.69999999999993</v>
      </c>
      <c r="AW6" s="37">
        <v>0</v>
      </c>
      <c r="AX6" s="37">
        <v>0</v>
      </c>
      <c r="AY6" s="37">
        <v>0</v>
      </c>
      <c r="AZ6" s="37">
        <v>0</v>
      </c>
      <c r="BA6" s="37">
        <v>0</v>
      </c>
      <c r="BB6" s="10">
        <v>20360</v>
      </c>
      <c r="BC6" s="37">
        <v>0</v>
      </c>
      <c r="BD6" s="37">
        <v>0</v>
      </c>
      <c r="BE6" s="37">
        <v>0</v>
      </c>
      <c r="BF6" s="37">
        <v>0</v>
      </c>
      <c r="BG6" s="37">
        <v>0</v>
      </c>
      <c r="BH6" s="37">
        <v>0</v>
      </c>
      <c r="BI6" s="37">
        <v>0</v>
      </c>
      <c r="BJ6" s="37">
        <v>0</v>
      </c>
      <c r="BK6" s="37">
        <v>0</v>
      </c>
      <c r="BL6" s="37">
        <v>0</v>
      </c>
      <c r="BM6" s="37">
        <v>0</v>
      </c>
      <c r="BN6" s="37">
        <v>0</v>
      </c>
      <c r="BO6" s="37">
        <v>0</v>
      </c>
    </row>
    <row r="7" spans="1:67">
      <c r="A7" t="s">
        <v>67</v>
      </c>
      <c r="B7" s="38">
        <v>6</v>
      </c>
      <c r="C7" s="38">
        <v>2018</v>
      </c>
      <c r="D7" s="15"/>
      <c r="E7" s="37"/>
      <c r="F7" s="40"/>
      <c r="G7" s="37"/>
      <c r="H7" s="15"/>
      <c r="I7" s="37"/>
      <c r="J7" s="15"/>
      <c r="K7" s="37"/>
      <c r="L7" s="37"/>
      <c r="M7" s="37"/>
      <c r="N7" s="40"/>
      <c r="O7" s="37"/>
      <c r="P7" s="37"/>
      <c r="Q7" s="37"/>
      <c r="R7" s="37"/>
      <c r="S7" s="37"/>
      <c r="T7" s="37"/>
      <c r="U7" s="37"/>
      <c r="V7" s="39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10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</row>
    <row r="8" spans="1:67">
      <c r="A8" t="s">
        <v>67</v>
      </c>
      <c r="B8" s="38">
        <v>7</v>
      </c>
      <c r="C8" s="38">
        <v>2018</v>
      </c>
      <c r="D8" s="15"/>
      <c r="E8" s="37"/>
      <c r="F8" s="40"/>
      <c r="G8" s="37"/>
      <c r="H8" s="15"/>
      <c r="I8" s="37"/>
      <c r="J8" s="15"/>
      <c r="K8" s="37"/>
      <c r="L8" s="37"/>
      <c r="M8" s="37"/>
      <c r="N8" s="40"/>
      <c r="O8" s="37"/>
      <c r="P8" s="37"/>
      <c r="Q8" s="37"/>
      <c r="R8" s="37"/>
      <c r="S8" s="37"/>
      <c r="T8" s="37"/>
      <c r="U8" s="37"/>
      <c r="V8" s="39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10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</row>
    <row r="9" spans="1:67">
      <c r="A9" t="s">
        <v>67</v>
      </c>
      <c r="B9" s="38">
        <v>8</v>
      </c>
      <c r="C9" s="38">
        <v>2018</v>
      </c>
      <c r="D9" s="15"/>
      <c r="E9" s="37"/>
      <c r="F9" s="40"/>
      <c r="G9" s="37"/>
      <c r="H9" s="15"/>
      <c r="I9" s="37"/>
      <c r="J9" s="15"/>
      <c r="K9" s="37"/>
      <c r="L9" s="37"/>
      <c r="M9" s="37"/>
      <c r="N9" s="40"/>
      <c r="O9" s="37"/>
      <c r="P9" s="37"/>
      <c r="Q9" s="37"/>
      <c r="R9" s="37"/>
      <c r="S9" s="37"/>
      <c r="T9" s="37"/>
      <c r="U9" s="37"/>
      <c r="V9" s="39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10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</row>
    <row r="10" spans="1:67">
      <c r="A10" t="s">
        <v>67</v>
      </c>
      <c r="B10" s="38">
        <v>9</v>
      </c>
      <c r="C10" s="38">
        <v>2018</v>
      </c>
      <c r="D10" s="15"/>
      <c r="E10" s="37"/>
      <c r="F10" s="40"/>
      <c r="G10" s="37"/>
      <c r="H10" s="15"/>
      <c r="I10" s="37"/>
      <c r="J10" s="15"/>
      <c r="K10" s="37"/>
      <c r="L10" s="37"/>
      <c r="M10" s="37"/>
      <c r="N10" s="40"/>
      <c r="O10" s="37"/>
      <c r="P10" s="37"/>
      <c r="Q10" s="37"/>
      <c r="R10" s="37"/>
      <c r="S10" s="37"/>
      <c r="T10" s="37"/>
      <c r="U10" s="37"/>
      <c r="V10" s="39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10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</row>
    <row r="11" spans="1:67">
      <c r="A11" t="s">
        <v>67</v>
      </c>
      <c r="B11" s="38">
        <v>10</v>
      </c>
      <c r="C11" s="38">
        <v>2018</v>
      </c>
      <c r="D11" s="15"/>
      <c r="E11" s="37"/>
      <c r="F11" s="40"/>
      <c r="G11" s="37"/>
      <c r="H11" s="15"/>
      <c r="I11" s="37"/>
      <c r="J11" s="15"/>
      <c r="K11" s="37"/>
      <c r="L11" s="37"/>
      <c r="M11" s="37"/>
      <c r="N11" s="40"/>
      <c r="O11" s="37"/>
      <c r="P11" s="37"/>
      <c r="Q11" s="37"/>
      <c r="R11" s="37"/>
      <c r="S11" s="37"/>
      <c r="T11" s="37"/>
      <c r="U11" s="37"/>
      <c r="V11" s="39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10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</row>
    <row r="12" spans="1:67">
      <c r="A12" t="s">
        <v>67</v>
      </c>
      <c r="B12" s="38">
        <v>11</v>
      </c>
      <c r="C12" s="38">
        <v>2018</v>
      </c>
      <c r="D12" s="15"/>
      <c r="E12" s="37"/>
      <c r="F12" s="40"/>
      <c r="G12" s="37"/>
      <c r="H12" s="15"/>
      <c r="I12" s="37"/>
      <c r="J12" s="15"/>
      <c r="K12" s="37"/>
      <c r="L12" s="37"/>
      <c r="M12" s="37"/>
      <c r="N12" s="40"/>
      <c r="O12" s="37"/>
      <c r="P12" s="37"/>
      <c r="Q12" s="37"/>
      <c r="R12" s="37"/>
      <c r="S12" s="37"/>
      <c r="T12" s="37"/>
      <c r="U12" s="37"/>
      <c r="V12" s="39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10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</row>
    <row r="13" spans="1:67">
      <c r="A13" t="s">
        <v>67</v>
      </c>
      <c r="B13" s="38">
        <v>12</v>
      </c>
      <c r="C13" s="38">
        <v>2018</v>
      </c>
      <c r="D13" s="15"/>
      <c r="E13" s="37"/>
      <c r="F13" s="40"/>
      <c r="G13" s="37"/>
      <c r="H13" s="15"/>
      <c r="I13" s="37"/>
      <c r="J13" s="15"/>
      <c r="K13" s="37"/>
      <c r="L13" s="37"/>
      <c r="M13" s="37"/>
      <c r="N13" s="40"/>
      <c r="O13" s="37"/>
      <c r="P13" s="37"/>
      <c r="Q13" s="37"/>
      <c r="R13" s="37"/>
      <c r="S13" s="37"/>
      <c r="T13" s="37"/>
      <c r="U13" s="37"/>
      <c r="V13" s="39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10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5"/>
  <sheetViews>
    <sheetView workbookViewId="0">
      <selection activeCell="I39" sqref="I39"/>
    </sheetView>
  </sheetViews>
  <sheetFormatPr defaultColWidth="11.5703125" defaultRowHeight="15"/>
  <cols>
    <col min="1" max="1" width="18.42578125" customWidth="1"/>
    <col min="2" max="2" width="8.28515625" style="34" customWidth="1"/>
    <col min="3" max="3" width="7.5703125" style="35" customWidth="1"/>
    <col min="4" max="4" width="13.42578125" style="34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30" customFormat="1" ht="113.25" customHeight="1">
      <c r="A1" s="25" t="s">
        <v>0</v>
      </c>
      <c r="B1" s="25" t="s">
        <v>68</v>
      </c>
      <c r="C1" s="26" t="s">
        <v>1</v>
      </c>
      <c r="D1" s="27" t="s">
        <v>2</v>
      </c>
      <c r="E1" s="28" t="s">
        <v>3</v>
      </c>
      <c r="F1" s="28" t="s">
        <v>4</v>
      </c>
      <c r="G1" s="28" t="s">
        <v>5</v>
      </c>
      <c r="H1" s="28" t="s">
        <v>6</v>
      </c>
      <c r="I1" s="28" t="s">
        <v>7</v>
      </c>
      <c r="J1" s="28" t="s">
        <v>8</v>
      </c>
      <c r="K1" s="28" t="s">
        <v>9</v>
      </c>
      <c r="L1" s="28" t="s">
        <v>10</v>
      </c>
      <c r="M1" s="28" t="s">
        <v>11</v>
      </c>
      <c r="N1" s="28" t="s">
        <v>12</v>
      </c>
      <c r="O1" s="28" t="s">
        <v>13</v>
      </c>
      <c r="P1" s="28" t="s">
        <v>14</v>
      </c>
      <c r="Q1" s="28" t="s">
        <v>15</v>
      </c>
      <c r="R1" s="28" t="s">
        <v>16</v>
      </c>
      <c r="S1" s="28" t="s">
        <v>17</v>
      </c>
      <c r="T1" s="28" t="s">
        <v>18</v>
      </c>
      <c r="U1" s="28" t="s">
        <v>19</v>
      </c>
      <c r="V1" s="28" t="s">
        <v>20</v>
      </c>
      <c r="W1" s="28" t="s">
        <v>21</v>
      </c>
      <c r="X1" s="28" t="s">
        <v>22</v>
      </c>
      <c r="Y1" s="28" t="s">
        <v>23</v>
      </c>
      <c r="Z1" s="28" t="s">
        <v>24</v>
      </c>
      <c r="AA1" s="28" t="s">
        <v>25</v>
      </c>
      <c r="AB1" s="28" t="s">
        <v>26</v>
      </c>
      <c r="AC1" s="28" t="s">
        <v>27</v>
      </c>
      <c r="AD1" s="28" t="s">
        <v>28</v>
      </c>
      <c r="AE1" s="28" t="s">
        <v>29</v>
      </c>
      <c r="AF1" s="28" t="s">
        <v>30</v>
      </c>
      <c r="AG1" s="28" t="s">
        <v>31</v>
      </c>
      <c r="AH1" s="28" t="s">
        <v>32</v>
      </c>
      <c r="AI1" s="28" t="s">
        <v>33</v>
      </c>
      <c r="AJ1" s="28" t="s">
        <v>34</v>
      </c>
      <c r="AK1" s="28" t="s">
        <v>35</v>
      </c>
      <c r="AL1" s="28" t="s">
        <v>36</v>
      </c>
      <c r="AM1" s="28" t="s">
        <v>37</v>
      </c>
      <c r="AN1" s="28" t="s">
        <v>38</v>
      </c>
      <c r="AO1" s="28" t="s">
        <v>39</v>
      </c>
      <c r="AP1" s="28" t="s">
        <v>40</v>
      </c>
      <c r="AQ1" s="28" t="s">
        <v>41</v>
      </c>
      <c r="AR1" s="28" t="s">
        <v>42</v>
      </c>
      <c r="AS1" s="28" t="s">
        <v>43</v>
      </c>
      <c r="AT1" s="28" t="s">
        <v>44</v>
      </c>
      <c r="AU1" s="28" t="s">
        <v>45</v>
      </c>
      <c r="AV1" s="28" t="s">
        <v>46</v>
      </c>
      <c r="AW1" s="28" t="s">
        <v>47</v>
      </c>
      <c r="AX1" s="28" t="s">
        <v>48</v>
      </c>
      <c r="AY1" s="28" t="s">
        <v>49</v>
      </c>
      <c r="AZ1" s="28" t="s">
        <v>50</v>
      </c>
      <c r="BA1" s="28" t="s">
        <v>51</v>
      </c>
      <c r="BB1" s="28" t="s">
        <v>52</v>
      </c>
      <c r="BC1" s="28" t="s">
        <v>53</v>
      </c>
      <c r="BD1" s="28" t="s">
        <v>54</v>
      </c>
      <c r="BE1" s="28" t="s">
        <v>55</v>
      </c>
      <c r="BF1" s="28" t="s">
        <v>56</v>
      </c>
      <c r="BG1" s="28" t="s">
        <v>57</v>
      </c>
      <c r="BH1" s="28" t="s">
        <v>58</v>
      </c>
      <c r="BI1" s="28" t="s">
        <v>59</v>
      </c>
      <c r="BJ1" s="28" t="s">
        <v>60</v>
      </c>
      <c r="BK1" s="28" t="s">
        <v>61</v>
      </c>
      <c r="BL1" s="28" t="s">
        <v>62</v>
      </c>
      <c r="BM1" s="28" t="s">
        <v>63</v>
      </c>
      <c r="BN1" s="28" t="s">
        <v>64</v>
      </c>
      <c r="BO1" s="29" t="s">
        <v>65</v>
      </c>
      <c r="BP1" s="28" t="s">
        <v>66</v>
      </c>
    </row>
    <row r="2" spans="1:68">
      <c r="A2" s="23" t="s">
        <v>67</v>
      </c>
      <c r="B2" s="31">
        <v>1</v>
      </c>
      <c r="C2" s="32">
        <v>5</v>
      </c>
      <c r="D2" s="33">
        <v>2018</v>
      </c>
      <c r="E2" s="24">
        <f>'FS Jimbaran May 2018'!M12</f>
        <v>3.7</v>
      </c>
      <c r="F2" s="28">
        <f>'FS Jimbaran May 2018'!N12</f>
        <v>0</v>
      </c>
      <c r="G2" s="28">
        <v>0</v>
      </c>
      <c r="H2" s="28">
        <f>'FS Jimbaran May 2018'!H12</f>
        <v>0</v>
      </c>
      <c r="I2" s="28">
        <f>'FS Jimbaran May 2018'!I12</f>
        <v>0</v>
      </c>
      <c r="J2" s="28">
        <f>'FS Jimbaran May 2018'!J12</f>
        <v>0</v>
      </c>
      <c r="K2" s="28">
        <f>'FS Jimbaran May 2018'!K12</f>
        <v>12.6</v>
      </c>
      <c r="L2" s="28">
        <f>'FS Jimbaran May 2018'!L12</f>
        <v>0</v>
      </c>
      <c r="M2" s="28">
        <f>'FS Jimbaran May 2018'!S12</f>
        <v>0</v>
      </c>
      <c r="N2" s="28">
        <f>'FS Jimbaran May 2018'!T12</f>
        <v>0</v>
      </c>
      <c r="O2" s="28">
        <f>'FS Jimbaran May 2018'!U12</f>
        <v>16.2</v>
      </c>
      <c r="P2" s="28">
        <f>'FS Jimbaran May 2018'!V12</f>
        <v>0</v>
      </c>
      <c r="Q2" s="28">
        <f>'FS Jimbaran May 2018'!BE12</f>
        <v>0</v>
      </c>
      <c r="R2" s="28">
        <f>'FS Jimbaran May 2018'!BF12</f>
        <v>0</v>
      </c>
      <c r="S2" s="28">
        <f>'FS Jimbaran May 2018'!BH12</f>
        <v>0</v>
      </c>
      <c r="T2" s="28">
        <f>'FS Jimbaran May 2018'!BH12</f>
        <v>0</v>
      </c>
      <c r="U2" s="28">
        <f>'FS Jimbaran May 2018'!BI12</f>
        <v>0</v>
      </c>
      <c r="V2" s="28">
        <f>'FS Jimbaran May 2018'!BJ12</f>
        <v>0</v>
      </c>
      <c r="W2" s="28">
        <f>'FS Jimbaran May 2018'!Y12</f>
        <v>650</v>
      </c>
      <c r="X2" s="28">
        <f>'FS Jimbaran May 2018'!Z12</f>
        <v>8284726</v>
      </c>
      <c r="Y2" s="28">
        <f>'FS Jimbaran May 2018'!AA12</f>
        <v>0</v>
      </c>
      <c r="Z2" s="28">
        <f>'FS Jimbaran May 2018'!AB12</f>
        <v>0</v>
      </c>
      <c r="AA2" s="28">
        <f>'FS Jimbaran May 2018'!AC12</f>
        <v>0</v>
      </c>
      <c r="AB2" s="28">
        <f>'FS Jimbaran May 2018'!AD12</f>
        <v>0</v>
      </c>
      <c r="AC2" s="28">
        <f>'FS Jimbaran May 2018'!AE12</f>
        <v>0</v>
      </c>
      <c r="AD2" s="28">
        <f>'FS Jimbaran May 2018'!AF12</f>
        <v>0</v>
      </c>
      <c r="AE2" s="28">
        <f>'FS Jimbaran May 2018'!AG12</f>
        <v>0</v>
      </c>
      <c r="AF2" s="28">
        <f>'FS Jimbaran May 2018'!AH12</f>
        <v>0</v>
      </c>
      <c r="AG2" s="28">
        <f>'FS Jimbaran May 2018'!AM12</f>
        <v>0</v>
      </c>
      <c r="AH2" s="28">
        <f>'FS Jimbaran May 2018'!AR12</f>
        <v>0</v>
      </c>
      <c r="AI2" s="28">
        <f>'FS Jimbaran May 2018'!AQ12</f>
        <v>0</v>
      </c>
      <c r="AJ2" s="28">
        <f>'FS Jimbaran May 2018'!AR12</f>
        <v>0</v>
      </c>
      <c r="AK2" s="28">
        <f>'FS Jimbaran May 2018'!AY12</f>
        <v>0</v>
      </c>
      <c r="AL2" s="28">
        <f>'FS Jimbaran May 2018'!AZ12</f>
        <v>0</v>
      </c>
      <c r="AM2" s="28">
        <f>'FS Jimbaran May 2018'!BB12</f>
        <v>0</v>
      </c>
      <c r="AN2" s="28">
        <f>'FS Jimbaran May 2018'!BB12</f>
        <v>0</v>
      </c>
      <c r="AO2" s="28">
        <f>'FS Jimbaran May 2018'!BK12</f>
        <v>0</v>
      </c>
      <c r="AP2" s="28">
        <f>'FS Jimbaran May 2018'!BL12</f>
        <v>0</v>
      </c>
      <c r="AQ2" s="28">
        <f>'FS Jimbaran May 2018'!BC12</f>
        <v>0</v>
      </c>
      <c r="AR2" s="28">
        <f>'FS Jimbaran May 2018'!BD12</f>
        <v>0</v>
      </c>
      <c r="AS2" s="28">
        <f>'FS Jimbaran May 2018'!BM12</f>
        <v>0</v>
      </c>
      <c r="AT2" s="28">
        <f>'FS Jimbaran May 2018'!BN12</f>
        <v>0</v>
      </c>
      <c r="AU2" s="28">
        <f>'FS Jimbaran May 2018'!BO12</f>
        <v>0</v>
      </c>
      <c r="AV2" s="28">
        <f>'FS Jimbaran May 2018'!BP12</f>
        <v>0</v>
      </c>
      <c r="AW2" s="28">
        <f>'FS Jimbaran May 2018'!E12</f>
        <v>10.1</v>
      </c>
      <c r="AX2" s="28">
        <f>'FS Jimbaran May 2018'!F12</f>
        <v>0</v>
      </c>
      <c r="AY2" s="28">
        <f>'FS Jimbaran May 2018'!O12</f>
        <v>0</v>
      </c>
      <c r="AZ2" s="28">
        <f>'FS Jimbaran May 2018'!P12</f>
        <v>0</v>
      </c>
      <c r="BA2" s="28">
        <f>'FS Jimbaran May 2018'!W12</f>
        <v>0</v>
      </c>
      <c r="BB2" s="28">
        <f>'FS Jimbaran May 2018'!X12</f>
        <v>0</v>
      </c>
      <c r="BC2" s="28">
        <f>'FS Jimbaran May 2018'!AI12</f>
        <v>569.99999999999989</v>
      </c>
      <c r="BD2" s="28">
        <f>'FS Jimbaran May 2018'!AJ12</f>
        <v>0</v>
      </c>
      <c r="BE2" s="28">
        <f>'FS Jimbaran May 2018'!AK12</f>
        <v>0</v>
      </c>
      <c r="BF2" s="28">
        <f>'FS Jimbaran May 2018'!AL12</f>
        <v>0</v>
      </c>
      <c r="BG2" s="28">
        <f>'FS Jimbaran May 2018'!AM12</f>
        <v>0</v>
      </c>
      <c r="BH2" s="28">
        <f>'FS Jimbaran May 2018'!AN12</f>
        <v>0</v>
      </c>
      <c r="BI2" s="28">
        <f>'FS Jimbaran May 2018'!AO12</f>
        <v>0</v>
      </c>
      <c r="BJ2" s="28">
        <f>'FS Jimbaran May 2018'!AO12</f>
        <v>0</v>
      </c>
      <c r="BK2" s="28">
        <f>'FS Jimbaran May 2018'!AQ12</f>
        <v>0</v>
      </c>
      <c r="BL2" s="28">
        <f>'FS Jimbaran May 2018'!AR12</f>
        <v>0</v>
      </c>
      <c r="BM2" s="28">
        <v>0</v>
      </c>
      <c r="BN2" s="28">
        <v>0</v>
      </c>
      <c r="BO2" s="29">
        <f>'FS Jimbaran May 2018'!Q12</f>
        <v>0</v>
      </c>
      <c r="BP2" s="28">
        <f>'FS Jimbaran May 2018'!R12</f>
        <v>0</v>
      </c>
    </row>
    <row r="3" spans="1:68">
      <c r="A3" s="23" t="s">
        <v>67</v>
      </c>
      <c r="B3" s="31">
        <f>B2+1</f>
        <v>2</v>
      </c>
      <c r="C3" s="32">
        <v>5</v>
      </c>
      <c r="D3" s="33">
        <v>2018</v>
      </c>
      <c r="E3" s="24">
        <f>'FS Jimbaran May 2018'!M13</f>
        <v>3.3</v>
      </c>
      <c r="F3" s="28">
        <f>'FS Jimbaran May 2018'!N13</f>
        <v>0</v>
      </c>
      <c r="G3" s="28">
        <v>0</v>
      </c>
      <c r="H3" s="28">
        <f>'FS Jimbaran May 2018'!H13</f>
        <v>0</v>
      </c>
      <c r="I3" s="28">
        <f>'FS Jimbaran May 2018'!I13</f>
        <v>0</v>
      </c>
      <c r="J3" s="28">
        <f>'FS Jimbaran May 2018'!J13</f>
        <v>0</v>
      </c>
      <c r="K3" s="28">
        <f>'FS Jimbaran May 2018'!K13</f>
        <v>14.5</v>
      </c>
      <c r="L3" s="28">
        <f>'FS Jimbaran May 2018'!L13</f>
        <v>0</v>
      </c>
      <c r="M3" s="28">
        <f>'FS Jimbaran May 2018'!S13</f>
        <v>0</v>
      </c>
      <c r="N3" s="28">
        <f>'FS Jimbaran May 2018'!T13</f>
        <v>0</v>
      </c>
      <c r="O3" s="28">
        <f>'FS Jimbaran May 2018'!U13</f>
        <v>18.2</v>
      </c>
      <c r="P3" s="28">
        <f>'FS Jimbaran May 2018'!V13</f>
        <v>0</v>
      </c>
      <c r="Q3" s="28">
        <f>'FS Jimbaran May 2018'!BE13</f>
        <v>0</v>
      </c>
      <c r="R3" s="28">
        <f>'FS Jimbaran May 2018'!BF13</f>
        <v>0</v>
      </c>
      <c r="S3" s="28">
        <f>'FS Jimbaran May 2018'!BH13</f>
        <v>0</v>
      </c>
      <c r="T3" s="28">
        <f>'FS Jimbaran May 2018'!BH13</f>
        <v>0</v>
      </c>
      <c r="U3" s="28">
        <f>'FS Jimbaran May 2018'!BI13</f>
        <v>0</v>
      </c>
      <c r="V3" s="28">
        <f>'FS Jimbaran May 2018'!BJ13</f>
        <v>0</v>
      </c>
      <c r="W3" s="28">
        <f>'FS Jimbaran May 2018'!Y13</f>
        <v>570</v>
      </c>
      <c r="X3" s="28">
        <f>'FS Jimbaran May 2018'!Z13</f>
        <v>0</v>
      </c>
      <c r="Y3" s="28">
        <f>'FS Jimbaran May 2018'!AA13</f>
        <v>0</v>
      </c>
      <c r="Z3" s="28">
        <f>'FS Jimbaran May 2018'!AB13</f>
        <v>0</v>
      </c>
      <c r="AA3" s="28">
        <f>'FS Jimbaran May 2018'!AC13</f>
        <v>0</v>
      </c>
      <c r="AB3" s="28">
        <f>'FS Jimbaran May 2018'!AD13</f>
        <v>0</v>
      </c>
      <c r="AC3" s="28">
        <f>'FS Jimbaran May 2018'!AE13</f>
        <v>0</v>
      </c>
      <c r="AD3" s="28">
        <f>'FS Jimbaran May 2018'!AF13</f>
        <v>0</v>
      </c>
      <c r="AE3" s="28">
        <f>'FS Jimbaran May 2018'!AG13</f>
        <v>0</v>
      </c>
      <c r="AF3" s="28">
        <f>'FS Jimbaran May 2018'!AH13</f>
        <v>0</v>
      </c>
      <c r="AG3" s="28">
        <f>'FS Jimbaran May 2018'!AM13</f>
        <v>0</v>
      </c>
      <c r="AH3" s="28">
        <f>'FS Jimbaran May 2018'!AR13</f>
        <v>0</v>
      </c>
      <c r="AI3" s="28">
        <f>'FS Jimbaran May 2018'!AQ13</f>
        <v>0</v>
      </c>
      <c r="AJ3" s="28">
        <f>'FS Jimbaran May 2018'!AR13</f>
        <v>0</v>
      </c>
      <c r="AK3" s="28">
        <f>'FS Jimbaran May 2018'!AY13</f>
        <v>0</v>
      </c>
      <c r="AL3" s="28">
        <f>'FS Jimbaran May 2018'!AZ13</f>
        <v>0</v>
      </c>
      <c r="AM3" s="28">
        <f>'FS Jimbaran May 2018'!BB13</f>
        <v>0</v>
      </c>
      <c r="AN3" s="28">
        <f>'FS Jimbaran May 2018'!BB13</f>
        <v>0</v>
      </c>
      <c r="AO3" s="28">
        <f>'FS Jimbaran May 2018'!BK13</f>
        <v>0</v>
      </c>
      <c r="AP3" s="28">
        <f>'FS Jimbaran May 2018'!BL13</f>
        <v>0</v>
      </c>
      <c r="AQ3" s="28">
        <f>'FS Jimbaran May 2018'!BC13</f>
        <v>0</v>
      </c>
      <c r="AR3" s="28">
        <f>'FS Jimbaran May 2018'!BD13</f>
        <v>0</v>
      </c>
      <c r="AS3" s="28">
        <f>'FS Jimbaran May 2018'!BM13</f>
        <v>0</v>
      </c>
      <c r="AT3" s="28">
        <f>'FS Jimbaran May 2018'!BN13</f>
        <v>0</v>
      </c>
      <c r="AU3" s="28">
        <f>'FS Jimbaran May 2018'!BO13</f>
        <v>0</v>
      </c>
      <c r="AV3" s="28">
        <f>'FS Jimbaran May 2018'!BP13</f>
        <v>0</v>
      </c>
      <c r="AW3" s="28">
        <f>'FS Jimbaran May 2018'!E13</f>
        <v>9.1</v>
      </c>
      <c r="AX3" s="28">
        <f>'FS Jimbaran May 2018'!F13</f>
        <v>0</v>
      </c>
      <c r="AY3" s="28">
        <f>'FS Jimbaran May 2018'!O13</f>
        <v>0</v>
      </c>
      <c r="AZ3" s="28">
        <f>'FS Jimbaran May 2018'!P13</f>
        <v>0</v>
      </c>
      <c r="BA3" s="28">
        <f>'FS Jimbaran May 2018'!W13</f>
        <v>0</v>
      </c>
      <c r="BB3" s="28">
        <f>'FS Jimbaran May 2018'!X13</f>
        <v>0</v>
      </c>
      <c r="BC3" s="28">
        <f>'FS Jimbaran May 2018'!AI13</f>
        <v>520</v>
      </c>
      <c r="BD3" s="28">
        <f>'FS Jimbaran May 2018'!AJ13</f>
        <v>0</v>
      </c>
      <c r="BE3" s="28">
        <f>'FS Jimbaran May 2018'!AK13</f>
        <v>0</v>
      </c>
      <c r="BF3" s="28">
        <f>'FS Jimbaran May 2018'!AL13</f>
        <v>0</v>
      </c>
      <c r="BG3" s="28">
        <f>'FS Jimbaran May 2018'!AM13</f>
        <v>0</v>
      </c>
      <c r="BH3" s="28">
        <f>'FS Jimbaran May 2018'!AN13</f>
        <v>0</v>
      </c>
      <c r="BI3" s="28">
        <f>'FS Jimbaran May 2018'!AO13</f>
        <v>0</v>
      </c>
      <c r="BJ3" s="28">
        <f>'FS Jimbaran May 2018'!AO13</f>
        <v>0</v>
      </c>
      <c r="BK3" s="28">
        <f>'FS Jimbaran May 2018'!AQ13</f>
        <v>0</v>
      </c>
      <c r="BL3" s="28">
        <f>'FS Jimbaran May 2018'!AR13</f>
        <v>0</v>
      </c>
      <c r="BM3" s="28">
        <v>0</v>
      </c>
      <c r="BN3" s="28">
        <v>0</v>
      </c>
      <c r="BO3" s="29">
        <f>'FS Jimbaran May 2018'!Q13</f>
        <v>0</v>
      </c>
      <c r="BP3" s="28">
        <f>'FS Jimbaran May 2018'!R13</f>
        <v>0</v>
      </c>
    </row>
    <row r="4" spans="1:68">
      <c r="A4" s="23" t="s">
        <v>67</v>
      </c>
      <c r="B4" s="31">
        <f t="shared" ref="B4:B32" si="0">B3+1</f>
        <v>3</v>
      </c>
      <c r="C4" s="32">
        <v>5</v>
      </c>
      <c r="D4" s="33">
        <v>2018</v>
      </c>
      <c r="E4" s="24">
        <f>'FS Jimbaran May 2018'!M14</f>
        <v>1.9</v>
      </c>
      <c r="F4" s="28">
        <f>'FS Jimbaran May 2018'!N14</f>
        <v>0</v>
      </c>
      <c r="G4" s="28">
        <v>0</v>
      </c>
      <c r="H4" s="28">
        <f>'FS Jimbaran May 2018'!H14</f>
        <v>0</v>
      </c>
      <c r="I4" s="28">
        <f>'FS Jimbaran May 2018'!I14</f>
        <v>0</v>
      </c>
      <c r="J4" s="28">
        <f>'FS Jimbaran May 2018'!J14</f>
        <v>0</v>
      </c>
      <c r="K4" s="28">
        <f>'FS Jimbaran May 2018'!K14</f>
        <v>11.9</v>
      </c>
      <c r="L4" s="28">
        <f>'FS Jimbaran May 2018'!L14</f>
        <v>0</v>
      </c>
      <c r="M4" s="28">
        <f>'FS Jimbaran May 2018'!S14</f>
        <v>0</v>
      </c>
      <c r="N4" s="28">
        <f>'FS Jimbaran May 2018'!T14</f>
        <v>0</v>
      </c>
      <c r="O4" s="28">
        <f>'FS Jimbaran May 2018'!U14</f>
        <v>10.6</v>
      </c>
      <c r="P4" s="28">
        <f>'FS Jimbaran May 2018'!V14</f>
        <v>0</v>
      </c>
      <c r="Q4" s="28">
        <f>'FS Jimbaran May 2018'!BE14</f>
        <v>0</v>
      </c>
      <c r="R4" s="28">
        <f>'FS Jimbaran May 2018'!BF14</f>
        <v>0</v>
      </c>
      <c r="S4" s="28">
        <f>'FS Jimbaran May 2018'!BH14</f>
        <v>0</v>
      </c>
      <c r="T4" s="28">
        <f>'FS Jimbaran May 2018'!BH14</f>
        <v>0</v>
      </c>
      <c r="U4" s="28">
        <f>'FS Jimbaran May 2018'!BI14</f>
        <v>0</v>
      </c>
      <c r="V4" s="28">
        <f>'FS Jimbaran May 2018'!BJ14</f>
        <v>0</v>
      </c>
      <c r="W4" s="28">
        <f>'FS Jimbaran May 2018'!Y14</f>
        <v>470</v>
      </c>
      <c r="X4" s="28">
        <f>'FS Jimbaran May 2018'!Z14</f>
        <v>0</v>
      </c>
      <c r="Y4" s="28">
        <f>'FS Jimbaran May 2018'!AA14</f>
        <v>0</v>
      </c>
      <c r="Z4" s="28">
        <f>'FS Jimbaran May 2018'!AB14</f>
        <v>0</v>
      </c>
      <c r="AA4" s="28">
        <f>'FS Jimbaran May 2018'!AC14</f>
        <v>0</v>
      </c>
      <c r="AB4" s="28">
        <f>'FS Jimbaran May 2018'!AD14</f>
        <v>0</v>
      </c>
      <c r="AC4" s="28">
        <f>'FS Jimbaran May 2018'!AE14</f>
        <v>0</v>
      </c>
      <c r="AD4" s="28">
        <f>'FS Jimbaran May 2018'!AF14</f>
        <v>0</v>
      </c>
      <c r="AE4" s="28">
        <f>'FS Jimbaran May 2018'!AG14</f>
        <v>0</v>
      </c>
      <c r="AF4" s="28">
        <f>'FS Jimbaran May 2018'!AH14</f>
        <v>0</v>
      </c>
      <c r="AG4" s="28">
        <f>'FS Jimbaran May 2018'!AM14</f>
        <v>0</v>
      </c>
      <c r="AH4" s="28">
        <f>'FS Jimbaran May 2018'!AR14</f>
        <v>0</v>
      </c>
      <c r="AI4" s="28">
        <f>'FS Jimbaran May 2018'!AQ14</f>
        <v>0</v>
      </c>
      <c r="AJ4" s="28">
        <f>'FS Jimbaran May 2018'!AR14</f>
        <v>0</v>
      </c>
      <c r="AK4" s="28">
        <f>'FS Jimbaran May 2018'!AY14</f>
        <v>0</v>
      </c>
      <c r="AL4" s="28">
        <f>'FS Jimbaran May 2018'!AZ14</f>
        <v>0</v>
      </c>
      <c r="AM4" s="28">
        <f>'FS Jimbaran May 2018'!BB14</f>
        <v>0</v>
      </c>
      <c r="AN4" s="28">
        <f>'FS Jimbaran May 2018'!BB14</f>
        <v>0</v>
      </c>
      <c r="AO4" s="28">
        <f>'FS Jimbaran May 2018'!BK14</f>
        <v>0</v>
      </c>
      <c r="AP4" s="28">
        <f>'FS Jimbaran May 2018'!BL14</f>
        <v>0</v>
      </c>
      <c r="AQ4" s="28">
        <f>'FS Jimbaran May 2018'!BC14</f>
        <v>0</v>
      </c>
      <c r="AR4" s="28">
        <f>'FS Jimbaran May 2018'!BD14</f>
        <v>0</v>
      </c>
      <c r="AS4" s="28">
        <f>'FS Jimbaran May 2018'!BM14</f>
        <v>0</v>
      </c>
      <c r="AT4" s="28">
        <f>'FS Jimbaran May 2018'!BN14</f>
        <v>0</v>
      </c>
      <c r="AU4" s="28">
        <f>'FS Jimbaran May 2018'!BO14</f>
        <v>0</v>
      </c>
      <c r="AV4" s="28">
        <f>'FS Jimbaran May 2018'!BP14</f>
        <v>0</v>
      </c>
      <c r="AW4" s="28">
        <f>'FS Jimbaran May 2018'!E14</f>
        <v>8.6999999999999993</v>
      </c>
      <c r="AX4" s="28">
        <f>'FS Jimbaran May 2018'!F14</f>
        <v>0</v>
      </c>
      <c r="AY4" s="28">
        <f>'FS Jimbaran May 2018'!O14</f>
        <v>0</v>
      </c>
      <c r="AZ4" s="28">
        <f>'FS Jimbaran May 2018'!P14</f>
        <v>0</v>
      </c>
      <c r="BA4" s="28">
        <f>'FS Jimbaran May 2018'!W14</f>
        <v>0</v>
      </c>
      <c r="BB4" s="28">
        <f>'FS Jimbaran May 2018'!X14</f>
        <v>0</v>
      </c>
      <c r="BC4" s="28">
        <f>'FS Jimbaran May 2018'!AI14</f>
        <v>510.00000000000006</v>
      </c>
      <c r="BD4" s="28">
        <f>'FS Jimbaran May 2018'!AJ14</f>
        <v>0</v>
      </c>
      <c r="BE4" s="28">
        <f>'FS Jimbaran May 2018'!AK14</f>
        <v>0</v>
      </c>
      <c r="BF4" s="28">
        <f>'FS Jimbaran May 2018'!AL14</f>
        <v>0</v>
      </c>
      <c r="BG4" s="28">
        <f>'FS Jimbaran May 2018'!AM14</f>
        <v>0</v>
      </c>
      <c r="BH4" s="28">
        <f>'FS Jimbaran May 2018'!AN14</f>
        <v>0</v>
      </c>
      <c r="BI4" s="28">
        <f>'FS Jimbaran May 2018'!AO14</f>
        <v>0</v>
      </c>
      <c r="BJ4" s="28">
        <f>'FS Jimbaran May 2018'!AO14</f>
        <v>0</v>
      </c>
      <c r="BK4" s="28">
        <f>'FS Jimbaran May 2018'!AQ14</f>
        <v>0</v>
      </c>
      <c r="BL4" s="28">
        <f>'FS Jimbaran May 2018'!AR14</f>
        <v>0</v>
      </c>
      <c r="BM4" s="28">
        <v>0</v>
      </c>
      <c r="BN4" s="28">
        <v>0</v>
      </c>
      <c r="BO4" s="29">
        <f>'FS Jimbaran May 2018'!Q14</f>
        <v>0</v>
      </c>
      <c r="BP4" s="28">
        <f>'FS Jimbaran May 2018'!R14</f>
        <v>0</v>
      </c>
    </row>
    <row r="5" spans="1:68">
      <c r="A5" s="23" t="s">
        <v>67</v>
      </c>
      <c r="B5" s="31">
        <f t="shared" si="0"/>
        <v>4</v>
      </c>
      <c r="C5" s="32">
        <v>5</v>
      </c>
      <c r="D5" s="33">
        <v>2018</v>
      </c>
      <c r="E5" s="24">
        <f>'FS Jimbaran May 2018'!M15</f>
        <v>2.6</v>
      </c>
      <c r="F5" s="28">
        <f>'FS Jimbaran May 2018'!N15</f>
        <v>0</v>
      </c>
      <c r="G5" s="28">
        <v>0</v>
      </c>
      <c r="H5" s="28">
        <f>'FS Jimbaran May 2018'!H15</f>
        <v>0</v>
      </c>
      <c r="I5" s="28">
        <f>'FS Jimbaran May 2018'!I15</f>
        <v>0</v>
      </c>
      <c r="J5" s="28">
        <f>'FS Jimbaran May 2018'!J15</f>
        <v>0</v>
      </c>
      <c r="K5" s="28">
        <f>'FS Jimbaran May 2018'!K15</f>
        <v>16</v>
      </c>
      <c r="L5" s="28">
        <f>'FS Jimbaran May 2018'!L15</f>
        <v>0</v>
      </c>
      <c r="M5" s="28">
        <f>'FS Jimbaran May 2018'!S15</f>
        <v>0</v>
      </c>
      <c r="N5" s="28">
        <f>'FS Jimbaran May 2018'!T15</f>
        <v>0</v>
      </c>
      <c r="O5" s="28">
        <f>'FS Jimbaran May 2018'!U15</f>
        <v>16.2</v>
      </c>
      <c r="P5" s="28">
        <f>'FS Jimbaran May 2018'!V15</f>
        <v>0</v>
      </c>
      <c r="Q5" s="28">
        <f>'FS Jimbaran May 2018'!BE15</f>
        <v>0</v>
      </c>
      <c r="R5" s="28">
        <f>'FS Jimbaran May 2018'!BF15</f>
        <v>0</v>
      </c>
      <c r="S5" s="28">
        <f>'FS Jimbaran May 2018'!BH15</f>
        <v>0</v>
      </c>
      <c r="T5" s="28">
        <f>'FS Jimbaran May 2018'!BH15</f>
        <v>0</v>
      </c>
      <c r="U5" s="28">
        <f>'FS Jimbaran May 2018'!BI15</f>
        <v>0</v>
      </c>
      <c r="V5" s="28">
        <f>'FS Jimbaran May 2018'!BJ15</f>
        <v>0</v>
      </c>
      <c r="W5" s="28">
        <f>'FS Jimbaran May 2018'!Y15</f>
        <v>509.99999999999994</v>
      </c>
      <c r="X5" s="28">
        <f>'FS Jimbaran May 2018'!Z15</f>
        <v>0</v>
      </c>
      <c r="Y5" s="28">
        <f>'FS Jimbaran May 2018'!AA15</f>
        <v>0</v>
      </c>
      <c r="Z5" s="28">
        <f>'FS Jimbaran May 2018'!AB15</f>
        <v>0</v>
      </c>
      <c r="AA5" s="28">
        <f>'FS Jimbaran May 2018'!AC15</f>
        <v>0</v>
      </c>
      <c r="AB5" s="28">
        <f>'FS Jimbaran May 2018'!AD15</f>
        <v>0</v>
      </c>
      <c r="AC5" s="28">
        <f>'FS Jimbaran May 2018'!AE15</f>
        <v>0</v>
      </c>
      <c r="AD5" s="28">
        <f>'FS Jimbaran May 2018'!AF15</f>
        <v>0</v>
      </c>
      <c r="AE5" s="28">
        <f>'FS Jimbaran May 2018'!AG15</f>
        <v>0</v>
      </c>
      <c r="AF5" s="28">
        <f>'FS Jimbaran May 2018'!AH15</f>
        <v>0</v>
      </c>
      <c r="AG5" s="28">
        <f>'FS Jimbaran May 2018'!AM15</f>
        <v>0</v>
      </c>
      <c r="AH5" s="28">
        <f>'FS Jimbaran May 2018'!AR15</f>
        <v>0</v>
      </c>
      <c r="AI5" s="28">
        <f>'FS Jimbaran May 2018'!AQ15</f>
        <v>0</v>
      </c>
      <c r="AJ5" s="28">
        <f>'FS Jimbaran May 2018'!AR15</f>
        <v>0</v>
      </c>
      <c r="AK5" s="28">
        <f>'FS Jimbaran May 2018'!AY15</f>
        <v>0</v>
      </c>
      <c r="AL5" s="28">
        <f>'FS Jimbaran May 2018'!AZ15</f>
        <v>0</v>
      </c>
      <c r="AM5" s="28">
        <f>'FS Jimbaran May 2018'!BB15</f>
        <v>0</v>
      </c>
      <c r="AN5" s="28">
        <f>'FS Jimbaran May 2018'!BB15</f>
        <v>0</v>
      </c>
      <c r="AO5" s="28">
        <f>'FS Jimbaran May 2018'!BK15</f>
        <v>0</v>
      </c>
      <c r="AP5" s="28">
        <f>'FS Jimbaran May 2018'!BL15</f>
        <v>0</v>
      </c>
      <c r="AQ5" s="28">
        <f>'FS Jimbaran May 2018'!BC15</f>
        <v>0</v>
      </c>
      <c r="AR5" s="28">
        <f>'FS Jimbaran May 2018'!BD15</f>
        <v>0</v>
      </c>
      <c r="AS5" s="28">
        <f>'FS Jimbaran May 2018'!BM15</f>
        <v>0</v>
      </c>
      <c r="AT5" s="28">
        <f>'FS Jimbaran May 2018'!BN15</f>
        <v>0</v>
      </c>
      <c r="AU5" s="28">
        <f>'FS Jimbaran May 2018'!BO15</f>
        <v>0</v>
      </c>
      <c r="AV5" s="28">
        <f>'FS Jimbaran May 2018'!BP15</f>
        <v>0</v>
      </c>
      <c r="AW5" s="28">
        <f>'FS Jimbaran May 2018'!E15</f>
        <v>9.1</v>
      </c>
      <c r="AX5" s="28">
        <f>'FS Jimbaran May 2018'!F15</f>
        <v>0</v>
      </c>
      <c r="AY5" s="28">
        <f>'FS Jimbaran May 2018'!O15</f>
        <v>0</v>
      </c>
      <c r="AZ5" s="28">
        <f>'FS Jimbaran May 2018'!P15</f>
        <v>0</v>
      </c>
      <c r="BA5" s="28">
        <f>'FS Jimbaran May 2018'!W15</f>
        <v>0</v>
      </c>
      <c r="BB5" s="28">
        <f>'FS Jimbaran May 2018'!X15</f>
        <v>0</v>
      </c>
      <c r="BC5" s="28">
        <f>'FS Jimbaran May 2018'!AI15</f>
        <v>550</v>
      </c>
      <c r="BD5" s="28">
        <f>'FS Jimbaran May 2018'!AJ15</f>
        <v>0</v>
      </c>
      <c r="BE5" s="28">
        <f>'FS Jimbaran May 2018'!AK15</f>
        <v>0</v>
      </c>
      <c r="BF5" s="28">
        <f>'FS Jimbaran May 2018'!AL15</f>
        <v>0</v>
      </c>
      <c r="BG5" s="28">
        <f>'FS Jimbaran May 2018'!AM15</f>
        <v>0</v>
      </c>
      <c r="BH5" s="28">
        <f>'FS Jimbaran May 2018'!AN15</f>
        <v>0</v>
      </c>
      <c r="BI5" s="28">
        <f>'FS Jimbaran May 2018'!AO15</f>
        <v>0</v>
      </c>
      <c r="BJ5" s="28">
        <f>'FS Jimbaran May 2018'!AO15</f>
        <v>0</v>
      </c>
      <c r="BK5" s="28">
        <f>'FS Jimbaran May 2018'!AQ15</f>
        <v>0</v>
      </c>
      <c r="BL5" s="28">
        <f>'FS Jimbaran May 2018'!AR15</f>
        <v>0</v>
      </c>
      <c r="BM5" s="28">
        <v>0</v>
      </c>
      <c r="BN5" s="28">
        <v>0</v>
      </c>
      <c r="BO5" s="29">
        <f>'FS Jimbaran May 2018'!Q15</f>
        <v>0</v>
      </c>
      <c r="BP5" s="28">
        <f>'FS Jimbaran May 2018'!R15</f>
        <v>0</v>
      </c>
    </row>
    <row r="6" spans="1:68">
      <c r="A6" s="23" t="s">
        <v>67</v>
      </c>
      <c r="B6" s="31">
        <f t="shared" si="0"/>
        <v>5</v>
      </c>
      <c r="C6" s="32">
        <v>5</v>
      </c>
      <c r="D6" s="33">
        <v>2018</v>
      </c>
      <c r="E6" s="24">
        <f>'FS Jimbaran May 2018'!M16</f>
        <v>3.5</v>
      </c>
      <c r="F6" s="28">
        <f>'FS Jimbaran May 2018'!N16</f>
        <v>0</v>
      </c>
      <c r="G6" s="28">
        <v>0</v>
      </c>
      <c r="H6" s="28">
        <f>'FS Jimbaran May 2018'!H16</f>
        <v>0</v>
      </c>
      <c r="I6" s="28">
        <f>'FS Jimbaran May 2018'!I16</f>
        <v>0</v>
      </c>
      <c r="J6" s="28">
        <f>'FS Jimbaran May 2018'!J16</f>
        <v>0</v>
      </c>
      <c r="K6" s="28">
        <f>'FS Jimbaran May 2018'!K16</f>
        <v>19.7</v>
      </c>
      <c r="L6" s="28">
        <f>'FS Jimbaran May 2018'!L16</f>
        <v>0</v>
      </c>
      <c r="M6" s="28">
        <f>'FS Jimbaran May 2018'!S16</f>
        <v>0</v>
      </c>
      <c r="N6" s="28">
        <f>'FS Jimbaran May 2018'!T16</f>
        <v>0</v>
      </c>
      <c r="O6" s="28">
        <f>'FS Jimbaran May 2018'!U16</f>
        <v>14.6</v>
      </c>
      <c r="P6" s="28">
        <f>'FS Jimbaran May 2018'!V16</f>
        <v>0</v>
      </c>
      <c r="Q6" s="28">
        <f>'FS Jimbaran May 2018'!BE16</f>
        <v>0</v>
      </c>
      <c r="R6" s="28">
        <f>'FS Jimbaran May 2018'!BF16</f>
        <v>0</v>
      </c>
      <c r="S6" s="28">
        <f>'FS Jimbaran May 2018'!BH16</f>
        <v>0</v>
      </c>
      <c r="T6" s="28">
        <f>'FS Jimbaran May 2018'!BH16</f>
        <v>0</v>
      </c>
      <c r="U6" s="28">
        <f>'FS Jimbaran May 2018'!BI16</f>
        <v>0</v>
      </c>
      <c r="V6" s="28">
        <f>'FS Jimbaran May 2018'!BJ16</f>
        <v>0</v>
      </c>
      <c r="W6" s="28">
        <f>'FS Jimbaran May 2018'!Y16</f>
        <v>630</v>
      </c>
      <c r="X6" s="28">
        <f>'FS Jimbaran May 2018'!Z16</f>
        <v>0</v>
      </c>
      <c r="Y6" s="28">
        <f>'FS Jimbaran May 2018'!AA16</f>
        <v>0</v>
      </c>
      <c r="Z6" s="28">
        <f>'FS Jimbaran May 2018'!AB16</f>
        <v>0</v>
      </c>
      <c r="AA6" s="28">
        <f>'FS Jimbaran May 2018'!AC16</f>
        <v>0</v>
      </c>
      <c r="AB6" s="28">
        <f>'FS Jimbaran May 2018'!AD16</f>
        <v>0</v>
      </c>
      <c r="AC6" s="28">
        <f>'FS Jimbaran May 2018'!AE16</f>
        <v>0</v>
      </c>
      <c r="AD6" s="28">
        <f>'FS Jimbaran May 2018'!AF16</f>
        <v>0</v>
      </c>
      <c r="AE6" s="28">
        <f>'FS Jimbaran May 2018'!AG16</f>
        <v>0</v>
      </c>
      <c r="AF6" s="28">
        <f>'FS Jimbaran May 2018'!AH16</f>
        <v>0</v>
      </c>
      <c r="AG6" s="28">
        <f>'FS Jimbaran May 2018'!AM16</f>
        <v>0</v>
      </c>
      <c r="AH6" s="28">
        <f>'FS Jimbaran May 2018'!AR16</f>
        <v>0</v>
      </c>
      <c r="AI6" s="28">
        <f>'FS Jimbaran May 2018'!AQ16</f>
        <v>0</v>
      </c>
      <c r="AJ6" s="28">
        <f>'FS Jimbaran May 2018'!AR16</f>
        <v>0</v>
      </c>
      <c r="AK6" s="28">
        <f>'FS Jimbaran May 2018'!AY16</f>
        <v>0</v>
      </c>
      <c r="AL6" s="28">
        <f>'FS Jimbaran May 2018'!AZ16</f>
        <v>0</v>
      </c>
      <c r="AM6" s="28">
        <f>'FS Jimbaran May 2018'!BB16</f>
        <v>0</v>
      </c>
      <c r="AN6" s="28">
        <f>'FS Jimbaran May 2018'!BB16</f>
        <v>0</v>
      </c>
      <c r="AO6" s="28">
        <f>'FS Jimbaran May 2018'!BK16</f>
        <v>0</v>
      </c>
      <c r="AP6" s="28">
        <f>'FS Jimbaran May 2018'!BL16</f>
        <v>0</v>
      </c>
      <c r="AQ6" s="28">
        <f>'FS Jimbaran May 2018'!BC16</f>
        <v>0</v>
      </c>
      <c r="AR6" s="28">
        <f>'FS Jimbaran May 2018'!BD16</f>
        <v>0</v>
      </c>
      <c r="AS6" s="28">
        <f>'FS Jimbaran May 2018'!BM16</f>
        <v>0</v>
      </c>
      <c r="AT6" s="28">
        <f>'FS Jimbaran May 2018'!BN16</f>
        <v>0</v>
      </c>
      <c r="AU6" s="28">
        <f>'FS Jimbaran May 2018'!BO16</f>
        <v>0</v>
      </c>
      <c r="AV6" s="28">
        <f>'FS Jimbaran May 2018'!BP16</f>
        <v>0</v>
      </c>
      <c r="AW6" s="28">
        <f>'FS Jimbaran May 2018'!E16</f>
        <v>8.8000000000000007</v>
      </c>
      <c r="AX6" s="28">
        <f>'FS Jimbaran May 2018'!F16</f>
        <v>0</v>
      </c>
      <c r="AY6" s="28">
        <f>'FS Jimbaran May 2018'!O16</f>
        <v>0</v>
      </c>
      <c r="AZ6" s="28">
        <f>'FS Jimbaran May 2018'!P16</f>
        <v>0</v>
      </c>
      <c r="BA6" s="28">
        <f>'FS Jimbaran May 2018'!W16</f>
        <v>0</v>
      </c>
      <c r="BB6" s="28">
        <f>'FS Jimbaran May 2018'!X16</f>
        <v>0</v>
      </c>
      <c r="BC6" s="28">
        <f>'FS Jimbaran May 2018'!AI16</f>
        <v>750</v>
      </c>
      <c r="BD6" s="28">
        <f>'FS Jimbaran May 2018'!AJ16</f>
        <v>0</v>
      </c>
      <c r="BE6" s="28">
        <f>'FS Jimbaran May 2018'!AK16</f>
        <v>0</v>
      </c>
      <c r="BF6" s="28">
        <f>'FS Jimbaran May 2018'!AL16</f>
        <v>0</v>
      </c>
      <c r="BG6" s="28">
        <f>'FS Jimbaran May 2018'!AM16</f>
        <v>0</v>
      </c>
      <c r="BH6" s="28">
        <f>'FS Jimbaran May 2018'!AN16</f>
        <v>0</v>
      </c>
      <c r="BI6" s="28">
        <f>'FS Jimbaran May 2018'!AO16</f>
        <v>0</v>
      </c>
      <c r="BJ6" s="28">
        <f>'FS Jimbaran May 2018'!AO16</f>
        <v>0</v>
      </c>
      <c r="BK6" s="28">
        <f>'FS Jimbaran May 2018'!AQ16</f>
        <v>0</v>
      </c>
      <c r="BL6" s="28">
        <f>'FS Jimbaran May 2018'!AR16</f>
        <v>0</v>
      </c>
      <c r="BM6" s="28">
        <v>0</v>
      </c>
      <c r="BN6" s="28">
        <v>0</v>
      </c>
      <c r="BO6" s="29">
        <f>'FS Jimbaran May 2018'!Q16</f>
        <v>0</v>
      </c>
      <c r="BP6" s="28">
        <f>'FS Jimbaran May 2018'!R16</f>
        <v>0</v>
      </c>
    </row>
    <row r="7" spans="1:68">
      <c r="A7" s="23" t="s">
        <v>67</v>
      </c>
      <c r="B7" s="31">
        <f t="shared" si="0"/>
        <v>6</v>
      </c>
      <c r="C7" s="32">
        <v>5</v>
      </c>
      <c r="D7" s="33">
        <v>2018</v>
      </c>
      <c r="E7" s="24">
        <f>'FS Jimbaran May 2018'!M17</f>
        <v>2.2999999999999998</v>
      </c>
      <c r="F7" s="28">
        <f>'FS Jimbaran May 2018'!N17</f>
        <v>0</v>
      </c>
      <c r="G7" s="28">
        <v>0</v>
      </c>
      <c r="H7" s="28">
        <f>'FS Jimbaran May 2018'!H17</f>
        <v>0</v>
      </c>
      <c r="I7" s="28">
        <f>'FS Jimbaran May 2018'!I17</f>
        <v>0</v>
      </c>
      <c r="J7" s="28">
        <f>'FS Jimbaran May 2018'!J17</f>
        <v>0</v>
      </c>
      <c r="K7" s="28">
        <f>'FS Jimbaran May 2018'!K17</f>
        <v>12.4</v>
      </c>
      <c r="L7" s="28">
        <f>'FS Jimbaran May 2018'!L17</f>
        <v>0</v>
      </c>
      <c r="M7" s="28">
        <f>'FS Jimbaran May 2018'!S17</f>
        <v>0</v>
      </c>
      <c r="N7" s="28">
        <f>'FS Jimbaran May 2018'!T17</f>
        <v>0</v>
      </c>
      <c r="O7" s="28">
        <f>'FS Jimbaran May 2018'!U17</f>
        <v>5</v>
      </c>
      <c r="P7" s="28">
        <f>'FS Jimbaran May 2018'!V17</f>
        <v>0</v>
      </c>
      <c r="Q7" s="28">
        <f>'FS Jimbaran May 2018'!BE17</f>
        <v>0</v>
      </c>
      <c r="R7" s="28">
        <f>'FS Jimbaran May 2018'!BF17</f>
        <v>0</v>
      </c>
      <c r="S7" s="28">
        <f>'FS Jimbaran May 2018'!BH17</f>
        <v>0</v>
      </c>
      <c r="T7" s="28">
        <f>'FS Jimbaran May 2018'!BH17</f>
        <v>0</v>
      </c>
      <c r="U7" s="28">
        <f>'FS Jimbaran May 2018'!BI17</f>
        <v>0</v>
      </c>
      <c r="V7" s="28">
        <f>'FS Jimbaran May 2018'!BJ17</f>
        <v>0</v>
      </c>
      <c r="W7" s="28">
        <f>'FS Jimbaran May 2018'!Y17</f>
        <v>470</v>
      </c>
      <c r="X7" s="28">
        <f>'FS Jimbaran May 2018'!Z17</f>
        <v>0</v>
      </c>
      <c r="Y7" s="28">
        <f>'FS Jimbaran May 2018'!AA17</f>
        <v>0</v>
      </c>
      <c r="Z7" s="28">
        <f>'FS Jimbaran May 2018'!AB17</f>
        <v>0</v>
      </c>
      <c r="AA7" s="28">
        <f>'FS Jimbaran May 2018'!AC17</f>
        <v>0</v>
      </c>
      <c r="AB7" s="28">
        <f>'FS Jimbaran May 2018'!AD17</f>
        <v>0</v>
      </c>
      <c r="AC7" s="28">
        <f>'FS Jimbaran May 2018'!AE17</f>
        <v>0</v>
      </c>
      <c r="AD7" s="28">
        <f>'FS Jimbaran May 2018'!AF17</f>
        <v>0</v>
      </c>
      <c r="AE7" s="28">
        <f>'FS Jimbaran May 2018'!AG17</f>
        <v>0</v>
      </c>
      <c r="AF7" s="28">
        <f>'FS Jimbaran May 2018'!AH17</f>
        <v>0</v>
      </c>
      <c r="AG7" s="28">
        <f>'FS Jimbaran May 2018'!AM17</f>
        <v>0</v>
      </c>
      <c r="AH7" s="28">
        <f>'FS Jimbaran May 2018'!AR17</f>
        <v>0</v>
      </c>
      <c r="AI7" s="28">
        <f>'FS Jimbaran May 2018'!AQ17</f>
        <v>0</v>
      </c>
      <c r="AJ7" s="28">
        <f>'FS Jimbaran May 2018'!AR17</f>
        <v>0</v>
      </c>
      <c r="AK7" s="28">
        <f>'FS Jimbaran May 2018'!AY17</f>
        <v>0</v>
      </c>
      <c r="AL7" s="28">
        <f>'FS Jimbaran May 2018'!AZ17</f>
        <v>0</v>
      </c>
      <c r="AM7" s="28">
        <f>'FS Jimbaran May 2018'!BB17</f>
        <v>0</v>
      </c>
      <c r="AN7" s="28">
        <f>'FS Jimbaran May 2018'!BB17</f>
        <v>0</v>
      </c>
      <c r="AO7" s="28">
        <f>'FS Jimbaran May 2018'!BK17</f>
        <v>0</v>
      </c>
      <c r="AP7" s="28">
        <f>'FS Jimbaran May 2018'!BL17</f>
        <v>0</v>
      </c>
      <c r="AQ7" s="28">
        <f>'FS Jimbaran May 2018'!BC17</f>
        <v>0</v>
      </c>
      <c r="AR7" s="28">
        <f>'FS Jimbaran May 2018'!BD17</f>
        <v>0</v>
      </c>
      <c r="AS7" s="28">
        <f>'FS Jimbaran May 2018'!BM17</f>
        <v>0</v>
      </c>
      <c r="AT7" s="28">
        <f>'FS Jimbaran May 2018'!BN17</f>
        <v>0</v>
      </c>
      <c r="AU7" s="28">
        <f>'FS Jimbaran May 2018'!BO17</f>
        <v>0</v>
      </c>
      <c r="AV7" s="28">
        <f>'FS Jimbaran May 2018'!BP17</f>
        <v>0</v>
      </c>
      <c r="AW7" s="28">
        <f>'FS Jimbaran May 2018'!E17</f>
        <v>10.9</v>
      </c>
      <c r="AX7" s="28">
        <f>'FS Jimbaran May 2018'!F17</f>
        <v>0</v>
      </c>
      <c r="AY7" s="28">
        <f>'FS Jimbaran May 2018'!O17</f>
        <v>0</v>
      </c>
      <c r="AZ7" s="28">
        <f>'FS Jimbaran May 2018'!P17</f>
        <v>0</v>
      </c>
      <c r="BA7" s="28">
        <f>'FS Jimbaran May 2018'!W17</f>
        <v>0</v>
      </c>
      <c r="BB7" s="28">
        <f>'FS Jimbaran May 2018'!X17</f>
        <v>0</v>
      </c>
      <c r="BC7" s="28">
        <f>'FS Jimbaran May 2018'!AI17</f>
        <v>500</v>
      </c>
      <c r="BD7" s="28">
        <f>'FS Jimbaran May 2018'!AJ17</f>
        <v>0</v>
      </c>
      <c r="BE7" s="28">
        <f>'FS Jimbaran May 2018'!AK17</f>
        <v>0</v>
      </c>
      <c r="BF7" s="28">
        <f>'FS Jimbaran May 2018'!AL17</f>
        <v>0</v>
      </c>
      <c r="BG7" s="28">
        <f>'FS Jimbaran May 2018'!AM17</f>
        <v>0</v>
      </c>
      <c r="BH7" s="28">
        <f>'FS Jimbaran May 2018'!AN17</f>
        <v>0</v>
      </c>
      <c r="BI7" s="28">
        <f>'FS Jimbaran May 2018'!AO17</f>
        <v>0</v>
      </c>
      <c r="BJ7" s="28">
        <f>'FS Jimbaran May 2018'!AO17</f>
        <v>0</v>
      </c>
      <c r="BK7" s="28">
        <f>'FS Jimbaran May 2018'!AQ17</f>
        <v>0</v>
      </c>
      <c r="BL7" s="28">
        <f>'FS Jimbaran May 2018'!AR17</f>
        <v>0</v>
      </c>
      <c r="BM7" s="28">
        <v>0</v>
      </c>
      <c r="BN7" s="28">
        <v>0</v>
      </c>
      <c r="BO7" s="29">
        <f>'FS Jimbaran May 2018'!Q17</f>
        <v>0</v>
      </c>
      <c r="BP7" s="28">
        <f>'FS Jimbaran May 2018'!R17</f>
        <v>0</v>
      </c>
    </row>
    <row r="8" spans="1:68">
      <c r="A8" s="23" t="s">
        <v>67</v>
      </c>
      <c r="B8" s="31">
        <f t="shared" si="0"/>
        <v>7</v>
      </c>
      <c r="C8" s="32">
        <v>5</v>
      </c>
      <c r="D8" s="33">
        <v>2018</v>
      </c>
      <c r="E8" s="24">
        <f>'FS Jimbaran May 2018'!M18</f>
        <v>4.2</v>
      </c>
      <c r="F8" s="28">
        <f>'FS Jimbaran May 2018'!N18</f>
        <v>0</v>
      </c>
      <c r="G8" s="28">
        <v>0</v>
      </c>
      <c r="H8" s="28">
        <f>'FS Jimbaran May 2018'!H18</f>
        <v>0</v>
      </c>
      <c r="I8" s="28">
        <f>'FS Jimbaran May 2018'!I18</f>
        <v>0</v>
      </c>
      <c r="J8" s="28">
        <f>'FS Jimbaran May 2018'!J18</f>
        <v>0</v>
      </c>
      <c r="K8" s="28">
        <f>'FS Jimbaran May 2018'!K18</f>
        <v>14.100000000000001</v>
      </c>
      <c r="L8" s="28">
        <f>'FS Jimbaran May 2018'!L18</f>
        <v>0</v>
      </c>
      <c r="M8" s="28">
        <f>'FS Jimbaran May 2018'!S18</f>
        <v>0</v>
      </c>
      <c r="N8" s="28">
        <f>'FS Jimbaran May 2018'!T18</f>
        <v>0</v>
      </c>
      <c r="O8" s="28">
        <f>'FS Jimbaran May 2018'!U18</f>
        <v>16.2</v>
      </c>
      <c r="P8" s="28">
        <f>'FS Jimbaran May 2018'!V18</f>
        <v>0</v>
      </c>
      <c r="Q8" s="28">
        <f>'FS Jimbaran May 2018'!BE18</f>
        <v>0</v>
      </c>
      <c r="R8" s="28">
        <f>'FS Jimbaran May 2018'!BF18</f>
        <v>0</v>
      </c>
      <c r="S8" s="28">
        <f>'FS Jimbaran May 2018'!BH18</f>
        <v>0</v>
      </c>
      <c r="T8" s="28">
        <f>'FS Jimbaran May 2018'!BH18</f>
        <v>0</v>
      </c>
      <c r="U8" s="28">
        <f>'FS Jimbaran May 2018'!BI18</f>
        <v>0</v>
      </c>
      <c r="V8" s="28">
        <f>'FS Jimbaran May 2018'!BJ18</f>
        <v>0</v>
      </c>
      <c r="W8" s="28">
        <f>'FS Jimbaran May 2018'!Y18</f>
        <v>530</v>
      </c>
      <c r="X8" s="28">
        <f>'FS Jimbaran May 2018'!Z18</f>
        <v>0</v>
      </c>
      <c r="Y8" s="28">
        <f>'FS Jimbaran May 2018'!AA18</f>
        <v>0</v>
      </c>
      <c r="Z8" s="28">
        <f>'FS Jimbaran May 2018'!AB18</f>
        <v>0</v>
      </c>
      <c r="AA8" s="28">
        <f>'FS Jimbaran May 2018'!AC18</f>
        <v>0</v>
      </c>
      <c r="AB8" s="28">
        <f>'FS Jimbaran May 2018'!AD18</f>
        <v>0</v>
      </c>
      <c r="AC8" s="28">
        <f>'FS Jimbaran May 2018'!AE18</f>
        <v>0</v>
      </c>
      <c r="AD8" s="28">
        <f>'FS Jimbaran May 2018'!AF18</f>
        <v>0</v>
      </c>
      <c r="AE8" s="28">
        <f>'FS Jimbaran May 2018'!AG18</f>
        <v>0</v>
      </c>
      <c r="AF8" s="28">
        <f>'FS Jimbaran May 2018'!AH18</f>
        <v>0</v>
      </c>
      <c r="AG8" s="28">
        <f>'FS Jimbaran May 2018'!AM18</f>
        <v>0</v>
      </c>
      <c r="AH8" s="28">
        <f>'FS Jimbaran May 2018'!AR18</f>
        <v>0</v>
      </c>
      <c r="AI8" s="28">
        <f>'FS Jimbaran May 2018'!AQ18</f>
        <v>0</v>
      </c>
      <c r="AJ8" s="28">
        <f>'FS Jimbaran May 2018'!AR18</f>
        <v>0</v>
      </c>
      <c r="AK8" s="28">
        <f>'FS Jimbaran May 2018'!AY18</f>
        <v>0</v>
      </c>
      <c r="AL8" s="28">
        <f>'FS Jimbaran May 2018'!AZ18</f>
        <v>0</v>
      </c>
      <c r="AM8" s="28">
        <f>'FS Jimbaran May 2018'!BB18</f>
        <v>0</v>
      </c>
      <c r="AN8" s="28">
        <f>'FS Jimbaran May 2018'!BB18</f>
        <v>0</v>
      </c>
      <c r="AO8" s="28">
        <f>'FS Jimbaran May 2018'!BK18</f>
        <v>0</v>
      </c>
      <c r="AP8" s="28">
        <f>'FS Jimbaran May 2018'!BL18</f>
        <v>0</v>
      </c>
      <c r="AQ8" s="28">
        <f>'FS Jimbaran May 2018'!BC18</f>
        <v>0</v>
      </c>
      <c r="AR8" s="28">
        <f>'FS Jimbaran May 2018'!BD18</f>
        <v>0</v>
      </c>
      <c r="AS8" s="28">
        <f>'FS Jimbaran May 2018'!BM18</f>
        <v>0</v>
      </c>
      <c r="AT8" s="28">
        <f>'FS Jimbaran May 2018'!BN18</f>
        <v>0</v>
      </c>
      <c r="AU8" s="28">
        <f>'FS Jimbaran May 2018'!BO18</f>
        <v>0</v>
      </c>
      <c r="AV8" s="28">
        <f>'FS Jimbaran May 2018'!BP18</f>
        <v>0</v>
      </c>
      <c r="AW8" s="28">
        <f>'FS Jimbaran May 2018'!E18</f>
        <v>10.199999999999999</v>
      </c>
      <c r="AX8" s="28">
        <f>'FS Jimbaran May 2018'!F18</f>
        <v>0</v>
      </c>
      <c r="AY8" s="28">
        <f>'FS Jimbaran May 2018'!O18</f>
        <v>0</v>
      </c>
      <c r="AZ8" s="28">
        <f>'FS Jimbaran May 2018'!P18</f>
        <v>0</v>
      </c>
      <c r="BA8" s="28">
        <f>'FS Jimbaran May 2018'!W18</f>
        <v>0</v>
      </c>
      <c r="BB8" s="28">
        <f>'FS Jimbaran May 2018'!X18</f>
        <v>0</v>
      </c>
      <c r="BC8" s="28">
        <f>'FS Jimbaran May 2018'!AI18</f>
        <v>540</v>
      </c>
      <c r="BD8" s="28">
        <f>'FS Jimbaran May 2018'!AJ18</f>
        <v>0</v>
      </c>
      <c r="BE8" s="28">
        <f>'FS Jimbaran May 2018'!AK18</f>
        <v>0</v>
      </c>
      <c r="BF8" s="28">
        <f>'FS Jimbaran May 2018'!AL18</f>
        <v>0</v>
      </c>
      <c r="BG8" s="28">
        <f>'FS Jimbaran May 2018'!AM18</f>
        <v>0</v>
      </c>
      <c r="BH8" s="28">
        <f>'FS Jimbaran May 2018'!AN18</f>
        <v>0</v>
      </c>
      <c r="BI8" s="28">
        <f>'FS Jimbaran May 2018'!AO18</f>
        <v>0</v>
      </c>
      <c r="BJ8" s="28">
        <f>'FS Jimbaran May 2018'!AO18</f>
        <v>0</v>
      </c>
      <c r="BK8" s="28">
        <f>'FS Jimbaran May 2018'!AQ18</f>
        <v>0</v>
      </c>
      <c r="BL8" s="28">
        <f>'FS Jimbaran May 2018'!AR18</f>
        <v>0</v>
      </c>
      <c r="BM8" s="28">
        <v>0</v>
      </c>
      <c r="BN8" s="28">
        <v>0</v>
      </c>
      <c r="BO8" s="29">
        <f>'FS Jimbaran May 2018'!Q18</f>
        <v>0</v>
      </c>
      <c r="BP8" s="28">
        <f>'FS Jimbaran May 2018'!R18</f>
        <v>0</v>
      </c>
    </row>
    <row r="9" spans="1:68">
      <c r="A9" s="23" t="s">
        <v>67</v>
      </c>
      <c r="B9" s="31">
        <f t="shared" si="0"/>
        <v>8</v>
      </c>
      <c r="C9" s="32">
        <v>5</v>
      </c>
      <c r="D9" s="33">
        <v>2018</v>
      </c>
      <c r="E9" s="24">
        <f>'FS Jimbaran May 2018'!M19</f>
        <v>3.8</v>
      </c>
      <c r="F9" s="28">
        <f>'FS Jimbaran May 2018'!N19</f>
        <v>0</v>
      </c>
      <c r="G9" s="28">
        <v>0</v>
      </c>
      <c r="H9" s="28">
        <f>'FS Jimbaran May 2018'!H19</f>
        <v>0</v>
      </c>
      <c r="I9" s="28">
        <f>'FS Jimbaran May 2018'!I19</f>
        <v>0</v>
      </c>
      <c r="J9" s="28">
        <f>'FS Jimbaran May 2018'!J19</f>
        <v>0</v>
      </c>
      <c r="K9" s="28">
        <f>'FS Jimbaran May 2018'!K19</f>
        <v>13.3</v>
      </c>
      <c r="L9" s="28">
        <f>'FS Jimbaran May 2018'!L19</f>
        <v>0</v>
      </c>
      <c r="M9" s="28">
        <f>'FS Jimbaran May 2018'!S19</f>
        <v>0</v>
      </c>
      <c r="N9" s="28">
        <f>'FS Jimbaran May 2018'!T19</f>
        <v>0</v>
      </c>
      <c r="O9" s="28">
        <f>'FS Jimbaran May 2018'!U19</f>
        <v>12.6</v>
      </c>
      <c r="P9" s="28">
        <f>'FS Jimbaran May 2018'!V19</f>
        <v>0</v>
      </c>
      <c r="Q9" s="28">
        <f>'FS Jimbaran May 2018'!BE19</f>
        <v>0</v>
      </c>
      <c r="R9" s="28">
        <f>'FS Jimbaran May 2018'!BF19</f>
        <v>0</v>
      </c>
      <c r="S9" s="28">
        <f>'FS Jimbaran May 2018'!BH19</f>
        <v>0</v>
      </c>
      <c r="T9" s="28">
        <f>'FS Jimbaran May 2018'!BH19</f>
        <v>0</v>
      </c>
      <c r="U9" s="28">
        <f>'FS Jimbaran May 2018'!BI19</f>
        <v>0</v>
      </c>
      <c r="V9" s="28">
        <f>'FS Jimbaran May 2018'!BJ19</f>
        <v>0</v>
      </c>
      <c r="W9" s="28">
        <f>'FS Jimbaran May 2018'!Y19</f>
        <v>480</v>
      </c>
      <c r="X9" s="28">
        <f>'FS Jimbaran May 2018'!Z19</f>
        <v>0</v>
      </c>
      <c r="Y9" s="28">
        <f>'FS Jimbaran May 2018'!AA19</f>
        <v>0</v>
      </c>
      <c r="Z9" s="28">
        <f>'FS Jimbaran May 2018'!AB19</f>
        <v>0</v>
      </c>
      <c r="AA9" s="28">
        <f>'FS Jimbaran May 2018'!AC19</f>
        <v>0</v>
      </c>
      <c r="AB9" s="28">
        <f>'FS Jimbaran May 2018'!AD19</f>
        <v>0</v>
      </c>
      <c r="AC9" s="28">
        <f>'FS Jimbaran May 2018'!AE19</f>
        <v>0</v>
      </c>
      <c r="AD9" s="28">
        <f>'FS Jimbaran May 2018'!AF19</f>
        <v>0</v>
      </c>
      <c r="AE9" s="28">
        <f>'FS Jimbaran May 2018'!AG19</f>
        <v>0</v>
      </c>
      <c r="AF9" s="28">
        <f>'FS Jimbaran May 2018'!AH19</f>
        <v>0</v>
      </c>
      <c r="AG9" s="28">
        <f>'FS Jimbaran May 2018'!AM19</f>
        <v>0</v>
      </c>
      <c r="AH9" s="28">
        <f>'FS Jimbaran May 2018'!AR19</f>
        <v>0</v>
      </c>
      <c r="AI9" s="28">
        <f>'FS Jimbaran May 2018'!AQ19</f>
        <v>0</v>
      </c>
      <c r="AJ9" s="28">
        <f>'FS Jimbaran May 2018'!AR19</f>
        <v>0</v>
      </c>
      <c r="AK9" s="28">
        <f>'FS Jimbaran May 2018'!AY19</f>
        <v>0</v>
      </c>
      <c r="AL9" s="28">
        <f>'FS Jimbaran May 2018'!AZ19</f>
        <v>0</v>
      </c>
      <c r="AM9" s="28">
        <f>'FS Jimbaran May 2018'!BB19</f>
        <v>0</v>
      </c>
      <c r="AN9" s="28">
        <f>'FS Jimbaran May 2018'!BB19</f>
        <v>0</v>
      </c>
      <c r="AO9" s="28">
        <f>'FS Jimbaran May 2018'!BK19</f>
        <v>0</v>
      </c>
      <c r="AP9" s="28">
        <f>'FS Jimbaran May 2018'!BL19</f>
        <v>0</v>
      </c>
      <c r="AQ9" s="28">
        <f>'FS Jimbaran May 2018'!BC19</f>
        <v>0</v>
      </c>
      <c r="AR9" s="28">
        <f>'FS Jimbaran May 2018'!BD19</f>
        <v>0</v>
      </c>
      <c r="AS9" s="28">
        <f>'FS Jimbaran May 2018'!BM19</f>
        <v>0</v>
      </c>
      <c r="AT9" s="28">
        <f>'FS Jimbaran May 2018'!BN19</f>
        <v>0</v>
      </c>
      <c r="AU9" s="28">
        <f>'FS Jimbaran May 2018'!BO19</f>
        <v>0</v>
      </c>
      <c r="AV9" s="28">
        <f>'FS Jimbaran May 2018'!BP19</f>
        <v>0</v>
      </c>
      <c r="AW9" s="28">
        <f>'FS Jimbaran May 2018'!E19</f>
        <v>10.399999999999999</v>
      </c>
      <c r="AX9" s="28">
        <f>'FS Jimbaran May 2018'!F19</f>
        <v>0</v>
      </c>
      <c r="AY9" s="28">
        <f>'FS Jimbaran May 2018'!O19</f>
        <v>0</v>
      </c>
      <c r="AZ9" s="28">
        <f>'FS Jimbaran May 2018'!P19</f>
        <v>0</v>
      </c>
      <c r="BA9" s="28">
        <f>'FS Jimbaran May 2018'!W19</f>
        <v>0</v>
      </c>
      <c r="BB9" s="28">
        <f>'FS Jimbaran May 2018'!X19</f>
        <v>0</v>
      </c>
      <c r="BC9" s="28">
        <f>'FS Jimbaran May 2018'!AI19</f>
        <v>790</v>
      </c>
      <c r="BD9" s="28">
        <f>'FS Jimbaran May 2018'!AJ19</f>
        <v>0</v>
      </c>
      <c r="BE9" s="28">
        <f>'FS Jimbaran May 2018'!AK19</f>
        <v>0</v>
      </c>
      <c r="BF9" s="28">
        <f>'FS Jimbaran May 2018'!AL19</f>
        <v>0</v>
      </c>
      <c r="BG9" s="28">
        <f>'FS Jimbaran May 2018'!AM19</f>
        <v>0</v>
      </c>
      <c r="BH9" s="28">
        <f>'FS Jimbaran May 2018'!AN19</f>
        <v>0</v>
      </c>
      <c r="BI9" s="28">
        <f>'FS Jimbaran May 2018'!AO19</f>
        <v>0</v>
      </c>
      <c r="BJ9" s="28">
        <f>'FS Jimbaran May 2018'!AO19</f>
        <v>0</v>
      </c>
      <c r="BK9" s="28">
        <f>'FS Jimbaran May 2018'!AQ19</f>
        <v>0</v>
      </c>
      <c r="BL9" s="28">
        <f>'FS Jimbaran May 2018'!AR19</f>
        <v>0</v>
      </c>
      <c r="BM9" s="28">
        <v>0</v>
      </c>
      <c r="BN9" s="28">
        <v>0</v>
      </c>
      <c r="BO9" s="29">
        <f>'FS Jimbaran May 2018'!Q19</f>
        <v>0</v>
      </c>
      <c r="BP9" s="28">
        <f>'FS Jimbaran May 2018'!R19</f>
        <v>0</v>
      </c>
    </row>
    <row r="10" spans="1:68">
      <c r="A10" s="23" t="s">
        <v>67</v>
      </c>
      <c r="B10" s="31">
        <f t="shared" si="0"/>
        <v>9</v>
      </c>
      <c r="C10" s="32">
        <v>5</v>
      </c>
      <c r="D10" s="33">
        <v>2018</v>
      </c>
      <c r="E10" s="24">
        <f>'FS Jimbaran May 2018'!M20</f>
        <v>3.2</v>
      </c>
      <c r="F10" s="28">
        <f>'FS Jimbaran May 2018'!N20</f>
        <v>0</v>
      </c>
      <c r="G10" s="28">
        <v>0</v>
      </c>
      <c r="H10" s="28">
        <f>'FS Jimbaran May 2018'!H20</f>
        <v>0</v>
      </c>
      <c r="I10" s="28">
        <f>'FS Jimbaran May 2018'!I20</f>
        <v>0</v>
      </c>
      <c r="J10" s="28">
        <f>'FS Jimbaran May 2018'!J20</f>
        <v>0</v>
      </c>
      <c r="K10" s="28">
        <f>'FS Jimbaran May 2018'!K20</f>
        <v>15.9</v>
      </c>
      <c r="L10" s="28">
        <f>'FS Jimbaran May 2018'!L20</f>
        <v>0</v>
      </c>
      <c r="M10" s="28">
        <f>'FS Jimbaran May 2018'!S20</f>
        <v>0</v>
      </c>
      <c r="N10" s="28">
        <f>'FS Jimbaran May 2018'!T20</f>
        <v>0</v>
      </c>
      <c r="O10" s="28">
        <f>'FS Jimbaran May 2018'!U20</f>
        <v>18.2</v>
      </c>
      <c r="P10" s="28">
        <f>'FS Jimbaran May 2018'!V20</f>
        <v>0</v>
      </c>
      <c r="Q10" s="28">
        <f>'FS Jimbaran May 2018'!BE20</f>
        <v>0</v>
      </c>
      <c r="R10" s="28">
        <f>'FS Jimbaran May 2018'!BF20</f>
        <v>0</v>
      </c>
      <c r="S10" s="28">
        <f>'FS Jimbaran May 2018'!BH20</f>
        <v>0</v>
      </c>
      <c r="T10" s="28">
        <f>'FS Jimbaran May 2018'!BH20</f>
        <v>0</v>
      </c>
      <c r="U10" s="28">
        <f>'FS Jimbaran May 2018'!BI20</f>
        <v>0</v>
      </c>
      <c r="V10" s="28">
        <f>'FS Jimbaran May 2018'!BJ20</f>
        <v>0</v>
      </c>
      <c r="W10" s="28">
        <f>'FS Jimbaran May 2018'!Y20</f>
        <v>509.99999999999994</v>
      </c>
      <c r="X10" s="28">
        <f>'FS Jimbaran May 2018'!Z20</f>
        <v>0</v>
      </c>
      <c r="Y10" s="28">
        <f>'FS Jimbaran May 2018'!AA20</f>
        <v>0</v>
      </c>
      <c r="Z10" s="28">
        <f>'FS Jimbaran May 2018'!AB20</f>
        <v>0</v>
      </c>
      <c r="AA10" s="28">
        <f>'FS Jimbaran May 2018'!AC20</f>
        <v>0</v>
      </c>
      <c r="AB10" s="28">
        <f>'FS Jimbaran May 2018'!AD20</f>
        <v>0</v>
      </c>
      <c r="AC10" s="28">
        <f>'FS Jimbaran May 2018'!AE20</f>
        <v>0</v>
      </c>
      <c r="AD10" s="28">
        <f>'FS Jimbaran May 2018'!AF20</f>
        <v>0</v>
      </c>
      <c r="AE10" s="28">
        <f>'FS Jimbaran May 2018'!AG20</f>
        <v>0</v>
      </c>
      <c r="AF10" s="28">
        <f>'FS Jimbaran May 2018'!AH20</f>
        <v>0</v>
      </c>
      <c r="AG10" s="28">
        <f>'FS Jimbaran May 2018'!AM20</f>
        <v>0</v>
      </c>
      <c r="AH10" s="28">
        <f>'FS Jimbaran May 2018'!AR20</f>
        <v>0</v>
      </c>
      <c r="AI10" s="28">
        <f>'FS Jimbaran May 2018'!AQ20</f>
        <v>0</v>
      </c>
      <c r="AJ10" s="28">
        <f>'FS Jimbaran May 2018'!AR20</f>
        <v>0</v>
      </c>
      <c r="AK10" s="28">
        <f>'FS Jimbaran May 2018'!AY20</f>
        <v>0</v>
      </c>
      <c r="AL10" s="28">
        <f>'FS Jimbaran May 2018'!AZ20</f>
        <v>0</v>
      </c>
      <c r="AM10" s="28">
        <f>'FS Jimbaran May 2018'!BB20</f>
        <v>0</v>
      </c>
      <c r="AN10" s="28">
        <f>'FS Jimbaran May 2018'!BB20</f>
        <v>0</v>
      </c>
      <c r="AO10" s="28">
        <f>'FS Jimbaran May 2018'!BK20</f>
        <v>0</v>
      </c>
      <c r="AP10" s="28">
        <f>'FS Jimbaran May 2018'!BL20</f>
        <v>0</v>
      </c>
      <c r="AQ10" s="28">
        <f>'FS Jimbaran May 2018'!BC20</f>
        <v>0</v>
      </c>
      <c r="AR10" s="28">
        <f>'FS Jimbaran May 2018'!BD20</f>
        <v>0</v>
      </c>
      <c r="AS10" s="28">
        <f>'FS Jimbaran May 2018'!BM20</f>
        <v>0</v>
      </c>
      <c r="AT10" s="28">
        <f>'FS Jimbaran May 2018'!BN20</f>
        <v>0</v>
      </c>
      <c r="AU10" s="28">
        <f>'FS Jimbaran May 2018'!BO20</f>
        <v>0</v>
      </c>
      <c r="AV10" s="28">
        <f>'FS Jimbaran May 2018'!BP20</f>
        <v>0</v>
      </c>
      <c r="AW10" s="28">
        <f>'FS Jimbaran May 2018'!E20</f>
        <v>8</v>
      </c>
      <c r="AX10" s="28">
        <f>'FS Jimbaran May 2018'!F20</f>
        <v>0</v>
      </c>
      <c r="AY10" s="28">
        <f>'FS Jimbaran May 2018'!O20</f>
        <v>0</v>
      </c>
      <c r="AZ10" s="28">
        <f>'FS Jimbaran May 2018'!P20</f>
        <v>0</v>
      </c>
      <c r="BA10" s="28">
        <f>'FS Jimbaran May 2018'!W20</f>
        <v>0</v>
      </c>
      <c r="BB10" s="28">
        <f>'FS Jimbaran May 2018'!X20</f>
        <v>0</v>
      </c>
      <c r="BC10" s="28">
        <f>'FS Jimbaran May 2018'!AI20</f>
        <v>600</v>
      </c>
      <c r="BD10" s="28">
        <f>'FS Jimbaran May 2018'!AJ20</f>
        <v>0</v>
      </c>
      <c r="BE10" s="28">
        <f>'FS Jimbaran May 2018'!AK20</f>
        <v>0</v>
      </c>
      <c r="BF10" s="28">
        <f>'FS Jimbaran May 2018'!AL20</f>
        <v>0</v>
      </c>
      <c r="BG10" s="28">
        <f>'FS Jimbaran May 2018'!AM20</f>
        <v>0</v>
      </c>
      <c r="BH10" s="28">
        <f>'FS Jimbaran May 2018'!AN20</f>
        <v>0</v>
      </c>
      <c r="BI10" s="28">
        <f>'FS Jimbaran May 2018'!AO20</f>
        <v>0</v>
      </c>
      <c r="BJ10" s="28">
        <f>'FS Jimbaran May 2018'!AO20</f>
        <v>0</v>
      </c>
      <c r="BK10" s="28">
        <f>'FS Jimbaran May 2018'!AQ20</f>
        <v>0</v>
      </c>
      <c r="BL10" s="28">
        <f>'FS Jimbaran May 2018'!AR20</f>
        <v>0</v>
      </c>
      <c r="BM10" s="28">
        <v>0</v>
      </c>
      <c r="BN10" s="28">
        <v>0</v>
      </c>
      <c r="BO10" s="29">
        <f>'FS Jimbaran May 2018'!Q20</f>
        <v>0</v>
      </c>
      <c r="BP10" s="28">
        <f>'FS Jimbaran May 2018'!R20</f>
        <v>0</v>
      </c>
    </row>
    <row r="11" spans="1:68">
      <c r="A11" s="23" t="s">
        <v>67</v>
      </c>
      <c r="B11" s="31">
        <f t="shared" si="0"/>
        <v>10</v>
      </c>
      <c r="C11" s="32">
        <v>5</v>
      </c>
      <c r="D11" s="33">
        <v>2018</v>
      </c>
      <c r="E11" s="24">
        <f>'FS Jimbaran May 2018'!M21</f>
        <v>6.5</v>
      </c>
      <c r="F11" s="28">
        <f>'FS Jimbaran May 2018'!N21</f>
        <v>0</v>
      </c>
      <c r="G11" s="28">
        <v>0</v>
      </c>
      <c r="H11" s="28">
        <f>'FS Jimbaran May 2018'!H21</f>
        <v>0</v>
      </c>
      <c r="I11" s="28">
        <f>'FS Jimbaran May 2018'!I21</f>
        <v>0</v>
      </c>
      <c r="J11" s="28">
        <f>'FS Jimbaran May 2018'!J21</f>
        <v>0</v>
      </c>
      <c r="K11" s="28">
        <f>'FS Jimbaran May 2018'!K21</f>
        <v>11.8</v>
      </c>
      <c r="L11" s="28">
        <f>'FS Jimbaran May 2018'!L21</f>
        <v>0</v>
      </c>
      <c r="M11" s="28">
        <f>'FS Jimbaran May 2018'!S21</f>
        <v>0</v>
      </c>
      <c r="N11" s="28">
        <f>'FS Jimbaran May 2018'!T21</f>
        <v>0</v>
      </c>
      <c r="O11" s="28">
        <f>'FS Jimbaran May 2018'!U21</f>
        <v>12.4</v>
      </c>
      <c r="P11" s="28">
        <f>'FS Jimbaran May 2018'!V21</f>
        <v>0</v>
      </c>
      <c r="Q11" s="28">
        <f>'FS Jimbaran May 2018'!BE21</f>
        <v>0</v>
      </c>
      <c r="R11" s="28">
        <f>'FS Jimbaran May 2018'!BF21</f>
        <v>0</v>
      </c>
      <c r="S11" s="28">
        <f>'FS Jimbaran May 2018'!BH21</f>
        <v>0</v>
      </c>
      <c r="T11" s="28">
        <f>'FS Jimbaran May 2018'!BH21</f>
        <v>0</v>
      </c>
      <c r="U11" s="28">
        <f>'FS Jimbaran May 2018'!BI21</f>
        <v>0</v>
      </c>
      <c r="V11" s="28">
        <f>'FS Jimbaran May 2018'!BJ21</f>
        <v>0</v>
      </c>
      <c r="W11" s="28">
        <f>'FS Jimbaran May 2018'!Y21</f>
        <v>450</v>
      </c>
      <c r="X11" s="28">
        <f>'FS Jimbaran May 2018'!Z21</f>
        <v>0</v>
      </c>
      <c r="Y11" s="28">
        <f>'FS Jimbaran May 2018'!AA21</f>
        <v>0</v>
      </c>
      <c r="Z11" s="28">
        <f>'FS Jimbaran May 2018'!AB21</f>
        <v>0</v>
      </c>
      <c r="AA11" s="28">
        <f>'FS Jimbaran May 2018'!AC21</f>
        <v>0</v>
      </c>
      <c r="AB11" s="28">
        <f>'FS Jimbaran May 2018'!AD21</f>
        <v>0</v>
      </c>
      <c r="AC11" s="28">
        <f>'FS Jimbaran May 2018'!AE21</f>
        <v>0</v>
      </c>
      <c r="AD11" s="28">
        <f>'FS Jimbaran May 2018'!AF21</f>
        <v>0</v>
      </c>
      <c r="AE11" s="28">
        <f>'FS Jimbaran May 2018'!AG21</f>
        <v>0</v>
      </c>
      <c r="AF11" s="28">
        <f>'FS Jimbaran May 2018'!AH21</f>
        <v>0</v>
      </c>
      <c r="AG11" s="28">
        <f>'FS Jimbaran May 2018'!AM21</f>
        <v>0</v>
      </c>
      <c r="AH11" s="28">
        <f>'FS Jimbaran May 2018'!AR21</f>
        <v>0</v>
      </c>
      <c r="AI11" s="28">
        <f>'FS Jimbaran May 2018'!AQ21</f>
        <v>0</v>
      </c>
      <c r="AJ11" s="28">
        <f>'FS Jimbaran May 2018'!AR21</f>
        <v>0</v>
      </c>
      <c r="AK11" s="28">
        <f>'FS Jimbaran May 2018'!AY21</f>
        <v>0</v>
      </c>
      <c r="AL11" s="28">
        <f>'FS Jimbaran May 2018'!AZ21</f>
        <v>0</v>
      </c>
      <c r="AM11" s="28">
        <f>'FS Jimbaran May 2018'!BB21</f>
        <v>0</v>
      </c>
      <c r="AN11" s="28">
        <f>'FS Jimbaran May 2018'!BB21</f>
        <v>0</v>
      </c>
      <c r="AO11" s="28">
        <f>'FS Jimbaran May 2018'!BK21</f>
        <v>0</v>
      </c>
      <c r="AP11" s="28">
        <f>'FS Jimbaran May 2018'!BL21</f>
        <v>0</v>
      </c>
      <c r="AQ11" s="28">
        <f>'FS Jimbaran May 2018'!BC21</f>
        <v>0</v>
      </c>
      <c r="AR11" s="28">
        <f>'FS Jimbaran May 2018'!BD21</f>
        <v>0</v>
      </c>
      <c r="AS11" s="28">
        <f>'FS Jimbaran May 2018'!BM21</f>
        <v>0</v>
      </c>
      <c r="AT11" s="28">
        <f>'FS Jimbaran May 2018'!BN21</f>
        <v>0</v>
      </c>
      <c r="AU11" s="28">
        <f>'FS Jimbaran May 2018'!BO21</f>
        <v>0</v>
      </c>
      <c r="AV11" s="28">
        <f>'FS Jimbaran May 2018'!BP21</f>
        <v>0</v>
      </c>
      <c r="AW11" s="28">
        <f>'FS Jimbaran May 2018'!E21</f>
        <v>19</v>
      </c>
      <c r="AX11" s="28">
        <f>'FS Jimbaran May 2018'!F21</f>
        <v>0</v>
      </c>
      <c r="AY11" s="28">
        <f>'FS Jimbaran May 2018'!O21</f>
        <v>0</v>
      </c>
      <c r="AZ11" s="28">
        <f>'FS Jimbaran May 2018'!P21</f>
        <v>0</v>
      </c>
      <c r="BA11" s="28">
        <f>'FS Jimbaran May 2018'!W21</f>
        <v>0</v>
      </c>
      <c r="BB11" s="28">
        <f>'FS Jimbaran May 2018'!X21</f>
        <v>0</v>
      </c>
      <c r="BC11" s="28">
        <f>'FS Jimbaran May 2018'!AI21</f>
        <v>690</v>
      </c>
      <c r="BD11" s="28">
        <f>'FS Jimbaran May 2018'!AJ21</f>
        <v>0</v>
      </c>
      <c r="BE11" s="28">
        <f>'FS Jimbaran May 2018'!AK21</f>
        <v>0</v>
      </c>
      <c r="BF11" s="28">
        <f>'FS Jimbaran May 2018'!AL21</f>
        <v>0</v>
      </c>
      <c r="BG11" s="28">
        <f>'FS Jimbaran May 2018'!AM21</f>
        <v>0</v>
      </c>
      <c r="BH11" s="28">
        <f>'FS Jimbaran May 2018'!AN21</f>
        <v>0</v>
      </c>
      <c r="BI11" s="28">
        <f>'FS Jimbaran May 2018'!AO21</f>
        <v>0</v>
      </c>
      <c r="BJ11" s="28">
        <f>'FS Jimbaran May 2018'!AO21</f>
        <v>0</v>
      </c>
      <c r="BK11" s="28">
        <f>'FS Jimbaran May 2018'!AQ21</f>
        <v>0</v>
      </c>
      <c r="BL11" s="28">
        <f>'FS Jimbaran May 2018'!AR21</f>
        <v>0</v>
      </c>
      <c r="BM11" s="28">
        <v>0</v>
      </c>
      <c r="BN11" s="28">
        <v>0</v>
      </c>
      <c r="BO11" s="29">
        <f>'FS Jimbaran May 2018'!Q21</f>
        <v>0</v>
      </c>
      <c r="BP11" s="28">
        <f>'FS Jimbaran May 2018'!R21</f>
        <v>0</v>
      </c>
    </row>
    <row r="12" spans="1:68">
      <c r="A12" s="23" t="s">
        <v>67</v>
      </c>
      <c r="B12" s="31">
        <f t="shared" si="0"/>
        <v>11</v>
      </c>
      <c r="C12" s="32">
        <v>5</v>
      </c>
      <c r="D12" s="33">
        <v>2018</v>
      </c>
      <c r="E12" s="24">
        <f>'FS Jimbaran May 2018'!M22</f>
        <v>6.1</v>
      </c>
      <c r="F12" s="28">
        <f>'FS Jimbaran May 2018'!N22</f>
        <v>0</v>
      </c>
      <c r="G12" s="28">
        <v>0</v>
      </c>
      <c r="H12" s="28">
        <f>'FS Jimbaran May 2018'!H22</f>
        <v>0</v>
      </c>
      <c r="I12" s="28">
        <f>'FS Jimbaran May 2018'!I22</f>
        <v>0</v>
      </c>
      <c r="J12" s="28">
        <f>'FS Jimbaran May 2018'!J22</f>
        <v>0</v>
      </c>
      <c r="K12" s="28">
        <f>'FS Jimbaran May 2018'!K22</f>
        <v>10.1</v>
      </c>
      <c r="L12" s="28">
        <f>'FS Jimbaran May 2018'!L22</f>
        <v>0</v>
      </c>
      <c r="M12" s="28">
        <f>'FS Jimbaran May 2018'!S22</f>
        <v>0</v>
      </c>
      <c r="N12" s="28">
        <f>'FS Jimbaran May 2018'!T22</f>
        <v>0</v>
      </c>
      <c r="O12" s="28">
        <f>'FS Jimbaran May 2018'!U22</f>
        <v>17</v>
      </c>
      <c r="P12" s="28">
        <f>'FS Jimbaran May 2018'!V22</f>
        <v>0</v>
      </c>
      <c r="Q12" s="28">
        <f>'FS Jimbaran May 2018'!BE22</f>
        <v>0</v>
      </c>
      <c r="R12" s="28">
        <f>'FS Jimbaran May 2018'!BF22</f>
        <v>0</v>
      </c>
      <c r="S12" s="28">
        <f>'FS Jimbaran May 2018'!BH22</f>
        <v>0</v>
      </c>
      <c r="T12" s="28">
        <f>'FS Jimbaran May 2018'!BH22</f>
        <v>0</v>
      </c>
      <c r="U12" s="28">
        <f>'FS Jimbaran May 2018'!BI22</f>
        <v>0</v>
      </c>
      <c r="V12" s="28">
        <f>'FS Jimbaran May 2018'!BJ22</f>
        <v>0</v>
      </c>
      <c r="W12" s="28">
        <f>'FS Jimbaran May 2018'!Y22</f>
        <v>470</v>
      </c>
      <c r="X12" s="28">
        <f>'FS Jimbaran May 2018'!Z22</f>
        <v>0</v>
      </c>
      <c r="Y12" s="28">
        <f>'FS Jimbaran May 2018'!AA22</f>
        <v>0</v>
      </c>
      <c r="Z12" s="28">
        <f>'FS Jimbaran May 2018'!AB22</f>
        <v>0</v>
      </c>
      <c r="AA12" s="28">
        <f>'FS Jimbaran May 2018'!AC22</f>
        <v>0</v>
      </c>
      <c r="AB12" s="28">
        <f>'FS Jimbaran May 2018'!AD22</f>
        <v>0</v>
      </c>
      <c r="AC12" s="28">
        <f>'FS Jimbaran May 2018'!AE22</f>
        <v>0</v>
      </c>
      <c r="AD12" s="28">
        <f>'FS Jimbaran May 2018'!AF22</f>
        <v>0</v>
      </c>
      <c r="AE12" s="28">
        <f>'FS Jimbaran May 2018'!AG22</f>
        <v>0</v>
      </c>
      <c r="AF12" s="28">
        <f>'FS Jimbaran May 2018'!AH22</f>
        <v>0</v>
      </c>
      <c r="AG12" s="28">
        <f>'FS Jimbaran May 2018'!AM22</f>
        <v>0</v>
      </c>
      <c r="AH12" s="28">
        <f>'FS Jimbaran May 2018'!AR22</f>
        <v>0</v>
      </c>
      <c r="AI12" s="28">
        <f>'FS Jimbaran May 2018'!AQ22</f>
        <v>0</v>
      </c>
      <c r="AJ12" s="28">
        <f>'FS Jimbaran May 2018'!AR22</f>
        <v>0</v>
      </c>
      <c r="AK12" s="28">
        <f>'FS Jimbaran May 2018'!AY22</f>
        <v>0</v>
      </c>
      <c r="AL12" s="28">
        <f>'FS Jimbaran May 2018'!AZ22</f>
        <v>0</v>
      </c>
      <c r="AM12" s="28">
        <f>'FS Jimbaran May 2018'!BB22</f>
        <v>0</v>
      </c>
      <c r="AN12" s="28">
        <f>'FS Jimbaran May 2018'!BB22</f>
        <v>0</v>
      </c>
      <c r="AO12" s="28">
        <f>'FS Jimbaran May 2018'!BK22</f>
        <v>0</v>
      </c>
      <c r="AP12" s="28">
        <f>'FS Jimbaran May 2018'!BL22</f>
        <v>0</v>
      </c>
      <c r="AQ12" s="28">
        <f>'FS Jimbaran May 2018'!BC22</f>
        <v>0</v>
      </c>
      <c r="AR12" s="28">
        <f>'FS Jimbaran May 2018'!BD22</f>
        <v>0</v>
      </c>
      <c r="AS12" s="28">
        <f>'FS Jimbaran May 2018'!BM22</f>
        <v>0</v>
      </c>
      <c r="AT12" s="28">
        <f>'FS Jimbaran May 2018'!BN22</f>
        <v>0</v>
      </c>
      <c r="AU12" s="28">
        <f>'FS Jimbaran May 2018'!BO22</f>
        <v>0</v>
      </c>
      <c r="AV12" s="28">
        <f>'FS Jimbaran May 2018'!BP22</f>
        <v>0</v>
      </c>
      <c r="AW12" s="28">
        <f>'FS Jimbaran May 2018'!E22</f>
        <v>16.5</v>
      </c>
      <c r="AX12" s="28">
        <f>'FS Jimbaran May 2018'!F22</f>
        <v>0</v>
      </c>
      <c r="AY12" s="28">
        <f>'FS Jimbaran May 2018'!O22</f>
        <v>0</v>
      </c>
      <c r="AZ12" s="28">
        <f>'FS Jimbaran May 2018'!P22</f>
        <v>0</v>
      </c>
      <c r="BA12" s="28">
        <f>'FS Jimbaran May 2018'!W22</f>
        <v>0</v>
      </c>
      <c r="BB12" s="28">
        <f>'FS Jimbaran May 2018'!X22</f>
        <v>0</v>
      </c>
      <c r="BC12" s="28">
        <f>'FS Jimbaran May 2018'!AI22</f>
        <v>560</v>
      </c>
      <c r="BD12" s="28">
        <f>'FS Jimbaran May 2018'!AJ22</f>
        <v>0</v>
      </c>
      <c r="BE12" s="28">
        <f>'FS Jimbaran May 2018'!AK22</f>
        <v>0</v>
      </c>
      <c r="BF12" s="28">
        <f>'FS Jimbaran May 2018'!AL22</f>
        <v>0</v>
      </c>
      <c r="BG12" s="28">
        <f>'FS Jimbaran May 2018'!AM22</f>
        <v>0</v>
      </c>
      <c r="BH12" s="28">
        <f>'FS Jimbaran May 2018'!AN22</f>
        <v>0</v>
      </c>
      <c r="BI12" s="28">
        <f>'FS Jimbaran May 2018'!AO22</f>
        <v>0</v>
      </c>
      <c r="BJ12" s="28">
        <f>'FS Jimbaran May 2018'!AO22</f>
        <v>0</v>
      </c>
      <c r="BK12" s="28">
        <f>'FS Jimbaran May 2018'!AQ22</f>
        <v>0</v>
      </c>
      <c r="BL12" s="28">
        <f>'FS Jimbaran May 2018'!AR22</f>
        <v>0</v>
      </c>
      <c r="BM12" s="28">
        <v>0</v>
      </c>
      <c r="BN12" s="28">
        <v>0</v>
      </c>
      <c r="BO12" s="29">
        <f>'FS Jimbaran May 2018'!Q22</f>
        <v>0</v>
      </c>
      <c r="BP12" s="28">
        <f>'FS Jimbaran May 2018'!R22</f>
        <v>0</v>
      </c>
    </row>
    <row r="13" spans="1:68">
      <c r="A13" s="23" t="s">
        <v>67</v>
      </c>
      <c r="B13" s="31">
        <f t="shared" si="0"/>
        <v>12</v>
      </c>
      <c r="C13" s="32">
        <v>5</v>
      </c>
      <c r="D13" s="33">
        <v>2018</v>
      </c>
      <c r="E13" s="24">
        <f>'FS Jimbaran May 2018'!M23</f>
        <v>7</v>
      </c>
      <c r="F13" s="28">
        <f>'FS Jimbaran May 2018'!N23</f>
        <v>0</v>
      </c>
      <c r="G13" s="28">
        <v>0</v>
      </c>
      <c r="H13" s="28">
        <f>'FS Jimbaran May 2018'!H23</f>
        <v>0</v>
      </c>
      <c r="I13" s="28">
        <f>'FS Jimbaran May 2018'!I23</f>
        <v>0</v>
      </c>
      <c r="J13" s="28">
        <f>'FS Jimbaran May 2018'!J23</f>
        <v>0</v>
      </c>
      <c r="K13" s="28">
        <f>'FS Jimbaran May 2018'!K23</f>
        <v>12.2</v>
      </c>
      <c r="L13" s="28">
        <f>'FS Jimbaran May 2018'!L23</f>
        <v>0</v>
      </c>
      <c r="M13" s="28">
        <f>'FS Jimbaran May 2018'!S23</f>
        <v>0</v>
      </c>
      <c r="N13" s="28">
        <f>'FS Jimbaran May 2018'!T23</f>
        <v>0</v>
      </c>
      <c r="O13" s="28">
        <f>'FS Jimbaran May 2018'!U23</f>
        <v>14.8</v>
      </c>
      <c r="P13" s="28">
        <f>'FS Jimbaran May 2018'!V23</f>
        <v>0</v>
      </c>
      <c r="Q13" s="28">
        <f>'FS Jimbaran May 2018'!BE23</f>
        <v>0</v>
      </c>
      <c r="R13" s="28">
        <f>'FS Jimbaran May 2018'!BF23</f>
        <v>0</v>
      </c>
      <c r="S13" s="28">
        <f>'FS Jimbaran May 2018'!BH23</f>
        <v>0</v>
      </c>
      <c r="T13" s="28">
        <f>'FS Jimbaran May 2018'!BH23</f>
        <v>0</v>
      </c>
      <c r="U13" s="28">
        <f>'FS Jimbaran May 2018'!BI23</f>
        <v>0</v>
      </c>
      <c r="V13" s="28">
        <f>'FS Jimbaran May 2018'!BJ23</f>
        <v>0</v>
      </c>
      <c r="W13" s="28">
        <f>'FS Jimbaran May 2018'!Y23</f>
        <v>520</v>
      </c>
      <c r="X13" s="28">
        <f>'FS Jimbaran May 2018'!Z23</f>
        <v>0</v>
      </c>
      <c r="Y13" s="28">
        <f>'FS Jimbaran May 2018'!AA23</f>
        <v>0</v>
      </c>
      <c r="Z13" s="28">
        <f>'FS Jimbaran May 2018'!AB23</f>
        <v>0</v>
      </c>
      <c r="AA13" s="28">
        <f>'FS Jimbaran May 2018'!AC23</f>
        <v>0</v>
      </c>
      <c r="AB13" s="28">
        <f>'FS Jimbaran May 2018'!AD23</f>
        <v>0</v>
      </c>
      <c r="AC13" s="28">
        <f>'FS Jimbaran May 2018'!AE23</f>
        <v>0</v>
      </c>
      <c r="AD13" s="28">
        <f>'FS Jimbaran May 2018'!AF23</f>
        <v>0</v>
      </c>
      <c r="AE13" s="28">
        <f>'FS Jimbaran May 2018'!AG23</f>
        <v>0</v>
      </c>
      <c r="AF13" s="28">
        <f>'FS Jimbaran May 2018'!AH23</f>
        <v>0</v>
      </c>
      <c r="AG13" s="28">
        <f>'FS Jimbaran May 2018'!AM23</f>
        <v>0</v>
      </c>
      <c r="AH13" s="28">
        <f>'FS Jimbaran May 2018'!AR23</f>
        <v>0</v>
      </c>
      <c r="AI13" s="28">
        <f>'FS Jimbaran May 2018'!AQ23</f>
        <v>0</v>
      </c>
      <c r="AJ13" s="28">
        <f>'FS Jimbaran May 2018'!AR23</f>
        <v>0</v>
      </c>
      <c r="AK13" s="28">
        <f>'FS Jimbaran May 2018'!AY23</f>
        <v>0</v>
      </c>
      <c r="AL13" s="28">
        <f>'FS Jimbaran May 2018'!AZ23</f>
        <v>0</v>
      </c>
      <c r="AM13" s="28">
        <f>'FS Jimbaran May 2018'!BB23</f>
        <v>0</v>
      </c>
      <c r="AN13" s="28">
        <f>'FS Jimbaran May 2018'!BB23</f>
        <v>0</v>
      </c>
      <c r="AO13" s="28">
        <f>'FS Jimbaran May 2018'!BK23</f>
        <v>0</v>
      </c>
      <c r="AP13" s="28">
        <f>'FS Jimbaran May 2018'!BL23</f>
        <v>0</v>
      </c>
      <c r="AQ13" s="28">
        <f>'FS Jimbaran May 2018'!BC23</f>
        <v>0</v>
      </c>
      <c r="AR13" s="28">
        <f>'FS Jimbaran May 2018'!BD23</f>
        <v>0</v>
      </c>
      <c r="AS13" s="28">
        <f>'FS Jimbaran May 2018'!BM23</f>
        <v>0</v>
      </c>
      <c r="AT13" s="28">
        <f>'FS Jimbaran May 2018'!BN23</f>
        <v>0</v>
      </c>
      <c r="AU13" s="28">
        <f>'FS Jimbaran May 2018'!BO23</f>
        <v>0</v>
      </c>
      <c r="AV13" s="28">
        <f>'FS Jimbaran May 2018'!BP23</f>
        <v>0</v>
      </c>
      <c r="AW13" s="28">
        <f>'FS Jimbaran May 2018'!E23</f>
        <v>19.799999999999997</v>
      </c>
      <c r="AX13" s="28">
        <f>'FS Jimbaran May 2018'!F23</f>
        <v>0</v>
      </c>
      <c r="AY13" s="28">
        <f>'FS Jimbaran May 2018'!O23</f>
        <v>0</v>
      </c>
      <c r="AZ13" s="28">
        <f>'FS Jimbaran May 2018'!P23</f>
        <v>0</v>
      </c>
      <c r="BA13" s="28">
        <f>'FS Jimbaran May 2018'!W23</f>
        <v>0</v>
      </c>
      <c r="BB13" s="28">
        <f>'FS Jimbaran May 2018'!X23</f>
        <v>0</v>
      </c>
      <c r="BC13" s="28">
        <f>'FS Jimbaran May 2018'!AI23</f>
        <v>530.00000000000011</v>
      </c>
      <c r="BD13" s="28">
        <f>'FS Jimbaran May 2018'!AJ23</f>
        <v>0</v>
      </c>
      <c r="BE13" s="28">
        <f>'FS Jimbaran May 2018'!AK23</f>
        <v>0</v>
      </c>
      <c r="BF13" s="28">
        <f>'FS Jimbaran May 2018'!AL23</f>
        <v>0</v>
      </c>
      <c r="BG13" s="28">
        <f>'FS Jimbaran May 2018'!AM23</f>
        <v>0</v>
      </c>
      <c r="BH13" s="28">
        <f>'FS Jimbaran May 2018'!AN23</f>
        <v>0</v>
      </c>
      <c r="BI13" s="28">
        <f>'FS Jimbaran May 2018'!AO23</f>
        <v>0</v>
      </c>
      <c r="BJ13" s="28">
        <f>'FS Jimbaran May 2018'!AO23</f>
        <v>0</v>
      </c>
      <c r="BK13" s="28">
        <f>'FS Jimbaran May 2018'!AQ23</f>
        <v>0</v>
      </c>
      <c r="BL13" s="28">
        <f>'FS Jimbaran May 2018'!AR23</f>
        <v>0</v>
      </c>
      <c r="BM13" s="28">
        <v>0</v>
      </c>
      <c r="BN13" s="28">
        <v>0</v>
      </c>
      <c r="BO13" s="29">
        <f>'FS Jimbaran May 2018'!Q23</f>
        <v>0</v>
      </c>
      <c r="BP13" s="28">
        <f>'FS Jimbaran May 2018'!R23</f>
        <v>0</v>
      </c>
    </row>
    <row r="14" spans="1:68">
      <c r="A14" s="23" t="s">
        <v>67</v>
      </c>
      <c r="B14" s="31">
        <f t="shared" si="0"/>
        <v>13</v>
      </c>
      <c r="C14" s="32">
        <v>5</v>
      </c>
      <c r="D14" s="33">
        <v>2018</v>
      </c>
      <c r="E14" s="24">
        <f>'FS Jimbaran May 2018'!M24</f>
        <v>4.0999999999999996</v>
      </c>
      <c r="F14" s="28">
        <f>'FS Jimbaran May 2018'!N24</f>
        <v>0</v>
      </c>
      <c r="G14" s="28">
        <v>0</v>
      </c>
      <c r="H14" s="28">
        <f>'FS Jimbaran May 2018'!H24</f>
        <v>0</v>
      </c>
      <c r="I14" s="28">
        <f>'FS Jimbaran May 2018'!I24</f>
        <v>0</v>
      </c>
      <c r="J14" s="28">
        <f>'FS Jimbaran May 2018'!J24</f>
        <v>0</v>
      </c>
      <c r="K14" s="28">
        <f>'FS Jimbaran May 2018'!K24</f>
        <v>11.4</v>
      </c>
      <c r="L14" s="28">
        <f>'FS Jimbaran May 2018'!L24</f>
        <v>0</v>
      </c>
      <c r="M14" s="28">
        <f>'FS Jimbaran May 2018'!S24</f>
        <v>0</v>
      </c>
      <c r="N14" s="28">
        <f>'FS Jimbaran May 2018'!T24</f>
        <v>0</v>
      </c>
      <c r="O14" s="28">
        <f>'FS Jimbaran May 2018'!U24</f>
        <v>17</v>
      </c>
      <c r="P14" s="28">
        <f>'FS Jimbaran May 2018'!V24</f>
        <v>0</v>
      </c>
      <c r="Q14" s="28">
        <f>'FS Jimbaran May 2018'!BE24</f>
        <v>0</v>
      </c>
      <c r="R14" s="28">
        <f>'FS Jimbaran May 2018'!BF24</f>
        <v>0</v>
      </c>
      <c r="S14" s="28">
        <f>'FS Jimbaran May 2018'!BH24</f>
        <v>0</v>
      </c>
      <c r="T14" s="28">
        <f>'FS Jimbaran May 2018'!BH24</f>
        <v>0</v>
      </c>
      <c r="U14" s="28">
        <f>'FS Jimbaran May 2018'!BI24</f>
        <v>0</v>
      </c>
      <c r="V14" s="28">
        <f>'FS Jimbaran May 2018'!BJ24</f>
        <v>0</v>
      </c>
      <c r="W14" s="28">
        <f>'FS Jimbaran May 2018'!Y24</f>
        <v>530</v>
      </c>
      <c r="X14" s="28">
        <f>'FS Jimbaran May 2018'!Z24</f>
        <v>0</v>
      </c>
      <c r="Y14" s="28">
        <f>'FS Jimbaran May 2018'!AA24</f>
        <v>0</v>
      </c>
      <c r="Z14" s="28">
        <f>'FS Jimbaran May 2018'!AB24</f>
        <v>0</v>
      </c>
      <c r="AA14" s="28">
        <f>'FS Jimbaran May 2018'!AC24</f>
        <v>0</v>
      </c>
      <c r="AB14" s="28">
        <f>'FS Jimbaran May 2018'!AD24</f>
        <v>0</v>
      </c>
      <c r="AC14" s="28">
        <f>'FS Jimbaran May 2018'!AE24</f>
        <v>0</v>
      </c>
      <c r="AD14" s="28">
        <f>'FS Jimbaran May 2018'!AF24</f>
        <v>0</v>
      </c>
      <c r="AE14" s="28">
        <f>'FS Jimbaran May 2018'!AG24</f>
        <v>0</v>
      </c>
      <c r="AF14" s="28">
        <f>'FS Jimbaran May 2018'!AH24</f>
        <v>0</v>
      </c>
      <c r="AG14" s="28">
        <f>'FS Jimbaran May 2018'!AM24</f>
        <v>0</v>
      </c>
      <c r="AH14" s="28">
        <f>'FS Jimbaran May 2018'!AR24</f>
        <v>0</v>
      </c>
      <c r="AI14" s="28">
        <f>'FS Jimbaran May 2018'!AQ24</f>
        <v>0</v>
      </c>
      <c r="AJ14" s="28">
        <f>'FS Jimbaran May 2018'!AR24</f>
        <v>0</v>
      </c>
      <c r="AK14" s="28">
        <f>'FS Jimbaran May 2018'!AY24</f>
        <v>0</v>
      </c>
      <c r="AL14" s="28">
        <f>'FS Jimbaran May 2018'!AZ24</f>
        <v>0</v>
      </c>
      <c r="AM14" s="28">
        <f>'FS Jimbaran May 2018'!BB24</f>
        <v>0</v>
      </c>
      <c r="AN14" s="28">
        <f>'FS Jimbaran May 2018'!BB24</f>
        <v>0</v>
      </c>
      <c r="AO14" s="28">
        <f>'FS Jimbaran May 2018'!BK24</f>
        <v>0</v>
      </c>
      <c r="AP14" s="28">
        <f>'FS Jimbaran May 2018'!BL24</f>
        <v>0</v>
      </c>
      <c r="AQ14" s="28">
        <f>'FS Jimbaran May 2018'!BC24</f>
        <v>0</v>
      </c>
      <c r="AR14" s="28">
        <f>'FS Jimbaran May 2018'!BD24</f>
        <v>0</v>
      </c>
      <c r="AS14" s="28">
        <f>'FS Jimbaran May 2018'!BM24</f>
        <v>0</v>
      </c>
      <c r="AT14" s="28">
        <f>'FS Jimbaran May 2018'!BN24</f>
        <v>0</v>
      </c>
      <c r="AU14" s="28">
        <f>'FS Jimbaran May 2018'!BO24</f>
        <v>0</v>
      </c>
      <c r="AV14" s="28">
        <f>'FS Jimbaran May 2018'!BP24</f>
        <v>0</v>
      </c>
      <c r="AW14" s="28">
        <f>'FS Jimbaran May 2018'!E24</f>
        <v>15.1</v>
      </c>
      <c r="AX14" s="28">
        <f>'FS Jimbaran May 2018'!F24</f>
        <v>0</v>
      </c>
      <c r="AY14" s="28">
        <f>'FS Jimbaran May 2018'!O24</f>
        <v>0</v>
      </c>
      <c r="AZ14" s="28">
        <f>'FS Jimbaran May 2018'!P24</f>
        <v>0</v>
      </c>
      <c r="BA14" s="28">
        <f>'FS Jimbaran May 2018'!W24</f>
        <v>0</v>
      </c>
      <c r="BB14" s="28">
        <f>'FS Jimbaran May 2018'!X24</f>
        <v>0</v>
      </c>
      <c r="BC14" s="28">
        <f>'FS Jimbaran May 2018'!AI24</f>
        <v>640</v>
      </c>
      <c r="BD14" s="28">
        <f>'FS Jimbaran May 2018'!AJ24</f>
        <v>0</v>
      </c>
      <c r="BE14" s="28">
        <f>'FS Jimbaran May 2018'!AK24</f>
        <v>0</v>
      </c>
      <c r="BF14" s="28">
        <f>'FS Jimbaran May 2018'!AL24</f>
        <v>0</v>
      </c>
      <c r="BG14" s="28">
        <f>'FS Jimbaran May 2018'!AM24</f>
        <v>0</v>
      </c>
      <c r="BH14" s="28">
        <f>'FS Jimbaran May 2018'!AN24</f>
        <v>0</v>
      </c>
      <c r="BI14" s="28">
        <f>'FS Jimbaran May 2018'!AO24</f>
        <v>0</v>
      </c>
      <c r="BJ14" s="28">
        <f>'FS Jimbaran May 2018'!AO24</f>
        <v>0</v>
      </c>
      <c r="BK14" s="28">
        <f>'FS Jimbaran May 2018'!AQ24</f>
        <v>0</v>
      </c>
      <c r="BL14" s="28">
        <f>'FS Jimbaran May 2018'!AR24</f>
        <v>0</v>
      </c>
      <c r="BM14" s="28">
        <v>0</v>
      </c>
      <c r="BN14" s="28">
        <v>0</v>
      </c>
      <c r="BO14" s="29">
        <f>'FS Jimbaran May 2018'!Q24</f>
        <v>0</v>
      </c>
      <c r="BP14" s="28">
        <f>'FS Jimbaran May 2018'!R24</f>
        <v>0</v>
      </c>
    </row>
    <row r="15" spans="1:68">
      <c r="A15" s="23" t="s">
        <v>67</v>
      </c>
      <c r="B15" s="31">
        <f t="shared" si="0"/>
        <v>14</v>
      </c>
      <c r="C15" s="32">
        <v>5</v>
      </c>
      <c r="D15" s="33">
        <v>2018</v>
      </c>
      <c r="E15" s="24">
        <f>'FS Jimbaran May 2018'!M25</f>
        <v>5.1999999999999993</v>
      </c>
      <c r="F15" s="28">
        <f>'FS Jimbaran May 2018'!N25</f>
        <v>0</v>
      </c>
      <c r="G15" s="28">
        <v>0</v>
      </c>
      <c r="H15" s="28">
        <f>'FS Jimbaran May 2018'!H25</f>
        <v>0</v>
      </c>
      <c r="I15" s="28">
        <f>'FS Jimbaran May 2018'!I25</f>
        <v>0</v>
      </c>
      <c r="J15" s="28">
        <f>'FS Jimbaran May 2018'!J25</f>
        <v>0</v>
      </c>
      <c r="K15" s="28">
        <f>'FS Jimbaran May 2018'!K25</f>
        <v>9.9</v>
      </c>
      <c r="L15" s="28">
        <f>'FS Jimbaran May 2018'!L25</f>
        <v>0</v>
      </c>
      <c r="M15" s="28">
        <f>'FS Jimbaran May 2018'!S25</f>
        <v>0</v>
      </c>
      <c r="N15" s="28">
        <f>'FS Jimbaran May 2018'!T25</f>
        <v>0</v>
      </c>
      <c r="O15" s="28">
        <f>'FS Jimbaran May 2018'!U25</f>
        <v>12.4</v>
      </c>
      <c r="P15" s="28">
        <f>'FS Jimbaran May 2018'!V25</f>
        <v>0</v>
      </c>
      <c r="Q15" s="28">
        <f>'FS Jimbaran May 2018'!BE25</f>
        <v>0</v>
      </c>
      <c r="R15" s="28">
        <f>'FS Jimbaran May 2018'!BF25</f>
        <v>0</v>
      </c>
      <c r="S15" s="28">
        <f>'FS Jimbaran May 2018'!BH25</f>
        <v>0</v>
      </c>
      <c r="T15" s="28">
        <f>'FS Jimbaran May 2018'!BH25</f>
        <v>0</v>
      </c>
      <c r="U15" s="28">
        <f>'FS Jimbaran May 2018'!BI25</f>
        <v>0</v>
      </c>
      <c r="V15" s="28">
        <f>'FS Jimbaran May 2018'!BJ25</f>
        <v>0</v>
      </c>
      <c r="W15" s="28">
        <f>'FS Jimbaran May 2018'!Y25</f>
        <v>640</v>
      </c>
      <c r="X15" s="28">
        <f>'FS Jimbaran May 2018'!Z25</f>
        <v>0</v>
      </c>
      <c r="Y15" s="28">
        <f>'FS Jimbaran May 2018'!AA25</f>
        <v>0</v>
      </c>
      <c r="Z15" s="28">
        <f>'FS Jimbaran May 2018'!AB25</f>
        <v>0</v>
      </c>
      <c r="AA15" s="28">
        <f>'FS Jimbaran May 2018'!AC25</f>
        <v>0</v>
      </c>
      <c r="AB15" s="28">
        <f>'FS Jimbaran May 2018'!AD25</f>
        <v>0</v>
      </c>
      <c r="AC15" s="28">
        <f>'FS Jimbaran May 2018'!AE25</f>
        <v>0</v>
      </c>
      <c r="AD15" s="28">
        <f>'FS Jimbaran May 2018'!AF25</f>
        <v>0</v>
      </c>
      <c r="AE15" s="28">
        <f>'FS Jimbaran May 2018'!AG25</f>
        <v>0</v>
      </c>
      <c r="AF15" s="28">
        <f>'FS Jimbaran May 2018'!AH25</f>
        <v>0</v>
      </c>
      <c r="AG15" s="28">
        <f>'FS Jimbaran May 2018'!AM25</f>
        <v>0</v>
      </c>
      <c r="AH15" s="28">
        <f>'FS Jimbaran May 2018'!AR25</f>
        <v>0</v>
      </c>
      <c r="AI15" s="28">
        <f>'FS Jimbaran May 2018'!AQ25</f>
        <v>0</v>
      </c>
      <c r="AJ15" s="28">
        <f>'FS Jimbaran May 2018'!AR25</f>
        <v>0</v>
      </c>
      <c r="AK15" s="28">
        <f>'FS Jimbaran May 2018'!AY25</f>
        <v>0</v>
      </c>
      <c r="AL15" s="28">
        <f>'FS Jimbaran May 2018'!AZ25</f>
        <v>0</v>
      </c>
      <c r="AM15" s="28">
        <f>'FS Jimbaran May 2018'!BB25</f>
        <v>0</v>
      </c>
      <c r="AN15" s="28">
        <f>'FS Jimbaran May 2018'!BB25</f>
        <v>0</v>
      </c>
      <c r="AO15" s="28">
        <f>'FS Jimbaran May 2018'!BK25</f>
        <v>0</v>
      </c>
      <c r="AP15" s="28">
        <f>'FS Jimbaran May 2018'!BL25</f>
        <v>0</v>
      </c>
      <c r="AQ15" s="28">
        <f>'FS Jimbaran May 2018'!BC25</f>
        <v>0</v>
      </c>
      <c r="AR15" s="28">
        <f>'FS Jimbaran May 2018'!BD25</f>
        <v>0</v>
      </c>
      <c r="AS15" s="28">
        <f>'FS Jimbaran May 2018'!BM25</f>
        <v>0</v>
      </c>
      <c r="AT15" s="28">
        <f>'FS Jimbaran May 2018'!BN25</f>
        <v>0</v>
      </c>
      <c r="AU15" s="28">
        <f>'FS Jimbaran May 2018'!BO25</f>
        <v>0</v>
      </c>
      <c r="AV15" s="28">
        <f>'FS Jimbaran May 2018'!BP25</f>
        <v>0</v>
      </c>
      <c r="AW15" s="28">
        <f>'FS Jimbaran May 2018'!E25</f>
        <v>17.2</v>
      </c>
      <c r="AX15" s="28">
        <f>'FS Jimbaran May 2018'!F25</f>
        <v>0</v>
      </c>
      <c r="AY15" s="28">
        <f>'FS Jimbaran May 2018'!O25</f>
        <v>0</v>
      </c>
      <c r="AZ15" s="28">
        <f>'FS Jimbaran May 2018'!P25</f>
        <v>0</v>
      </c>
      <c r="BA15" s="28">
        <f>'FS Jimbaran May 2018'!W25</f>
        <v>0</v>
      </c>
      <c r="BB15" s="28">
        <f>'FS Jimbaran May 2018'!X25</f>
        <v>0</v>
      </c>
      <c r="BC15" s="28">
        <f>'FS Jimbaran May 2018'!AI25</f>
        <v>700</v>
      </c>
      <c r="BD15" s="28">
        <f>'FS Jimbaran May 2018'!AJ25</f>
        <v>0</v>
      </c>
      <c r="BE15" s="28">
        <f>'FS Jimbaran May 2018'!AK25</f>
        <v>0</v>
      </c>
      <c r="BF15" s="28">
        <f>'FS Jimbaran May 2018'!AL25</f>
        <v>0</v>
      </c>
      <c r="BG15" s="28">
        <f>'FS Jimbaran May 2018'!AM25</f>
        <v>0</v>
      </c>
      <c r="BH15" s="28">
        <f>'FS Jimbaran May 2018'!AN25</f>
        <v>0</v>
      </c>
      <c r="BI15" s="28">
        <f>'FS Jimbaran May 2018'!AO25</f>
        <v>0</v>
      </c>
      <c r="BJ15" s="28">
        <f>'FS Jimbaran May 2018'!AO25</f>
        <v>0</v>
      </c>
      <c r="BK15" s="28">
        <f>'FS Jimbaran May 2018'!AQ25</f>
        <v>0</v>
      </c>
      <c r="BL15" s="28">
        <f>'FS Jimbaran May 2018'!AR25</f>
        <v>0</v>
      </c>
      <c r="BM15" s="28">
        <v>0</v>
      </c>
      <c r="BN15" s="28">
        <v>0</v>
      </c>
      <c r="BO15" s="29">
        <f>'FS Jimbaran May 2018'!Q25</f>
        <v>0</v>
      </c>
      <c r="BP15" s="28">
        <f>'FS Jimbaran May 2018'!R25</f>
        <v>0</v>
      </c>
    </row>
    <row r="16" spans="1:68">
      <c r="A16" s="23" t="s">
        <v>67</v>
      </c>
      <c r="B16" s="31">
        <f t="shared" si="0"/>
        <v>15</v>
      </c>
      <c r="C16" s="32">
        <v>5</v>
      </c>
      <c r="D16" s="33">
        <v>2018</v>
      </c>
      <c r="E16" s="24">
        <f>'FS Jimbaran May 2018'!M26</f>
        <v>4.7</v>
      </c>
      <c r="F16" s="28">
        <f>'FS Jimbaran May 2018'!N26</f>
        <v>0</v>
      </c>
      <c r="G16" s="28">
        <v>0</v>
      </c>
      <c r="H16" s="28">
        <f>'FS Jimbaran May 2018'!H26</f>
        <v>0</v>
      </c>
      <c r="I16" s="28">
        <f>'FS Jimbaran May 2018'!I26</f>
        <v>0</v>
      </c>
      <c r="J16" s="28">
        <f>'FS Jimbaran May 2018'!J26</f>
        <v>0</v>
      </c>
      <c r="K16" s="28">
        <f>'FS Jimbaran May 2018'!K26</f>
        <v>10</v>
      </c>
      <c r="L16" s="28">
        <f>'FS Jimbaran May 2018'!L26</f>
        <v>0</v>
      </c>
      <c r="M16" s="28">
        <f>'FS Jimbaran May 2018'!S26</f>
        <v>0</v>
      </c>
      <c r="N16" s="28">
        <f>'FS Jimbaran May 2018'!T26</f>
        <v>0</v>
      </c>
      <c r="O16" s="28">
        <f>'FS Jimbaran May 2018'!U26</f>
        <v>10.6</v>
      </c>
      <c r="P16" s="28">
        <f>'FS Jimbaran May 2018'!V26</f>
        <v>0</v>
      </c>
      <c r="Q16" s="28">
        <f>'FS Jimbaran May 2018'!BE26</f>
        <v>0</v>
      </c>
      <c r="R16" s="28">
        <f>'FS Jimbaran May 2018'!BF26</f>
        <v>0</v>
      </c>
      <c r="S16" s="28">
        <f>'FS Jimbaran May 2018'!BH26</f>
        <v>0</v>
      </c>
      <c r="T16" s="28">
        <f>'FS Jimbaran May 2018'!BH26</f>
        <v>0</v>
      </c>
      <c r="U16" s="28">
        <f>'FS Jimbaran May 2018'!BI26</f>
        <v>0</v>
      </c>
      <c r="V16" s="28">
        <f>'FS Jimbaran May 2018'!BJ26</f>
        <v>0</v>
      </c>
      <c r="W16" s="28">
        <f>'FS Jimbaran May 2018'!Y26</f>
        <v>620</v>
      </c>
      <c r="X16" s="28">
        <f>'FS Jimbaran May 2018'!Z26</f>
        <v>0</v>
      </c>
      <c r="Y16" s="28">
        <f>'FS Jimbaran May 2018'!AA26</f>
        <v>0</v>
      </c>
      <c r="Z16" s="28">
        <f>'FS Jimbaran May 2018'!AB26</f>
        <v>0</v>
      </c>
      <c r="AA16" s="28">
        <f>'FS Jimbaran May 2018'!AC26</f>
        <v>0</v>
      </c>
      <c r="AB16" s="28">
        <f>'FS Jimbaran May 2018'!AD26</f>
        <v>0</v>
      </c>
      <c r="AC16" s="28">
        <f>'FS Jimbaran May 2018'!AE26</f>
        <v>0</v>
      </c>
      <c r="AD16" s="28">
        <f>'FS Jimbaran May 2018'!AF26</f>
        <v>0</v>
      </c>
      <c r="AE16" s="28">
        <f>'FS Jimbaran May 2018'!AG26</f>
        <v>0</v>
      </c>
      <c r="AF16" s="28">
        <f>'FS Jimbaran May 2018'!AH26</f>
        <v>0</v>
      </c>
      <c r="AG16" s="28">
        <f>'FS Jimbaran May 2018'!AM26</f>
        <v>0</v>
      </c>
      <c r="AH16" s="28">
        <f>'FS Jimbaran May 2018'!AR26</f>
        <v>0</v>
      </c>
      <c r="AI16" s="28">
        <f>'FS Jimbaran May 2018'!AQ26</f>
        <v>0</v>
      </c>
      <c r="AJ16" s="28">
        <f>'FS Jimbaran May 2018'!AR26</f>
        <v>0</v>
      </c>
      <c r="AK16" s="28">
        <f>'FS Jimbaran May 2018'!AY26</f>
        <v>0</v>
      </c>
      <c r="AL16" s="28">
        <f>'FS Jimbaran May 2018'!AZ26</f>
        <v>0</v>
      </c>
      <c r="AM16" s="28">
        <f>'FS Jimbaran May 2018'!BB26</f>
        <v>0</v>
      </c>
      <c r="AN16" s="28">
        <f>'FS Jimbaran May 2018'!BB26</f>
        <v>0</v>
      </c>
      <c r="AO16" s="28">
        <f>'FS Jimbaran May 2018'!BK26</f>
        <v>0</v>
      </c>
      <c r="AP16" s="28">
        <f>'FS Jimbaran May 2018'!BL26</f>
        <v>0</v>
      </c>
      <c r="AQ16" s="28">
        <f>'FS Jimbaran May 2018'!BC26</f>
        <v>0</v>
      </c>
      <c r="AR16" s="28">
        <f>'FS Jimbaran May 2018'!BD26</f>
        <v>0</v>
      </c>
      <c r="AS16" s="28">
        <f>'FS Jimbaran May 2018'!BM26</f>
        <v>0</v>
      </c>
      <c r="AT16" s="28">
        <f>'FS Jimbaran May 2018'!BN26</f>
        <v>0</v>
      </c>
      <c r="AU16" s="28">
        <f>'FS Jimbaran May 2018'!BO26</f>
        <v>0</v>
      </c>
      <c r="AV16" s="28">
        <f>'FS Jimbaran May 2018'!BP26</f>
        <v>0</v>
      </c>
      <c r="AW16" s="28">
        <f>'FS Jimbaran May 2018'!E26</f>
        <v>16.600000000000001</v>
      </c>
      <c r="AX16" s="28">
        <f>'FS Jimbaran May 2018'!F26</f>
        <v>0</v>
      </c>
      <c r="AY16" s="28">
        <f>'FS Jimbaran May 2018'!O26</f>
        <v>0</v>
      </c>
      <c r="AZ16" s="28">
        <f>'FS Jimbaran May 2018'!P26</f>
        <v>0</v>
      </c>
      <c r="BA16" s="28">
        <f>'FS Jimbaran May 2018'!W26</f>
        <v>0</v>
      </c>
      <c r="BB16" s="28">
        <f>'FS Jimbaran May 2018'!X26</f>
        <v>0</v>
      </c>
      <c r="BC16" s="28">
        <f>'FS Jimbaran May 2018'!AI26</f>
        <v>710</v>
      </c>
      <c r="BD16" s="28">
        <f>'FS Jimbaran May 2018'!AJ26</f>
        <v>0</v>
      </c>
      <c r="BE16" s="28">
        <f>'FS Jimbaran May 2018'!AK26</f>
        <v>0</v>
      </c>
      <c r="BF16" s="28">
        <f>'FS Jimbaran May 2018'!AL26</f>
        <v>0</v>
      </c>
      <c r="BG16" s="28">
        <f>'FS Jimbaran May 2018'!AM26</f>
        <v>0</v>
      </c>
      <c r="BH16" s="28">
        <f>'FS Jimbaran May 2018'!AN26</f>
        <v>0</v>
      </c>
      <c r="BI16" s="28">
        <f>'FS Jimbaran May 2018'!AO26</f>
        <v>0</v>
      </c>
      <c r="BJ16" s="28">
        <f>'FS Jimbaran May 2018'!AO26</f>
        <v>0</v>
      </c>
      <c r="BK16" s="28">
        <f>'FS Jimbaran May 2018'!AQ26</f>
        <v>0</v>
      </c>
      <c r="BL16" s="28">
        <f>'FS Jimbaran May 2018'!AR26</f>
        <v>0</v>
      </c>
      <c r="BM16" s="28">
        <v>0</v>
      </c>
      <c r="BN16" s="28">
        <v>0</v>
      </c>
      <c r="BO16" s="29">
        <f>'FS Jimbaran May 2018'!Q26</f>
        <v>0</v>
      </c>
      <c r="BP16" s="28">
        <f>'FS Jimbaran May 2018'!R26</f>
        <v>0</v>
      </c>
    </row>
    <row r="17" spans="1:68">
      <c r="A17" s="23" t="s">
        <v>67</v>
      </c>
      <c r="B17" s="31">
        <f t="shared" si="0"/>
        <v>16</v>
      </c>
      <c r="C17" s="32">
        <v>5</v>
      </c>
      <c r="D17" s="33">
        <v>2018</v>
      </c>
      <c r="E17" s="24">
        <f>'FS Jimbaran May 2018'!M27</f>
        <v>3.5</v>
      </c>
      <c r="F17" s="28">
        <f>'FS Jimbaran May 2018'!N27</f>
        <v>0</v>
      </c>
      <c r="G17" s="28">
        <v>0</v>
      </c>
      <c r="H17" s="28">
        <f>'FS Jimbaran May 2018'!H27</f>
        <v>0</v>
      </c>
      <c r="I17" s="28">
        <f>'FS Jimbaran May 2018'!I27</f>
        <v>0</v>
      </c>
      <c r="J17" s="28">
        <f>'FS Jimbaran May 2018'!J27</f>
        <v>0</v>
      </c>
      <c r="K17" s="28">
        <f>'FS Jimbaran May 2018'!K27</f>
        <v>10.3</v>
      </c>
      <c r="L17" s="28">
        <f>'FS Jimbaran May 2018'!L27</f>
        <v>0</v>
      </c>
      <c r="M17" s="28">
        <f>'FS Jimbaran May 2018'!S27</f>
        <v>0</v>
      </c>
      <c r="N17" s="28">
        <f>'FS Jimbaran May 2018'!T27</f>
        <v>0</v>
      </c>
      <c r="O17" s="28">
        <f>'FS Jimbaran May 2018'!U27</f>
        <v>16.399999999999999</v>
      </c>
      <c r="P17" s="28">
        <f>'FS Jimbaran May 2018'!V27</f>
        <v>0</v>
      </c>
      <c r="Q17" s="28">
        <f>'FS Jimbaran May 2018'!BE27</f>
        <v>0</v>
      </c>
      <c r="R17" s="28">
        <f>'FS Jimbaran May 2018'!BF27</f>
        <v>0</v>
      </c>
      <c r="S17" s="28">
        <f>'FS Jimbaran May 2018'!BH27</f>
        <v>0</v>
      </c>
      <c r="T17" s="28">
        <f>'FS Jimbaran May 2018'!BH27</f>
        <v>0</v>
      </c>
      <c r="U17" s="28">
        <f>'FS Jimbaran May 2018'!BI27</f>
        <v>0</v>
      </c>
      <c r="V17" s="28">
        <f>'FS Jimbaran May 2018'!BJ27</f>
        <v>0</v>
      </c>
      <c r="W17" s="28">
        <f>'FS Jimbaran May 2018'!Y27</f>
        <v>580</v>
      </c>
      <c r="X17" s="28">
        <f>'FS Jimbaran May 2018'!Z27</f>
        <v>0</v>
      </c>
      <c r="Y17" s="28">
        <f>'FS Jimbaran May 2018'!AA27</f>
        <v>0</v>
      </c>
      <c r="Z17" s="28">
        <f>'FS Jimbaran May 2018'!AB27</f>
        <v>0</v>
      </c>
      <c r="AA17" s="28">
        <f>'FS Jimbaran May 2018'!AC27</f>
        <v>0</v>
      </c>
      <c r="AB17" s="28">
        <f>'FS Jimbaran May 2018'!AD27</f>
        <v>0</v>
      </c>
      <c r="AC17" s="28">
        <f>'FS Jimbaran May 2018'!AE27</f>
        <v>0</v>
      </c>
      <c r="AD17" s="28">
        <f>'FS Jimbaran May 2018'!AF27</f>
        <v>0</v>
      </c>
      <c r="AE17" s="28">
        <f>'FS Jimbaran May 2018'!AG27</f>
        <v>0</v>
      </c>
      <c r="AF17" s="28">
        <f>'FS Jimbaran May 2018'!AH27</f>
        <v>0</v>
      </c>
      <c r="AG17" s="28">
        <f>'FS Jimbaran May 2018'!AM27</f>
        <v>0</v>
      </c>
      <c r="AH17" s="28">
        <f>'FS Jimbaran May 2018'!AR27</f>
        <v>0</v>
      </c>
      <c r="AI17" s="28">
        <f>'FS Jimbaran May 2018'!AQ27</f>
        <v>0</v>
      </c>
      <c r="AJ17" s="28">
        <f>'FS Jimbaran May 2018'!AR27</f>
        <v>0</v>
      </c>
      <c r="AK17" s="28">
        <f>'FS Jimbaran May 2018'!AY27</f>
        <v>0</v>
      </c>
      <c r="AL17" s="28">
        <f>'FS Jimbaran May 2018'!AZ27</f>
        <v>0</v>
      </c>
      <c r="AM17" s="28">
        <f>'FS Jimbaran May 2018'!BB27</f>
        <v>0</v>
      </c>
      <c r="AN17" s="28">
        <f>'FS Jimbaran May 2018'!BB27</f>
        <v>0</v>
      </c>
      <c r="AO17" s="28">
        <f>'FS Jimbaran May 2018'!BK27</f>
        <v>0</v>
      </c>
      <c r="AP17" s="28">
        <f>'FS Jimbaran May 2018'!BL27</f>
        <v>0</v>
      </c>
      <c r="AQ17" s="28">
        <f>'FS Jimbaran May 2018'!BC27</f>
        <v>0</v>
      </c>
      <c r="AR17" s="28">
        <f>'FS Jimbaran May 2018'!BD27</f>
        <v>0</v>
      </c>
      <c r="AS17" s="28">
        <f>'FS Jimbaran May 2018'!BM27</f>
        <v>0</v>
      </c>
      <c r="AT17" s="28">
        <f>'FS Jimbaran May 2018'!BN27</f>
        <v>0</v>
      </c>
      <c r="AU17" s="28">
        <f>'FS Jimbaran May 2018'!BO27</f>
        <v>0</v>
      </c>
      <c r="AV17" s="28">
        <f>'FS Jimbaran May 2018'!BP27</f>
        <v>0</v>
      </c>
      <c r="AW17" s="28">
        <f>'FS Jimbaran May 2018'!E27</f>
        <v>16.100000000000001</v>
      </c>
      <c r="AX17" s="28">
        <f>'FS Jimbaran May 2018'!F27</f>
        <v>0</v>
      </c>
      <c r="AY17" s="28">
        <f>'FS Jimbaran May 2018'!O27</f>
        <v>0</v>
      </c>
      <c r="AZ17" s="28">
        <f>'FS Jimbaran May 2018'!P27</f>
        <v>0</v>
      </c>
      <c r="BA17" s="28">
        <f>'FS Jimbaran May 2018'!W27</f>
        <v>0</v>
      </c>
      <c r="BB17" s="28">
        <f>'FS Jimbaran May 2018'!X27</f>
        <v>0</v>
      </c>
      <c r="BC17" s="28">
        <f>'FS Jimbaran May 2018'!AI27</f>
        <v>570</v>
      </c>
      <c r="BD17" s="28">
        <f>'FS Jimbaran May 2018'!AJ27</f>
        <v>0</v>
      </c>
      <c r="BE17" s="28">
        <f>'FS Jimbaran May 2018'!AK27</f>
        <v>0</v>
      </c>
      <c r="BF17" s="28">
        <f>'FS Jimbaran May 2018'!AL27</f>
        <v>0</v>
      </c>
      <c r="BG17" s="28">
        <f>'FS Jimbaran May 2018'!AM27</f>
        <v>0</v>
      </c>
      <c r="BH17" s="28">
        <f>'FS Jimbaran May 2018'!AN27</f>
        <v>0</v>
      </c>
      <c r="BI17" s="28">
        <f>'FS Jimbaran May 2018'!AO27</f>
        <v>0</v>
      </c>
      <c r="BJ17" s="28">
        <f>'FS Jimbaran May 2018'!AO27</f>
        <v>0</v>
      </c>
      <c r="BK17" s="28">
        <f>'FS Jimbaran May 2018'!AQ27</f>
        <v>0</v>
      </c>
      <c r="BL17" s="28">
        <f>'FS Jimbaran May 2018'!AR27</f>
        <v>0</v>
      </c>
      <c r="BM17" s="28">
        <v>0</v>
      </c>
      <c r="BN17" s="28">
        <v>0</v>
      </c>
      <c r="BO17" s="29">
        <f>'FS Jimbaran May 2018'!Q27</f>
        <v>0</v>
      </c>
      <c r="BP17" s="28">
        <f>'FS Jimbaran May 2018'!R27</f>
        <v>0</v>
      </c>
    </row>
    <row r="18" spans="1:68">
      <c r="A18" s="23" t="s">
        <v>67</v>
      </c>
      <c r="B18" s="31">
        <f t="shared" si="0"/>
        <v>17</v>
      </c>
      <c r="C18" s="32">
        <v>5</v>
      </c>
      <c r="D18" s="33">
        <v>2018</v>
      </c>
      <c r="E18" s="24">
        <f>'FS Jimbaran May 2018'!M28</f>
        <v>6.1</v>
      </c>
      <c r="F18" s="28">
        <f>'FS Jimbaran May 2018'!N28</f>
        <v>0</v>
      </c>
      <c r="G18" s="28">
        <v>0</v>
      </c>
      <c r="H18" s="28">
        <f>'FS Jimbaran May 2018'!H28</f>
        <v>0</v>
      </c>
      <c r="I18" s="28">
        <f>'FS Jimbaran May 2018'!I28</f>
        <v>0</v>
      </c>
      <c r="J18" s="28">
        <f>'FS Jimbaran May 2018'!J28</f>
        <v>0</v>
      </c>
      <c r="K18" s="28">
        <f>'FS Jimbaran May 2018'!K28</f>
        <v>11.5</v>
      </c>
      <c r="L18" s="28">
        <f>'FS Jimbaran May 2018'!L28</f>
        <v>0</v>
      </c>
      <c r="M18" s="28">
        <f>'FS Jimbaran May 2018'!S28</f>
        <v>0</v>
      </c>
      <c r="N18" s="28">
        <f>'FS Jimbaran May 2018'!T28</f>
        <v>0</v>
      </c>
      <c r="O18" s="28">
        <f>'FS Jimbaran May 2018'!U28</f>
        <v>13</v>
      </c>
      <c r="P18" s="28">
        <f>'FS Jimbaran May 2018'!V28</f>
        <v>0</v>
      </c>
      <c r="Q18" s="28">
        <f>'FS Jimbaran May 2018'!BE28</f>
        <v>0</v>
      </c>
      <c r="R18" s="28">
        <f>'FS Jimbaran May 2018'!BF28</f>
        <v>0</v>
      </c>
      <c r="S18" s="28">
        <f>'FS Jimbaran May 2018'!BH28</f>
        <v>0</v>
      </c>
      <c r="T18" s="28">
        <f>'FS Jimbaran May 2018'!BH28</f>
        <v>0</v>
      </c>
      <c r="U18" s="28">
        <f>'FS Jimbaran May 2018'!BI28</f>
        <v>0</v>
      </c>
      <c r="V18" s="28">
        <f>'FS Jimbaran May 2018'!BJ28</f>
        <v>0</v>
      </c>
      <c r="W18" s="28">
        <f>'FS Jimbaran May 2018'!Y28</f>
        <v>580</v>
      </c>
      <c r="X18" s="28">
        <f>'FS Jimbaran May 2018'!Z28</f>
        <v>0</v>
      </c>
      <c r="Y18" s="28">
        <f>'FS Jimbaran May 2018'!AA28</f>
        <v>0</v>
      </c>
      <c r="Z18" s="28">
        <f>'FS Jimbaran May 2018'!AB28</f>
        <v>0</v>
      </c>
      <c r="AA18" s="28">
        <f>'FS Jimbaran May 2018'!AC28</f>
        <v>0</v>
      </c>
      <c r="AB18" s="28">
        <f>'FS Jimbaran May 2018'!AD28</f>
        <v>0</v>
      </c>
      <c r="AC18" s="28">
        <f>'FS Jimbaran May 2018'!AE28</f>
        <v>0</v>
      </c>
      <c r="AD18" s="28">
        <f>'FS Jimbaran May 2018'!AF28</f>
        <v>0</v>
      </c>
      <c r="AE18" s="28">
        <f>'FS Jimbaran May 2018'!AG28</f>
        <v>0</v>
      </c>
      <c r="AF18" s="28">
        <f>'FS Jimbaran May 2018'!AH28</f>
        <v>0</v>
      </c>
      <c r="AG18" s="28">
        <f>'FS Jimbaran May 2018'!AM28</f>
        <v>0</v>
      </c>
      <c r="AH18" s="28">
        <f>'FS Jimbaran May 2018'!AR28</f>
        <v>0</v>
      </c>
      <c r="AI18" s="28">
        <f>'FS Jimbaran May 2018'!AQ28</f>
        <v>0</v>
      </c>
      <c r="AJ18" s="28">
        <f>'FS Jimbaran May 2018'!AR28</f>
        <v>0</v>
      </c>
      <c r="AK18" s="28">
        <f>'FS Jimbaran May 2018'!AY28</f>
        <v>0</v>
      </c>
      <c r="AL18" s="28">
        <f>'FS Jimbaran May 2018'!AZ28</f>
        <v>0</v>
      </c>
      <c r="AM18" s="28">
        <f>'FS Jimbaran May 2018'!BB28</f>
        <v>0</v>
      </c>
      <c r="AN18" s="28">
        <f>'FS Jimbaran May 2018'!BB28</f>
        <v>0</v>
      </c>
      <c r="AO18" s="28">
        <f>'FS Jimbaran May 2018'!BK28</f>
        <v>0</v>
      </c>
      <c r="AP18" s="28">
        <f>'FS Jimbaran May 2018'!BL28</f>
        <v>0</v>
      </c>
      <c r="AQ18" s="28">
        <f>'FS Jimbaran May 2018'!BC28</f>
        <v>0</v>
      </c>
      <c r="AR18" s="28">
        <f>'FS Jimbaran May 2018'!BD28</f>
        <v>0</v>
      </c>
      <c r="AS18" s="28">
        <f>'FS Jimbaran May 2018'!BM28</f>
        <v>0</v>
      </c>
      <c r="AT18" s="28">
        <f>'FS Jimbaran May 2018'!BN28</f>
        <v>0</v>
      </c>
      <c r="AU18" s="28">
        <f>'FS Jimbaran May 2018'!BO28</f>
        <v>0</v>
      </c>
      <c r="AV18" s="28">
        <f>'FS Jimbaran May 2018'!BP28</f>
        <v>0</v>
      </c>
      <c r="AW18" s="28">
        <f>'FS Jimbaran May 2018'!E28</f>
        <v>14.1</v>
      </c>
      <c r="AX18" s="28">
        <f>'FS Jimbaran May 2018'!F28</f>
        <v>0</v>
      </c>
      <c r="AY18" s="28">
        <f>'FS Jimbaran May 2018'!O28</f>
        <v>0</v>
      </c>
      <c r="AZ18" s="28">
        <f>'FS Jimbaran May 2018'!P28</f>
        <v>0</v>
      </c>
      <c r="BA18" s="28">
        <f>'FS Jimbaran May 2018'!W28</f>
        <v>0</v>
      </c>
      <c r="BB18" s="28">
        <f>'FS Jimbaran May 2018'!X28</f>
        <v>0</v>
      </c>
      <c r="BC18" s="28">
        <f>'FS Jimbaran May 2018'!AI28</f>
        <v>829.99999999999989</v>
      </c>
      <c r="BD18" s="28">
        <f>'FS Jimbaran May 2018'!AJ28</f>
        <v>0</v>
      </c>
      <c r="BE18" s="28">
        <f>'FS Jimbaran May 2018'!AK28</f>
        <v>0</v>
      </c>
      <c r="BF18" s="28">
        <f>'FS Jimbaran May 2018'!AL28</f>
        <v>0</v>
      </c>
      <c r="BG18" s="28">
        <f>'FS Jimbaran May 2018'!AM28</f>
        <v>0</v>
      </c>
      <c r="BH18" s="28">
        <f>'FS Jimbaran May 2018'!AN28</f>
        <v>0</v>
      </c>
      <c r="BI18" s="28">
        <f>'FS Jimbaran May 2018'!AO28</f>
        <v>0</v>
      </c>
      <c r="BJ18" s="28">
        <f>'FS Jimbaran May 2018'!AO28</f>
        <v>0</v>
      </c>
      <c r="BK18" s="28">
        <f>'FS Jimbaran May 2018'!AQ28</f>
        <v>0</v>
      </c>
      <c r="BL18" s="28">
        <f>'FS Jimbaran May 2018'!AR28</f>
        <v>0</v>
      </c>
      <c r="BM18" s="28">
        <v>0</v>
      </c>
      <c r="BN18" s="28">
        <v>0</v>
      </c>
      <c r="BO18" s="29">
        <f>'FS Jimbaran May 2018'!Q28</f>
        <v>0</v>
      </c>
      <c r="BP18" s="28">
        <f>'FS Jimbaran May 2018'!R28</f>
        <v>0</v>
      </c>
    </row>
    <row r="19" spans="1:68">
      <c r="A19" s="23" t="s">
        <v>67</v>
      </c>
      <c r="B19" s="31">
        <f t="shared" si="0"/>
        <v>18</v>
      </c>
      <c r="C19" s="32">
        <v>5</v>
      </c>
      <c r="D19" s="33">
        <v>2018</v>
      </c>
      <c r="E19" s="24">
        <f>'FS Jimbaran May 2018'!M29</f>
        <v>6</v>
      </c>
      <c r="F19" s="28">
        <f>'FS Jimbaran May 2018'!N29</f>
        <v>0</v>
      </c>
      <c r="G19" s="28">
        <v>0</v>
      </c>
      <c r="H19" s="28">
        <f>'FS Jimbaran May 2018'!H29</f>
        <v>0</v>
      </c>
      <c r="I19" s="28">
        <f>'FS Jimbaran May 2018'!I29</f>
        <v>0</v>
      </c>
      <c r="J19" s="28">
        <f>'FS Jimbaran May 2018'!J29</f>
        <v>0</v>
      </c>
      <c r="K19" s="28">
        <f>'FS Jimbaran May 2018'!K29</f>
        <v>11.4</v>
      </c>
      <c r="L19" s="28">
        <f>'FS Jimbaran May 2018'!L29</f>
        <v>0</v>
      </c>
      <c r="M19" s="28">
        <f>'FS Jimbaran May 2018'!S29</f>
        <v>0</v>
      </c>
      <c r="N19" s="28">
        <f>'FS Jimbaran May 2018'!T29</f>
        <v>0</v>
      </c>
      <c r="O19" s="28">
        <f>'FS Jimbaran May 2018'!U29</f>
        <v>10.4</v>
      </c>
      <c r="P19" s="28">
        <f>'FS Jimbaran May 2018'!V29</f>
        <v>0</v>
      </c>
      <c r="Q19" s="28">
        <f>'FS Jimbaran May 2018'!BE29</f>
        <v>0</v>
      </c>
      <c r="R19" s="28">
        <f>'FS Jimbaran May 2018'!BF29</f>
        <v>0</v>
      </c>
      <c r="S19" s="28">
        <f>'FS Jimbaran May 2018'!BH29</f>
        <v>0</v>
      </c>
      <c r="T19" s="28">
        <f>'FS Jimbaran May 2018'!BH29</f>
        <v>0</v>
      </c>
      <c r="U19" s="28">
        <f>'FS Jimbaran May 2018'!BI29</f>
        <v>0</v>
      </c>
      <c r="V19" s="28">
        <f>'FS Jimbaran May 2018'!BJ29</f>
        <v>0</v>
      </c>
      <c r="W19" s="28">
        <f>'FS Jimbaran May 2018'!Y29</f>
        <v>590</v>
      </c>
      <c r="X19" s="28">
        <f>'FS Jimbaran May 2018'!Z29</f>
        <v>0</v>
      </c>
      <c r="Y19" s="28">
        <f>'FS Jimbaran May 2018'!AA29</f>
        <v>0</v>
      </c>
      <c r="Z19" s="28">
        <f>'FS Jimbaran May 2018'!AB29</f>
        <v>0</v>
      </c>
      <c r="AA19" s="28">
        <f>'FS Jimbaran May 2018'!AC29</f>
        <v>0</v>
      </c>
      <c r="AB19" s="28">
        <f>'FS Jimbaran May 2018'!AD29</f>
        <v>0</v>
      </c>
      <c r="AC19" s="28">
        <f>'FS Jimbaran May 2018'!AE29</f>
        <v>0</v>
      </c>
      <c r="AD19" s="28">
        <f>'FS Jimbaran May 2018'!AF29</f>
        <v>0</v>
      </c>
      <c r="AE19" s="28">
        <f>'FS Jimbaran May 2018'!AG29</f>
        <v>0</v>
      </c>
      <c r="AF19" s="28">
        <f>'FS Jimbaran May 2018'!AH29</f>
        <v>0</v>
      </c>
      <c r="AG19" s="28">
        <f>'FS Jimbaran May 2018'!AM29</f>
        <v>0</v>
      </c>
      <c r="AH19" s="28">
        <f>'FS Jimbaran May 2018'!AR29</f>
        <v>0</v>
      </c>
      <c r="AI19" s="28">
        <f>'FS Jimbaran May 2018'!AQ29</f>
        <v>0</v>
      </c>
      <c r="AJ19" s="28">
        <f>'FS Jimbaran May 2018'!AR29</f>
        <v>0</v>
      </c>
      <c r="AK19" s="28">
        <f>'FS Jimbaran May 2018'!AY29</f>
        <v>0</v>
      </c>
      <c r="AL19" s="28">
        <f>'FS Jimbaran May 2018'!AZ29</f>
        <v>0</v>
      </c>
      <c r="AM19" s="28">
        <f>'FS Jimbaran May 2018'!BB29</f>
        <v>0</v>
      </c>
      <c r="AN19" s="28">
        <f>'FS Jimbaran May 2018'!BB29</f>
        <v>0</v>
      </c>
      <c r="AO19" s="28">
        <f>'FS Jimbaran May 2018'!BK29</f>
        <v>0</v>
      </c>
      <c r="AP19" s="28">
        <f>'FS Jimbaran May 2018'!BL29</f>
        <v>0</v>
      </c>
      <c r="AQ19" s="28">
        <f>'FS Jimbaran May 2018'!BC29</f>
        <v>0</v>
      </c>
      <c r="AR19" s="28">
        <f>'FS Jimbaran May 2018'!BD29</f>
        <v>0</v>
      </c>
      <c r="AS19" s="28">
        <f>'FS Jimbaran May 2018'!BM29</f>
        <v>0</v>
      </c>
      <c r="AT19" s="28">
        <f>'FS Jimbaran May 2018'!BN29</f>
        <v>0</v>
      </c>
      <c r="AU19" s="28">
        <f>'FS Jimbaran May 2018'!BO29</f>
        <v>0</v>
      </c>
      <c r="AV19" s="28">
        <f>'FS Jimbaran May 2018'!BP29</f>
        <v>0</v>
      </c>
      <c r="AW19" s="28">
        <f>'FS Jimbaran May 2018'!E29</f>
        <v>16.600000000000001</v>
      </c>
      <c r="AX19" s="28">
        <f>'FS Jimbaran May 2018'!F29</f>
        <v>0</v>
      </c>
      <c r="AY19" s="28">
        <f>'FS Jimbaran May 2018'!O29</f>
        <v>0</v>
      </c>
      <c r="AZ19" s="28">
        <f>'FS Jimbaran May 2018'!P29</f>
        <v>0</v>
      </c>
      <c r="BA19" s="28">
        <f>'FS Jimbaran May 2018'!W29</f>
        <v>0</v>
      </c>
      <c r="BB19" s="28">
        <f>'FS Jimbaran May 2018'!X29</f>
        <v>0</v>
      </c>
      <c r="BC19" s="28">
        <f>'FS Jimbaran May 2018'!AI29</f>
        <v>570</v>
      </c>
      <c r="BD19" s="28">
        <f>'FS Jimbaran May 2018'!AJ29</f>
        <v>0</v>
      </c>
      <c r="BE19" s="28">
        <f>'FS Jimbaran May 2018'!AK29</f>
        <v>0</v>
      </c>
      <c r="BF19" s="28">
        <f>'FS Jimbaran May 2018'!AL29</f>
        <v>0</v>
      </c>
      <c r="BG19" s="28">
        <f>'FS Jimbaran May 2018'!AM29</f>
        <v>0</v>
      </c>
      <c r="BH19" s="28">
        <f>'FS Jimbaran May 2018'!AN29</f>
        <v>0</v>
      </c>
      <c r="BI19" s="28">
        <f>'FS Jimbaran May 2018'!AO29</f>
        <v>0</v>
      </c>
      <c r="BJ19" s="28">
        <f>'FS Jimbaran May 2018'!AO29</f>
        <v>0</v>
      </c>
      <c r="BK19" s="28">
        <f>'FS Jimbaran May 2018'!AQ29</f>
        <v>0</v>
      </c>
      <c r="BL19" s="28">
        <f>'FS Jimbaran May 2018'!AR29</f>
        <v>0</v>
      </c>
      <c r="BM19" s="28">
        <v>0</v>
      </c>
      <c r="BN19" s="28">
        <v>0</v>
      </c>
      <c r="BO19" s="29">
        <f>'FS Jimbaran May 2018'!Q29</f>
        <v>0</v>
      </c>
      <c r="BP19" s="28">
        <f>'FS Jimbaran May 2018'!R29</f>
        <v>0</v>
      </c>
    </row>
    <row r="20" spans="1:68">
      <c r="A20" s="23" t="s">
        <v>67</v>
      </c>
      <c r="B20" s="31">
        <f t="shared" si="0"/>
        <v>19</v>
      </c>
      <c r="C20" s="32">
        <v>5</v>
      </c>
      <c r="D20" s="33">
        <v>2018</v>
      </c>
      <c r="E20" s="24">
        <f>'FS Jimbaran May 2018'!M30</f>
        <v>4.5</v>
      </c>
      <c r="F20" s="28">
        <f>'FS Jimbaran May 2018'!N30</f>
        <v>0</v>
      </c>
      <c r="G20" s="28">
        <v>0</v>
      </c>
      <c r="H20" s="28">
        <f>'FS Jimbaran May 2018'!H30</f>
        <v>0</v>
      </c>
      <c r="I20" s="28">
        <f>'FS Jimbaran May 2018'!I30</f>
        <v>0</v>
      </c>
      <c r="J20" s="28">
        <f>'FS Jimbaran May 2018'!J30</f>
        <v>0</v>
      </c>
      <c r="K20" s="28">
        <f>'FS Jimbaran May 2018'!K30</f>
        <v>17.600000000000001</v>
      </c>
      <c r="L20" s="28">
        <f>'FS Jimbaran May 2018'!L30</f>
        <v>0</v>
      </c>
      <c r="M20" s="28">
        <f>'FS Jimbaran May 2018'!S30</f>
        <v>0</v>
      </c>
      <c r="N20" s="28">
        <f>'FS Jimbaran May 2018'!T30</f>
        <v>0</v>
      </c>
      <c r="O20" s="28">
        <f>'FS Jimbaran May 2018'!U30</f>
        <v>16.2</v>
      </c>
      <c r="P20" s="28">
        <f>'FS Jimbaran May 2018'!V30</f>
        <v>0</v>
      </c>
      <c r="Q20" s="28">
        <f>'FS Jimbaran May 2018'!BE30</f>
        <v>0</v>
      </c>
      <c r="R20" s="28">
        <f>'FS Jimbaran May 2018'!BF30</f>
        <v>0</v>
      </c>
      <c r="S20" s="28">
        <f>'FS Jimbaran May 2018'!BH30</f>
        <v>0</v>
      </c>
      <c r="T20" s="28">
        <f>'FS Jimbaran May 2018'!BH30</f>
        <v>0</v>
      </c>
      <c r="U20" s="28">
        <f>'FS Jimbaran May 2018'!BI30</f>
        <v>0</v>
      </c>
      <c r="V20" s="28">
        <f>'FS Jimbaran May 2018'!BJ30</f>
        <v>0</v>
      </c>
      <c r="W20" s="28">
        <f>'FS Jimbaran May 2018'!Y30</f>
        <v>620</v>
      </c>
      <c r="X20" s="28">
        <f>'FS Jimbaran May 2018'!Z30</f>
        <v>0</v>
      </c>
      <c r="Y20" s="28">
        <f>'FS Jimbaran May 2018'!AA30</f>
        <v>0</v>
      </c>
      <c r="Z20" s="28">
        <f>'FS Jimbaran May 2018'!AB30</f>
        <v>0</v>
      </c>
      <c r="AA20" s="28">
        <f>'FS Jimbaran May 2018'!AC30</f>
        <v>0</v>
      </c>
      <c r="AB20" s="28">
        <f>'FS Jimbaran May 2018'!AD30</f>
        <v>0</v>
      </c>
      <c r="AC20" s="28">
        <f>'FS Jimbaran May 2018'!AE30</f>
        <v>0</v>
      </c>
      <c r="AD20" s="28">
        <f>'FS Jimbaran May 2018'!AF30</f>
        <v>0</v>
      </c>
      <c r="AE20" s="28">
        <f>'FS Jimbaran May 2018'!AG30</f>
        <v>0</v>
      </c>
      <c r="AF20" s="28">
        <f>'FS Jimbaran May 2018'!AH30</f>
        <v>0</v>
      </c>
      <c r="AG20" s="28">
        <f>'FS Jimbaran May 2018'!AM30</f>
        <v>0</v>
      </c>
      <c r="AH20" s="28">
        <f>'FS Jimbaran May 2018'!AR30</f>
        <v>0</v>
      </c>
      <c r="AI20" s="28">
        <f>'FS Jimbaran May 2018'!AQ30</f>
        <v>0</v>
      </c>
      <c r="AJ20" s="28">
        <f>'FS Jimbaran May 2018'!AR30</f>
        <v>0</v>
      </c>
      <c r="AK20" s="28">
        <f>'FS Jimbaran May 2018'!AY30</f>
        <v>0</v>
      </c>
      <c r="AL20" s="28">
        <f>'FS Jimbaran May 2018'!AZ30</f>
        <v>0</v>
      </c>
      <c r="AM20" s="28">
        <f>'FS Jimbaran May 2018'!BB30</f>
        <v>0</v>
      </c>
      <c r="AN20" s="28">
        <f>'FS Jimbaran May 2018'!BB30</f>
        <v>0</v>
      </c>
      <c r="AO20" s="28">
        <f>'FS Jimbaran May 2018'!BK30</f>
        <v>0</v>
      </c>
      <c r="AP20" s="28">
        <f>'FS Jimbaran May 2018'!BL30</f>
        <v>0</v>
      </c>
      <c r="AQ20" s="28">
        <f>'FS Jimbaran May 2018'!BC30</f>
        <v>0</v>
      </c>
      <c r="AR20" s="28">
        <f>'FS Jimbaran May 2018'!BD30</f>
        <v>0</v>
      </c>
      <c r="AS20" s="28">
        <f>'FS Jimbaran May 2018'!BM30</f>
        <v>0</v>
      </c>
      <c r="AT20" s="28">
        <f>'FS Jimbaran May 2018'!BN30</f>
        <v>0</v>
      </c>
      <c r="AU20" s="28">
        <f>'FS Jimbaran May 2018'!BO30</f>
        <v>0</v>
      </c>
      <c r="AV20" s="28">
        <f>'FS Jimbaran May 2018'!BP30</f>
        <v>0</v>
      </c>
      <c r="AW20" s="28">
        <f>'FS Jimbaran May 2018'!E30</f>
        <v>15.299999999999999</v>
      </c>
      <c r="AX20" s="28">
        <f>'FS Jimbaran May 2018'!F30</f>
        <v>0</v>
      </c>
      <c r="AY20" s="28">
        <f>'FS Jimbaran May 2018'!O30</f>
        <v>0</v>
      </c>
      <c r="AZ20" s="28">
        <f>'FS Jimbaran May 2018'!P30</f>
        <v>0</v>
      </c>
      <c r="BA20" s="28">
        <f>'FS Jimbaran May 2018'!W30</f>
        <v>0</v>
      </c>
      <c r="BB20" s="28">
        <f>'FS Jimbaran May 2018'!X30</f>
        <v>0</v>
      </c>
      <c r="BC20" s="28">
        <f>'FS Jimbaran May 2018'!AI30</f>
        <v>740</v>
      </c>
      <c r="BD20" s="28">
        <f>'FS Jimbaran May 2018'!AJ30</f>
        <v>0</v>
      </c>
      <c r="BE20" s="28">
        <f>'FS Jimbaran May 2018'!AK30</f>
        <v>0</v>
      </c>
      <c r="BF20" s="28">
        <f>'FS Jimbaran May 2018'!AL30</f>
        <v>0</v>
      </c>
      <c r="BG20" s="28">
        <f>'FS Jimbaran May 2018'!AM30</f>
        <v>0</v>
      </c>
      <c r="BH20" s="28">
        <f>'FS Jimbaran May 2018'!AN30</f>
        <v>0</v>
      </c>
      <c r="BI20" s="28">
        <f>'FS Jimbaran May 2018'!AO30</f>
        <v>0</v>
      </c>
      <c r="BJ20" s="28">
        <f>'FS Jimbaran May 2018'!AO30</f>
        <v>0</v>
      </c>
      <c r="BK20" s="28">
        <f>'FS Jimbaran May 2018'!AQ30</f>
        <v>0</v>
      </c>
      <c r="BL20" s="28">
        <f>'FS Jimbaran May 2018'!AR30</f>
        <v>0</v>
      </c>
      <c r="BM20" s="28">
        <v>0</v>
      </c>
      <c r="BN20" s="28">
        <v>0</v>
      </c>
      <c r="BO20" s="29">
        <f>'FS Jimbaran May 2018'!Q30</f>
        <v>0</v>
      </c>
      <c r="BP20" s="28">
        <f>'FS Jimbaran May 2018'!R30</f>
        <v>0</v>
      </c>
    </row>
    <row r="21" spans="1:68">
      <c r="A21" s="23" t="s">
        <v>67</v>
      </c>
      <c r="B21" s="31">
        <f t="shared" si="0"/>
        <v>20</v>
      </c>
      <c r="C21" s="32">
        <v>5</v>
      </c>
      <c r="D21" s="33">
        <v>2018</v>
      </c>
      <c r="E21" s="24">
        <f>'FS Jimbaran May 2018'!M31</f>
        <v>6.4</v>
      </c>
      <c r="F21" s="28">
        <f>'FS Jimbaran May 2018'!N31</f>
        <v>0</v>
      </c>
      <c r="G21" s="28">
        <v>0</v>
      </c>
      <c r="H21" s="28">
        <f>'FS Jimbaran May 2018'!H31</f>
        <v>0</v>
      </c>
      <c r="I21" s="28">
        <f>'FS Jimbaran May 2018'!I31</f>
        <v>0</v>
      </c>
      <c r="J21" s="28">
        <f>'FS Jimbaran May 2018'!J31</f>
        <v>0</v>
      </c>
      <c r="K21" s="28">
        <f>'FS Jimbaran May 2018'!K31</f>
        <v>18.100000000000001</v>
      </c>
      <c r="L21" s="28">
        <f>'FS Jimbaran May 2018'!L31</f>
        <v>0</v>
      </c>
      <c r="M21" s="28">
        <f>'FS Jimbaran May 2018'!S31</f>
        <v>0</v>
      </c>
      <c r="N21" s="28">
        <f>'FS Jimbaran May 2018'!T31</f>
        <v>0</v>
      </c>
      <c r="O21" s="28">
        <f>'FS Jimbaran May 2018'!U31</f>
        <v>19</v>
      </c>
      <c r="P21" s="28">
        <f>'FS Jimbaran May 2018'!V31</f>
        <v>0</v>
      </c>
      <c r="Q21" s="28">
        <f>'FS Jimbaran May 2018'!BE31</f>
        <v>0</v>
      </c>
      <c r="R21" s="28">
        <f>'FS Jimbaran May 2018'!BF31</f>
        <v>0</v>
      </c>
      <c r="S21" s="28">
        <f>'FS Jimbaran May 2018'!BH31</f>
        <v>0</v>
      </c>
      <c r="T21" s="28">
        <f>'FS Jimbaran May 2018'!BH31</f>
        <v>0</v>
      </c>
      <c r="U21" s="28">
        <f>'FS Jimbaran May 2018'!BI31</f>
        <v>0</v>
      </c>
      <c r="V21" s="28">
        <f>'FS Jimbaran May 2018'!BJ31</f>
        <v>0</v>
      </c>
      <c r="W21" s="28">
        <f>'FS Jimbaran May 2018'!Y31</f>
        <v>630</v>
      </c>
      <c r="X21" s="28">
        <f>'FS Jimbaran May 2018'!Z31</f>
        <v>0</v>
      </c>
      <c r="Y21" s="28">
        <f>'FS Jimbaran May 2018'!AA31</f>
        <v>0</v>
      </c>
      <c r="Z21" s="28">
        <f>'FS Jimbaran May 2018'!AB31</f>
        <v>0</v>
      </c>
      <c r="AA21" s="28">
        <f>'FS Jimbaran May 2018'!AC31</f>
        <v>0</v>
      </c>
      <c r="AB21" s="28">
        <f>'FS Jimbaran May 2018'!AD31</f>
        <v>0</v>
      </c>
      <c r="AC21" s="28">
        <f>'FS Jimbaran May 2018'!AE31</f>
        <v>0</v>
      </c>
      <c r="AD21" s="28">
        <f>'FS Jimbaran May 2018'!AF31</f>
        <v>0</v>
      </c>
      <c r="AE21" s="28">
        <f>'FS Jimbaran May 2018'!AG31</f>
        <v>0</v>
      </c>
      <c r="AF21" s="28">
        <f>'FS Jimbaran May 2018'!AH31</f>
        <v>0</v>
      </c>
      <c r="AG21" s="28">
        <f>'FS Jimbaran May 2018'!AM31</f>
        <v>0</v>
      </c>
      <c r="AH21" s="28">
        <f>'FS Jimbaran May 2018'!AR31</f>
        <v>0</v>
      </c>
      <c r="AI21" s="28">
        <f>'FS Jimbaran May 2018'!AQ31</f>
        <v>0</v>
      </c>
      <c r="AJ21" s="28">
        <f>'FS Jimbaran May 2018'!AR31</f>
        <v>0</v>
      </c>
      <c r="AK21" s="28">
        <f>'FS Jimbaran May 2018'!AY31</f>
        <v>0</v>
      </c>
      <c r="AL21" s="28">
        <f>'FS Jimbaran May 2018'!AZ31</f>
        <v>0</v>
      </c>
      <c r="AM21" s="28">
        <f>'FS Jimbaran May 2018'!BB31</f>
        <v>0</v>
      </c>
      <c r="AN21" s="28">
        <f>'FS Jimbaran May 2018'!BB31</f>
        <v>0</v>
      </c>
      <c r="AO21" s="28">
        <f>'FS Jimbaran May 2018'!BK31</f>
        <v>0</v>
      </c>
      <c r="AP21" s="28">
        <f>'FS Jimbaran May 2018'!BL31</f>
        <v>0</v>
      </c>
      <c r="AQ21" s="28">
        <f>'FS Jimbaran May 2018'!BC31</f>
        <v>0</v>
      </c>
      <c r="AR21" s="28">
        <f>'FS Jimbaran May 2018'!BD31</f>
        <v>0</v>
      </c>
      <c r="AS21" s="28">
        <f>'FS Jimbaran May 2018'!BM31</f>
        <v>0</v>
      </c>
      <c r="AT21" s="28">
        <f>'FS Jimbaran May 2018'!BN31</f>
        <v>0</v>
      </c>
      <c r="AU21" s="28">
        <f>'FS Jimbaran May 2018'!BO31</f>
        <v>0</v>
      </c>
      <c r="AV21" s="28">
        <f>'FS Jimbaran May 2018'!BP31</f>
        <v>0</v>
      </c>
      <c r="AW21" s="28">
        <f>'FS Jimbaran May 2018'!E31</f>
        <v>12.600000000000001</v>
      </c>
      <c r="AX21" s="28">
        <f>'FS Jimbaran May 2018'!F31</f>
        <v>0</v>
      </c>
      <c r="AY21" s="28">
        <f>'FS Jimbaran May 2018'!O31</f>
        <v>0</v>
      </c>
      <c r="AZ21" s="28">
        <f>'FS Jimbaran May 2018'!P31</f>
        <v>0</v>
      </c>
      <c r="BA21" s="28">
        <f>'FS Jimbaran May 2018'!W31</f>
        <v>0</v>
      </c>
      <c r="BB21" s="28">
        <f>'FS Jimbaran May 2018'!X31</f>
        <v>0</v>
      </c>
      <c r="BC21" s="28">
        <f>'FS Jimbaran May 2018'!AI31</f>
        <v>840</v>
      </c>
      <c r="BD21" s="28">
        <f>'FS Jimbaran May 2018'!AJ31</f>
        <v>0</v>
      </c>
      <c r="BE21" s="28">
        <f>'FS Jimbaran May 2018'!AK31</f>
        <v>0</v>
      </c>
      <c r="BF21" s="28">
        <f>'FS Jimbaran May 2018'!AL31</f>
        <v>0</v>
      </c>
      <c r="BG21" s="28">
        <f>'FS Jimbaran May 2018'!AM31</f>
        <v>0</v>
      </c>
      <c r="BH21" s="28">
        <f>'FS Jimbaran May 2018'!AN31</f>
        <v>0</v>
      </c>
      <c r="BI21" s="28">
        <f>'FS Jimbaran May 2018'!AO31</f>
        <v>0</v>
      </c>
      <c r="BJ21" s="28">
        <f>'FS Jimbaran May 2018'!AO31</f>
        <v>0</v>
      </c>
      <c r="BK21" s="28">
        <f>'FS Jimbaran May 2018'!AQ31</f>
        <v>0</v>
      </c>
      <c r="BL21" s="28">
        <f>'FS Jimbaran May 2018'!AR31</f>
        <v>0</v>
      </c>
      <c r="BM21" s="28">
        <v>0</v>
      </c>
      <c r="BN21" s="28">
        <v>0</v>
      </c>
      <c r="BO21" s="29">
        <f>'FS Jimbaran May 2018'!Q31</f>
        <v>0</v>
      </c>
      <c r="BP21" s="28">
        <f>'FS Jimbaran May 2018'!R31</f>
        <v>0</v>
      </c>
    </row>
    <row r="22" spans="1:68">
      <c r="A22" s="23" t="s">
        <v>67</v>
      </c>
      <c r="B22" s="31">
        <f t="shared" si="0"/>
        <v>21</v>
      </c>
      <c r="C22" s="32">
        <v>5</v>
      </c>
      <c r="D22" s="33">
        <v>2018</v>
      </c>
      <c r="E22" s="24">
        <f>'FS Jimbaran May 2018'!M32</f>
        <v>5.2</v>
      </c>
      <c r="F22" s="28">
        <f>'FS Jimbaran May 2018'!N32</f>
        <v>0</v>
      </c>
      <c r="G22" s="28">
        <v>0</v>
      </c>
      <c r="H22" s="28">
        <f>'FS Jimbaran May 2018'!H32</f>
        <v>0</v>
      </c>
      <c r="I22" s="28">
        <f>'FS Jimbaran May 2018'!I32</f>
        <v>0</v>
      </c>
      <c r="J22" s="28">
        <f>'FS Jimbaran May 2018'!J32</f>
        <v>0</v>
      </c>
      <c r="K22" s="28">
        <f>'FS Jimbaran May 2018'!K32</f>
        <v>17.8</v>
      </c>
      <c r="L22" s="28">
        <f>'FS Jimbaran May 2018'!L32</f>
        <v>0</v>
      </c>
      <c r="M22" s="28">
        <f>'FS Jimbaran May 2018'!S32</f>
        <v>0</v>
      </c>
      <c r="N22" s="28">
        <f>'FS Jimbaran May 2018'!T32</f>
        <v>0</v>
      </c>
      <c r="O22" s="28">
        <f>'FS Jimbaran May 2018'!U32</f>
        <v>11.4</v>
      </c>
      <c r="P22" s="28">
        <f>'FS Jimbaran May 2018'!V32</f>
        <v>0</v>
      </c>
      <c r="Q22" s="28">
        <f>'FS Jimbaran May 2018'!BE32</f>
        <v>0</v>
      </c>
      <c r="R22" s="28">
        <f>'FS Jimbaran May 2018'!BF32</f>
        <v>0</v>
      </c>
      <c r="S22" s="28">
        <f>'FS Jimbaran May 2018'!BH32</f>
        <v>0</v>
      </c>
      <c r="T22" s="28">
        <f>'FS Jimbaran May 2018'!BH32</f>
        <v>0</v>
      </c>
      <c r="U22" s="28">
        <f>'FS Jimbaran May 2018'!BI32</f>
        <v>0</v>
      </c>
      <c r="V22" s="28">
        <f>'FS Jimbaran May 2018'!BJ32</f>
        <v>0</v>
      </c>
      <c r="W22" s="28">
        <f>'FS Jimbaran May 2018'!Y32</f>
        <v>620</v>
      </c>
      <c r="X22" s="28">
        <f>'FS Jimbaran May 2018'!Z32</f>
        <v>0</v>
      </c>
      <c r="Y22" s="28">
        <f>'FS Jimbaran May 2018'!AA32</f>
        <v>0</v>
      </c>
      <c r="Z22" s="28">
        <f>'FS Jimbaran May 2018'!AB32</f>
        <v>0</v>
      </c>
      <c r="AA22" s="28">
        <f>'FS Jimbaran May 2018'!AC32</f>
        <v>0</v>
      </c>
      <c r="AB22" s="28">
        <f>'FS Jimbaran May 2018'!AD32</f>
        <v>0</v>
      </c>
      <c r="AC22" s="28">
        <f>'FS Jimbaran May 2018'!AE32</f>
        <v>0</v>
      </c>
      <c r="AD22" s="28">
        <f>'FS Jimbaran May 2018'!AF32</f>
        <v>0</v>
      </c>
      <c r="AE22" s="28">
        <f>'FS Jimbaran May 2018'!AG32</f>
        <v>0</v>
      </c>
      <c r="AF22" s="28">
        <f>'FS Jimbaran May 2018'!AH32</f>
        <v>0</v>
      </c>
      <c r="AG22" s="28">
        <f>'FS Jimbaran May 2018'!AM32</f>
        <v>0</v>
      </c>
      <c r="AH22" s="28">
        <f>'FS Jimbaran May 2018'!AR32</f>
        <v>0</v>
      </c>
      <c r="AI22" s="28">
        <f>'FS Jimbaran May 2018'!AQ32</f>
        <v>0</v>
      </c>
      <c r="AJ22" s="28">
        <f>'FS Jimbaran May 2018'!AR32</f>
        <v>0</v>
      </c>
      <c r="AK22" s="28">
        <f>'FS Jimbaran May 2018'!AY32</f>
        <v>0</v>
      </c>
      <c r="AL22" s="28">
        <f>'FS Jimbaran May 2018'!AZ32</f>
        <v>0</v>
      </c>
      <c r="AM22" s="28">
        <f>'FS Jimbaran May 2018'!BB32</f>
        <v>0</v>
      </c>
      <c r="AN22" s="28">
        <f>'FS Jimbaran May 2018'!BB32</f>
        <v>0</v>
      </c>
      <c r="AO22" s="28">
        <f>'FS Jimbaran May 2018'!BK32</f>
        <v>0</v>
      </c>
      <c r="AP22" s="28">
        <f>'FS Jimbaran May 2018'!BL32</f>
        <v>0</v>
      </c>
      <c r="AQ22" s="28">
        <f>'FS Jimbaran May 2018'!BC32</f>
        <v>0</v>
      </c>
      <c r="AR22" s="28">
        <f>'FS Jimbaran May 2018'!BD32</f>
        <v>0</v>
      </c>
      <c r="AS22" s="28">
        <f>'FS Jimbaran May 2018'!BM32</f>
        <v>0</v>
      </c>
      <c r="AT22" s="28">
        <f>'FS Jimbaran May 2018'!BN32</f>
        <v>0</v>
      </c>
      <c r="AU22" s="28">
        <f>'FS Jimbaran May 2018'!BO32</f>
        <v>0</v>
      </c>
      <c r="AV22" s="28">
        <f>'FS Jimbaran May 2018'!BP32</f>
        <v>0</v>
      </c>
      <c r="AW22" s="28">
        <f>'FS Jimbaran May 2018'!E32</f>
        <v>13.7</v>
      </c>
      <c r="AX22" s="28">
        <f>'FS Jimbaran May 2018'!F32</f>
        <v>0</v>
      </c>
      <c r="AY22" s="28">
        <f>'FS Jimbaran May 2018'!O32</f>
        <v>0</v>
      </c>
      <c r="AZ22" s="28">
        <f>'FS Jimbaran May 2018'!P32</f>
        <v>0</v>
      </c>
      <c r="BA22" s="28">
        <f>'FS Jimbaran May 2018'!W32</f>
        <v>0</v>
      </c>
      <c r="BB22" s="28">
        <f>'FS Jimbaran May 2018'!X32</f>
        <v>0</v>
      </c>
      <c r="BC22" s="28">
        <f>'FS Jimbaran May 2018'!AI32</f>
        <v>769.99999999999989</v>
      </c>
      <c r="BD22" s="28">
        <f>'FS Jimbaran May 2018'!AJ32</f>
        <v>0</v>
      </c>
      <c r="BE22" s="28">
        <f>'FS Jimbaran May 2018'!AK32</f>
        <v>0</v>
      </c>
      <c r="BF22" s="28">
        <f>'FS Jimbaran May 2018'!AL32</f>
        <v>0</v>
      </c>
      <c r="BG22" s="28">
        <f>'FS Jimbaran May 2018'!AM32</f>
        <v>0</v>
      </c>
      <c r="BH22" s="28">
        <f>'FS Jimbaran May 2018'!AN32</f>
        <v>0</v>
      </c>
      <c r="BI22" s="28">
        <f>'FS Jimbaran May 2018'!AO32</f>
        <v>0</v>
      </c>
      <c r="BJ22" s="28">
        <f>'FS Jimbaran May 2018'!AO32</f>
        <v>0</v>
      </c>
      <c r="BK22" s="28">
        <f>'FS Jimbaran May 2018'!AQ32</f>
        <v>0</v>
      </c>
      <c r="BL22" s="28">
        <f>'FS Jimbaran May 2018'!AR32</f>
        <v>0</v>
      </c>
      <c r="BM22" s="28">
        <v>0</v>
      </c>
      <c r="BN22" s="28">
        <v>0</v>
      </c>
      <c r="BO22" s="29">
        <f>'FS Jimbaran May 2018'!Q32</f>
        <v>0</v>
      </c>
      <c r="BP22" s="28">
        <f>'FS Jimbaran May 2018'!R32</f>
        <v>0</v>
      </c>
    </row>
    <row r="23" spans="1:68">
      <c r="A23" s="23" t="s">
        <v>67</v>
      </c>
      <c r="B23" s="31">
        <f t="shared" si="0"/>
        <v>22</v>
      </c>
      <c r="C23" s="32">
        <v>5</v>
      </c>
      <c r="D23" s="33">
        <v>2018</v>
      </c>
      <c r="E23" s="24">
        <f>'FS Jimbaran May 2018'!M33</f>
        <v>3.2</v>
      </c>
      <c r="F23" s="28">
        <f>'FS Jimbaran May 2018'!N33</f>
        <v>0</v>
      </c>
      <c r="G23" s="28">
        <v>0</v>
      </c>
      <c r="H23" s="28">
        <f>'FS Jimbaran May 2018'!H33</f>
        <v>0</v>
      </c>
      <c r="I23" s="28">
        <f>'FS Jimbaran May 2018'!I33</f>
        <v>0</v>
      </c>
      <c r="J23" s="28">
        <f>'FS Jimbaran May 2018'!J33</f>
        <v>0</v>
      </c>
      <c r="K23" s="28">
        <f>'FS Jimbaran May 2018'!K33</f>
        <v>18.399999999999999</v>
      </c>
      <c r="L23" s="28">
        <f>'FS Jimbaran May 2018'!L33</f>
        <v>0</v>
      </c>
      <c r="M23" s="28">
        <f>'FS Jimbaran May 2018'!S33</f>
        <v>0</v>
      </c>
      <c r="N23" s="28">
        <f>'FS Jimbaran May 2018'!T33</f>
        <v>0</v>
      </c>
      <c r="O23" s="28">
        <f>'FS Jimbaran May 2018'!U33</f>
        <v>12.4</v>
      </c>
      <c r="P23" s="28">
        <f>'FS Jimbaran May 2018'!V33</f>
        <v>0</v>
      </c>
      <c r="Q23" s="28">
        <f>'FS Jimbaran May 2018'!BE33</f>
        <v>0</v>
      </c>
      <c r="R23" s="28">
        <f>'FS Jimbaran May 2018'!BF33</f>
        <v>0</v>
      </c>
      <c r="S23" s="28">
        <f>'FS Jimbaran May 2018'!BH33</f>
        <v>0</v>
      </c>
      <c r="T23" s="28">
        <f>'FS Jimbaran May 2018'!BH33</f>
        <v>0</v>
      </c>
      <c r="U23" s="28">
        <f>'FS Jimbaran May 2018'!BI33</f>
        <v>0</v>
      </c>
      <c r="V23" s="28">
        <f>'FS Jimbaran May 2018'!BJ33</f>
        <v>0</v>
      </c>
      <c r="W23" s="28">
        <f>'FS Jimbaran May 2018'!Y33</f>
        <v>570</v>
      </c>
      <c r="X23" s="28">
        <f>'FS Jimbaran May 2018'!Z33</f>
        <v>0</v>
      </c>
      <c r="Y23" s="28">
        <f>'FS Jimbaran May 2018'!AA33</f>
        <v>0</v>
      </c>
      <c r="Z23" s="28">
        <f>'FS Jimbaran May 2018'!AB33</f>
        <v>0</v>
      </c>
      <c r="AA23" s="28">
        <f>'FS Jimbaran May 2018'!AC33</f>
        <v>0</v>
      </c>
      <c r="AB23" s="28">
        <f>'FS Jimbaran May 2018'!AD33</f>
        <v>0</v>
      </c>
      <c r="AC23" s="28">
        <f>'FS Jimbaran May 2018'!AE33</f>
        <v>0</v>
      </c>
      <c r="AD23" s="28">
        <f>'FS Jimbaran May 2018'!AF33</f>
        <v>0</v>
      </c>
      <c r="AE23" s="28">
        <f>'FS Jimbaran May 2018'!AG33</f>
        <v>0</v>
      </c>
      <c r="AF23" s="28">
        <f>'FS Jimbaran May 2018'!AH33</f>
        <v>0</v>
      </c>
      <c r="AG23" s="28">
        <f>'FS Jimbaran May 2018'!AM33</f>
        <v>0</v>
      </c>
      <c r="AH23" s="28">
        <f>'FS Jimbaran May 2018'!AR33</f>
        <v>0</v>
      </c>
      <c r="AI23" s="28">
        <f>'FS Jimbaran May 2018'!AQ33</f>
        <v>0</v>
      </c>
      <c r="AJ23" s="28">
        <f>'FS Jimbaran May 2018'!AR33</f>
        <v>0</v>
      </c>
      <c r="AK23" s="28">
        <f>'FS Jimbaran May 2018'!AY33</f>
        <v>0</v>
      </c>
      <c r="AL23" s="28">
        <f>'FS Jimbaran May 2018'!AZ33</f>
        <v>0</v>
      </c>
      <c r="AM23" s="28">
        <f>'FS Jimbaran May 2018'!BB33</f>
        <v>0</v>
      </c>
      <c r="AN23" s="28">
        <f>'FS Jimbaran May 2018'!BB33</f>
        <v>0</v>
      </c>
      <c r="AO23" s="28">
        <f>'FS Jimbaran May 2018'!BK33</f>
        <v>0</v>
      </c>
      <c r="AP23" s="28">
        <f>'FS Jimbaran May 2018'!BL33</f>
        <v>0</v>
      </c>
      <c r="AQ23" s="28">
        <f>'FS Jimbaran May 2018'!BC33</f>
        <v>0</v>
      </c>
      <c r="AR23" s="28">
        <f>'FS Jimbaran May 2018'!BD33</f>
        <v>0</v>
      </c>
      <c r="AS23" s="28">
        <f>'FS Jimbaran May 2018'!BM33</f>
        <v>0</v>
      </c>
      <c r="AT23" s="28">
        <f>'FS Jimbaran May 2018'!BN33</f>
        <v>0</v>
      </c>
      <c r="AU23" s="28">
        <f>'FS Jimbaran May 2018'!BO33</f>
        <v>0</v>
      </c>
      <c r="AV23" s="28">
        <f>'FS Jimbaran May 2018'!BP33</f>
        <v>0</v>
      </c>
      <c r="AW23" s="28">
        <f>'FS Jimbaran May 2018'!E33</f>
        <v>15.899999999999999</v>
      </c>
      <c r="AX23" s="28">
        <f>'FS Jimbaran May 2018'!F33</f>
        <v>0</v>
      </c>
      <c r="AY23" s="28">
        <f>'FS Jimbaran May 2018'!O33</f>
        <v>0</v>
      </c>
      <c r="AZ23" s="28">
        <f>'FS Jimbaran May 2018'!P33</f>
        <v>0</v>
      </c>
      <c r="BA23" s="28">
        <f>'FS Jimbaran May 2018'!W33</f>
        <v>0</v>
      </c>
      <c r="BB23" s="28">
        <f>'FS Jimbaran May 2018'!X33</f>
        <v>0</v>
      </c>
      <c r="BC23" s="28">
        <f>'FS Jimbaran May 2018'!AI33</f>
        <v>780.00000000000011</v>
      </c>
      <c r="BD23" s="28">
        <f>'FS Jimbaran May 2018'!AJ33</f>
        <v>0</v>
      </c>
      <c r="BE23" s="28">
        <f>'FS Jimbaran May 2018'!AK33</f>
        <v>0</v>
      </c>
      <c r="BF23" s="28">
        <f>'FS Jimbaran May 2018'!AL33</f>
        <v>0</v>
      </c>
      <c r="BG23" s="28">
        <f>'FS Jimbaran May 2018'!AM33</f>
        <v>0</v>
      </c>
      <c r="BH23" s="28">
        <f>'FS Jimbaran May 2018'!AN33</f>
        <v>0</v>
      </c>
      <c r="BI23" s="28">
        <f>'FS Jimbaran May 2018'!AO33</f>
        <v>0</v>
      </c>
      <c r="BJ23" s="28">
        <f>'FS Jimbaran May 2018'!AO33</f>
        <v>0</v>
      </c>
      <c r="BK23" s="28">
        <f>'FS Jimbaran May 2018'!AQ33</f>
        <v>0</v>
      </c>
      <c r="BL23" s="28">
        <f>'FS Jimbaran May 2018'!AR33</f>
        <v>0</v>
      </c>
      <c r="BM23" s="28">
        <v>0</v>
      </c>
      <c r="BN23" s="28">
        <v>0</v>
      </c>
      <c r="BO23" s="29">
        <f>'FS Jimbaran May 2018'!Q33</f>
        <v>0</v>
      </c>
      <c r="BP23" s="28">
        <f>'FS Jimbaran May 2018'!R33</f>
        <v>0</v>
      </c>
    </row>
    <row r="24" spans="1:68">
      <c r="A24" s="23" t="s">
        <v>67</v>
      </c>
      <c r="B24" s="31">
        <f t="shared" si="0"/>
        <v>23</v>
      </c>
      <c r="C24" s="32">
        <v>5</v>
      </c>
      <c r="D24" s="33">
        <v>2018</v>
      </c>
      <c r="E24" s="24">
        <f>'FS Jimbaran May 2018'!M34</f>
        <v>4.4000000000000004</v>
      </c>
      <c r="F24" s="28">
        <f>'FS Jimbaran May 2018'!N34</f>
        <v>0</v>
      </c>
      <c r="G24" s="28">
        <v>0</v>
      </c>
      <c r="H24" s="28">
        <f>'FS Jimbaran May 2018'!H34</f>
        <v>0</v>
      </c>
      <c r="I24" s="28">
        <f>'FS Jimbaran May 2018'!I34</f>
        <v>0</v>
      </c>
      <c r="J24" s="28">
        <f>'FS Jimbaran May 2018'!J34</f>
        <v>0</v>
      </c>
      <c r="K24" s="28">
        <f>'FS Jimbaran May 2018'!K34</f>
        <v>16.3</v>
      </c>
      <c r="L24" s="28">
        <f>'FS Jimbaran May 2018'!L34</f>
        <v>0</v>
      </c>
      <c r="M24" s="28">
        <f>'FS Jimbaran May 2018'!S34</f>
        <v>0</v>
      </c>
      <c r="N24" s="28">
        <f>'FS Jimbaran May 2018'!T34</f>
        <v>0</v>
      </c>
      <c r="O24" s="28">
        <f>'FS Jimbaran May 2018'!U34</f>
        <v>10.4</v>
      </c>
      <c r="P24" s="28">
        <f>'FS Jimbaran May 2018'!V34</f>
        <v>0</v>
      </c>
      <c r="Q24" s="28">
        <f>'FS Jimbaran May 2018'!BE34</f>
        <v>0</v>
      </c>
      <c r="R24" s="28">
        <f>'FS Jimbaran May 2018'!BF34</f>
        <v>0</v>
      </c>
      <c r="S24" s="28">
        <f>'FS Jimbaran May 2018'!BH34</f>
        <v>0</v>
      </c>
      <c r="T24" s="28">
        <f>'FS Jimbaran May 2018'!BH34</f>
        <v>0</v>
      </c>
      <c r="U24" s="28">
        <f>'FS Jimbaran May 2018'!BI34</f>
        <v>0</v>
      </c>
      <c r="V24" s="28">
        <f>'FS Jimbaran May 2018'!BJ34</f>
        <v>0</v>
      </c>
      <c r="W24" s="28">
        <f>'FS Jimbaran May 2018'!Y34</f>
        <v>630</v>
      </c>
      <c r="X24" s="28">
        <f>'FS Jimbaran May 2018'!Z34</f>
        <v>0</v>
      </c>
      <c r="Y24" s="28">
        <f>'FS Jimbaran May 2018'!AA34</f>
        <v>0</v>
      </c>
      <c r="Z24" s="28">
        <f>'FS Jimbaran May 2018'!AB34</f>
        <v>0</v>
      </c>
      <c r="AA24" s="28">
        <f>'FS Jimbaran May 2018'!AC34</f>
        <v>0</v>
      </c>
      <c r="AB24" s="28">
        <f>'FS Jimbaran May 2018'!AD34</f>
        <v>0</v>
      </c>
      <c r="AC24" s="28">
        <f>'FS Jimbaran May 2018'!AE34</f>
        <v>0</v>
      </c>
      <c r="AD24" s="28">
        <f>'FS Jimbaran May 2018'!AF34</f>
        <v>0</v>
      </c>
      <c r="AE24" s="28">
        <f>'FS Jimbaran May 2018'!AG34</f>
        <v>0</v>
      </c>
      <c r="AF24" s="28">
        <f>'FS Jimbaran May 2018'!AH34</f>
        <v>0</v>
      </c>
      <c r="AG24" s="28">
        <f>'FS Jimbaran May 2018'!AM34</f>
        <v>0</v>
      </c>
      <c r="AH24" s="28">
        <f>'FS Jimbaran May 2018'!AR34</f>
        <v>0</v>
      </c>
      <c r="AI24" s="28">
        <f>'FS Jimbaran May 2018'!AQ34</f>
        <v>0</v>
      </c>
      <c r="AJ24" s="28">
        <f>'FS Jimbaran May 2018'!AR34</f>
        <v>0</v>
      </c>
      <c r="AK24" s="28">
        <f>'FS Jimbaran May 2018'!AY34</f>
        <v>0</v>
      </c>
      <c r="AL24" s="28">
        <f>'FS Jimbaran May 2018'!AZ34</f>
        <v>0</v>
      </c>
      <c r="AM24" s="28">
        <f>'FS Jimbaran May 2018'!BB34</f>
        <v>0</v>
      </c>
      <c r="AN24" s="28">
        <f>'FS Jimbaran May 2018'!BB34</f>
        <v>0</v>
      </c>
      <c r="AO24" s="28">
        <f>'FS Jimbaran May 2018'!BK34</f>
        <v>0</v>
      </c>
      <c r="AP24" s="28">
        <f>'FS Jimbaran May 2018'!BL34</f>
        <v>0</v>
      </c>
      <c r="AQ24" s="28">
        <f>'FS Jimbaran May 2018'!BC34</f>
        <v>0</v>
      </c>
      <c r="AR24" s="28">
        <f>'FS Jimbaran May 2018'!BD34</f>
        <v>0</v>
      </c>
      <c r="AS24" s="28">
        <f>'FS Jimbaran May 2018'!BM34</f>
        <v>0</v>
      </c>
      <c r="AT24" s="28">
        <f>'FS Jimbaran May 2018'!BN34</f>
        <v>0</v>
      </c>
      <c r="AU24" s="28">
        <f>'FS Jimbaran May 2018'!BO34</f>
        <v>0</v>
      </c>
      <c r="AV24" s="28">
        <f>'FS Jimbaran May 2018'!BP34</f>
        <v>0</v>
      </c>
      <c r="AW24" s="28">
        <f>'FS Jimbaran May 2018'!E34</f>
        <v>16.100000000000001</v>
      </c>
      <c r="AX24" s="28">
        <f>'FS Jimbaran May 2018'!F34</f>
        <v>0</v>
      </c>
      <c r="AY24" s="28">
        <f>'FS Jimbaran May 2018'!O34</f>
        <v>0</v>
      </c>
      <c r="AZ24" s="28">
        <f>'FS Jimbaran May 2018'!P34</f>
        <v>0</v>
      </c>
      <c r="BA24" s="28">
        <f>'FS Jimbaran May 2018'!W34</f>
        <v>0</v>
      </c>
      <c r="BB24" s="28">
        <f>'FS Jimbaran May 2018'!X34</f>
        <v>0</v>
      </c>
      <c r="BC24" s="28">
        <f>'FS Jimbaran May 2018'!AI34</f>
        <v>810</v>
      </c>
      <c r="BD24" s="28">
        <f>'FS Jimbaran May 2018'!AJ34</f>
        <v>0</v>
      </c>
      <c r="BE24" s="28">
        <f>'FS Jimbaran May 2018'!AK34</f>
        <v>0</v>
      </c>
      <c r="BF24" s="28">
        <f>'FS Jimbaran May 2018'!AL34</f>
        <v>0</v>
      </c>
      <c r="BG24" s="28">
        <f>'FS Jimbaran May 2018'!AM34</f>
        <v>0</v>
      </c>
      <c r="BH24" s="28">
        <f>'FS Jimbaran May 2018'!AN34</f>
        <v>0</v>
      </c>
      <c r="BI24" s="28">
        <f>'FS Jimbaran May 2018'!AO34</f>
        <v>0</v>
      </c>
      <c r="BJ24" s="28">
        <f>'FS Jimbaran May 2018'!AO34</f>
        <v>0</v>
      </c>
      <c r="BK24" s="28">
        <f>'FS Jimbaran May 2018'!AQ34</f>
        <v>0</v>
      </c>
      <c r="BL24" s="28">
        <f>'FS Jimbaran May 2018'!AR34</f>
        <v>0</v>
      </c>
      <c r="BM24" s="28">
        <v>0</v>
      </c>
      <c r="BN24" s="28">
        <v>0</v>
      </c>
      <c r="BO24" s="29">
        <f>'FS Jimbaran May 2018'!Q34</f>
        <v>0</v>
      </c>
      <c r="BP24" s="28">
        <f>'FS Jimbaran May 2018'!R34</f>
        <v>0</v>
      </c>
    </row>
    <row r="25" spans="1:68">
      <c r="A25" s="23" t="s">
        <v>67</v>
      </c>
      <c r="B25" s="31">
        <f t="shared" si="0"/>
        <v>24</v>
      </c>
      <c r="C25" s="32">
        <v>5</v>
      </c>
      <c r="D25" s="33">
        <v>2018</v>
      </c>
      <c r="E25" s="24">
        <f>'FS Jimbaran May 2018'!M35</f>
        <v>3.5</v>
      </c>
      <c r="F25" s="28">
        <f>'FS Jimbaran May 2018'!N35</f>
        <v>0</v>
      </c>
      <c r="G25" s="28">
        <v>0</v>
      </c>
      <c r="H25" s="28">
        <f>'FS Jimbaran May 2018'!H35</f>
        <v>0</v>
      </c>
      <c r="I25" s="28">
        <f>'FS Jimbaran May 2018'!I35</f>
        <v>0</v>
      </c>
      <c r="J25" s="28">
        <f>'FS Jimbaran May 2018'!J35</f>
        <v>0</v>
      </c>
      <c r="K25" s="28">
        <f>'FS Jimbaran May 2018'!K35</f>
        <v>16.5</v>
      </c>
      <c r="L25" s="28">
        <f>'FS Jimbaran May 2018'!L35</f>
        <v>0</v>
      </c>
      <c r="M25" s="28">
        <f>'FS Jimbaran May 2018'!S35</f>
        <v>0</v>
      </c>
      <c r="N25" s="28">
        <f>'FS Jimbaran May 2018'!T35</f>
        <v>0</v>
      </c>
      <c r="O25" s="28">
        <f>'FS Jimbaran May 2018'!U35</f>
        <v>17.399999999999999</v>
      </c>
      <c r="P25" s="28">
        <f>'FS Jimbaran May 2018'!V35</f>
        <v>0</v>
      </c>
      <c r="Q25" s="28">
        <f>'FS Jimbaran May 2018'!BE35</f>
        <v>0</v>
      </c>
      <c r="R25" s="28">
        <f>'FS Jimbaran May 2018'!BF35</f>
        <v>0</v>
      </c>
      <c r="S25" s="28">
        <f>'FS Jimbaran May 2018'!BH35</f>
        <v>0</v>
      </c>
      <c r="T25" s="28">
        <f>'FS Jimbaran May 2018'!BH35</f>
        <v>0</v>
      </c>
      <c r="U25" s="28">
        <f>'FS Jimbaran May 2018'!BI35</f>
        <v>0</v>
      </c>
      <c r="V25" s="28">
        <f>'FS Jimbaran May 2018'!BJ35</f>
        <v>0</v>
      </c>
      <c r="W25" s="28">
        <f>'FS Jimbaran May 2018'!Y35</f>
        <v>540</v>
      </c>
      <c r="X25" s="28">
        <f>'FS Jimbaran May 2018'!Z35</f>
        <v>0</v>
      </c>
      <c r="Y25" s="28">
        <f>'FS Jimbaran May 2018'!AA35</f>
        <v>0</v>
      </c>
      <c r="Z25" s="28">
        <f>'FS Jimbaran May 2018'!AB35</f>
        <v>0</v>
      </c>
      <c r="AA25" s="28">
        <f>'FS Jimbaran May 2018'!AC35</f>
        <v>0</v>
      </c>
      <c r="AB25" s="28">
        <f>'FS Jimbaran May 2018'!AD35</f>
        <v>0</v>
      </c>
      <c r="AC25" s="28">
        <f>'FS Jimbaran May 2018'!AE35</f>
        <v>0</v>
      </c>
      <c r="AD25" s="28">
        <f>'FS Jimbaran May 2018'!AF35</f>
        <v>0</v>
      </c>
      <c r="AE25" s="28">
        <f>'FS Jimbaran May 2018'!AG35</f>
        <v>0</v>
      </c>
      <c r="AF25" s="28">
        <f>'FS Jimbaran May 2018'!AH35</f>
        <v>0</v>
      </c>
      <c r="AG25" s="28">
        <f>'FS Jimbaran May 2018'!AM35</f>
        <v>0</v>
      </c>
      <c r="AH25" s="28">
        <f>'FS Jimbaran May 2018'!AR35</f>
        <v>0</v>
      </c>
      <c r="AI25" s="28">
        <f>'FS Jimbaran May 2018'!AQ35</f>
        <v>0</v>
      </c>
      <c r="AJ25" s="28">
        <f>'FS Jimbaran May 2018'!AR35</f>
        <v>0</v>
      </c>
      <c r="AK25" s="28">
        <f>'FS Jimbaran May 2018'!AY35</f>
        <v>0</v>
      </c>
      <c r="AL25" s="28">
        <f>'FS Jimbaran May 2018'!AZ35</f>
        <v>0</v>
      </c>
      <c r="AM25" s="28">
        <f>'FS Jimbaran May 2018'!BB35</f>
        <v>0</v>
      </c>
      <c r="AN25" s="28">
        <f>'FS Jimbaran May 2018'!BB35</f>
        <v>0</v>
      </c>
      <c r="AO25" s="28">
        <f>'FS Jimbaran May 2018'!BK35</f>
        <v>0</v>
      </c>
      <c r="AP25" s="28">
        <f>'FS Jimbaran May 2018'!BL35</f>
        <v>0</v>
      </c>
      <c r="AQ25" s="28">
        <f>'FS Jimbaran May 2018'!BC35</f>
        <v>0</v>
      </c>
      <c r="AR25" s="28">
        <f>'FS Jimbaran May 2018'!BD35</f>
        <v>0</v>
      </c>
      <c r="AS25" s="28">
        <f>'FS Jimbaran May 2018'!BM35</f>
        <v>0</v>
      </c>
      <c r="AT25" s="28">
        <f>'FS Jimbaran May 2018'!BN35</f>
        <v>0</v>
      </c>
      <c r="AU25" s="28">
        <f>'FS Jimbaran May 2018'!BO35</f>
        <v>0</v>
      </c>
      <c r="AV25" s="28">
        <f>'FS Jimbaran May 2018'!BP35</f>
        <v>0</v>
      </c>
      <c r="AW25" s="28">
        <f>'FS Jimbaran May 2018'!E35</f>
        <v>13.5</v>
      </c>
      <c r="AX25" s="28">
        <f>'FS Jimbaran May 2018'!F35</f>
        <v>0</v>
      </c>
      <c r="AY25" s="28">
        <f>'FS Jimbaran May 2018'!O35</f>
        <v>0</v>
      </c>
      <c r="AZ25" s="28">
        <f>'FS Jimbaran May 2018'!P35</f>
        <v>0</v>
      </c>
      <c r="BA25" s="28">
        <f>'FS Jimbaran May 2018'!W35</f>
        <v>0</v>
      </c>
      <c r="BB25" s="28">
        <f>'FS Jimbaran May 2018'!X35</f>
        <v>0</v>
      </c>
      <c r="BC25" s="28">
        <f>'FS Jimbaran May 2018'!AI35</f>
        <v>930.00000000000011</v>
      </c>
      <c r="BD25" s="28">
        <f>'FS Jimbaran May 2018'!AJ35</f>
        <v>0</v>
      </c>
      <c r="BE25" s="28">
        <f>'FS Jimbaran May 2018'!AK35</f>
        <v>0</v>
      </c>
      <c r="BF25" s="28">
        <f>'FS Jimbaran May 2018'!AL35</f>
        <v>0</v>
      </c>
      <c r="BG25" s="28">
        <f>'FS Jimbaran May 2018'!AM35</f>
        <v>0</v>
      </c>
      <c r="BH25" s="28">
        <f>'FS Jimbaran May 2018'!AN35</f>
        <v>0</v>
      </c>
      <c r="BI25" s="28">
        <f>'FS Jimbaran May 2018'!AO35</f>
        <v>0</v>
      </c>
      <c r="BJ25" s="28">
        <f>'FS Jimbaran May 2018'!AO35</f>
        <v>0</v>
      </c>
      <c r="BK25" s="28">
        <f>'FS Jimbaran May 2018'!AQ35</f>
        <v>0</v>
      </c>
      <c r="BL25" s="28">
        <f>'FS Jimbaran May 2018'!AR35</f>
        <v>0</v>
      </c>
      <c r="BM25" s="28">
        <v>0</v>
      </c>
      <c r="BN25" s="28">
        <v>0</v>
      </c>
      <c r="BO25" s="29">
        <f>'FS Jimbaran May 2018'!Q35</f>
        <v>0</v>
      </c>
      <c r="BP25" s="28">
        <f>'FS Jimbaran May 2018'!R35</f>
        <v>0</v>
      </c>
    </row>
    <row r="26" spans="1:68">
      <c r="A26" s="23" t="s">
        <v>67</v>
      </c>
      <c r="B26" s="31">
        <f>B25+1</f>
        <v>25</v>
      </c>
      <c r="C26" s="32">
        <v>5</v>
      </c>
      <c r="D26" s="33">
        <v>2018</v>
      </c>
      <c r="E26" s="24">
        <f>'FS Jimbaran May 2018'!M36</f>
        <v>3.1</v>
      </c>
      <c r="F26" s="28">
        <f>'FS Jimbaran May 2018'!N36</f>
        <v>0</v>
      </c>
      <c r="G26" s="28">
        <v>0</v>
      </c>
      <c r="H26" s="28">
        <f>'FS Jimbaran May 2018'!H36</f>
        <v>0</v>
      </c>
      <c r="I26" s="28">
        <f>'FS Jimbaran May 2018'!I36</f>
        <v>0</v>
      </c>
      <c r="J26" s="28">
        <f>'FS Jimbaran May 2018'!J36</f>
        <v>0</v>
      </c>
      <c r="K26" s="28">
        <f>'FS Jimbaran May 2018'!K36</f>
        <v>15.9</v>
      </c>
      <c r="L26" s="28">
        <f>'FS Jimbaran May 2018'!L36</f>
        <v>0</v>
      </c>
      <c r="M26" s="28">
        <f>'FS Jimbaran May 2018'!S36</f>
        <v>0</v>
      </c>
      <c r="N26" s="28">
        <f>'FS Jimbaran May 2018'!T36</f>
        <v>0</v>
      </c>
      <c r="O26" s="28">
        <f>'FS Jimbaran May 2018'!U36</f>
        <v>16.2</v>
      </c>
      <c r="P26" s="28">
        <f>'FS Jimbaran May 2018'!V36</f>
        <v>0</v>
      </c>
      <c r="Q26" s="28">
        <f>'FS Jimbaran May 2018'!BE36</f>
        <v>0</v>
      </c>
      <c r="R26" s="28">
        <f>'FS Jimbaran May 2018'!BF36</f>
        <v>0</v>
      </c>
      <c r="S26" s="28">
        <f>'FS Jimbaran May 2018'!BH36</f>
        <v>0</v>
      </c>
      <c r="T26" s="28">
        <f>'FS Jimbaran May 2018'!BH36</f>
        <v>0</v>
      </c>
      <c r="U26" s="28">
        <f>'FS Jimbaran May 2018'!BI36</f>
        <v>0</v>
      </c>
      <c r="V26" s="28">
        <f>'FS Jimbaran May 2018'!BJ36</f>
        <v>0</v>
      </c>
      <c r="W26" s="28">
        <f>'FS Jimbaran May 2018'!Y36</f>
        <v>630</v>
      </c>
      <c r="X26" s="28">
        <f>'FS Jimbaran May 2018'!Z36</f>
        <v>0</v>
      </c>
      <c r="Y26" s="28">
        <f>'FS Jimbaran May 2018'!AA36</f>
        <v>0</v>
      </c>
      <c r="Z26" s="28">
        <f>'FS Jimbaran May 2018'!AB36</f>
        <v>0</v>
      </c>
      <c r="AA26" s="28">
        <f>'FS Jimbaran May 2018'!AC36</f>
        <v>0</v>
      </c>
      <c r="AB26" s="28">
        <f>'FS Jimbaran May 2018'!AD36</f>
        <v>0</v>
      </c>
      <c r="AC26" s="28">
        <f>'FS Jimbaran May 2018'!AE36</f>
        <v>0</v>
      </c>
      <c r="AD26" s="28">
        <f>'FS Jimbaran May 2018'!AF36</f>
        <v>0</v>
      </c>
      <c r="AE26" s="28">
        <f>'FS Jimbaran May 2018'!AG36</f>
        <v>0</v>
      </c>
      <c r="AF26" s="28">
        <f>'FS Jimbaran May 2018'!AH36</f>
        <v>0</v>
      </c>
      <c r="AG26" s="28">
        <f>'FS Jimbaran May 2018'!AM36</f>
        <v>0</v>
      </c>
      <c r="AH26" s="28">
        <f>'FS Jimbaran May 2018'!AR36</f>
        <v>0</v>
      </c>
      <c r="AI26" s="28">
        <f>'FS Jimbaran May 2018'!AQ36</f>
        <v>0</v>
      </c>
      <c r="AJ26" s="28">
        <f>'FS Jimbaran May 2018'!AR36</f>
        <v>0</v>
      </c>
      <c r="AK26" s="28">
        <f>'FS Jimbaran May 2018'!AY36</f>
        <v>0</v>
      </c>
      <c r="AL26" s="28">
        <f>'FS Jimbaran May 2018'!AZ36</f>
        <v>0</v>
      </c>
      <c r="AM26" s="28">
        <f>'FS Jimbaran May 2018'!BB36</f>
        <v>0</v>
      </c>
      <c r="AN26" s="28">
        <f>'FS Jimbaran May 2018'!BB36</f>
        <v>0</v>
      </c>
      <c r="AO26" s="28">
        <f>'FS Jimbaran May 2018'!BK36</f>
        <v>0</v>
      </c>
      <c r="AP26" s="28">
        <f>'FS Jimbaran May 2018'!BL36</f>
        <v>0</v>
      </c>
      <c r="AQ26" s="28">
        <f>'FS Jimbaran May 2018'!BC36</f>
        <v>0</v>
      </c>
      <c r="AR26" s="28">
        <f>'FS Jimbaran May 2018'!BD36</f>
        <v>0</v>
      </c>
      <c r="AS26" s="28">
        <f>'FS Jimbaran May 2018'!BM36</f>
        <v>0</v>
      </c>
      <c r="AT26" s="28">
        <f>'FS Jimbaran May 2018'!BN36</f>
        <v>0</v>
      </c>
      <c r="AU26" s="28">
        <f>'FS Jimbaran May 2018'!BO36</f>
        <v>0</v>
      </c>
      <c r="AV26" s="28">
        <f>'FS Jimbaran May 2018'!BP36</f>
        <v>0</v>
      </c>
      <c r="AW26" s="28">
        <f>'FS Jimbaran May 2018'!E36</f>
        <v>13.7</v>
      </c>
      <c r="AX26" s="28">
        <f>'FS Jimbaran May 2018'!F36</f>
        <v>0</v>
      </c>
      <c r="AY26" s="28">
        <f>'FS Jimbaran May 2018'!O36</f>
        <v>0</v>
      </c>
      <c r="AZ26" s="28">
        <f>'FS Jimbaran May 2018'!P36</f>
        <v>0</v>
      </c>
      <c r="BA26" s="28">
        <f>'FS Jimbaran May 2018'!W36</f>
        <v>0</v>
      </c>
      <c r="BB26" s="28">
        <f>'FS Jimbaran May 2018'!X36</f>
        <v>0</v>
      </c>
      <c r="BC26" s="28">
        <f>'FS Jimbaran May 2018'!AI36</f>
        <v>879.99999999999989</v>
      </c>
      <c r="BD26" s="28">
        <f>'FS Jimbaran May 2018'!AJ36</f>
        <v>0</v>
      </c>
      <c r="BE26" s="28">
        <f>'FS Jimbaran May 2018'!AK36</f>
        <v>0</v>
      </c>
      <c r="BF26" s="28">
        <f>'FS Jimbaran May 2018'!AL36</f>
        <v>0</v>
      </c>
      <c r="BG26" s="28">
        <f>'FS Jimbaran May 2018'!AM36</f>
        <v>0</v>
      </c>
      <c r="BH26" s="28">
        <f>'FS Jimbaran May 2018'!AN36</f>
        <v>0</v>
      </c>
      <c r="BI26" s="28">
        <f>'FS Jimbaran May 2018'!AO36</f>
        <v>0</v>
      </c>
      <c r="BJ26" s="28">
        <f>'FS Jimbaran May 2018'!AO36</f>
        <v>0</v>
      </c>
      <c r="BK26" s="28">
        <f>'FS Jimbaran May 2018'!AQ36</f>
        <v>0</v>
      </c>
      <c r="BL26" s="28">
        <f>'FS Jimbaran May 2018'!AR36</f>
        <v>0</v>
      </c>
      <c r="BM26" s="28">
        <v>0</v>
      </c>
      <c r="BN26" s="28">
        <v>0</v>
      </c>
      <c r="BO26" s="29">
        <f>'FS Jimbaran May 2018'!Q36</f>
        <v>0</v>
      </c>
      <c r="BP26" s="28">
        <f>'FS Jimbaran May 2018'!R36</f>
        <v>0</v>
      </c>
    </row>
    <row r="27" spans="1:68">
      <c r="A27" s="23" t="s">
        <v>67</v>
      </c>
      <c r="B27" s="31">
        <f t="shared" si="0"/>
        <v>26</v>
      </c>
      <c r="C27" s="32">
        <v>5</v>
      </c>
      <c r="D27" s="33">
        <v>2018</v>
      </c>
      <c r="E27" s="24">
        <f>'FS Jimbaran May 2018'!M37</f>
        <v>2.5</v>
      </c>
      <c r="F27" s="28">
        <f>'FS Jimbaran May 2018'!N37</f>
        <v>0</v>
      </c>
      <c r="G27" s="28">
        <v>0</v>
      </c>
      <c r="H27" s="28">
        <f>'FS Jimbaran May 2018'!H37</f>
        <v>0</v>
      </c>
      <c r="I27" s="28">
        <f>'FS Jimbaran May 2018'!I37</f>
        <v>0</v>
      </c>
      <c r="J27" s="28">
        <f>'FS Jimbaran May 2018'!J37</f>
        <v>0</v>
      </c>
      <c r="K27" s="28">
        <f>'FS Jimbaran May 2018'!K37</f>
        <v>15.600000000000001</v>
      </c>
      <c r="L27" s="28">
        <f>'FS Jimbaran May 2018'!L37</f>
        <v>0</v>
      </c>
      <c r="M27" s="28">
        <f>'FS Jimbaran May 2018'!S37</f>
        <v>0</v>
      </c>
      <c r="N27" s="28">
        <f>'FS Jimbaran May 2018'!T37</f>
        <v>0</v>
      </c>
      <c r="O27" s="28">
        <f>'FS Jimbaran May 2018'!U37</f>
        <v>18.2</v>
      </c>
      <c r="P27" s="28">
        <f>'FS Jimbaran May 2018'!V37</f>
        <v>0</v>
      </c>
      <c r="Q27" s="28">
        <f>'FS Jimbaran May 2018'!BE37</f>
        <v>0</v>
      </c>
      <c r="R27" s="28">
        <f>'FS Jimbaran May 2018'!BF37</f>
        <v>0</v>
      </c>
      <c r="S27" s="28">
        <f>'FS Jimbaran May 2018'!BH37</f>
        <v>0</v>
      </c>
      <c r="T27" s="28">
        <f>'FS Jimbaran May 2018'!BH37</f>
        <v>0</v>
      </c>
      <c r="U27" s="28">
        <f>'FS Jimbaran May 2018'!BI37</f>
        <v>0</v>
      </c>
      <c r="V27" s="28">
        <f>'FS Jimbaran May 2018'!BJ37</f>
        <v>0</v>
      </c>
      <c r="W27" s="28">
        <f>'FS Jimbaran May 2018'!Y37</f>
        <v>630</v>
      </c>
      <c r="X27" s="28">
        <f>'FS Jimbaran May 2018'!Z37</f>
        <v>0</v>
      </c>
      <c r="Y27" s="28">
        <f>'FS Jimbaran May 2018'!AA37</f>
        <v>0</v>
      </c>
      <c r="Z27" s="28">
        <f>'FS Jimbaran May 2018'!AB37</f>
        <v>0</v>
      </c>
      <c r="AA27" s="28">
        <f>'FS Jimbaran May 2018'!AC37</f>
        <v>0</v>
      </c>
      <c r="AB27" s="28">
        <f>'FS Jimbaran May 2018'!AD37</f>
        <v>0</v>
      </c>
      <c r="AC27" s="28">
        <f>'FS Jimbaran May 2018'!AE37</f>
        <v>0</v>
      </c>
      <c r="AD27" s="28">
        <f>'FS Jimbaran May 2018'!AF37</f>
        <v>0</v>
      </c>
      <c r="AE27" s="28">
        <f>'FS Jimbaran May 2018'!AG37</f>
        <v>0</v>
      </c>
      <c r="AF27" s="28">
        <f>'FS Jimbaran May 2018'!AH37</f>
        <v>0</v>
      </c>
      <c r="AG27" s="28">
        <f>'FS Jimbaran May 2018'!AM37</f>
        <v>0</v>
      </c>
      <c r="AH27" s="28">
        <f>'FS Jimbaran May 2018'!AR37</f>
        <v>0</v>
      </c>
      <c r="AI27" s="28">
        <f>'FS Jimbaran May 2018'!AQ37</f>
        <v>0</v>
      </c>
      <c r="AJ27" s="28">
        <f>'FS Jimbaran May 2018'!AR37</f>
        <v>0</v>
      </c>
      <c r="AK27" s="28">
        <f>'FS Jimbaran May 2018'!AY37</f>
        <v>0</v>
      </c>
      <c r="AL27" s="28">
        <f>'FS Jimbaran May 2018'!AZ37</f>
        <v>0</v>
      </c>
      <c r="AM27" s="28">
        <f>'FS Jimbaran May 2018'!BB37</f>
        <v>0</v>
      </c>
      <c r="AN27" s="28">
        <f>'FS Jimbaran May 2018'!BB37</f>
        <v>0</v>
      </c>
      <c r="AO27" s="28">
        <f>'FS Jimbaran May 2018'!BK37</f>
        <v>0</v>
      </c>
      <c r="AP27" s="28">
        <f>'FS Jimbaran May 2018'!BL37</f>
        <v>0</v>
      </c>
      <c r="AQ27" s="28">
        <f>'FS Jimbaran May 2018'!BC37</f>
        <v>0</v>
      </c>
      <c r="AR27" s="28">
        <f>'FS Jimbaran May 2018'!BD37</f>
        <v>0</v>
      </c>
      <c r="AS27" s="28">
        <f>'FS Jimbaran May 2018'!BM37</f>
        <v>0</v>
      </c>
      <c r="AT27" s="28">
        <f>'FS Jimbaran May 2018'!BN37</f>
        <v>0</v>
      </c>
      <c r="AU27" s="28">
        <f>'FS Jimbaran May 2018'!BO37</f>
        <v>0</v>
      </c>
      <c r="AV27" s="28">
        <f>'FS Jimbaran May 2018'!BP37</f>
        <v>0</v>
      </c>
      <c r="AW27" s="28">
        <f>'FS Jimbaran May 2018'!E37</f>
        <v>12.799999999999999</v>
      </c>
      <c r="AX27" s="28">
        <f>'FS Jimbaran May 2018'!F37</f>
        <v>0</v>
      </c>
      <c r="AY27" s="28">
        <f>'FS Jimbaran May 2018'!O37</f>
        <v>0</v>
      </c>
      <c r="AZ27" s="28">
        <f>'FS Jimbaran May 2018'!P37</f>
        <v>0</v>
      </c>
      <c r="BA27" s="28">
        <f>'FS Jimbaran May 2018'!W37</f>
        <v>0</v>
      </c>
      <c r="BB27" s="28">
        <f>'FS Jimbaran May 2018'!X37</f>
        <v>0</v>
      </c>
      <c r="BC27" s="28">
        <f>'FS Jimbaran May 2018'!AI37</f>
        <v>940</v>
      </c>
      <c r="BD27" s="28">
        <f>'FS Jimbaran May 2018'!AJ37</f>
        <v>0</v>
      </c>
      <c r="BE27" s="28">
        <f>'FS Jimbaran May 2018'!AK37</f>
        <v>0</v>
      </c>
      <c r="BF27" s="28">
        <f>'FS Jimbaran May 2018'!AL37</f>
        <v>0</v>
      </c>
      <c r="BG27" s="28">
        <f>'FS Jimbaran May 2018'!AM37</f>
        <v>0</v>
      </c>
      <c r="BH27" s="28">
        <f>'FS Jimbaran May 2018'!AN37</f>
        <v>0</v>
      </c>
      <c r="BI27" s="28">
        <f>'FS Jimbaran May 2018'!AO37</f>
        <v>0</v>
      </c>
      <c r="BJ27" s="28">
        <f>'FS Jimbaran May 2018'!AO37</f>
        <v>0</v>
      </c>
      <c r="BK27" s="28">
        <f>'FS Jimbaran May 2018'!AQ37</f>
        <v>0</v>
      </c>
      <c r="BL27" s="28">
        <f>'FS Jimbaran May 2018'!AR37</f>
        <v>0</v>
      </c>
      <c r="BM27" s="28">
        <v>0</v>
      </c>
      <c r="BN27" s="28">
        <v>0</v>
      </c>
      <c r="BO27" s="29">
        <f>'FS Jimbaran May 2018'!Q37</f>
        <v>0</v>
      </c>
      <c r="BP27" s="28">
        <f>'FS Jimbaran May 2018'!R37</f>
        <v>0</v>
      </c>
    </row>
    <row r="28" spans="1:68">
      <c r="A28" s="23" t="s">
        <v>67</v>
      </c>
      <c r="B28" s="31">
        <f t="shared" si="0"/>
        <v>27</v>
      </c>
      <c r="C28" s="32">
        <v>5</v>
      </c>
      <c r="D28" s="33">
        <v>2018</v>
      </c>
      <c r="E28" s="24">
        <f>'FS Jimbaran May 2018'!M38</f>
        <v>6.1</v>
      </c>
      <c r="F28" s="28">
        <f>'FS Jimbaran May 2018'!N38</f>
        <v>0</v>
      </c>
      <c r="G28" s="28">
        <v>0</v>
      </c>
      <c r="H28" s="28">
        <f>'FS Jimbaran May 2018'!H38</f>
        <v>0</v>
      </c>
      <c r="I28" s="28">
        <f>'FS Jimbaran May 2018'!I38</f>
        <v>0</v>
      </c>
      <c r="J28" s="28">
        <f>'FS Jimbaran May 2018'!J38</f>
        <v>0</v>
      </c>
      <c r="K28" s="28">
        <f>'FS Jimbaran May 2018'!K38</f>
        <v>13.4</v>
      </c>
      <c r="L28" s="28">
        <f>'FS Jimbaran May 2018'!L38</f>
        <v>0</v>
      </c>
      <c r="M28" s="28">
        <f>'FS Jimbaran May 2018'!S38</f>
        <v>0</v>
      </c>
      <c r="N28" s="28">
        <f>'FS Jimbaran May 2018'!T38</f>
        <v>0</v>
      </c>
      <c r="O28" s="28">
        <f>'FS Jimbaran May 2018'!U38</f>
        <v>12.6</v>
      </c>
      <c r="P28" s="28">
        <f>'FS Jimbaran May 2018'!V38</f>
        <v>0</v>
      </c>
      <c r="Q28" s="28">
        <f>'FS Jimbaran May 2018'!BE38</f>
        <v>0</v>
      </c>
      <c r="R28" s="28">
        <f>'FS Jimbaran May 2018'!BF38</f>
        <v>0</v>
      </c>
      <c r="S28" s="28">
        <f>'FS Jimbaran May 2018'!BH38</f>
        <v>0</v>
      </c>
      <c r="T28" s="28">
        <f>'FS Jimbaran May 2018'!BH38</f>
        <v>0</v>
      </c>
      <c r="U28" s="28">
        <f>'FS Jimbaran May 2018'!BI38</f>
        <v>0</v>
      </c>
      <c r="V28" s="28">
        <f>'FS Jimbaran May 2018'!BJ38</f>
        <v>0</v>
      </c>
      <c r="W28" s="28">
        <f>'FS Jimbaran May 2018'!Y38</f>
        <v>550</v>
      </c>
      <c r="X28" s="28">
        <f>'FS Jimbaran May 2018'!Z38</f>
        <v>0</v>
      </c>
      <c r="Y28" s="28">
        <f>'FS Jimbaran May 2018'!AA38</f>
        <v>0</v>
      </c>
      <c r="Z28" s="28">
        <f>'FS Jimbaran May 2018'!AB38</f>
        <v>0</v>
      </c>
      <c r="AA28" s="28">
        <f>'FS Jimbaran May 2018'!AC38</f>
        <v>0</v>
      </c>
      <c r="AB28" s="28">
        <f>'FS Jimbaran May 2018'!AD38</f>
        <v>0</v>
      </c>
      <c r="AC28" s="28">
        <f>'FS Jimbaran May 2018'!AE38</f>
        <v>0</v>
      </c>
      <c r="AD28" s="28">
        <f>'FS Jimbaran May 2018'!AF38</f>
        <v>0</v>
      </c>
      <c r="AE28" s="28">
        <f>'FS Jimbaran May 2018'!AG38</f>
        <v>0</v>
      </c>
      <c r="AF28" s="28">
        <f>'FS Jimbaran May 2018'!AH38</f>
        <v>0</v>
      </c>
      <c r="AG28" s="28">
        <f>'FS Jimbaran May 2018'!AM38</f>
        <v>0</v>
      </c>
      <c r="AH28" s="28">
        <f>'FS Jimbaran May 2018'!AR38</f>
        <v>0</v>
      </c>
      <c r="AI28" s="28">
        <f>'FS Jimbaran May 2018'!AQ38</f>
        <v>0</v>
      </c>
      <c r="AJ28" s="28">
        <f>'FS Jimbaran May 2018'!AR38</f>
        <v>0</v>
      </c>
      <c r="AK28" s="28">
        <f>'FS Jimbaran May 2018'!AY38</f>
        <v>0</v>
      </c>
      <c r="AL28" s="28">
        <f>'FS Jimbaran May 2018'!AZ38</f>
        <v>0</v>
      </c>
      <c r="AM28" s="28">
        <f>'FS Jimbaran May 2018'!BB38</f>
        <v>0</v>
      </c>
      <c r="AN28" s="28">
        <f>'FS Jimbaran May 2018'!BB38</f>
        <v>0</v>
      </c>
      <c r="AO28" s="28">
        <f>'FS Jimbaran May 2018'!BK38</f>
        <v>0</v>
      </c>
      <c r="AP28" s="28">
        <f>'FS Jimbaran May 2018'!BL38</f>
        <v>0</v>
      </c>
      <c r="AQ28" s="28">
        <f>'FS Jimbaran May 2018'!BC38</f>
        <v>0</v>
      </c>
      <c r="AR28" s="28">
        <f>'FS Jimbaran May 2018'!BD38</f>
        <v>0</v>
      </c>
      <c r="AS28" s="28">
        <f>'FS Jimbaran May 2018'!BM38</f>
        <v>0</v>
      </c>
      <c r="AT28" s="28">
        <f>'FS Jimbaran May 2018'!BN38</f>
        <v>0</v>
      </c>
      <c r="AU28" s="28">
        <f>'FS Jimbaran May 2018'!BO38</f>
        <v>0</v>
      </c>
      <c r="AV28" s="28">
        <f>'FS Jimbaran May 2018'!BP38</f>
        <v>0</v>
      </c>
      <c r="AW28" s="28">
        <f>'FS Jimbaran May 2018'!E38</f>
        <v>17.100000000000001</v>
      </c>
      <c r="AX28" s="28">
        <f>'FS Jimbaran May 2018'!F38</f>
        <v>0</v>
      </c>
      <c r="AY28" s="28">
        <f>'FS Jimbaran May 2018'!O38</f>
        <v>0</v>
      </c>
      <c r="AZ28" s="28">
        <f>'FS Jimbaran May 2018'!P38</f>
        <v>0</v>
      </c>
      <c r="BA28" s="28">
        <f>'FS Jimbaran May 2018'!W38</f>
        <v>0</v>
      </c>
      <c r="BB28" s="28">
        <f>'FS Jimbaran May 2018'!X38</f>
        <v>0</v>
      </c>
      <c r="BC28" s="28">
        <f>'FS Jimbaran May 2018'!AI38</f>
        <v>660</v>
      </c>
      <c r="BD28" s="28">
        <f>'FS Jimbaran May 2018'!AJ38</f>
        <v>0</v>
      </c>
      <c r="BE28" s="28">
        <f>'FS Jimbaran May 2018'!AK38</f>
        <v>0</v>
      </c>
      <c r="BF28" s="28">
        <f>'FS Jimbaran May 2018'!AL38</f>
        <v>0</v>
      </c>
      <c r="BG28" s="28">
        <f>'FS Jimbaran May 2018'!AM38</f>
        <v>0</v>
      </c>
      <c r="BH28" s="28">
        <f>'FS Jimbaran May 2018'!AN38</f>
        <v>0</v>
      </c>
      <c r="BI28" s="28">
        <f>'FS Jimbaran May 2018'!AO38</f>
        <v>0</v>
      </c>
      <c r="BJ28" s="28">
        <f>'FS Jimbaran May 2018'!AO38</f>
        <v>0</v>
      </c>
      <c r="BK28" s="28">
        <f>'FS Jimbaran May 2018'!AQ38</f>
        <v>0</v>
      </c>
      <c r="BL28" s="28">
        <f>'FS Jimbaran May 2018'!AR38</f>
        <v>0</v>
      </c>
      <c r="BM28" s="28">
        <v>0</v>
      </c>
      <c r="BN28" s="28">
        <v>0</v>
      </c>
      <c r="BO28" s="29">
        <f>'FS Jimbaran May 2018'!Q38</f>
        <v>0</v>
      </c>
      <c r="BP28" s="28">
        <f>'FS Jimbaran May 2018'!R38</f>
        <v>0</v>
      </c>
    </row>
    <row r="29" spans="1:68">
      <c r="A29" s="23" t="s">
        <v>67</v>
      </c>
      <c r="B29" s="31">
        <f t="shared" si="0"/>
        <v>28</v>
      </c>
      <c r="C29" s="32">
        <v>5</v>
      </c>
      <c r="D29" s="33">
        <v>2018</v>
      </c>
      <c r="E29" s="24">
        <f>'FS Jimbaran May 2018'!M39</f>
        <v>3.5</v>
      </c>
      <c r="F29" s="28">
        <f>'FS Jimbaran May 2018'!N39</f>
        <v>0</v>
      </c>
      <c r="G29" s="28">
        <v>0</v>
      </c>
      <c r="H29" s="28">
        <f>'FS Jimbaran May 2018'!H39</f>
        <v>0</v>
      </c>
      <c r="I29" s="28">
        <f>'FS Jimbaran May 2018'!I39</f>
        <v>0</v>
      </c>
      <c r="J29" s="28">
        <f>'FS Jimbaran May 2018'!J39</f>
        <v>0</v>
      </c>
      <c r="K29" s="28">
        <f>'FS Jimbaran May 2018'!K39</f>
        <v>13.6</v>
      </c>
      <c r="L29" s="28">
        <f>'FS Jimbaran May 2018'!L39</f>
        <v>0</v>
      </c>
      <c r="M29" s="28">
        <f>'FS Jimbaran May 2018'!S39</f>
        <v>0</v>
      </c>
      <c r="N29" s="28">
        <f>'FS Jimbaran May 2018'!T39</f>
        <v>0</v>
      </c>
      <c r="O29" s="28">
        <f>'FS Jimbaran May 2018'!U39</f>
        <v>16.8</v>
      </c>
      <c r="P29" s="45">
        <f>'FS Jimbaran May 2018'!V39</f>
        <v>0</v>
      </c>
      <c r="Q29" s="45">
        <f>'FS Jimbaran May 2018'!BE39</f>
        <v>0</v>
      </c>
      <c r="R29" s="45">
        <f>'FS Jimbaran May 2018'!BF39</f>
        <v>0</v>
      </c>
      <c r="S29" s="45">
        <f>'FS Jimbaran May 2018'!BH39</f>
        <v>0</v>
      </c>
      <c r="T29" s="45">
        <f>'FS Jimbaran May 2018'!BH39</f>
        <v>0</v>
      </c>
      <c r="U29" s="45">
        <f>'FS Jimbaran May 2018'!BI39</f>
        <v>0</v>
      </c>
      <c r="V29" s="45">
        <f>'FS Jimbaran May 2018'!BJ39</f>
        <v>0</v>
      </c>
      <c r="W29" s="28">
        <f>'FS Jimbaran May 2018'!Y39</f>
        <v>610</v>
      </c>
      <c r="X29" s="28">
        <f>'FS Jimbaran May 2018'!Z39</f>
        <v>0</v>
      </c>
      <c r="Y29" s="45">
        <f>'FS Jimbaran May 2018'!AA39</f>
        <v>0</v>
      </c>
      <c r="Z29" s="45">
        <f>'FS Jimbaran May 2018'!AB39</f>
        <v>0</v>
      </c>
      <c r="AA29" s="45">
        <f>'FS Jimbaran May 2018'!AC39</f>
        <v>0</v>
      </c>
      <c r="AB29" s="45">
        <f>'FS Jimbaran May 2018'!AD39</f>
        <v>0</v>
      </c>
      <c r="AC29" s="45">
        <f>'FS Jimbaran May 2018'!AE39</f>
        <v>0</v>
      </c>
      <c r="AD29" s="45">
        <f>'FS Jimbaran May 2018'!AF39</f>
        <v>0</v>
      </c>
      <c r="AE29" s="45">
        <f>'FS Jimbaran May 2018'!AG39</f>
        <v>0</v>
      </c>
      <c r="AF29" s="45">
        <f>'FS Jimbaran May 2018'!AH39</f>
        <v>0</v>
      </c>
      <c r="AG29" s="45">
        <f>'FS Jimbaran May 2018'!AM39</f>
        <v>0</v>
      </c>
      <c r="AH29" s="45">
        <f>'FS Jimbaran May 2018'!AR39</f>
        <v>0</v>
      </c>
      <c r="AI29" s="45">
        <f>'FS Jimbaran May 2018'!AQ39</f>
        <v>0</v>
      </c>
      <c r="AJ29" s="45">
        <f>'FS Jimbaran May 2018'!AR39</f>
        <v>0</v>
      </c>
      <c r="AK29" s="45">
        <f>'FS Jimbaran May 2018'!AY39</f>
        <v>0</v>
      </c>
      <c r="AL29" s="45">
        <f>'FS Jimbaran May 2018'!AZ39</f>
        <v>0</v>
      </c>
      <c r="AM29" s="45">
        <f>'FS Jimbaran May 2018'!BB39</f>
        <v>0</v>
      </c>
      <c r="AN29" s="45">
        <f>'FS Jimbaran May 2018'!BB39</f>
        <v>0</v>
      </c>
      <c r="AO29" s="45">
        <f>'FS Jimbaran May 2018'!BK39</f>
        <v>0</v>
      </c>
      <c r="AP29" s="45">
        <f>'FS Jimbaran May 2018'!BL39</f>
        <v>0</v>
      </c>
      <c r="AQ29" s="45">
        <f>'FS Jimbaran May 2018'!BC39</f>
        <v>0</v>
      </c>
      <c r="AR29" s="45">
        <f>'FS Jimbaran May 2018'!BD39</f>
        <v>0</v>
      </c>
      <c r="AS29" s="45">
        <f>'FS Jimbaran May 2018'!BM39</f>
        <v>0</v>
      </c>
      <c r="AT29" s="45">
        <f>'FS Jimbaran May 2018'!BN39</f>
        <v>0</v>
      </c>
      <c r="AU29" s="45">
        <f>'FS Jimbaran May 2018'!BO39</f>
        <v>0</v>
      </c>
      <c r="AV29" s="45">
        <f>'FS Jimbaran May 2018'!BP39</f>
        <v>0</v>
      </c>
      <c r="AW29" s="28">
        <f>'FS Jimbaran May 2018'!E39</f>
        <v>14.7</v>
      </c>
      <c r="AX29" s="45">
        <f>'FS Jimbaran May 2018'!F39</f>
        <v>0</v>
      </c>
      <c r="AY29" s="45">
        <f>'FS Jimbaran May 2018'!O39</f>
        <v>0</v>
      </c>
      <c r="AZ29" s="45">
        <f>'FS Jimbaran May 2018'!P39</f>
        <v>0</v>
      </c>
      <c r="BA29" s="45">
        <f>'FS Jimbaran May 2018'!W39</f>
        <v>0</v>
      </c>
      <c r="BB29" s="45">
        <f>'FS Jimbaran May 2018'!X39</f>
        <v>0</v>
      </c>
      <c r="BC29" s="28">
        <f>'FS Jimbaran May 2018'!AI39</f>
        <v>610</v>
      </c>
      <c r="BD29" s="28">
        <f>'FS Jimbaran May 2018'!AJ39</f>
        <v>0</v>
      </c>
      <c r="BE29" s="28">
        <f>'FS Jimbaran May 2018'!AK39</f>
        <v>0</v>
      </c>
      <c r="BF29" s="28">
        <f>'FS Jimbaran May 2018'!AL39</f>
        <v>0</v>
      </c>
      <c r="BG29" s="28">
        <f>'FS Jimbaran May 2018'!AM39</f>
        <v>0</v>
      </c>
      <c r="BH29" s="28">
        <f>'FS Jimbaran May 2018'!AN39</f>
        <v>0</v>
      </c>
      <c r="BI29" s="28">
        <f>'FS Jimbaran May 2018'!AO39</f>
        <v>0</v>
      </c>
      <c r="BJ29" s="28">
        <f>'FS Jimbaran May 2018'!AO39</f>
        <v>0</v>
      </c>
      <c r="BK29" s="28">
        <f>'FS Jimbaran May 2018'!AQ39</f>
        <v>0</v>
      </c>
      <c r="BL29" s="28">
        <f>'FS Jimbaran May 2018'!AR39</f>
        <v>0</v>
      </c>
      <c r="BM29" s="28">
        <v>0</v>
      </c>
      <c r="BN29" s="28">
        <v>0</v>
      </c>
      <c r="BO29" s="29">
        <f>'FS Jimbaran May 2018'!Q39</f>
        <v>0</v>
      </c>
      <c r="BP29" s="28">
        <f>'FS Jimbaran May 2018'!R39</f>
        <v>0</v>
      </c>
    </row>
    <row r="30" spans="1:68">
      <c r="A30" s="23" t="s">
        <v>67</v>
      </c>
      <c r="B30" s="31">
        <f t="shared" si="0"/>
        <v>29</v>
      </c>
      <c r="C30" s="32">
        <v>5</v>
      </c>
      <c r="D30" s="33">
        <v>2018</v>
      </c>
      <c r="E30" s="24">
        <f>'FS Jimbaran May 2018'!M40</f>
        <v>3.3</v>
      </c>
      <c r="F30" s="28">
        <f>'FS Jimbaran May 2018'!N40</f>
        <v>0</v>
      </c>
      <c r="G30" s="28">
        <v>0</v>
      </c>
      <c r="H30" s="28">
        <f>'FS Jimbaran May 2018'!H40</f>
        <v>0</v>
      </c>
      <c r="I30" s="28">
        <f>'FS Jimbaran May 2018'!I40</f>
        <v>0</v>
      </c>
      <c r="J30" s="28">
        <f>'FS Jimbaran May 2018'!J40</f>
        <v>0</v>
      </c>
      <c r="K30" s="28">
        <f>'FS Jimbaran May 2018'!K40</f>
        <v>14.7</v>
      </c>
      <c r="L30" s="28">
        <f>'FS Jimbaran May 2018'!L40</f>
        <v>0</v>
      </c>
      <c r="M30" s="28">
        <f>'FS Jimbaran May 2018'!S40</f>
        <v>0</v>
      </c>
      <c r="N30" s="28">
        <f>'FS Jimbaran May 2018'!T40</f>
        <v>0</v>
      </c>
      <c r="O30" s="28">
        <f>'FS Jimbaran May 2018'!U40</f>
        <v>12.4</v>
      </c>
      <c r="P30" s="44">
        <f>SUM(P2:P29)</f>
        <v>0</v>
      </c>
      <c r="Q30" s="44">
        <f>SUM(Q2:Q29)</f>
        <v>0</v>
      </c>
      <c r="R30" s="44">
        <f>SUM(R2:R29)</f>
        <v>0</v>
      </c>
      <c r="S30" s="44">
        <f>SUM(S2:S29)</f>
        <v>0</v>
      </c>
      <c r="T30" s="44">
        <f>SUM(T2:T29)</f>
        <v>0</v>
      </c>
      <c r="U30" s="44">
        <f>SUM(U2:U29)</f>
        <v>0</v>
      </c>
      <c r="V30" s="44">
        <f>SUM(V2:V29)</f>
        <v>0</v>
      </c>
      <c r="W30" s="28">
        <f>'FS Jimbaran May 2018'!Y40</f>
        <v>670</v>
      </c>
      <c r="X30" s="28">
        <f>'FS Jimbaran May 2018'!Z40</f>
        <v>0</v>
      </c>
      <c r="Y30" s="44">
        <f>SUM(Y2:Y29)</f>
        <v>0</v>
      </c>
      <c r="Z30" s="44">
        <f>SUM(Z2:Z29)</f>
        <v>0</v>
      </c>
      <c r="AA30" s="44">
        <f>SUM(AA2:AA29)</f>
        <v>0</v>
      </c>
      <c r="AB30" s="44">
        <f>SUM(AB2:AB29)</f>
        <v>0</v>
      </c>
      <c r="AC30" s="44">
        <f>SUM(AC2:AC29)</f>
        <v>0</v>
      </c>
      <c r="AD30" s="44">
        <f>SUM(AD2:AD29)</f>
        <v>0</v>
      </c>
      <c r="AE30" s="44">
        <f>SUM(AE2:AE29)</f>
        <v>0</v>
      </c>
      <c r="AF30" s="44">
        <f>SUM(AF2:AF29)</f>
        <v>0</v>
      </c>
      <c r="AG30" s="44">
        <f>SUM(AG2:AG29)</f>
        <v>0</v>
      </c>
      <c r="AH30" s="44">
        <f>SUM(AH2:AH29)</f>
        <v>0</v>
      </c>
      <c r="AI30" s="44">
        <f>SUM(AI2:AI29)</f>
        <v>0</v>
      </c>
      <c r="AJ30" s="44">
        <f>SUM(AJ2:AJ29)</f>
        <v>0</v>
      </c>
      <c r="AK30" s="44">
        <f>SUM(AK2:AK29)</f>
        <v>0</v>
      </c>
      <c r="AL30" s="44">
        <f>SUM(AL2:AL29)</f>
        <v>0</v>
      </c>
      <c r="AM30" s="44">
        <f>SUM(AM2:AM29)</f>
        <v>0</v>
      </c>
      <c r="AN30" s="44">
        <f>SUM(AN2:AN29)</f>
        <v>0</v>
      </c>
      <c r="AO30" s="44">
        <f>SUM(AO2:AO29)</f>
        <v>0</v>
      </c>
      <c r="AP30" s="44">
        <f>SUM(AP2:AP29)</f>
        <v>0</v>
      </c>
      <c r="AQ30" s="44">
        <f>SUM(AQ2:AQ29)</f>
        <v>0</v>
      </c>
      <c r="AR30" s="44">
        <f>SUM(AR2:AR29)</f>
        <v>0</v>
      </c>
      <c r="AS30" s="44">
        <f>SUM(AS2:AS29)</f>
        <v>0</v>
      </c>
      <c r="AT30" s="44">
        <f>SUM(AT2:AT29)</f>
        <v>0</v>
      </c>
      <c r="AU30" s="44">
        <f>SUM(AU2:AU29)</f>
        <v>0</v>
      </c>
      <c r="AV30" s="44">
        <f>SUM(AV2:AV29)</f>
        <v>0</v>
      </c>
      <c r="AW30" s="28">
        <f>'FS Jimbaran May 2018'!E40</f>
        <v>15.799999999999999</v>
      </c>
      <c r="AX30" s="45">
        <f>'FS Jimbaran May 2018'!F40</f>
        <v>0</v>
      </c>
      <c r="AY30" s="45">
        <f>'FS Jimbaran May 2018'!O40</f>
        <v>0</v>
      </c>
      <c r="AZ30" s="45">
        <f>'FS Jimbaran May 2018'!P40</f>
        <v>0</v>
      </c>
      <c r="BA30" s="45">
        <f>'FS Jimbaran May 2018'!W40</f>
        <v>0</v>
      </c>
      <c r="BB30" s="45">
        <f>'FS Jimbaran May 2018'!X40</f>
        <v>0</v>
      </c>
      <c r="BC30" s="28">
        <f>'FS Jimbaran May 2018'!AI40</f>
        <v>370</v>
      </c>
      <c r="BD30" s="28">
        <f>'FS Jimbaran May 2018'!AJ40</f>
        <v>0</v>
      </c>
      <c r="BE30" s="28">
        <f>'FS Jimbaran May 2018'!AK40</f>
        <v>0</v>
      </c>
      <c r="BF30" s="28">
        <f>'FS Jimbaran May 2018'!AL40</f>
        <v>0</v>
      </c>
      <c r="BG30" s="28">
        <f>'FS Jimbaran May 2018'!AM40</f>
        <v>0</v>
      </c>
      <c r="BH30" s="28">
        <f>'FS Jimbaran May 2018'!AN40</f>
        <v>0</v>
      </c>
      <c r="BI30" s="28">
        <f>'FS Jimbaran May 2018'!AO40</f>
        <v>0</v>
      </c>
      <c r="BJ30" s="28">
        <f>'FS Jimbaran May 2018'!AO40</f>
        <v>0</v>
      </c>
      <c r="BK30" s="28">
        <f>'FS Jimbaran May 2018'!AQ40</f>
        <v>0</v>
      </c>
      <c r="BL30" s="28">
        <f>'FS Jimbaran May 2018'!AR40</f>
        <v>0</v>
      </c>
      <c r="BM30" s="28">
        <v>0</v>
      </c>
      <c r="BN30" s="28">
        <v>0</v>
      </c>
      <c r="BO30" s="29">
        <f>'FS Jimbaran May 2018'!Q40</f>
        <v>0</v>
      </c>
      <c r="BP30" s="28">
        <f>'FS Jimbaran May 2018'!R40</f>
        <v>0</v>
      </c>
    </row>
    <row r="31" spans="1:68">
      <c r="A31" s="23" t="s">
        <v>67</v>
      </c>
      <c r="B31" s="31">
        <f t="shared" si="0"/>
        <v>30</v>
      </c>
      <c r="C31" s="32">
        <v>5</v>
      </c>
      <c r="D31" s="33">
        <v>2018</v>
      </c>
      <c r="E31" s="24">
        <f>'FS Jimbaran May 2018'!M41</f>
        <v>6.2</v>
      </c>
      <c r="F31" s="28">
        <f>'FS Jimbaran May 2018'!N41</f>
        <v>0</v>
      </c>
      <c r="G31" s="28">
        <v>0</v>
      </c>
      <c r="H31" s="28">
        <f>'FS Jimbaran May 2018'!H41</f>
        <v>0</v>
      </c>
      <c r="I31" s="28">
        <f>'FS Jimbaran May 2018'!I41</f>
        <v>0</v>
      </c>
      <c r="J31" s="28">
        <f>'FS Jimbaran May 2018'!J41</f>
        <v>0</v>
      </c>
      <c r="K31" s="28">
        <f>'FS Jimbaran May 2018'!K41</f>
        <v>16.5</v>
      </c>
      <c r="L31" s="28">
        <f>'FS Jimbaran May 2018'!L41</f>
        <v>0</v>
      </c>
      <c r="M31" s="28">
        <f>'FS Jimbaran May 2018'!S41</f>
        <v>0</v>
      </c>
      <c r="N31" s="28">
        <f>'FS Jimbaran May 2018'!T41</f>
        <v>0</v>
      </c>
      <c r="O31" s="28">
        <f>'FS Jimbaran May 2018'!U41</f>
        <v>13.4</v>
      </c>
      <c r="P31" s="44">
        <f t="shared" ref="P31:AV31" si="1">SUM(P3:P30)</f>
        <v>0</v>
      </c>
      <c r="Q31" s="44">
        <f t="shared" si="1"/>
        <v>0</v>
      </c>
      <c r="R31" s="44">
        <f t="shared" si="1"/>
        <v>0</v>
      </c>
      <c r="S31" s="44">
        <f t="shared" si="1"/>
        <v>0</v>
      </c>
      <c r="T31" s="44">
        <f t="shared" si="1"/>
        <v>0</v>
      </c>
      <c r="U31" s="44">
        <f t="shared" si="1"/>
        <v>0</v>
      </c>
      <c r="V31" s="44">
        <f t="shared" si="1"/>
        <v>0</v>
      </c>
      <c r="W31" s="28">
        <f>'FS Jimbaran May 2018'!Y41</f>
        <v>520</v>
      </c>
      <c r="X31" s="28">
        <f>'FS Jimbaran May 2018'!Z41</f>
        <v>0</v>
      </c>
      <c r="Y31" s="44">
        <f t="shared" si="1"/>
        <v>0</v>
      </c>
      <c r="Z31" s="44">
        <f t="shared" si="1"/>
        <v>0</v>
      </c>
      <c r="AA31" s="44">
        <f t="shared" si="1"/>
        <v>0</v>
      </c>
      <c r="AB31" s="44">
        <f t="shared" si="1"/>
        <v>0</v>
      </c>
      <c r="AC31" s="44">
        <f t="shared" si="1"/>
        <v>0</v>
      </c>
      <c r="AD31" s="44">
        <f t="shared" si="1"/>
        <v>0</v>
      </c>
      <c r="AE31" s="44">
        <f t="shared" si="1"/>
        <v>0</v>
      </c>
      <c r="AF31" s="44">
        <f t="shared" si="1"/>
        <v>0</v>
      </c>
      <c r="AG31" s="44">
        <f t="shared" si="1"/>
        <v>0</v>
      </c>
      <c r="AH31" s="44">
        <f t="shared" si="1"/>
        <v>0</v>
      </c>
      <c r="AI31" s="44">
        <f t="shared" si="1"/>
        <v>0</v>
      </c>
      <c r="AJ31" s="44">
        <f t="shared" si="1"/>
        <v>0</v>
      </c>
      <c r="AK31" s="44">
        <f t="shared" si="1"/>
        <v>0</v>
      </c>
      <c r="AL31" s="44">
        <f t="shared" si="1"/>
        <v>0</v>
      </c>
      <c r="AM31" s="44">
        <f t="shared" si="1"/>
        <v>0</v>
      </c>
      <c r="AN31" s="44">
        <f t="shared" si="1"/>
        <v>0</v>
      </c>
      <c r="AO31" s="44">
        <f t="shared" si="1"/>
        <v>0</v>
      </c>
      <c r="AP31" s="44">
        <f t="shared" si="1"/>
        <v>0</v>
      </c>
      <c r="AQ31" s="44">
        <f t="shared" si="1"/>
        <v>0</v>
      </c>
      <c r="AR31" s="44">
        <f t="shared" si="1"/>
        <v>0</v>
      </c>
      <c r="AS31" s="44">
        <f t="shared" si="1"/>
        <v>0</v>
      </c>
      <c r="AT31" s="44">
        <f t="shared" si="1"/>
        <v>0</v>
      </c>
      <c r="AU31" s="44">
        <f t="shared" si="1"/>
        <v>0</v>
      </c>
      <c r="AV31" s="44">
        <f t="shared" si="1"/>
        <v>0</v>
      </c>
      <c r="AW31" s="28">
        <f>'FS Jimbaran May 2018'!E41</f>
        <v>14</v>
      </c>
      <c r="AX31" s="45">
        <f>'FS Jimbaran May 2018'!F41</f>
        <v>0</v>
      </c>
      <c r="AY31" s="45">
        <f>'FS Jimbaran May 2018'!O41</f>
        <v>0</v>
      </c>
      <c r="AZ31" s="45">
        <f>'FS Jimbaran May 2018'!P41</f>
        <v>0</v>
      </c>
      <c r="BA31" s="45">
        <f>'FS Jimbaran May 2018'!W41</f>
        <v>0</v>
      </c>
      <c r="BB31" s="45">
        <f>'FS Jimbaran May 2018'!X41</f>
        <v>0</v>
      </c>
      <c r="BC31" s="28">
        <f>'FS Jimbaran May 2018'!AI41</f>
        <v>440.00000000000006</v>
      </c>
      <c r="BD31" s="28">
        <f>'FS Jimbaran May 2018'!AJ41</f>
        <v>0</v>
      </c>
      <c r="BE31" s="28">
        <f>'FS Jimbaran May 2018'!AK41</f>
        <v>0</v>
      </c>
      <c r="BF31" s="28">
        <f>'FS Jimbaran May 2018'!AL41</f>
        <v>0</v>
      </c>
      <c r="BG31" s="28">
        <f>'FS Jimbaran May 2018'!AM41</f>
        <v>0</v>
      </c>
      <c r="BH31" s="28">
        <f>'FS Jimbaran May 2018'!AN41</f>
        <v>0</v>
      </c>
      <c r="BI31" s="28">
        <f>'FS Jimbaran May 2018'!AO41</f>
        <v>0</v>
      </c>
      <c r="BJ31" s="28">
        <f>'FS Jimbaran May 2018'!AO41</f>
        <v>0</v>
      </c>
      <c r="BK31" s="28">
        <f>'FS Jimbaran May 2018'!AQ41</f>
        <v>0</v>
      </c>
      <c r="BL31" s="28">
        <f>'FS Jimbaran May 2018'!AR41</f>
        <v>0</v>
      </c>
      <c r="BM31" s="28">
        <v>0</v>
      </c>
      <c r="BN31" s="28">
        <v>0</v>
      </c>
      <c r="BO31" s="29">
        <f>'FS Jimbaran May 2018'!Q41</f>
        <v>0</v>
      </c>
      <c r="BP31" s="28">
        <f>'FS Jimbaran May 2018'!R41</f>
        <v>0</v>
      </c>
    </row>
    <row r="32" spans="1:68">
      <c r="A32" s="23" t="s">
        <v>67</v>
      </c>
      <c r="B32" s="31">
        <f t="shared" si="0"/>
        <v>31</v>
      </c>
      <c r="C32" s="32">
        <v>5</v>
      </c>
      <c r="D32" s="33">
        <v>2018</v>
      </c>
      <c r="E32" s="24">
        <f>'FS Jimbaran May 2018'!M42</f>
        <v>5.3</v>
      </c>
      <c r="F32" s="28">
        <f>'FS Jimbaran May 2018'!N42</f>
        <v>0</v>
      </c>
      <c r="G32" s="28">
        <v>0</v>
      </c>
      <c r="H32" s="28">
        <f>'FS Jimbaran May 2018'!H42</f>
        <v>0</v>
      </c>
      <c r="I32" s="28">
        <f>'FS Jimbaran May 2018'!I42</f>
        <v>0</v>
      </c>
      <c r="J32" s="28">
        <f>'FS Jimbaran May 2018'!J42</f>
        <v>0</v>
      </c>
      <c r="K32" s="28">
        <f>'FS Jimbaran May 2018'!K42</f>
        <v>16.399999999999999</v>
      </c>
      <c r="L32" s="28">
        <f>'FS Jimbaran May 2018'!L42</f>
        <v>0</v>
      </c>
      <c r="M32" s="28">
        <f>'FS Jimbaran May 2018'!S42</f>
        <v>0</v>
      </c>
      <c r="N32" s="28">
        <f>'FS Jimbaran May 2018'!T42</f>
        <v>0</v>
      </c>
      <c r="O32" s="28">
        <f>'FS Jimbaran May 2018'!U42</f>
        <v>16.399999999999999</v>
      </c>
      <c r="P32" s="44">
        <f>SUM(P5:P31)</f>
        <v>0</v>
      </c>
      <c r="Q32" s="44">
        <f>SUM(Q5:Q31)</f>
        <v>0</v>
      </c>
      <c r="R32" s="44">
        <f>SUM(R5:R31)</f>
        <v>0</v>
      </c>
      <c r="S32" s="44">
        <f>SUM(S5:S31)</f>
        <v>0</v>
      </c>
      <c r="T32" s="44">
        <f>SUM(T5:T31)</f>
        <v>0</v>
      </c>
      <c r="U32" s="44">
        <f>SUM(U5:U31)</f>
        <v>0</v>
      </c>
      <c r="V32" s="44">
        <f>SUM(V5:V31)</f>
        <v>0</v>
      </c>
      <c r="W32" s="28">
        <f>'FS Jimbaran May 2018'!Y42</f>
        <v>550</v>
      </c>
      <c r="X32" s="28">
        <f>'FS Jimbaran May 2018'!Z42</f>
        <v>0</v>
      </c>
      <c r="Y32" s="44">
        <f>SUM(Y5:Y31)</f>
        <v>0</v>
      </c>
      <c r="Z32" s="44">
        <f>SUM(Z5:Z31)</f>
        <v>0</v>
      </c>
      <c r="AA32" s="44">
        <f>SUM(AA5:AA31)</f>
        <v>0</v>
      </c>
      <c r="AB32" s="44">
        <f>SUM(AB5:AB31)</f>
        <v>0</v>
      </c>
      <c r="AC32" s="44">
        <f>SUM(AC5:AC31)</f>
        <v>0</v>
      </c>
      <c r="AD32" s="44">
        <f>SUM(AD5:AD31)</f>
        <v>0</v>
      </c>
      <c r="AE32" s="44">
        <f>SUM(AE5:AE31)</f>
        <v>0</v>
      </c>
      <c r="AF32" s="44">
        <f>SUM(AF5:AF31)</f>
        <v>0</v>
      </c>
      <c r="AG32" s="44">
        <f>SUM(AG5:AG31)</f>
        <v>0</v>
      </c>
      <c r="AH32" s="44">
        <f>SUM(AH5:AH31)</f>
        <v>0</v>
      </c>
      <c r="AI32" s="44">
        <f>SUM(AI5:AI31)</f>
        <v>0</v>
      </c>
      <c r="AJ32" s="44">
        <f>SUM(AJ5:AJ31)</f>
        <v>0</v>
      </c>
      <c r="AK32" s="44">
        <f>SUM(AK5:AK31)</f>
        <v>0</v>
      </c>
      <c r="AL32" s="44">
        <f>SUM(AL5:AL31)</f>
        <v>0</v>
      </c>
      <c r="AM32" s="44">
        <f>SUM(AM5:AM31)</f>
        <v>0</v>
      </c>
      <c r="AN32" s="44">
        <f>SUM(AN5:AN31)</f>
        <v>0</v>
      </c>
      <c r="AO32" s="44">
        <f>SUM(AO5:AO31)</f>
        <v>0</v>
      </c>
      <c r="AP32" s="44">
        <f>SUM(AP5:AP31)</f>
        <v>0</v>
      </c>
      <c r="AQ32" s="44">
        <f>SUM(AQ5:AQ31)</f>
        <v>0</v>
      </c>
      <c r="AR32" s="44">
        <f>SUM(AR5:AR31)</f>
        <v>0</v>
      </c>
      <c r="AS32" s="44">
        <f>SUM(AS5:AS31)</f>
        <v>0</v>
      </c>
      <c r="AT32" s="44">
        <f>SUM(AT5:AT31)</f>
        <v>0</v>
      </c>
      <c r="AU32" s="44">
        <f>SUM(AU5:AU31)</f>
        <v>0</v>
      </c>
      <c r="AV32" s="44">
        <f>SUM(AV5:AV31)</f>
        <v>0</v>
      </c>
      <c r="AW32" s="28">
        <f>'FS Jimbaran May 2018'!E42</f>
        <v>14.2</v>
      </c>
      <c r="AX32" s="45">
        <f>'FS Jimbaran May 2018'!F42</f>
        <v>0</v>
      </c>
      <c r="AY32" s="45">
        <f>'FS Jimbaran May 2018'!O42</f>
        <v>0</v>
      </c>
      <c r="AZ32" s="45">
        <f>'FS Jimbaran May 2018'!P42</f>
        <v>0</v>
      </c>
      <c r="BA32" s="45">
        <f>'FS Jimbaran May 2018'!W42</f>
        <v>0</v>
      </c>
      <c r="BB32" s="45">
        <f>'FS Jimbaran May 2018'!X42</f>
        <v>0</v>
      </c>
      <c r="BC32" s="28">
        <f>'FS Jimbaran May 2018'!AI42</f>
        <v>459.99999999999994</v>
      </c>
      <c r="BD32" s="28">
        <f>'FS Jimbaran May 2018'!AJ42</f>
        <v>0</v>
      </c>
      <c r="BE32" s="28">
        <f>'FS Jimbaran May 2018'!AK42</f>
        <v>0</v>
      </c>
      <c r="BF32" s="28">
        <f>'FS Jimbaran May 2018'!AL42</f>
        <v>0</v>
      </c>
      <c r="BG32" s="28">
        <f>'FS Jimbaran May 2018'!AM42</f>
        <v>0</v>
      </c>
      <c r="BH32" s="28">
        <f>'FS Jimbaran May 2018'!AN42</f>
        <v>0</v>
      </c>
      <c r="BI32" s="28">
        <f>'FS Jimbaran May 2018'!AO42</f>
        <v>0</v>
      </c>
      <c r="BJ32" s="28">
        <f>'FS Jimbaran May 2018'!AO42</f>
        <v>0</v>
      </c>
      <c r="BK32" s="28">
        <f>'FS Jimbaran May 2018'!AQ42</f>
        <v>0</v>
      </c>
      <c r="BL32" s="28">
        <f>'FS Jimbaran May 2018'!AR42</f>
        <v>0</v>
      </c>
      <c r="BM32" s="28">
        <v>0</v>
      </c>
      <c r="BN32" s="28">
        <v>0</v>
      </c>
      <c r="BO32" s="29">
        <f>'FS Jimbaran May 2018'!Q42</f>
        <v>0</v>
      </c>
      <c r="BP32" s="28">
        <f>'FS Jimbaran May 2018'!R42</f>
        <v>0</v>
      </c>
    </row>
    <row r="33" spans="5:68">
      <c r="E33" s="24">
        <f>'FS Jimbaran May 2018'!M43</f>
        <v>134.9</v>
      </c>
      <c r="F33" s="28">
        <f>'FS Jimbaran May 2018'!N43</f>
        <v>0</v>
      </c>
      <c r="G33" s="28">
        <v>0</v>
      </c>
      <c r="H33" s="28">
        <f>'FS Jimbaran May 2018'!H43</f>
        <v>0</v>
      </c>
      <c r="I33" s="28">
        <f>'FS Jimbaran May 2018'!I43</f>
        <v>0</v>
      </c>
      <c r="J33" s="28">
        <f>'FS Jimbaran May 2018'!J43</f>
        <v>0</v>
      </c>
      <c r="K33" s="28">
        <f>'FS Jimbaran May 2018'!K43</f>
        <v>439.8</v>
      </c>
      <c r="L33" s="28">
        <f>'FS Jimbaran May 2018'!L43</f>
        <v>0</v>
      </c>
      <c r="M33" s="28">
        <f>'FS Jimbaran May 2018'!S43</f>
        <v>0</v>
      </c>
      <c r="N33" s="28">
        <f>'FS Jimbaran May 2018'!T43</f>
        <v>0</v>
      </c>
      <c r="O33" s="28">
        <f>'FS Jimbaran May 2018'!U43</f>
        <v>444.59999999999985</v>
      </c>
      <c r="P33" s="44">
        <f>SUM(P6:P32)</f>
        <v>0</v>
      </c>
      <c r="Q33" s="44">
        <f>SUM(Q6:Q32)</f>
        <v>0</v>
      </c>
      <c r="R33" s="44">
        <f>SUM(R6:R32)</f>
        <v>0</v>
      </c>
      <c r="S33" s="44">
        <f>SUM(S6:S32)</f>
        <v>0</v>
      </c>
      <c r="T33" s="44">
        <f>SUM(T6:T32)</f>
        <v>0</v>
      </c>
      <c r="U33" s="44">
        <f>SUM(U6:U32)</f>
        <v>0</v>
      </c>
      <c r="V33" s="44">
        <f>SUM(V6:V32)</f>
        <v>0</v>
      </c>
      <c r="W33" s="28">
        <f>'FS Jimbaran May 2018'!Y43</f>
        <v>17570</v>
      </c>
      <c r="X33" s="28">
        <f>'FS Jimbaran May 2018'!Z43</f>
        <v>8284726</v>
      </c>
      <c r="Y33" s="44">
        <f>SUM(Y6:Y32)</f>
        <v>0</v>
      </c>
      <c r="Z33" s="44">
        <f>SUM(Z6:Z32)</f>
        <v>0</v>
      </c>
      <c r="AA33" s="44">
        <f>SUM(AA6:AA32)</f>
        <v>0</v>
      </c>
      <c r="AB33" s="44">
        <f>SUM(AB6:AB32)</f>
        <v>0</v>
      </c>
      <c r="AC33" s="44">
        <f>SUM(AC6:AC32)</f>
        <v>0</v>
      </c>
      <c r="AD33" s="44">
        <f>SUM(AD6:AD32)</f>
        <v>0</v>
      </c>
      <c r="AE33" s="44">
        <f>SUM(AE6:AE32)</f>
        <v>0</v>
      </c>
      <c r="AF33" s="44">
        <f>SUM(AF6:AF32)</f>
        <v>0</v>
      </c>
      <c r="AG33" s="44">
        <f>SUM(AG6:AG32)</f>
        <v>0</v>
      </c>
      <c r="AH33" s="44">
        <f>SUM(AH6:AH32)</f>
        <v>0</v>
      </c>
      <c r="AI33" s="44">
        <f>SUM(AI6:AI32)</f>
        <v>0</v>
      </c>
      <c r="AJ33" s="44">
        <f>SUM(AJ6:AJ32)</f>
        <v>0</v>
      </c>
      <c r="AK33" s="44">
        <f>SUM(AK6:AK32)</f>
        <v>0</v>
      </c>
      <c r="AL33" s="44">
        <f>SUM(AL6:AL32)</f>
        <v>0</v>
      </c>
      <c r="AM33" s="44">
        <f>SUM(AM6:AM32)</f>
        <v>0</v>
      </c>
      <c r="AN33" s="44">
        <f>SUM(AN6:AN32)</f>
        <v>0</v>
      </c>
      <c r="AO33" s="44">
        <f>SUM(AO6:AO32)</f>
        <v>0</v>
      </c>
      <c r="AP33" s="44">
        <f>SUM(AP6:AP32)</f>
        <v>0</v>
      </c>
      <c r="AQ33" s="44">
        <f>SUM(AQ6:AQ32)</f>
        <v>0</v>
      </c>
      <c r="AR33" s="44">
        <f>SUM(AR6:AR32)</f>
        <v>0</v>
      </c>
      <c r="AS33" s="44">
        <f>SUM(AS6:AS32)</f>
        <v>0</v>
      </c>
      <c r="AT33" s="44">
        <f>SUM(AT6:AT32)</f>
        <v>0</v>
      </c>
      <c r="AU33" s="44">
        <f>SUM(AU6:AU32)</f>
        <v>0</v>
      </c>
      <c r="AV33" s="44">
        <f>SUM(AV6:AV32)</f>
        <v>0</v>
      </c>
      <c r="AW33" s="28">
        <f>'FS Jimbaran May 2018'!E43</f>
        <v>425.69999999999993</v>
      </c>
      <c r="AX33" s="45">
        <f>'FS Jimbaran May 2018'!F43</f>
        <v>0</v>
      </c>
      <c r="AY33" s="45">
        <f>'FS Jimbaran May 2018'!O43</f>
        <v>0</v>
      </c>
      <c r="AZ33" s="45">
        <f>'FS Jimbaran May 2018'!P43</f>
        <v>0</v>
      </c>
      <c r="BA33" s="45">
        <f>'FS Jimbaran May 2018'!W43</f>
        <v>0</v>
      </c>
      <c r="BB33" s="45">
        <f>'FS Jimbaran May 2018'!X43</f>
        <v>0</v>
      </c>
      <c r="BC33" s="28">
        <f>'FS Jimbaran May 2018'!AI43</f>
        <v>20360</v>
      </c>
      <c r="BD33" s="28">
        <f>'FS Jimbaran May 2018'!AJ43</f>
        <v>0</v>
      </c>
      <c r="BE33" s="28">
        <f>'FS Jimbaran May 2018'!AK43</f>
        <v>0</v>
      </c>
      <c r="BF33" s="28">
        <f>'FS Jimbaran May 2018'!AL43</f>
        <v>0</v>
      </c>
      <c r="BG33" s="28">
        <f>'FS Jimbaran May 2018'!AM43</f>
        <v>0</v>
      </c>
      <c r="BH33" s="28">
        <f>'FS Jimbaran May 2018'!AN43</f>
        <v>0</v>
      </c>
      <c r="BI33" s="28">
        <f>'FS Jimbaran May 2018'!AO43</f>
        <v>0</v>
      </c>
      <c r="BJ33" s="28">
        <f>'FS Jimbaran May 2018'!AO43</f>
        <v>0</v>
      </c>
      <c r="BK33" s="28">
        <f>'FS Jimbaran May 2018'!AQ43</f>
        <v>0</v>
      </c>
      <c r="BL33" s="28">
        <f>'FS Jimbaran May 2018'!AR43</f>
        <v>0</v>
      </c>
      <c r="BM33" s="28">
        <v>0</v>
      </c>
      <c r="BN33" s="28">
        <v>0</v>
      </c>
      <c r="BO33" s="29">
        <f>'FS Jimbaran May 2018'!Q43</f>
        <v>0</v>
      </c>
      <c r="BP33" s="28">
        <f>'FS Jimbaran May 2018'!R43</f>
        <v>0</v>
      </c>
    </row>
    <row r="34" spans="5:68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</row>
    <row r="35" spans="5:68"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</row>
    <row r="36" spans="5:68"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</row>
    <row r="37" spans="5:68"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</row>
    <row r="38" spans="5:68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</row>
    <row r="39" spans="5:68"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</row>
    <row r="40" spans="5:68"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</row>
    <row r="41" spans="5:68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</row>
    <row r="42" spans="5:68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</row>
    <row r="43" spans="5:68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</row>
    <row r="44" spans="5:68"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</row>
    <row r="45" spans="5:68"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3"/>
  <sheetViews>
    <sheetView zoomScale="85" zoomScaleNormal="85" workbookViewId="0">
      <pane xSplit="4" ySplit="10" topLeftCell="W11" activePane="bottomRight" state="frozen"/>
      <selection pane="bottomRight" activeCell="A44" sqref="A44:XFD47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8" width="14.28515625" style="15" customWidth="1"/>
  </cols>
  <sheetData>
    <row r="6" spans="1:68" s="5" customFormat="1" ht="18.75">
      <c r="B6" s="5" t="s">
        <v>69</v>
      </c>
      <c r="C6" s="9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</row>
    <row r="7" spans="1:68" s="3" customFormat="1" ht="15.75">
      <c r="A7" s="7"/>
      <c r="B7" s="86" t="s">
        <v>70</v>
      </c>
      <c r="C7" s="87"/>
      <c r="D7" s="8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</row>
    <row r="8" spans="1:68" s="6" customFormat="1" ht="15.75" customHeight="1">
      <c r="A8" s="11"/>
      <c r="B8" s="88" t="s">
        <v>71</v>
      </c>
      <c r="C8" s="89" t="s">
        <v>72</v>
      </c>
      <c r="D8" s="90" t="s">
        <v>73</v>
      </c>
      <c r="E8" s="85" t="s">
        <v>74</v>
      </c>
      <c r="F8" s="85"/>
      <c r="G8" s="85"/>
      <c r="H8" s="85"/>
      <c r="I8" s="85"/>
      <c r="J8" s="85"/>
      <c r="K8" s="83" t="s">
        <v>75</v>
      </c>
      <c r="L8" s="83"/>
      <c r="M8" s="84" t="s">
        <v>76</v>
      </c>
      <c r="N8" s="84"/>
      <c r="O8" s="84"/>
      <c r="P8" s="84"/>
      <c r="Q8" s="84"/>
      <c r="R8" s="84"/>
      <c r="S8" s="84"/>
      <c r="T8" s="84"/>
      <c r="U8" s="79" t="s">
        <v>77</v>
      </c>
      <c r="V8" s="79"/>
      <c r="W8" s="79"/>
      <c r="X8" s="79"/>
      <c r="Y8" s="80" t="s">
        <v>78</v>
      </c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1" t="s">
        <v>79</v>
      </c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2" t="s">
        <v>80</v>
      </c>
      <c r="BF8" s="82"/>
      <c r="BG8" s="82"/>
      <c r="BH8" s="82"/>
      <c r="BI8" s="82"/>
      <c r="BJ8" s="82"/>
      <c r="BK8" s="82"/>
      <c r="BL8" s="82"/>
      <c r="BM8" s="82"/>
      <c r="BN8" s="82"/>
      <c r="BO8" s="82"/>
      <c r="BP8" s="82"/>
    </row>
    <row r="9" spans="1:68" s="12" customFormat="1" ht="15" customHeight="1">
      <c r="A9" s="6"/>
      <c r="B9" s="88"/>
      <c r="C9" s="89"/>
      <c r="D9" s="90"/>
      <c r="E9" s="85"/>
      <c r="F9" s="85"/>
      <c r="G9" s="85"/>
      <c r="H9" s="85"/>
      <c r="I9" s="85"/>
      <c r="J9" s="85"/>
      <c r="K9" s="83"/>
      <c r="L9" s="83"/>
      <c r="M9" s="84"/>
      <c r="N9" s="84"/>
      <c r="O9" s="84"/>
      <c r="P9" s="84"/>
      <c r="Q9" s="84"/>
      <c r="R9" s="84"/>
      <c r="S9" s="84"/>
      <c r="T9" s="84"/>
      <c r="U9" s="79"/>
      <c r="V9" s="79"/>
      <c r="W9" s="79"/>
      <c r="X9" s="79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2"/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</row>
    <row r="10" spans="1:68" s="12" customFormat="1" ht="61.5" customHeight="1">
      <c r="A10" s="6"/>
      <c r="B10" s="88"/>
      <c r="C10" s="89"/>
      <c r="D10" s="90"/>
      <c r="E10" s="13" t="s">
        <v>47</v>
      </c>
      <c r="F10" s="13" t="s">
        <v>48</v>
      </c>
      <c r="G10" s="13" t="s">
        <v>5</v>
      </c>
      <c r="H10" s="13" t="s">
        <v>6</v>
      </c>
      <c r="I10" s="13" t="s">
        <v>7</v>
      </c>
      <c r="J10" s="13" t="s">
        <v>8</v>
      </c>
      <c r="K10" s="13" t="s">
        <v>9</v>
      </c>
      <c r="L10" s="13" t="s">
        <v>10</v>
      </c>
      <c r="M10" s="14" t="s">
        <v>3</v>
      </c>
      <c r="N10" s="14" t="s">
        <v>4</v>
      </c>
      <c r="O10" s="14" t="s">
        <v>49</v>
      </c>
      <c r="P10" s="14" t="s">
        <v>50</v>
      </c>
      <c r="Q10" s="14" t="s">
        <v>65</v>
      </c>
      <c r="R10" s="14" t="s">
        <v>66</v>
      </c>
      <c r="S10" s="14" t="s">
        <v>11</v>
      </c>
      <c r="T10" s="14" t="s">
        <v>12</v>
      </c>
      <c r="U10" s="14" t="s">
        <v>51</v>
      </c>
      <c r="V10" s="14" t="s">
        <v>52</v>
      </c>
      <c r="W10" s="14" t="s">
        <v>13</v>
      </c>
      <c r="X10" s="14" t="s">
        <v>14</v>
      </c>
      <c r="Y10" s="14" t="s">
        <v>21</v>
      </c>
      <c r="Z10" s="14" t="s">
        <v>22</v>
      </c>
      <c r="AA10" s="14" t="s">
        <v>23</v>
      </c>
      <c r="AB10" s="14" t="s">
        <v>24</v>
      </c>
      <c r="AC10" s="14" t="s">
        <v>25</v>
      </c>
      <c r="AD10" s="14" t="s">
        <v>26</v>
      </c>
      <c r="AE10" s="14" t="s">
        <v>27</v>
      </c>
      <c r="AF10" s="14" t="s">
        <v>28</v>
      </c>
      <c r="AG10" s="14" t="s">
        <v>29</v>
      </c>
      <c r="AH10" s="14" t="s">
        <v>30</v>
      </c>
      <c r="AI10" s="14" t="s">
        <v>53</v>
      </c>
      <c r="AJ10" s="14" t="s">
        <v>54</v>
      </c>
      <c r="AK10" s="14" t="s">
        <v>55</v>
      </c>
      <c r="AL10" s="14" t="s">
        <v>56</v>
      </c>
      <c r="AM10" s="14" t="s">
        <v>57</v>
      </c>
      <c r="AN10" s="14" t="s">
        <v>58</v>
      </c>
      <c r="AO10" s="14" t="s">
        <v>59</v>
      </c>
      <c r="AP10" s="14" t="s">
        <v>60</v>
      </c>
      <c r="AQ10" s="14" t="s">
        <v>61</v>
      </c>
      <c r="AR10" s="14" t="s">
        <v>62</v>
      </c>
      <c r="AS10" s="14" t="s">
        <v>63</v>
      </c>
      <c r="AT10" s="14" t="s">
        <v>64</v>
      </c>
      <c r="AU10" s="14" t="s">
        <v>31</v>
      </c>
      <c r="AV10" s="14" t="s">
        <v>32</v>
      </c>
      <c r="AW10" s="14" t="s">
        <v>33</v>
      </c>
      <c r="AX10" s="14" t="s">
        <v>34</v>
      </c>
      <c r="AY10" s="14" t="s">
        <v>35</v>
      </c>
      <c r="AZ10" s="14" t="s">
        <v>36</v>
      </c>
      <c r="BA10" s="14" t="s">
        <v>37</v>
      </c>
      <c r="BB10" s="14" t="s">
        <v>38</v>
      </c>
      <c r="BC10" s="14" t="s">
        <v>41</v>
      </c>
      <c r="BD10" s="14" t="s">
        <v>42</v>
      </c>
      <c r="BE10" s="14" t="s">
        <v>15</v>
      </c>
      <c r="BF10" s="14" t="s">
        <v>16</v>
      </c>
      <c r="BG10" s="14" t="s">
        <v>17</v>
      </c>
      <c r="BH10" s="14" t="s">
        <v>18</v>
      </c>
      <c r="BI10" s="14" t="s">
        <v>19</v>
      </c>
      <c r="BJ10" s="14" t="s">
        <v>20</v>
      </c>
      <c r="BK10" s="14" t="s">
        <v>39</v>
      </c>
      <c r="BL10" s="14" t="s">
        <v>40</v>
      </c>
      <c r="BM10" s="14" t="s">
        <v>43</v>
      </c>
      <c r="BN10" s="14" t="s">
        <v>44</v>
      </c>
      <c r="BO10" s="14" t="s">
        <v>45</v>
      </c>
      <c r="BP10" s="14" t="s">
        <v>46</v>
      </c>
    </row>
    <row r="11" spans="1:68">
      <c r="A11" s="6"/>
      <c r="B11" s="51"/>
      <c r="C11" s="62"/>
      <c r="D11" s="61"/>
      <c r="M11" s="22"/>
      <c r="N11" s="20"/>
      <c r="O11" s="20"/>
      <c r="P11" s="20"/>
      <c r="Q11" s="20"/>
      <c r="R11" s="20"/>
      <c r="S11" s="20"/>
      <c r="T11" s="20"/>
      <c r="U11" s="22"/>
      <c r="V11" s="20"/>
      <c r="W11" s="20"/>
      <c r="X11" s="20"/>
      <c r="Y11" s="22"/>
      <c r="Z11" s="20"/>
      <c r="AA11" s="20"/>
      <c r="AB11" s="20"/>
      <c r="AC11" s="20"/>
      <c r="AD11" s="20"/>
      <c r="AE11" s="20"/>
      <c r="AF11" s="20"/>
      <c r="AG11" s="20"/>
      <c r="AH11" s="20"/>
      <c r="AI11" s="22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</row>
    <row r="12" spans="1:68">
      <c r="A12" s="8"/>
      <c r="B12" s="51">
        <v>1</v>
      </c>
      <c r="C12" s="52"/>
      <c r="D12" s="68"/>
      <c r="E12" s="41">
        <v>10.1</v>
      </c>
      <c r="F12" s="42">
        <v>0</v>
      </c>
      <c r="G12" s="20">
        <v>0</v>
      </c>
      <c r="H12" s="20">
        <v>0</v>
      </c>
      <c r="I12" s="20">
        <v>0</v>
      </c>
      <c r="J12" s="21">
        <v>0</v>
      </c>
      <c r="K12" s="41">
        <v>12.6</v>
      </c>
      <c r="L12" s="43">
        <v>0</v>
      </c>
      <c r="M12" s="41">
        <v>3.7</v>
      </c>
      <c r="N12" s="42">
        <v>0</v>
      </c>
      <c r="O12" s="20">
        <v>0</v>
      </c>
      <c r="P12" s="20">
        <v>0</v>
      </c>
      <c r="Q12" s="18">
        <v>0</v>
      </c>
      <c r="R12" s="20">
        <v>0</v>
      </c>
      <c r="S12" s="19">
        <v>0</v>
      </c>
      <c r="T12" s="21">
        <v>0</v>
      </c>
      <c r="U12" s="41">
        <v>16.2</v>
      </c>
      <c r="V12" s="42">
        <v>0</v>
      </c>
      <c r="W12" s="20">
        <v>0</v>
      </c>
      <c r="X12" s="21">
        <v>0</v>
      </c>
      <c r="Y12" s="41">
        <v>650</v>
      </c>
      <c r="Z12" s="42">
        <v>8284726</v>
      </c>
      <c r="AA12" s="18">
        <v>0</v>
      </c>
      <c r="AB12" s="20">
        <v>0</v>
      </c>
      <c r="AC12" s="18">
        <v>0</v>
      </c>
      <c r="AD12" s="20">
        <v>0</v>
      </c>
      <c r="AE12" s="20">
        <v>0</v>
      </c>
      <c r="AF12" s="20">
        <v>0</v>
      </c>
      <c r="AG12" s="20">
        <v>0</v>
      </c>
      <c r="AH12" s="21">
        <v>0</v>
      </c>
      <c r="AI12" s="41">
        <v>569.99999999999989</v>
      </c>
      <c r="AJ12" s="42">
        <v>0</v>
      </c>
      <c r="AK12" s="18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</row>
    <row r="13" spans="1:68">
      <c r="A13" s="8"/>
      <c r="B13" s="51">
        <v>2</v>
      </c>
      <c r="C13" s="52"/>
      <c r="D13" s="68"/>
      <c r="E13" s="41">
        <v>9.1</v>
      </c>
      <c r="F13" s="42">
        <v>0</v>
      </c>
      <c r="G13" s="20">
        <v>0</v>
      </c>
      <c r="H13" s="20">
        <v>0</v>
      </c>
      <c r="I13" s="20">
        <v>0</v>
      </c>
      <c r="J13" s="21">
        <v>0</v>
      </c>
      <c r="K13" s="41">
        <v>14.5</v>
      </c>
      <c r="L13" s="43">
        <v>0</v>
      </c>
      <c r="M13" s="41">
        <v>3.3</v>
      </c>
      <c r="N13" s="42">
        <v>0</v>
      </c>
      <c r="O13" s="20">
        <v>0</v>
      </c>
      <c r="P13" s="20">
        <v>0</v>
      </c>
      <c r="Q13" s="18">
        <v>0</v>
      </c>
      <c r="R13" s="20">
        <v>0</v>
      </c>
      <c r="S13" s="19">
        <v>0</v>
      </c>
      <c r="T13" s="21">
        <v>0</v>
      </c>
      <c r="U13" s="41">
        <v>18.2</v>
      </c>
      <c r="V13" s="42">
        <v>0</v>
      </c>
      <c r="W13" s="20">
        <v>0</v>
      </c>
      <c r="X13" s="21">
        <v>0</v>
      </c>
      <c r="Y13" s="41">
        <v>570</v>
      </c>
      <c r="Z13" s="42">
        <v>0</v>
      </c>
      <c r="AA13" s="18">
        <v>0</v>
      </c>
      <c r="AB13" s="20">
        <v>0</v>
      </c>
      <c r="AC13" s="18">
        <v>0</v>
      </c>
      <c r="AD13" s="20">
        <v>0</v>
      </c>
      <c r="AE13" s="20">
        <v>0</v>
      </c>
      <c r="AF13" s="20">
        <v>0</v>
      </c>
      <c r="AG13" s="20">
        <v>0</v>
      </c>
      <c r="AH13" s="21">
        <v>0</v>
      </c>
      <c r="AI13" s="41">
        <v>520</v>
      </c>
      <c r="AJ13" s="42">
        <v>0</v>
      </c>
      <c r="AK13" s="18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  <c r="BM13" s="20">
        <v>0</v>
      </c>
      <c r="BN13" s="20">
        <v>0</v>
      </c>
      <c r="BO13" s="20">
        <v>0</v>
      </c>
      <c r="BP13" s="20">
        <v>0</v>
      </c>
    </row>
    <row r="14" spans="1:68">
      <c r="A14" s="8"/>
      <c r="B14" s="51">
        <v>3</v>
      </c>
      <c r="C14" s="52"/>
      <c r="D14" s="68"/>
      <c r="E14" s="41">
        <v>8.6999999999999993</v>
      </c>
      <c r="F14" s="42">
        <v>0</v>
      </c>
      <c r="G14" s="20">
        <v>0</v>
      </c>
      <c r="H14" s="20">
        <v>0</v>
      </c>
      <c r="I14" s="20">
        <v>0</v>
      </c>
      <c r="J14" s="21">
        <v>0</v>
      </c>
      <c r="K14" s="41">
        <v>11.9</v>
      </c>
      <c r="L14" s="43">
        <v>0</v>
      </c>
      <c r="M14" s="41">
        <v>1.9</v>
      </c>
      <c r="N14" s="42">
        <v>0</v>
      </c>
      <c r="O14" s="20">
        <v>0</v>
      </c>
      <c r="P14" s="20">
        <v>0</v>
      </c>
      <c r="Q14" s="18">
        <v>0</v>
      </c>
      <c r="R14" s="20">
        <v>0</v>
      </c>
      <c r="S14" s="19">
        <v>0</v>
      </c>
      <c r="T14" s="21">
        <v>0</v>
      </c>
      <c r="U14" s="41">
        <v>10.6</v>
      </c>
      <c r="V14" s="42">
        <v>0</v>
      </c>
      <c r="W14" s="20">
        <v>0</v>
      </c>
      <c r="X14" s="21">
        <v>0</v>
      </c>
      <c r="Y14" s="41">
        <v>470</v>
      </c>
      <c r="Z14" s="42">
        <v>0</v>
      </c>
      <c r="AA14" s="18">
        <v>0</v>
      </c>
      <c r="AB14" s="20">
        <v>0</v>
      </c>
      <c r="AC14" s="18">
        <v>0</v>
      </c>
      <c r="AD14" s="20">
        <v>0</v>
      </c>
      <c r="AE14" s="20">
        <v>0</v>
      </c>
      <c r="AF14" s="20">
        <v>0</v>
      </c>
      <c r="AG14" s="20">
        <v>0</v>
      </c>
      <c r="AH14" s="21">
        <v>0</v>
      </c>
      <c r="AI14" s="41">
        <v>510.00000000000006</v>
      </c>
      <c r="AJ14" s="42">
        <v>0</v>
      </c>
      <c r="AK14" s="18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  <c r="BO14" s="20">
        <v>0</v>
      </c>
      <c r="BP14" s="20">
        <v>0</v>
      </c>
    </row>
    <row r="15" spans="1:68">
      <c r="A15" s="8"/>
      <c r="B15" s="51">
        <v>4</v>
      </c>
      <c r="C15" s="52"/>
      <c r="D15" s="68"/>
      <c r="E15" s="41">
        <v>9.1</v>
      </c>
      <c r="F15" s="42">
        <v>0</v>
      </c>
      <c r="G15" s="20">
        <v>0</v>
      </c>
      <c r="H15" s="20">
        <v>0</v>
      </c>
      <c r="I15" s="20">
        <v>0</v>
      </c>
      <c r="J15" s="21">
        <v>0</v>
      </c>
      <c r="K15" s="41">
        <v>16</v>
      </c>
      <c r="L15" s="43">
        <v>0</v>
      </c>
      <c r="M15" s="41">
        <v>2.6</v>
      </c>
      <c r="N15" s="42">
        <v>0</v>
      </c>
      <c r="O15" s="20">
        <v>0</v>
      </c>
      <c r="P15" s="20">
        <v>0</v>
      </c>
      <c r="Q15" s="18">
        <v>0</v>
      </c>
      <c r="R15" s="20">
        <v>0</v>
      </c>
      <c r="S15" s="19">
        <v>0</v>
      </c>
      <c r="T15" s="21">
        <v>0</v>
      </c>
      <c r="U15" s="41">
        <v>16.2</v>
      </c>
      <c r="V15" s="42">
        <v>0</v>
      </c>
      <c r="W15" s="20">
        <v>0</v>
      </c>
      <c r="X15" s="21">
        <v>0</v>
      </c>
      <c r="Y15" s="41">
        <v>509.99999999999994</v>
      </c>
      <c r="Z15" s="42">
        <v>0</v>
      </c>
      <c r="AA15" s="18">
        <v>0</v>
      </c>
      <c r="AB15" s="20">
        <v>0</v>
      </c>
      <c r="AC15" s="18">
        <v>0</v>
      </c>
      <c r="AD15" s="20">
        <v>0</v>
      </c>
      <c r="AE15" s="20">
        <v>0</v>
      </c>
      <c r="AF15" s="20">
        <v>0</v>
      </c>
      <c r="AG15" s="20">
        <v>0</v>
      </c>
      <c r="AH15" s="21">
        <v>0</v>
      </c>
      <c r="AI15" s="41">
        <v>550</v>
      </c>
      <c r="AJ15" s="42">
        <v>0</v>
      </c>
      <c r="AK15" s="18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0</v>
      </c>
      <c r="BM15" s="20">
        <v>0</v>
      </c>
      <c r="BN15" s="20">
        <v>0</v>
      </c>
      <c r="BO15" s="20">
        <v>0</v>
      </c>
      <c r="BP15" s="20">
        <v>0</v>
      </c>
    </row>
    <row r="16" spans="1:68">
      <c r="A16" s="8"/>
      <c r="B16" s="51">
        <v>5</v>
      </c>
      <c r="C16" s="52"/>
      <c r="D16" s="68"/>
      <c r="E16" s="41">
        <v>8.8000000000000007</v>
      </c>
      <c r="F16" s="42">
        <v>0</v>
      </c>
      <c r="G16" s="20">
        <v>0</v>
      </c>
      <c r="H16" s="20">
        <v>0</v>
      </c>
      <c r="I16" s="20">
        <v>0</v>
      </c>
      <c r="J16" s="21">
        <v>0</v>
      </c>
      <c r="K16" s="41">
        <v>19.7</v>
      </c>
      <c r="L16" s="43">
        <v>0</v>
      </c>
      <c r="M16" s="41">
        <v>3.5</v>
      </c>
      <c r="N16" s="42">
        <v>0</v>
      </c>
      <c r="O16" s="20">
        <v>0</v>
      </c>
      <c r="P16" s="20">
        <v>0</v>
      </c>
      <c r="Q16" s="18">
        <v>0</v>
      </c>
      <c r="R16" s="20">
        <v>0</v>
      </c>
      <c r="S16" s="19">
        <v>0</v>
      </c>
      <c r="T16" s="21">
        <v>0</v>
      </c>
      <c r="U16" s="41">
        <v>14.6</v>
      </c>
      <c r="V16" s="42">
        <v>0</v>
      </c>
      <c r="W16" s="20">
        <v>0</v>
      </c>
      <c r="X16" s="21">
        <v>0</v>
      </c>
      <c r="Y16" s="41">
        <v>630</v>
      </c>
      <c r="Z16" s="42">
        <v>0</v>
      </c>
      <c r="AA16" s="18">
        <v>0</v>
      </c>
      <c r="AB16" s="20">
        <v>0</v>
      </c>
      <c r="AC16" s="18">
        <v>0</v>
      </c>
      <c r="AD16" s="20">
        <v>0</v>
      </c>
      <c r="AE16" s="20">
        <v>0</v>
      </c>
      <c r="AF16" s="20">
        <v>0</v>
      </c>
      <c r="AG16" s="20">
        <v>0</v>
      </c>
      <c r="AH16" s="21">
        <v>0</v>
      </c>
      <c r="AI16" s="41">
        <v>750</v>
      </c>
      <c r="AJ16" s="42">
        <v>0</v>
      </c>
      <c r="AK16" s="18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  <c r="BO16" s="20">
        <v>0</v>
      </c>
      <c r="BP16" s="20">
        <v>0</v>
      </c>
    </row>
    <row r="17" spans="1:68">
      <c r="A17" s="8"/>
      <c r="B17" s="51">
        <v>6</v>
      </c>
      <c r="C17" s="52"/>
      <c r="D17" s="68"/>
      <c r="E17" s="41">
        <v>10.9</v>
      </c>
      <c r="F17" s="42">
        <v>0</v>
      </c>
      <c r="G17" s="20">
        <v>0</v>
      </c>
      <c r="H17" s="20">
        <v>0</v>
      </c>
      <c r="I17" s="20">
        <v>0</v>
      </c>
      <c r="J17" s="21">
        <v>0</v>
      </c>
      <c r="K17" s="41">
        <v>12.4</v>
      </c>
      <c r="L17" s="43">
        <v>0</v>
      </c>
      <c r="M17" s="41">
        <v>2.2999999999999998</v>
      </c>
      <c r="N17" s="42">
        <v>0</v>
      </c>
      <c r="O17" s="20">
        <v>0</v>
      </c>
      <c r="P17" s="20">
        <v>0</v>
      </c>
      <c r="Q17" s="18">
        <v>0</v>
      </c>
      <c r="R17" s="20">
        <v>0</v>
      </c>
      <c r="S17" s="19">
        <v>0</v>
      </c>
      <c r="T17" s="21">
        <v>0</v>
      </c>
      <c r="U17" s="41">
        <v>5</v>
      </c>
      <c r="V17" s="42">
        <v>0</v>
      </c>
      <c r="W17" s="20">
        <v>0</v>
      </c>
      <c r="X17" s="21">
        <v>0</v>
      </c>
      <c r="Y17" s="41">
        <v>470</v>
      </c>
      <c r="Z17" s="42">
        <v>0</v>
      </c>
      <c r="AA17" s="18">
        <v>0</v>
      </c>
      <c r="AB17" s="20">
        <v>0</v>
      </c>
      <c r="AC17" s="18">
        <v>0</v>
      </c>
      <c r="AD17" s="20">
        <v>0</v>
      </c>
      <c r="AE17" s="20">
        <v>0</v>
      </c>
      <c r="AF17" s="20">
        <v>0</v>
      </c>
      <c r="AG17" s="20">
        <v>0</v>
      </c>
      <c r="AH17" s="21">
        <v>0</v>
      </c>
      <c r="AI17" s="41">
        <v>500</v>
      </c>
      <c r="AJ17" s="42">
        <v>0</v>
      </c>
      <c r="AK17" s="18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0</v>
      </c>
      <c r="BM17" s="20">
        <v>0</v>
      </c>
      <c r="BN17" s="20">
        <v>0</v>
      </c>
      <c r="BO17" s="20">
        <v>0</v>
      </c>
      <c r="BP17" s="20">
        <v>0</v>
      </c>
    </row>
    <row r="18" spans="1:68">
      <c r="A18" s="8"/>
      <c r="B18" s="51">
        <v>7</v>
      </c>
      <c r="C18" s="52"/>
      <c r="D18" s="68"/>
      <c r="E18" s="41">
        <v>10.199999999999999</v>
      </c>
      <c r="F18" s="42">
        <v>0</v>
      </c>
      <c r="G18" s="20">
        <v>0</v>
      </c>
      <c r="H18" s="20">
        <v>0</v>
      </c>
      <c r="I18" s="20">
        <v>0</v>
      </c>
      <c r="J18" s="21">
        <v>0</v>
      </c>
      <c r="K18" s="41">
        <v>14.100000000000001</v>
      </c>
      <c r="L18" s="43">
        <v>0</v>
      </c>
      <c r="M18" s="41">
        <v>4.2</v>
      </c>
      <c r="N18" s="42">
        <v>0</v>
      </c>
      <c r="O18" s="20">
        <v>0</v>
      </c>
      <c r="P18" s="20">
        <v>0</v>
      </c>
      <c r="Q18" s="18">
        <v>0</v>
      </c>
      <c r="R18" s="20">
        <v>0</v>
      </c>
      <c r="S18" s="19">
        <v>0</v>
      </c>
      <c r="T18" s="21">
        <v>0</v>
      </c>
      <c r="U18" s="41">
        <v>16.2</v>
      </c>
      <c r="V18" s="42">
        <v>0</v>
      </c>
      <c r="W18" s="20">
        <v>0</v>
      </c>
      <c r="X18" s="21">
        <v>0</v>
      </c>
      <c r="Y18" s="41">
        <v>530</v>
      </c>
      <c r="Z18" s="42">
        <v>0</v>
      </c>
      <c r="AA18" s="18">
        <v>0</v>
      </c>
      <c r="AB18" s="20">
        <v>0</v>
      </c>
      <c r="AC18" s="18">
        <v>0</v>
      </c>
      <c r="AD18" s="20">
        <v>0</v>
      </c>
      <c r="AE18" s="20">
        <v>0</v>
      </c>
      <c r="AF18" s="20">
        <v>0</v>
      </c>
      <c r="AG18" s="20">
        <v>0</v>
      </c>
      <c r="AH18" s="21">
        <v>0</v>
      </c>
      <c r="AI18" s="41">
        <v>540</v>
      </c>
      <c r="AJ18" s="42">
        <v>0</v>
      </c>
      <c r="AK18" s="18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</row>
    <row r="19" spans="1:68">
      <c r="A19" s="8"/>
      <c r="B19" s="51">
        <v>8</v>
      </c>
      <c r="C19" s="52"/>
      <c r="D19" s="68"/>
      <c r="E19" s="41">
        <v>10.399999999999999</v>
      </c>
      <c r="F19" s="42">
        <v>0</v>
      </c>
      <c r="G19" s="20">
        <v>0</v>
      </c>
      <c r="H19" s="20">
        <v>0</v>
      </c>
      <c r="I19" s="20">
        <v>0</v>
      </c>
      <c r="J19" s="21">
        <v>0</v>
      </c>
      <c r="K19" s="41">
        <v>13.3</v>
      </c>
      <c r="L19" s="43">
        <v>0</v>
      </c>
      <c r="M19" s="41">
        <v>3.8</v>
      </c>
      <c r="N19" s="42">
        <v>0</v>
      </c>
      <c r="O19" s="20">
        <v>0</v>
      </c>
      <c r="P19" s="20">
        <v>0</v>
      </c>
      <c r="Q19" s="18">
        <v>0</v>
      </c>
      <c r="R19" s="20">
        <v>0</v>
      </c>
      <c r="S19" s="19">
        <v>0</v>
      </c>
      <c r="T19" s="21">
        <v>0</v>
      </c>
      <c r="U19" s="41">
        <v>12.6</v>
      </c>
      <c r="V19" s="42">
        <v>0</v>
      </c>
      <c r="W19" s="20">
        <v>0</v>
      </c>
      <c r="X19" s="21">
        <v>0</v>
      </c>
      <c r="Y19" s="41">
        <v>480</v>
      </c>
      <c r="Z19" s="42">
        <v>0</v>
      </c>
      <c r="AA19" s="18">
        <v>0</v>
      </c>
      <c r="AB19" s="20">
        <v>0</v>
      </c>
      <c r="AC19" s="18">
        <v>0</v>
      </c>
      <c r="AD19" s="20">
        <v>0</v>
      </c>
      <c r="AE19" s="20">
        <v>0</v>
      </c>
      <c r="AF19" s="20">
        <v>0</v>
      </c>
      <c r="AG19" s="20">
        <v>0</v>
      </c>
      <c r="AH19" s="21">
        <v>0</v>
      </c>
      <c r="AI19" s="41">
        <v>790</v>
      </c>
      <c r="AJ19" s="42">
        <v>0</v>
      </c>
      <c r="AK19" s="18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  <c r="BM19" s="20">
        <v>0</v>
      </c>
      <c r="BN19" s="20">
        <v>0</v>
      </c>
      <c r="BO19" s="20">
        <v>0</v>
      </c>
      <c r="BP19" s="20">
        <v>0</v>
      </c>
    </row>
    <row r="20" spans="1:68">
      <c r="A20" s="8"/>
      <c r="B20" s="51">
        <v>9</v>
      </c>
      <c r="C20" s="52"/>
      <c r="D20" s="68"/>
      <c r="E20" s="41">
        <v>8</v>
      </c>
      <c r="F20" s="42">
        <v>0</v>
      </c>
      <c r="G20" s="20">
        <v>0</v>
      </c>
      <c r="H20" s="20">
        <v>0</v>
      </c>
      <c r="I20" s="20">
        <v>0</v>
      </c>
      <c r="J20" s="21">
        <v>0</v>
      </c>
      <c r="K20" s="41">
        <v>15.9</v>
      </c>
      <c r="L20" s="43">
        <v>0</v>
      </c>
      <c r="M20" s="41">
        <v>3.2</v>
      </c>
      <c r="N20" s="42">
        <v>0</v>
      </c>
      <c r="O20" s="20">
        <v>0</v>
      </c>
      <c r="P20" s="20">
        <v>0</v>
      </c>
      <c r="Q20" s="18">
        <v>0</v>
      </c>
      <c r="R20" s="20">
        <v>0</v>
      </c>
      <c r="S20" s="19">
        <v>0</v>
      </c>
      <c r="T20" s="21">
        <v>0</v>
      </c>
      <c r="U20" s="41">
        <v>18.2</v>
      </c>
      <c r="V20" s="42">
        <v>0</v>
      </c>
      <c r="W20" s="20">
        <v>0</v>
      </c>
      <c r="X20" s="21">
        <v>0</v>
      </c>
      <c r="Y20" s="41">
        <v>509.99999999999994</v>
      </c>
      <c r="Z20" s="42">
        <v>0</v>
      </c>
      <c r="AA20" s="18">
        <v>0</v>
      </c>
      <c r="AB20" s="20">
        <v>0</v>
      </c>
      <c r="AC20" s="18">
        <v>0</v>
      </c>
      <c r="AD20" s="20">
        <v>0</v>
      </c>
      <c r="AE20" s="20">
        <v>0</v>
      </c>
      <c r="AF20" s="20">
        <v>0</v>
      </c>
      <c r="AG20" s="20">
        <v>0</v>
      </c>
      <c r="AH20" s="21">
        <v>0</v>
      </c>
      <c r="AI20" s="41">
        <v>600</v>
      </c>
      <c r="AJ20" s="42">
        <v>0</v>
      </c>
      <c r="AK20" s="18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</row>
    <row r="21" spans="1:68">
      <c r="A21" s="8"/>
      <c r="B21" s="51">
        <v>10</v>
      </c>
      <c r="C21" s="52"/>
      <c r="D21" s="68"/>
      <c r="E21" s="41">
        <v>19</v>
      </c>
      <c r="F21" s="42">
        <v>0</v>
      </c>
      <c r="G21" s="20">
        <v>0</v>
      </c>
      <c r="H21" s="20">
        <v>0</v>
      </c>
      <c r="I21" s="20">
        <v>0</v>
      </c>
      <c r="J21" s="21">
        <v>0</v>
      </c>
      <c r="K21" s="41">
        <v>11.8</v>
      </c>
      <c r="L21" s="43">
        <v>0</v>
      </c>
      <c r="M21" s="41">
        <v>6.5</v>
      </c>
      <c r="N21" s="42">
        <v>0</v>
      </c>
      <c r="O21" s="20">
        <v>0</v>
      </c>
      <c r="P21" s="20">
        <v>0</v>
      </c>
      <c r="Q21" s="18">
        <v>0</v>
      </c>
      <c r="R21" s="20">
        <v>0</v>
      </c>
      <c r="S21" s="19">
        <v>0</v>
      </c>
      <c r="T21" s="21">
        <v>0</v>
      </c>
      <c r="U21" s="41">
        <v>12.4</v>
      </c>
      <c r="V21" s="42">
        <v>0</v>
      </c>
      <c r="W21" s="20">
        <v>0</v>
      </c>
      <c r="X21" s="21">
        <v>0</v>
      </c>
      <c r="Y21" s="41">
        <v>450</v>
      </c>
      <c r="Z21" s="42">
        <v>0</v>
      </c>
      <c r="AA21" s="18">
        <v>0</v>
      </c>
      <c r="AB21" s="20">
        <v>0</v>
      </c>
      <c r="AC21" s="18">
        <v>0</v>
      </c>
      <c r="AD21" s="20">
        <v>0</v>
      </c>
      <c r="AE21" s="20">
        <v>0</v>
      </c>
      <c r="AF21" s="20">
        <v>0</v>
      </c>
      <c r="AG21" s="20">
        <v>0</v>
      </c>
      <c r="AH21" s="21">
        <v>0</v>
      </c>
      <c r="AI21" s="41">
        <v>690</v>
      </c>
      <c r="AJ21" s="42">
        <v>0</v>
      </c>
      <c r="AK21" s="18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0</v>
      </c>
      <c r="BN21" s="20">
        <v>0</v>
      </c>
      <c r="BO21" s="20">
        <v>0</v>
      </c>
      <c r="BP21" s="20">
        <v>0</v>
      </c>
    </row>
    <row r="22" spans="1:68">
      <c r="A22" s="8"/>
      <c r="B22" s="51">
        <v>11</v>
      </c>
      <c r="C22" s="52"/>
      <c r="D22" s="68"/>
      <c r="E22" s="41">
        <v>16.5</v>
      </c>
      <c r="F22" s="42">
        <v>0</v>
      </c>
      <c r="G22" s="20">
        <v>0</v>
      </c>
      <c r="H22" s="20">
        <v>0</v>
      </c>
      <c r="I22" s="20">
        <v>0</v>
      </c>
      <c r="J22" s="21">
        <v>0</v>
      </c>
      <c r="K22" s="41">
        <v>10.1</v>
      </c>
      <c r="L22" s="43">
        <v>0</v>
      </c>
      <c r="M22" s="41">
        <v>6.1</v>
      </c>
      <c r="N22" s="42">
        <v>0</v>
      </c>
      <c r="O22" s="20">
        <v>0</v>
      </c>
      <c r="P22" s="20">
        <v>0</v>
      </c>
      <c r="Q22" s="18">
        <v>0</v>
      </c>
      <c r="R22" s="20">
        <v>0</v>
      </c>
      <c r="S22" s="19">
        <v>0</v>
      </c>
      <c r="T22" s="21">
        <v>0</v>
      </c>
      <c r="U22" s="41">
        <v>17</v>
      </c>
      <c r="V22" s="42">
        <v>0</v>
      </c>
      <c r="W22" s="20">
        <v>0</v>
      </c>
      <c r="X22" s="21">
        <v>0</v>
      </c>
      <c r="Y22" s="41">
        <v>470</v>
      </c>
      <c r="Z22" s="42">
        <v>0</v>
      </c>
      <c r="AA22" s="18">
        <v>0</v>
      </c>
      <c r="AB22" s="20">
        <v>0</v>
      </c>
      <c r="AC22" s="18">
        <v>0</v>
      </c>
      <c r="AD22" s="20">
        <v>0</v>
      </c>
      <c r="AE22" s="20">
        <v>0</v>
      </c>
      <c r="AF22" s="20">
        <v>0</v>
      </c>
      <c r="AG22" s="20">
        <v>0</v>
      </c>
      <c r="AH22" s="21">
        <v>0</v>
      </c>
      <c r="AI22" s="41">
        <v>560</v>
      </c>
      <c r="AJ22" s="42">
        <v>0</v>
      </c>
      <c r="AK22" s="18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</row>
    <row r="23" spans="1:68">
      <c r="A23" s="8"/>
      <c r="B23" s="51">
        <v>12</v>
      </c>
      <c r="C23" s="52"/>
      <c r="D23" s="68"/>
      <c r="E23" s="41">
        <v>19.799999999999997</v>
      </c>
      <c r="F23" s="42">
        <v>0</v>
      </c>
      <c r="G23" s="20">
        <v>0</v>
      </c>
      <c r="H23" s="20">
        <v>0</v>
      </c>
      <c r="I23" s="20">
        <v>0</v>
      </c>
      <c r="J23" s="21">
        <v>0</v>
      </c>
      <c r="K23" s="41">
        <v>12.2</v>
      </c>
      <c r="L23" s="43">
        <v>0</v>
      </c>
      <c r="M23" s="41">
        <v>7</v>
      </c>
      <c r="N23" s="42">
        <v>0</v>
      </c>
      <c r="O23" s="20">
        <v>0</v>
      </c>
      <c r="P23" s="20">
        <v>0</v>
      </c>
      <c r="Q23" s="18">
        <v>0</v>
      </c>
      <c r="R23" s="20">
        <v>0</v>
      </c>
      <c r="S23" s="19">
        <v>0</v>
      </c>
      <c r="T23" s="21">
        <v>0</v>
      </c>
      <c r="U23" s="41">
        <v>14.8</v>
      </c>
      <c r="V23" s="42">
        <v>0</v>
      </c>
      <c r="W23" s="20">
        <v>0</v>
      </c>
      <c r="X23" s="21">
        <v>0</v>
      </c>
      <c r="Y23" s="41">
        <v>520</v>
      </c>
      <c r="Z23" s="42">
        <v>0</v>
      </c>
      <c r="AA23" s="18">
        <v>0</v>
      </c>
      <c r="AB23" s="20">
        <v>0</v>
      </c>
      <c r="AC23" s="18">
        <v>0</v>
      </c>
      <c r="AD23" s="20">
        <v>0</v>
      </c>
      <c r="AE23" s="20">
        <v>0</v>
      </c>
      <c r="AF23" s="20">
        <v>0</v>
      </c>
      <c r="AG23" s="20">
        <v>0</v>
      </c>
      <c r="AH23" s="21">
        <v>0</v>
      </c>
      <c r="AI23" s="41">
        <v>530.00000000000011</v>
      </c>
      <c r="AJ23" s="42">
        <v>0</v>
      </c>
      <c r="AK23" s="18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0">
        <v>0</v>
      </c>
      <c r="BO23" s="20">
        <v>0</v>
      </c>
      <c r="BP23" s="20">
        <v>0</v>
      </c>
    </row>
    <row r="24" spans="1:68">
      <c r="A24" s="8"/>
      <c r="B24" s="51">
        <v>13</v>
      </c>
      <c r="C24" s="52"/>
      <c r="D24" s="68"/>
      <c r="E24" s="41">
        <v>15.1</v>
      </c>
      <c r="F24" s="42">
        <v>0</v>
      </c>
      <c r="G24" s="20">
        <v>0</v>
      </c>
      <c r="H24" s="20">
        <v>0</v>
      </c>
      <c r="I24" s="20">
        <v>0</v>
      </c>
      <c r="J24" s="21">
        <v>0</v>
      </c>
      <c r="K24" s="41">
        <v>11.4</v>
      </c>
      <c r="L24" s="43">
        <v>0</v>
      </c>
      <c r="M24" s="41">
        <v>4.0999999999999996</v>
      </c>
      <c r="N24" s="42">
        <v>0</v>
      </c>
      <c r="O24" s="20">
        <v>0</v>
      </c>
      <c r="P24" s="20">
        <v>0</v>
      </c>
      <c r="Q24" s="18">
        <v>0</v>
      </c>
      <c r="R24" s="20">
        <v>0</v>
      </c>
      <c r="S24" s="19">
        <v>0</v>
      </c>
      <c r="T24" s="21">
        <v>0</v>
      </c>
      <c r="U24" s="41">
        <v>17</v>
      </c>
      <c r="V24" s="42">
        <v>0</v>
      </c>
      <c r="W24" s="20">
        <v>0</v>
      </c>
      <c r="X24" s="21">
        <v>0</v>
      </c>
      <c r="Y24" s="41">
        <v>530</v>
      </c>
      <c r="Z24" s="42">
        <v>0</v>
      </c>
      <c r="AA24" s="18">
        <v>0</v>
      </c>
      <c r="AB24" s="20">
        <v>0</v>
      </c>
      <c r="AC24" s="18">
        <v>0</v>
      </c>
      <c r="AD24" s="20">
        <v>0</v>
      </c>
      <c r="AE24" s="20">
        <v>0</v>
      </c>
      <c r="AF24" s="20">
        <v>0</v>
      </c>
      <c r="AG24" s="20">
        <v>0</v>
      </c>
      <c r="AH24" s="21">
        <v>0</v>
      </c>
      <c r="AI24" s="41">
        <v>640</v>
      </c>
      <c r="AJ24" s="42">
        <v>0</v>
      </c>
      <c r="AK24" s="18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</row>
    <row r="25" spans="1:68">
      <c r="A25" s="8"/>
      <c r="B25" s="51">
        <v>14</v>
      </c>
      <c r="C25" s="52"/>
      <c r="D25" s="68"/>
      <c r="E25" s="41">
        <v>17.2</v>
      </c>
      <c r="F25" s="42">
        <v>0</v>
      </c>
      <c r="G25" s="20">
        <v>0</v>
      </c>
      <c r="H25" s="20">
        <v>0</v>
      </c>
      <c r="I25" s="20">
        <v>0</v>
      </c>
      <c r="J25" s="21">
        <v>0</v>
      </c>
      <c r="K25" s="41">
        <v>9.9</v>
      </c>
      <c r="L25" s="43">
        <v>0</v>
      </c>
      <c r="M25" s="41">
        <v>5.1999999999999993</v>
      </c>
      <c r="N25" s="42">
        <v>0</v>
      </c>
      <c r="O25" s="20">
        <v>0</v>
      </c>
      <c r="P25" s="20">
        <v>0</v>
      </c>
      <c r="Q25" s="18">
        <v>0</v>
      </c>
      <c r="R25" s="20">
        <v>0</v>
      </c>
      <c r="S25" s="19">
        <v>0</v>
      </c>
      <c r="T25" s="21">
        <v>0</v>
      </c>
      <c r="U25" s="41">
        <v>12.4</v>
      </c>
      <c r="V25" s="42">
        <v>0</v>
      </c>
      <c r="W25" s="20">
        <v>0</v>
      </c>
      <c r="X25" s="21">
        <v>0</v>
      </c>
      <c r="Y25" s="41">
        <v>640</v>
      </c>
      <c r="Z25" s="42">
        <v>0</v>
      </c>
      <c r="AA25" s="18">
        <v>0</v>
      </c>
      <c r="AB25" s="20">
        <v>0</v>
      </c>
      <c r="AC25" s="18">
        <v>0</v>
      </c>
      <c r="AD25" s="20">
        <v>0</v>
      </c>
      <c r="AE25" s="20">
        <v>0</v>
      </c>
      <c r="AF25" s="20">
        <v>0</v>
      </c>
      <c r="AG25" s="20">
        <v>0</v>
      </c>
      <c r="AH25" s="21">
        <v>0</v>
      </c>
      <c r="AI25" s="41">
        <v>700</v>
      </c>
      <c r="AJ25" s="42">
        <v>0</v>
      </c>
      <c r="AK25" s="18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0">
        <v>0</v>
      </c>
      <c r="BO25" s="20">
        <v>0</v>
      </c>
      <c r="BP25" s="20">
        <v>0</v>
      </c>
    </row>
    <row r="26" spans="1:68">
      <c r="A26" s="8"/>
      <c r="B26" s="51">
        <v>15</v>
      </c>
      <c r="C26" s="52"/>
      <c r="D26" s="68"/>
      <c r="E26" s="41">
        <v>16.600000000000001</v>
      </c>
      <c r="F26" s="42">
        <v>0</v>
      </c>
      <c r="G26" s="20">
        <v>0</v>
      </c>
      <c r="H26" s="20">
        <v>0</v>
      </c>
      <c r="I26" s="20">
        <v>0</v>
      </c>
      <c r="J26" s="21">
        <v>0</v>
      </c>
      <c r="K26" s="41">
        <v>10</v>
      </c>
      <c r="L26" s="43">
        <v>0</v>
      </c>
      <c r="M26" s="41">
        <v>4.7</v>
      </c>
      <c r="N26" s="42">
        <v>0</v>
      </c>
      <c r="O26" s="20">
        <v>0</v>
      </c>
      <c r="P26" s="20">
        <v>0</v>
      </c>
      <c r="Q26" s="18">
        <v>0</v>
      </c>
      <c r="R26" s="20">
        <v>0</v>
      </c>
      <c r="S26" s="19">
        <v>0</v>
      </c>
      <c r="T26" s="21">
        <v>0</v>
      </c>
      <c r="U26" s="41">
        <v>10.6</v>
      </c>
      <c r="V26" s="42">
        <v>0</v>
      </c>
      <c r="W26" s="20">
        <v>0</v>
      </c>
      <c r="X26" s="21">
        <v>0</v>
      </c>
      <c r="Y26" s="41">
        <v>620</v>
      </c>
      <c r="Z26" s="42">
        <v>0</v>
      </c>
      <c r="AA26" s="18">
        <v>0</v>
      </c>
      <c r="AB26" s="20">
        <v>0</v>
      </c>
      <c r="AC26" s="18">
        <v>0</v>
      </c>
      <c r="AD26" s="20">
        <v>0</v>
      </c>
      <c r="AE26" s="20">
        <v>0</v>
      </c>
      <c r="AF26" s="20">
        <v>0</v>
      </c>
      <c r="AG26" s="20">
        <v>0</v>
      </c>
      <c r="AH26" s="21">
        <v>0</v>
      </c>
      <c r="AI26" s="41">
        <v>710</v>
      </c>
      <c r="AJ26" s="42">
        <v>0</v>
      </c>
      <c r="AK26" s="18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0">
        <v>0</v>
      </c>
      <c r="BP26" s="20">
        <v>0</v>
      </c>
    </row>
    <row r="27" spans="1:68">
      <c r="A27" s="8"/>
      <c r="B27" s="51">
        <v>16</v>
      </c>
      <c r="C27" s="52"/>
      <c r="D27" s="68"/>
      <c r="E27" s="41">
        <v>16.100000000000001</v>
      </c>
      <c r="F27" s="42">
        <v>0</v>
      </c>
      <c r="G27" s="20">
        <v>0</v>
      </c>
      <c r="H27" s="20">
        <v>0</v>
      </c>
      <c r="I27" s="20">
        <v>0</v>
      </c>
      <c r="J27" s="21">
        <v>0</v>
      </c>
      <c r="K27" s="41">
        <v>10.3</v>
      </c>
      <c r="L27" s="43">
        <v>0</v>
      </c>
      <c r="M27" s="41">
        <v>3.5</v>
      </c>
      <c r="N27" s="42">
        <v>0</v>
      </c>
      <c r="O27" s="20">
        <v>0</v>
      </c>
      <c r="P27" s="20">
        <v>0</v>
      </c>
      <c r="Q27" s="18">
        <v>0</v>
      </c>
      <c r="R27" s="20">
        <v>0</v>
      </c>
      <c r="S27" s="19">
        <v>0</v>
      </c>
      <c r="T27" s="21">
        <v>0</v>
      </c>
      <c r="U27" s="41">
        <v>16.399999999999999</v>
      </c>
      <c r="V27" s="42">
        <v>0</v>
      </c>
      <c r="W27" s="20">
        <v>0</v>
      </c>
      <c r="X27" s="21">
        <v>0</v>
      </c>
      <c r="Y27" s="41">
        <v>580</v>
      </c>
      <c r="Z27" s="42">
        <v>0</v>
      </c>
      <c r="AA27" s="18">
        <v>0</v>
      </c>
      <c r="AB27" s="20">
        <v>0</v>
      </c>
      <c r="AC27" s="18">
        <v>0</v>
      </c>
      <c r="AD27" s="20">
        <v>0</v>
      </c>
      <c r="AE27" s="20">
        <v>0</v>
      </c>
      <c r="AF27" s="20">
        <v>0</v>
      </c>
      <c r="AG27" s="20">
        <v>0</v>
      </c>
      <c r="AH27" s="21">
        <v>0</v>
      </c>
      <c r="AI27" s="41">
        <v>570</v>
      </c>
      <c r="AJ27" s="42">
        <v>0</v>
      </c>
      <c r="AK27" s="18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  <c r="BK27" s="20">
        <v>0</v>
      </c>
      <c r="BL27" s="20">
        <v>0</v>
      </c>
      <c r="BM27" s="20">
        <v>0</v>
      </c>
      <c r="BN27" s="20">
        <v>0</v>
      </c>
      <c r="BO27" s="20">
        <v>0</v>
      </c>
      <c r="BP27" s="20">
        <v>0</v>
      </c>
    </row>
    <row r="28" spans="1:68">
      <c r="A28" s="8"/>
      <c r="B28" s="51">
        <v>17</v>
      </c>
      <c r="C28" s="52"/>
      <c r="D28" s="68"/>
      <c r="E28" s="41">
        <v>14.1</v>
      </c>
      <c r="F28" s="42">
        <v>0</v>
      </c>
      <c r="G28" s="20">
        <v>0</v>
      </c>
      <c r="H28" s="20">
        <v>0</v>
      </c>
      <c r="I28" s="20">
        <v>0</v>
      </c>
      <c r="J28" s="21">
        <v>0</v>
      </c>
      <c r="K28" s="41">
        <v>11.5</v>
      </c>
      <c r="L28" s="43">
        <v>0</v>
      </c>
      <c r="M28" s="41">
        <v>6.1</v>
      </c>
      <c r="N28" s="42">
        <v>0</v>
      </c>
      <c r="O28" s="20">
        <v>0</v>
      </c>
      <c r="P28" s="20">
        <v>0</v>
      </c>
      <c r="Q28" s="18">
        <v>0</v>
      </c>
      <c r="R28" s="20">
        <v>0</v>
      </c>
      <c r="S28" s="19">
        <v>0</v>
      </c>
      <c r="T28" s="21">
        <v>0</v>
      </c>
      <c r="U28" s="41">
        <v>13</v>
      </c>
      <c r="V28" s="42">
        <v>0</v>
      </c>
      <c r="W28" s="20">
        <v>0</v>
      </c>
      <c r="X28" s="21">
        <v>0</v>
      </c>
      <c r="Y28" s="41">
        <v>580</v>
      </c>
      <c r="Z28" s="42">
        <v>0</v>
      </c>
      <c r="AA28" s="18">
        <v>0</v>
      </c>
      <c r="AB28" s="20">
        <v>0</v>
      </c>
      <c r="AC28" s="18">
        <v>0</v>
      </c>
      <c r="AD28" s="20">
        <v>0</v>
      </c>
      <c r="AE28" s="20">
        <v>0</v>
      </c>
      <c r="AF28" s="20">
        <v>0</v>
      </c>
      <c r="AG28" s="20">
        <v>0</v>
      </c>
      <c r="AH28" s="21">
        <v>0</v>
      </c>
      <c r="AI28" s="41">
        <v>829.99999999999989</v>
      </c>
      <c r="AJ28" s="42">
        <v>0</v>
      </c>
      <c r="AK28" s="18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0">
        <v>0</v>
      </c>
      <c r="BP28" s="20">
        <v>0</v>
      </c>
    </row>
    <row r="29" spans="1:68">
      <c r="A29" s="8"/>
      <c r="B29" s="51">
        <v>18</v>
      </c>
      <c r="C29" s="52"/>
      <c r="D29" s="68"/>
      <c r="E29" s="41">
        <v>16.600000000000001</v>
      </c>
      <c r="F29" s="42">
        <v>0</v>
      </c>
      <c r="G29" s="20">
        <v>0</v>
      </c>
      <c r="H29" s="20">
        <v>0</v>
      </c>
      <c r="I29" s="20">
        <v>0</v>
      </c>
      <c r="J29" s="21">
        <v>0</v>
      </c>
      <c r="K29" s="41">
        <v>11.4</v>
      </c>
      <c r="L29" s="43">
        <v>0</v>
      </c>
      <c r="M29" s="41">
        <v>6</v>
      </c>
      <c r="N29" s="42">
        <v>0</v>
      </c>
      <c r="O29" s="20">
        <v>0</v>
      </c>
      <c r="P29" s="20">
        <v>0</v>
      </c>
      <c r="Q29" s="18">
        <v>0</v>
      </c>
      <c r="R29" s="20">
        <v>0</v>
      </c>
      <c r="S29" s="19">
        <v>0</v>
      </c>
      <c r="T29" s="21">
        <v>0</v>
      </c>
      <c r="U29" s="41">
        <v>10.4</v>
      </c>
      <c r="V29" s="42">
        <v>0</v>
      </c>
      <c r="W29" s="20">
        <v>0</v>
      </c>
      <c r="X29" s="21">
        <v>0</v>
      </c>
      <c r="Y29" s="41">
        <v>590</v>
      </c>
      <c r="Z29" s="42">
        <v>0</v>
      </c>
      <c r="AA29" s="18">
        <v>0</v>
      </c>
      <c r="AB29" s="20">
        <v>0</v>
      </c>
      <c r="AC29" s="18">
        <v>0</v>
      </c>
      <c r="AD29" s="20">
        <v>0</v>
      </c>
      <c r="AE29" s="20">
        <v>0</v>
      </c>
      <c r="AF29" s="20">
        <v>0</v>
      </c>
      <c r="AG29" s="20">
        <v>0</v>
      </c>
      <c r="AH29" s="21">
        <v>0</v>
      </c>
      <c r="AI29" s="41">
        <v>570</v>
      </c>
      <c r="AJ29" s="42">
        <v>0</v>
      </c>
      <c r="AK29" s="18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  <c r="BO29" s="20">
        <v>0</v>
      </c>
      <c r="BP29" s="20">
        <v>0</v>
      </c>
    </row>
    <row r="30" spans="1:68">
      <c r="A30" s="8"/>
      <c r="B30" s="64">
        <v>19</v>
      </c>
      <c r="C30" s="65"/>
      <c r="D30" s="69"/>
      <c r="E30" s="41">
        <v>15.299999999999999</v>
      </c>
      <c r="F30" s="42">
        <v>0</v>
      </c>
      <c r="G30" s="20">
        <v>0</v>
      </c>
      <c r="H30" s="20">
        <v>0</v>
      </c>
      <c r="I30" s="20">
        <v>0</v>
      </c>
      <c r="J30" s="21">
        <v>0</v>
      </c>
      <c r="K30" s="41">
        <v>17.600000000000001</v>
      </c>
      <c r="L30" s="43">
        <v>0</v>
      </c>
      <c r="M30" s="41">
        <v>4.5</v>
      </c>
      <c r="N30" s="42">
        <v>0</v>
      </c>
      <c r="O30" s="20">
        <v>0</v>
      </c>
      <c r="P30" s="20">
        <v>0</v>
      </c>
      <c r="Q30" s="18">
        <v>0</v>
      </c>
      <c r="R30" s="20">
        <v>0</v>
      </c>
      <c r="S30" s="19">
        <v>0</v>
      </c>
      <c r="T30" s="21">
        <v>0</v>
      </c>
      <c r="U30" s="41">
        <v>16.2</v>
      </c>
      <c r="V30" s="42">
        <v>0</v>
      </c>
      <c r="W30" s="20">
        <v>0</v>
      </c>
      <c r="X30" s="21">
        <v>0</v>
      </c>
      <c r="Y30" s="41">
        <v>620</v>
      </c>
      <c r="Z30" s="42">
        <v>0</v>
      </c>
      <c r="AA30" s="18">
        <v>0</v>
      </c>
      <c r="AB30" s="20">
        <v>0</v>
      </c>
      <c r="AC30" s="18">
        <v>0</v>
      </c>
      <c r="AD30" s="20">
        <v>0</v>
      </c>
      <c r="AE30" s="20">
        <v>0</v>
      </c>
      <c r="AF30" s="20">
        <v>0</v>
      </c>
      <c r="AG30" s="20">
        <v>0</v>
      </c>
      <c r="AH30" s="21">
        <v>0</v>
      </c>
      <c r="AI30" s="41">
        <v>740</v>
      </c>
      <c r="AJ30" s="42">
        <v>0</v>
      </c>
      <c r="AK30" s="18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0">
        <v>0</v>
      </c>
      <c r="BP30" s="20">
        <v>0</v>
      </c>
    </row>
    <row r="31" spans="1:68">
      <c r="A31" s="8"/>
      <c r="B31" s="51">
        <v>20</v>
      </c>
      <c r="C31" s="52"/>
      <c r="D31" s="68"/>
      <c r="E31" s="41">
        <v>12.600000000000001</v>
      </c>
      <c r="F31" s="42">
        <v>0</v>
      </c>
      <c r="G31" s="20">
        <v>0</v>
      </c>
      <c r="H31" s="20">
        <v>0</v>
      </c>
      <c r="I31" s="20">
        <v>0</v>
      </c>
      <c r="J31" s="21">
        <v>0</v>
      </c>
      <c r="K31" s="41">
        <v>18.100000000000001</v>
      </c>
      <c r="L31" s="43">
        <v>0</v>
      </c>
      <c r="M31" s="41">
        <v>6.4</v>
      </c>
      <c r="N31" s="42">
        <v>0</v>
      </c>
      <c r="O31" s="20">
        <v>0</v>
      </c>
      <c r="P31" s="20">
        <v>0</v>
      </c>
      <c r="Q31" s="18">
        <v>0</v>
      </c>
      <c r="R31" s="20">
        <v>0</v>
      </c>
      <c r="S31" s="19">
        <v>0</v>
      </c>
      <c r="T31" s="21">
        <v>0</v>
      </c>
      <c r="U31" s="41">
        <v>19</v>
      </c>
      <c r="V31" s="42">
        <v>0</v>
      </c>
      <c r="W31" s="20">
        <v>0</v>
      </c>
      <c r="X31" s="21">
        <v>0</v>
      </c>
      <c r="Y31" s="41">
        <v>630</v>
      </c>
      <c r="Z31" s="42">
        <v>0</v>
      </c>
      <c r="AA31" s="18">
        <v>0</v>
      </c>
      <c r="AB31" s="20">
        <v>0</v>
      </c>
      <c r="AC31" s="18">
        <v>0</v>
      </c>
      <c r="AD31" s="20">
        <v>0</v>
      </c>
      <c r="AE31" s="20">
        <v>0</v>
      </c>
      <c r="AF31" s="20">
        <v>0</v>
      </c>
      <c r="AG31" s="20">
        <v>0</v>
      </c>
      <c r="AH31" s="21">
        <v>0</v>
      </c>
      <c r="AI31" s="41">
        <v>840</v>
      </c>
      <c r="AJ31" s="42">
        <v>0</v>
      </c>
      <c r="AK31" s="18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  <c r="BO31" s="20">
        <v>0</v>
      </c>
      <c r="BP31" s="20">
        <v>0</v>
      </c>
    </row>
    <row r="32" spans="1:68">
      <c r="A32" s="8"/>
      <c r="B32" s="51">
        <v>21</v>
      </c>
      <c r="C32" s="52"/>
      <c r="D32" s="68"/>
      <c r="E32" s="41">
        <v>13.7</v>
      </c>
      <c r="F32" s="42">
        <v>0</v>
      </c>
      <c r="G32" s="20">
        <v>0</v>
      </c>
      <c r="H32" s="20">
        <v>0</v>
      </c>
      <c r="I32" s="20">
        <v>0</v>
      </c>
      <c r="J32" s="21">
        <v>0</v>
      </c>
      <c r="K32" s="41">
        <v>17.8</v>
      </c>
      <c r="L32" s="43">
        <v>0</v>
      </c>
      <c r="M32" s="41">
        <v>5.2</v>
      </c>
      <c r="N32" s="42">
        <v>0</v>
      </c>
      <c r="O32" s="20">
        <v>0</v>
      </c>
      <c r="P32" s="20">
        <v>0</v>
      </c>
      <c r="Q32" s="18">
        <v>0</v>
      </c>
      <c r="R32" s="20">
        <v>0</v>
      </c>
      <c r="S32" s="19">
        <v>0</v>
      </c>
      <c r="T32" s="21">
        <v>0</v>
      </c>
      <c r="U32" s="41">
        <v>11.4</v>
      </c>
      <c r="V32" s="42">
        <v>0</v>
      </c>
      <c r="W32" s="20">
        <v>0</v>
      </c>
      <c r="X32" s="21">
        <v>0</v>
      </c>
      <c r="Y32" s="41">
        <v>620</v>
      </c>
      <c r="Z32" s="42">
        <v>0</v>
      </c>
      <c r="AA32" s="18">
        <v>0</v>
      </c>
      <c r="AB32" s="20">
        <v>0</v>
      </c>
      <c r="AC32" s="18">
        <v>0</v>
      </c>
      <c r="AD32" s="20">
        <v>0</v>
      </c>
      <c r="AE32" s="20">
        <v>0</v>
      </c>
      <c r="AF32" s="20">
        <v>0</v>
      </c>
      <c r="AG32" s="20">
        <v>0</v>
      </c>
      <c r="AH32" s="21">
        <v>0</v>
      </c>
      <c r="AI32" s="41">
        <v>769.99999999999989</v>
      </c>
      <c r="AJ32" s="42">
        <v>0</v>
      </c>
      <c r="AK32" s="18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</row>
    <row r="33" spans="1:68">
      <c r="A33" s="8"/>
      <c r="B33" s="51">
        <v>22</v>
      </c>
      <c r="C33" s="52"/>
      <c r="D33" s="68"/>
      <c r="E33" s="41">
        <v>15.899999999999999</v>
      </c>
      <c r="F33" s="42">
        <v>0</v>
      </c>
      <c r="G33" s="20">
        <v>0</v>
      </c>
      <c r="H33" s="20">
        <v>0</v>
      </c>
      <c r="I33" s="20">
        <v>0</v>
      </c>
      <c r="J33" s="21">
        <v>0</v>
      </c>
      <c r="K33" s="41">
        <v>18.399999999999999</v>
      </c>
      <c r="L33" s="43">
        <v>0</v>
      </c>
      <c r="M33" s="41">
        <v>3.2</v>
      </c>
      <c r="N33" s="42">
        <v>0</v>
      </c>
      <c r="O33" s="20">
        <v>0</v>
      </c>
      <c r="P33" s="20">
        <v>0</v>
      </c>
      <c r="Q33" s="18">
        <v>0</v>
      </c>
      <c r="R33" s="20">
        <v>0</v>
      </c>
      <c r="S33" s="19">
        <v>0</v>
      </c>
      <c r="T33" s="21">
        <v>0</v>
      </c>
      <c r="U33" s="41">
        <v>12.4</v>
      </c>
      <c r="V33" s="42">
        <v>0</v>
      </c>
      <c r="W33" s="20">
        <v>0</v>
      </c>
      <c r="X33" s="21">
        <v>0</v>
      </c>
      <c r="Y33" s="41">
        <v>570</v>
      </c>
      <c r="Z33" s="42">
        <v>0</v>
      </c>
      <c r="AA33" s="18">
        <v>0</v>
      </c>
      <c r="AB33" s="20">
        <v>0</v>
      </c>
      <c r="AC33" s="18">
        <v>0</v>
      </c>
      <c r="AD33" s="20">
        <v>0</v>
      </c>
      <c r="AE33" s="20">
        <v>0</v>
      </c>
      <c r="AF33" s="20">
        <v>0</v>
      </c>
      <c r="AG33" s="20">
        <v>0</v>
      </c>
      <c r="AH33" s="21">
        <v>0</v>
      </c>
      <c r="AI33" s="41">
        <v>780.00000000000011</v>
      </c>
      <c r="AJ33" s="42">
        <v>0</v>
      </c>
      <c r="AK33" s="18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  <c r="BK33" s="20">
        <v>0</v>
      </c>
      <c r="BL33" s="20">
        <v>0</v>
      </c>
      <c r="BM33" s="20">
        <v>0</v>
      </c>
      <c r="BN33" s="20">
        <v>0</v>
      </c>
      <c r="BO33" s="20">
        <v>0</v>
      </c>
      <c r="BP33" s="20">
        <v>0</v>
      </c>
    </row>
    <row r="34" spans="1:68">
      <c r="A34" s="8"/>
      <c r="B34" s="51">
        <v>23</v>
      </c>
      <c r="C34" s="52"/>
      <c r="D34" s="68"/>
      <c r="E34" s="41">
        <v>16.100000000000001</v>
      </c>
      <c r="F34" s="42">
        <v>0</v>
      </c>
      <c r="G34" s="20">
        <v>0</v>
      </c>
      <c r="H34" s="20">
        <v>0</v>
      </c>
      <c r="I34" s="20">
        <v>0</v>
      </c>
      <c r="J34" s="21">
        <v>0</v>
      </c>
      <c r="K34" s="41">
        <v>16.3</v>
      </c>
      <c r="L34" s="43">
        <v>0</v>
      </c>
      <c r="M34" s="41">
        <v>4.4000000000000004</v>
      </c>
      <c r="N34" s="42">
        <v>0</v>
      </c>
      <c r="O34" s="20">
        <v>0</v>
      </c>
      <c r="P34" s="20">
        <v>0</v>
      </c>
      <c r="Q34" s="18">
        <v>0</v>
      </c>
      <c r="R34" s="20">
        <v>0</v>
      </c>
      <c r="S34" s="19">
        <v>0</v>
      </c>
      <c r="T34" s="21">
        <v>0</v>
      </c>
      <c r="U34" s="41">
        <v>10.4</v>
      </c>
      <c r="V34" s="42">
        <v>0</v>
      </c>
      <c r="W34" s="20">
        <v>0</v>
      </c>
      <c r="X34" s="21">
        <v>0</v>
      </c>
      <c r="Y34" s="41">
        <v>630</v>
      </c>
      <c r="Z34" s="42">
        <v>0</v>
      </c>
      <c r="AA34" s="18">
        <v>0</v>
      </c>
      <c r="AB34" s="20">
        <v>0</v>
      </c>
      <c r="AC34" s="18">
        <v>0</v>
      </c>
      <c r="AD34" s="20">
        <v>0</v>
      </c>
      <c r="AE34" s="20">
        <v>0</v>
      </c>
      <c r="AF34" s="20">
        <v>0</v>
      </c>
      <c r="AG34" s="20">
        <v>0</v>
      </c>
      <c r="AH34" s="21">
        <v>0</v>
      </c>
      <c r="AI34" s="41">
        <v>810</v>
      </c>
      <c r="AJ34" s="42">
        <v>0</v>
      </c>
      <c r="AK34" s="18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0</v>
      </c>
      <c r="BL34" s="20">
        <v>0</v>
      </c>
      <c r="BM34" s="20">
        <v>0</v>
      </c>
      <c r="BN34" s="20">
        <v>0</v>
      </c>
      <c r="BO34" s="20">
        <v>0</v>
      </c>
      <c r="BP34" s="20">
        <v>0</v>
      </c>
    </row>
    <row r="35" spans="1:68">
      <c r="A35" s="8"/>
      <c r="B35" s="51">
        <v>24</v>
      </c>
      <c r="C35" s="52"/>
      <c r="D35" s="68"/>
      <c r="E35" s="41">
        <v>13.5</v>
      </c>
      <c r="F35" s="42">
        <v>0</v>
      </c>
      <c r="G35" s="20">
        <v>0</v>
      </c>
      <c r="H35" s="20">
        <v>0</v>
      </c>
      <c r="I35" s="20">
        <v>0</v>
      </c>
      <c r="J35" s="21">
        <v>0</v>
      </c>
      <c r="K35" s="41">
        <v>16.5</v>
      </c>
      <c r="L35" s="43">
        <v>0</v>
      </c>
      <c r="M35" s="41">
        <v>3.5</v>
      </c>
      <c r="N35" s="42">
        <v>0</v>
      </c>
      <c r="O35" s="20">
        <v>0</v>
      </c>
      <c r="P35" s="20">
        <v>0</v>
      </c>
      <c r="Q35" s="18">
        <v>0</v>
      </c>
      <c r="R35" s="20">
        <v>0</v>
      </c>
      <c r="S35" s="19">
        <v>0</v>
      </c>
      <c r="T35" s="21">
        <v>0</v>
      </c>
      <c r="U35" s="41">
        <v>17.399999999999999</v>
      </c>
      <c r="V35" s="42">
        <v>0</v>
      </c>
      <c r="W35" s="20">
        <v>0</v>
      </c>
      <c r="X35" s="21">
        <v>0</v>
      </c>
      <c r="Y35" s="41">
        <v>540</v>
      </c>
      <c r="Z35" s="42">
        <v>0</v>
      </c>
      <c r="AA35" s="18">
        <v>0</v>
      </c>
      <c r="AB35" s="20">
        <v>0</v>
      </c>
      <c r="AC35" s="18">
        <v>0</v>
      </c>
      <c r="AD35" s="20">
        <v>0</v>
      </c>
      <c r="AE35" s="20">
        <v>0</v>
      </c>
      <c r="AF35" s="20">
        <v>0</v>
      </c>
      <c r="AG35" s="20">
        <v>0</v>
      </c>
      <c r="AH35" s="21">
        <v>0</v>
      </c>
      <c r="AI35" s="41">
        <v>930.00000000000011</v>
      </c>
      <c r="AJ35" s="42">
        <v>0</v>
      </c>
      <c r="AK35" s="18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  <c r="BM35" s="20">
        <v>0</v>
      </c>
      <c r="BN35" s="20">
        <v>0</v>
      </c>
      <c r="BO35" s="20">
        <v>0</v>
      </c>
      <c r="BP35" s="20">
        <v>0</v>
      </c>
    </row>
    <row r="36" spans="1:68">
      <c r="A36" s="8"/>
      <c r="B36" s="51">
        <v>25</v>
      </c>
      <c r="C36" s="52"/>
      <c r="D36" s="68"/>
      <c r="E36" s="41">
        <v>13.7</v>
      </c>
      <c r="F36" s="42">
        <v>0</v>
      </c>
      <c r="G36" s="20">
        <v>0</v>
      </c>
      <c r="H36" s="20">
        <v>0</v>
      </c>
      <c r="I36" s="20">
        <v>0</v>
      </c>
      <c r="J36" s="21">
        <v>0</v>
      </c>
      <c r="K36" s="41">
        <v>15.9</v>
      </c>
      <c r="L36" s="43">
        <v>0</v>
      </c>
      <c r="M36" s="41">
        <v>3.1</v>
      </c>
      <c r="N36" s="42">
        <v>0</v>
      </c>
      <c r="O36" s="20">
        <v>0</v>
      </c>
      <c r="P36" s="20">
        <v>0</v>
      </c>
      <c r="Q36" s="18">
        <v>0</v>
      </c>
      <c r="R36" s="20">
        <v>0</v>
      </c>
      <c r="S36" s="19">
        <v>0</v>
      </c>
      <c r="T36" s="21">
        <v>0</v>
      </c>
      <c r="U36" s="41">
        <v>16.2</v>
      </c>
      <c r="V36" s="42">
        <v>0</v>
      </c>
      <c r="W36" s="20">
        <v>0</v>
      </c>
      <c r="X36" s="21">
        <v>0</v>
      </c>
      <c r="Y36" s="41">
        <v>630</v>
      </c>
      <c r="Z36" s="42">
        <v>0</v>
      </c>
      <c r="AA36" s="18">
        <v>0</v>
      </c>
      <c r="AB36" s="20">
        <v>0</v>
      </c>
      <c r="AC36" s="18">
        <v>0</v>
      </c>
      <c r="AD36" s="20">
        <v>0</v>
      </c>
      <c r="AE36" s="20">
        <v>0</v>
      </c>
      <c r="AF36" s="20">
        <v>0</v>
      </c>
      <c r="AG36" s="20">
        <v>0</v>
      </c>
      <c r="AH36" s="21">
        <v>0</v>
      </c>
      <c r="AI36" s="41">
        <v>879.99999999999989</v>
      </c>
      <c r="AJ36" s="42">
        <v>0</v>
      </c>
      <c r="AK36" s="18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0</v>
      </c>
    </row>
    <row r="37" spans="1:68">
      <c r="A37" s="8"/>
      <c r="B37" s="51">
        <v>26</v>
      </c>
      <c r="C37" s="52"/>
      <c r="D37" s="68"/>
      <c r="E37" s="41">
        <v>12.799999999999999</v>
      </c>
      <c r="F37" s="42">
        <v>0</v>
      </c>
      <c r="G37" s="20">
        <v>0</v>
      </c>
      <c r="H37" s="20">
        <v>0</v>
      </c>
      <c r="I37" s="20">
        <v>0</v>
      </c>
      <c r="J37" s="21">
        <v>0</v>
      </c>
      <c r="K37" s="41">
        <v>15.600000000000001</v>
      </c>
      <c r="L37" s="43">
        <v>0</v>
      </c>
      <c r="M37" s="41">
        <v>2.5</v>
      </c>
      <c r="N37" s="42">
        <v>0</v>
      </c>
      <c r="O37" s="20">
        <v>0</v>
      </c>
      <c r="P37" s="20">
        <v>0</v>
      </c>
      <c r="Q37" s="18">
        <v>0</v>
      </c>
      <c r="R37" s="20">
        <v>0</v>
      </c>
      <c r="S37" s="19">
        <v>0</v>
      </c>
      <c r="T37" s="21">
        <v>0</v>
      </c>
      <c r="U37" s="41">
        <v>18.2</v>
      </c>
      <c r="V37" s="42">
        <v>0</v>
      </c>
      <c r="W37" s="20">
        <v>0</v>
      </c>
      <c r="X37" s="21">
        <v>0</v>
      </c>
      <c r="Y37" s="41">
        <v>630</v>
      </c>
      <c r="Z37" s="42">
        <v>0</v>
      </c>
      <c r="AA37" s="18">
        <v>0</v>
      </c>
      <c r="AB37" s="20">
        <v>0</v>
      </c>
      <c r="AC37" s="18">
        <v>0</v>
      </c>
      <c r="AD37" s="20">
        <v>0</v>
      </c>
      <c r="AE37" s="20">
        <v>0</v>
      </c>
      <c r="AF37" s="20">
        <v>0</v>
      </c>
      <c r="AG37" s="20">
        <v>0</v>
      </c>
      <c r="AH37" s="21">
        <v>0</v>
      </c>
      <c r="AI37" s="41">
        <v>940</v>
      </c>
      <c r="AJ37" s="42">
        <v>0</v>
      </c>
      <c r="AK37" s="18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  <c r="BK37" s="20">
        <v>0</v>
      </c>
      <c r="BL37" s="20">
        <v>0</v>
      </c>
      <c r="BM37" s="20">
        <v>0</v>
      </c>
      <c r="BN37" s="20">
        <v>0</v>
      </c>
      <c r="BO37" s="20">
        <v>0</v>
      </c>
      <c r="BP37" s="20">
        <v>0</v>
      </c>
    </row>
    <row r="38" spans="1:68">
      <c r="A38" s="8"/>
      <c r="B38" s="51">
        <v>27</v>
      </c>
      <c r="C38" s="52"/>
      <c r="D38" s="68"/>
      <c r="E38" s="41">
        <v>17.100000000000001</v>
      </c>
      <c r="F38" s="56">
        <v>0</v>
      </c>
      <c r="G38" s="22">
        <v>0</v>
      </c>
      <c r="H38" s="22">
        <v>0</v>
      </c>
      <c r="I38" s="22">
        <v>0</v>
      </c>
      <c r="J38" s="57">
        <v>0</v>
      </c>
      <c r="K38" s="41">
        <v>13.4</v>
      </c>
      <c r="L38" s="58">
        <v>0</v>
      </c>
      <c r="M38" s="41">
        <v>6.1</v>
      </c>
      <c r="N38" s="56">
        <v>0</v>
      </c>
      <c r="O38" s="22">
        <v>0</v>
      </c>
      <c r="P38" s="22">
        <v>0</v>
      </c>
      <c r="Q38" s="59">
        <v>0</v>
      </c>
      <c r="R38" s="22">
        <v>0</v>
      </c>
      <c r="S38" s="60">
        <v>0</v>
      </c>
      <c r="T38" s="57">
        <v>0</v>
      </c>
      <c r="U38" s="41">
        <v>12.6</v>
      </c>
      <c r="V38" s="56">
        <v>0</v>
      </c>
      <c r="W38" s="22">
        <v>0</v>
      </c>
      <c r="X38" s="57">
        <v>0</v>
      </c>
      <c r="Y38" s="41">
        <v>550</v>
      </c>
      <c r="Z38" s="56">
        <v>0</v>
      </c>
      <c r="AA38" s="59">
        <v>0</v>
      </c>
      <c r="AB38" s="22">
        <v>0</v>
      </c>
      <c r="AC38" s="59">
        <v>0</v>
      </c>
      <c r="AD38" s="22">
        <v>0</v>
      </c>
      <c r="AE38" s="22">
        <v>0</v>
      </c>
      <c r="AF38" s="22">
        <v>0</v>
      </c>
      <c r="AG38" s="22">
        <v>0</v>
      </c>
      <c r="AH38" s="57">
        <v>0</v>
      </c>
      <c r="AI38" s="41">
        <v>660</v>
      </c>
      <c r="AJ38" s="56">
        <v>0</v>
      </c>
      <c r="AK38" s="59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0</v>
      </c>
      <c r="AX38" s="22">
        <v>0</v>
      </c>
      <c r="AY38" s="22">
        <v>0</v>
      </c>
      <c r="AZ38" s="22">
        <v>0</v>
      </c>
      <c r="BA38" s="22">
        <v>0</v>
      </c>
      <c r="BB38" s="22">
        <v>0</v>
      </c>
      <c r="BC38" s="22">
        <v>0</v>
      </c>
      <c r="BD38" s="22">
        <v>0</v>
      </c>
      <c r="BE38" s="22">
        <v>0</v>
      </c>
      <c r="BF38" s="22">
        <v>0</v>
      </c>
      <c r="BG38" s="22">
        <v>0</v>
      </c>
      <c r="BH38" s="22">
        <v>0</v>
      </c>
      <c r="BI38" s="22">
        <v>0</v>
      </c>
      <c r="BJ38" s="22">
        <v>0</v>
      </c>
      <c r="BK38" s="22">
        <v>0</v>
      </c>
      <c r="BL38" s="22">
        <v>0</v>
      </c>
      <c r="BM38" s="22">
        <v>0</v>
      </c>
      <c r="BN38" s="22">
        <v>0</v>
      </c>
      <c r="BO38" s="22">
        <v>0</v>
      </c>
      <c r="BP38" s="22">
        <v>0</v>
      </c>
    </row>
    <row r="39" spans="1:68">
      <c r="A39" s="8"/>
      <c r="B39" s="66">
        <v>28</v>
      </c>
      <c r="C39" s="67"/>
      <c r="D39" s="70"/>
      <c r="E39" s="41">
        <v>14.7</v>
      </c>
      <c r="F39" s="74">
        <v>0</v>
      </c>
      <c r="G39" s="55">
        <v>0</v>
      </c>
      <c r="H39" s="55">
        <v>0</v>
      </c>
      <c r="I39" s="55">
        <v>0</v>
      </c>
      <c r="J39" s="75">
        <v>0</v>
      </c>
      <c r="K39" s="41">
        <v>13.6</v>
      </c>
      <c r="L39" s="76">
        <v>0</v>
      </c>
      <c r="M39" s="41">
        <v>3.5</v>
      </c>
      <c r="N39" s="74">
        <v>0</v>
      </c>
      <c r="O39" s="55">
        <v>0</v>
      </c>
      <c r="P39" s="55">
        <v>0</v>
      </c>
      <c r="Q39" s="77">
        <v>0</v>
      </c>
      <c r="R39" s="55">
        <v>0</v>
      </c>
      <c r="S39" s="78">
        <v>0</v>
      </c>
      <c r="T39" s="75">
        <v>0</v>
      </c>
      <c r="U39" s="41">
        <v>16.8</v>
      </c>
      <c r="V39" s="74">
        <v>0</v>
      </c>
      <c r="W39" s="55">
        <v>0</v>
      </c>
      <c r="X39" s="75">
        <v>0</v>
      </c>
      <c r="Y39" s="41">
        <v>610</v>
      </c>
      <c r="Z39" s="74">
        <v>0</v>
      </c>
      <c r="AA39" s="77">
        <v>0</v>
      </c>
      <c r="AB39" s="55">
        <v>0</v>
      </c>
      <c r="AC39" s="77">
        <v>0</v>
      </c>
      <c r="AD39" s="55">
        <v>0</v>
      </c>
      <c r="AE39" s="55">
        <v>0</v>
      </c>
      <c r="AF39" s="55">
        <v>0</v>
      </c>
      <c r="AG39" s="55">
        <v>0</v>
      </c>
      <c r="AH39" s="75">
        <v>0</v>
      </c>
      <c r="AI39" s="41">
        <v>610</v>
      </c>
      <c r="AJ39" s="74">
        <v>0</v>
      </c>
      <c r="AK39" s="77">
        <v>0</v>
      </c>
      <c r="AL39" s="55">
        <v>0</v>
      </c>
      <c r="AM39" s="55">
        <v>0</v>
      </c>
      <c r="AN39" s="55">
        <v>0</v>
      </c>
      <c r="AO39" s="55">
        <v>0</v>
      </c>
      <c r="AP39" s="55">
        <v>0</v>
      </c>
      <c r="AQ39" s="55">
        <v>0</v>
      </c>
      <c r="AR39" s="55">
        <v>0</v>
      </c>
      <c r="AS39" s="55">
        <v>0</v>
      </c>
      <c r="AT39" s="55">
        <v>0</v>
      </c>
      <c r="AU39" s="55">
        <v>0</v>
      </c>
      <c r="AV39" s="55">
        <v>0</v>
      </c>
      <c r="AW39" s="55">
        <v>0</v>
      </c>
      <c r="AX39" s="55">
        <v>0</v>
      </c>
      <c r="AY39" s="55">
        <v>0</v>
      </c>
      <c r="AZ39" s="55">
        <v>0</v>
      </c>
      <c r="BA39" s="55">
        <v>0</v>
      </c>
      <c r="BB39" s="55">
        <v>0</v>
      </c>
      <c r="BC39" s="55">
        <v>0</v>
      </c>
      <c r="BD39" s="55">
        <v>0</v>
      </c>
      <c r="BE39" s="55">
        <v>0</v>
      </c>
      <c r="BF39" s="55">
        <v>0</v>
      </c>
      <c r="BG39" s="55">
        <v>0</v>
      </c>
      <c r="BH39" s="55">
        <v>0</v>
      </c>
      <c r="BI39" s="55">
        <v>0</v>
      </c>
      <c r="BJ39" s="55">
        <v>0</v>
      </c>
      <c r="BK39" s="55">
        <v>0</v>
      </c>
      <c r="BL39" s="55">
        <v>0</v>
      </c>
      <c r="BM39" s="55">
        <v>0</v>
      </c>
      <c r="BN39" s="55">
        <v>0</v>
      </c>
      <c r="BO39" s="55">
        <v>0</v>
      </c>
      <c r="BP39" s="55">
        <v>0</v>
      </c>
    </row>
    <row r="40" spans="1:68">
      <c r="A40" s="4"/>
      <c r="B40" s="51">
        <v>29</v>
      </c>
      <c r="C40" s="53"/>
      <c r="D40" s="71"/>
      <c r="E40" s="41">
        <v>15.799999999999999</v>
      </c>
      <c r="F40" s="72">
        <f>SUM(F12:F39)</f>
        <v>0</v>
      </c>
      <c r="G40" s="54">
        <f>SUM(G12:G39)</f>
        <v>0</v>
      </c>
      <c r="H40" s="54">
        <f>SUM(H12:H39)</f>
        <v>0</v>
      </c>
      <c r="I40" s="54">
        <f>SUM(I12:I39)</f>
        <v>0</v>
      </c>
      <c r="J40" s="73">
        <f>SUM(J12:J39)</f>
        <v>0</v>
      </c>
      <c r="K40" s="41">
        <v>14.7</v>
      </c>
      <c r="L40" s="96">
        <f>SUM(L12:L39)</f>
        <v>0</v>
      </c>
      <c r="M40" s="41">
        <v>3.3</v>
      </c>
      <c r="N40" s="72">
        <f>SUM(N12:N39)</f>
        <v>0</v>
      </c>
      <c r="O40" s="54">
        <f>SUM(O12:O39)</f>
        <v>0</v>
      </c>
      <c r="P40" s="54">
        <f>SUM(P12:P39)</f>
        <v>0</v>
      </c>
      <c r="Q40" s="54">
        <f>SUM(Q12:Q39)</f>
        <v>0</v>
      </c>
      <c r="R40" s="54">
        <f>SUM(R12:R39)</f>
        <v>0</v>
      </c>
      <c r="S40" s="54">
        <f>SUM(S12:S39)</f>
        <v>0</v>
      </c>
      <c r="T40" s="73">
        <f>SUM(T12:T39)</f>
        <v>0</v>
      </c>
      <c r="U40" s="41">
        <v>12.4</v>
      </c>
      <c r="V40" s="72">
        <f>SUM(V12:V39)</f>
        <v>0</v>
      </c>
      <c r="W40" s="54">
        <f>SUM(W12:W39)</f>
        <v>0</v>
      </c>
      <c r="X40" s="73">
        <f>SUM(X12:X39)</f>
        <v>0</v>
      </c>
      <c r="Y40" s="41">
        <v>670</v>
      </c>
      <c r="Z40" s="72">
        <v>0</v>
      </c>
      <c r="AA40" s="54">
        <f>SUM(AA12:AA39)</f>
        <v>0</v>
      </c>
      <c r="AB40" s="54">
        <f>SUM(AB12:AB39)</f>
        <v>0</v>
      </c>
      <c r="AC40" s="54">
        <f>SUM(AC12:AC39)</f>
        <v>0</v>
      </c>
      <c r="AD40" s="54">
        <f>SUM(AD12:AD39)</f>
        <v>0</v>
      </c>
      <c r="AE40" s="54">
        <f>SUM(AE12:AE39)</f>
        <v>0</v>
      </c>
      <c r="AF40" s="54">
        <f>SUM(AF12:AF39)</f>
        <v>0</v>
      </c>
      <c r="AG40" s="54">
        <f>SUM(AG12:AG39)</f>
        <v>0</v>
      </c>
      <c r="AH40" s="73">
        <f>SUM(AH12:AH39)</f>
        <v>0</v>
      </c>
      <c r="AI40" s="41">
        <v>370</v>
      </c>
      <c r="AJ40" s="72">
        <f>SUM(AJ12:AJ39)</f>
        <v>0</v>
      </c>
      <c r="AK40" s="54">
        <f>SUM(AK12:AK39)</f>
        <v>0</v>
      </c>
      <c r="AL40" s="54">
        <f>SUM(AL12:AL39)</f>
        <v>0</v>
      </c>
      <c r="AM40" s="54">
        <f>SUM(AM12:AM39)</f>
        <v>0</v>
      </c>
      <c r="AN40" s="54">
        <f>SUM(AN12:AN39)</f>
        <v>0</v>
      </c>
      <c r="AO40" s="54">
        <f>SUM(AO12:AO39)</f>
        <v>0</v>
      </c>
      <c r="AP40" s="54">
        <f>SUM(AP12:AP39)</f>
        <v>0</v>
      </c>
      <c r="AQ40" s="54">
        <f>SUM(AQ12:AQ39)</f>
        <v>0</v>
      </c>
      <c r="AR40" s="54">
        <f>SUM(AR12:AR39)</f>
        <v>0</v>
      </c>
      <c r="AS40" s="54">
        <f>SUM(AS12:AS39)</f>
        <v>0</v>
      </c>
      <c r="AT40" s="54">
        <f>SUM(AT12:AT39)</f>
        <v>0</v>
      </c>
      <c r="AU40" s="54">
        <f>SUM(AU12:AU39)</f>
        <v>0</v>
      </c>
      <c r="AV40" s="54">
        <f>SUM(AV12:AV39)</f>
        <v>0</v>
      </c>
      <c r="AW40" s="54">
        <f>SUM(AW12:AW39)</f>
        <v>0</v>
      </c>
      <c r="AX40" s="54">
        <f>SUM(AX12:AX39)</f>
        <v>0</v>
      </c>
      <c r="AY40" s="54">
        <f>SUM(AY12:AY39)</f>
        <v>0</v>
      </c>
      <c r="AZ40" s="54">
        <f>SUM(AZ12:AZ39)</f>
        <v>0</v>
      </c>
      <c r="BA40" s="54">
        <f>SUM(BA12:BA39)</f>
        <v>0</v>
      </c>
      <c r="BB40" s="54">
        <f>SUM(BB12:BB39)</f>
        <v>0</v>
      </c>
      <c r="BC40" s="54">
        <f>SUM(BC12:BC39)</f>
        <v>0</v>
      </c>
      <c r="BD40" s="54">
        <f>SUM(BD12:BD39)</f>
        <v>0</v>
      </c>
      <c r="BE40" s="54">
        <f>SUM(BE12:BE39)</f>
        <v>0</v>
      </c>
      <c r="BF40" s="54">
        <f>SUM(BF12:BF39)</f>
        <v>0</v>
      </c>
      <c r="BG40" s="54">
        <f>SUM(BG12:BG39)</f>
        <v>0</v>
      </c>
      <c r="BH40" s="54">
        <f>SUM(BH12:BH39)</f>
        <v>0</v>
      </c>
      <c r="BI40" s="54">
        <f>SUM(BI12:BI39)</f>
        <v>0</v>
      </c>
      <c r="BJ40" s="54">
        <f>SUM(BJ12:BJ39)</f>
        <v>0</v>
      </c>
      <c r="BK40" s="54">
        <f>SUM(BK12:BK39)</f>
        <v>0</v>
      </c>
      <c r="BL40" s="54">
        <f>SUM(BL12:BL39)</f>
        <v>0</v>
      </c>
      <c r="BM40" s="54">
        <f>SUM(BM12:BM39)</f>
        <v>0</v>
      </c>
      <c r="BN40" s="54">
        <f>SUM(BN12:BN39)</f>
        <v>0</v>
      </c>
      <c r="BO40" s="54">
        <f>SUM(BO12:BO39)</f>
        <v>0</v>
      </c>
      <c r="BP40" s="54">
        <f>SUM(BP12:BP39)</f>
        <v>0</v>
      </c>
    </row>
    <row r="41" spans="1:68">
      <c r="A41" s="4"/>
      <c r="B41" s="51">
        <v>30</v>
      </c>
      <c r="C41" s="93"/>
      <c r="D41" s="94"/>
      <c r="E41" s="41">
        <v>14</v>
      </c>
      <c r="F41" s="72">
        <f t="shared" ref="F41:J41" si="0">SUM(F13:F40)</f>
        <v>0</v>
      </c>
      <c r="G41" s="54">
        <f t="shared" si="0"/>
        <v>0</v>
      </c>
      <c r="H41" s="54">
        <f t="shared" si="0"/>
        <v>0</v>
      </c>
      <c r="I41" s="54">
        <f t="shared" si="0"/>
        <v>0</v>
      </c>
      <c r="J41" s="73">
        <f t="shared" si="0"/>
        <v>0</v>
      </c>
      <c r="K41" s="41">
        <v>16.5</v>
      </c>
      <c r="L41" s="96">
        <f t="shared" ref="L41" si="1">SUM(L13:L40)</f>
        <v>0</v>
      </c>
      <c r="M41" s="41">
        <v>6.2</v>
      </c>
      <c r="N41" s="72">
        <f t="shared" ref="N41:T41" si="2">SUM(N13:N40)</f>
        <v>0</v>
      </c>
      <c r="O41" s="54">
        <f t="shared" si="2"/>
        <v>0</v>
      </c>
      <c r="P41" s="54">
        <f t="shared" si="2"/>
        <v>0</v>
      </c>
      <c r="Q41" s="54">
        <f t="shared" si="2"/>
        <v>0</v>
      </c>
      <c r="R41" s="54">
        <f t="shared" si="2"/>
        <v>0</v>
      </c>
      <c r="S41" s="54">
        <f t="shared" si="2"/>
        <v>0</v>
      </c>
      <c r="T41" s="73">
        <f t="shared" si="2"/>
        <v>0</v>
      </c>
      <c r="U41" s="41">
        <v>13.4</v>
      </c>
      <c r="V41" s="72">
        <f t="shared" ref="V41:X41" si="3">SUM(V13:V40)</f>
        <v>0</v>
      </c>
      <c r="W41" s="54">
        <f t="shared" si="3"/>
        <v>0</v>
      </c>
      <c r="X41" s="73">
        <f t="shared" si="3"/>
        <v>0</v>
      </c>
      <c r="Y41" s="41">
        <v>520</v>
      </c>
      <c r="Z41" s="63">
        <v>0</v>
      </c>
      <c r="AA41" s="54">
        <f t="shared" ref="AA41:AH41" si="4">SUM(AA13:AA40)</f>
        <v>0</v>
      </c>
      <c r="AB41" s="54">
        <f t="shared" si="4"/>
        <v>0</v>
      </c>
      <c r="AC41" s="54">
        <f t="shared" si="4"/>
        <v>0</v>
      </c>
      <c r="AD41" s="54">
        <f t="shared" si="4"/>
        <v>0</v>
      </c>
      <c r="AE41" s="54">
        <f t="shared" si="4"/>
        <v>0</v>
      </c>
      <c r="AF41" s="54">
        <f t="shared" si="4"/>
        <v>0</v>
      </c>
      <c r="AG41" s="54">
        <f t="shared" si="4"/>
        <v>0</v>
      </c>
      <c r="AH41" s="73">
        <f t="shared" si="4"/>
        <v>0</v>
      </c>
      <c r="AI41" s="41">
        <v>440.00000000000006</v>
      </c>
      <c r="AJ41" s="63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</row>
    <row r="42" spans="1:68">
      <c r="B42" s="92">
        <v>31</v>
      </c>
      <c r="C42" s="91"/>
      <c r="D42" s="95"/>
      <c r="E42" s="41">
        <v>14.2</v>
      </c>
      <c r="F42" s="72">
        <f>SUM(F15:F41)</f>
        <v>0</v>
      </c>
      <c r="G42" s="54">
        <f>SUM(G15:G41)</f>
        <v>0</v>
      </c>
      <c r="H42" s="54">
        <f>SUM(H15:H41)</f>
        <v>0</v>
      </c>
      <c r="I42" s="54">
        <f>SUM(I15:I41)</f>
        <v>0</v>
      </c>
      <c r="J42" s="73">
        <f>SUM(J15:J41)</f>
        <v>0</v>
      </c>
      <c r="K42" s="41">
        <v>16.399999999999999</v>
      </c>
      <c r="L42" s="96">
        <f>SUM(L15:L41)</f>
        <v>0</v>
      </c>
      <c r="M42" s="41">
        <v>5.3</v>
      </c>
      <c r="N42" s="63">
        <f>SUM(N12:N41)</f>
        <v>0</v>
      </c>
      <c r="O42" s="41">
        <f>SUM(O12:O41)</f>
        <v>0</v>
      </c>
      <c r="P42" s="41">
        <f>SUM(P12:P41)</f>
        <v>0</v>
      </c>
      <c r="Q42" s="41">
        <f>SUM(Q12:Q41)</f>
        <v>0</v>
      </c>
      <c r="R42" s="41">
        <f>SUM(R12:R41)</f>
        <v>0</v>
      </c>
      <c r="S42" s="41">
        <f>SUM(S12:S41)</f>
        <v>0</v>
      </c>
      <c r="T42" s="97">
        <f>SUM(T12:T41)</f>
        <v>0</v>
      </c>
      <c r="U42" s="41">
        <v>16.399999999999999</v>
      </c>
      <c r="V42" s="72">
        <f>SUM(V15:V41)</f>
        <v>0</v>
      </c>
      <c r="W42" s="54">
        <f>SUM(W15:W41)</f>
        <v>0</v>
      </c>
      <c r="X42" s="73">
        <f>SUM(X15:X41)</f>
        <v>0</v>
      </c>
      <c r="Y42" s="41">
        <v>550</v>
      </c>
      <c r="Z42" s="63">
        <v>0</v>
      </c>
      <c r="AA42" s="54">
        <f>SUM(AA15:AA41)</f>
        <v>0</v>
      </c>
      <c r="AB42" s="54">
        <f>SUM(AB15:AB41)</f>
        <v>0</v>
      </c>
      <c r="AC42" s="54">
        <f>SUM(AC15:AC41)</f>
        <v>0</v>
      </c>
      <c r="AD42" s="54">
        <f>SUM(AD15:AD41)</f>
        <v>0</v>
      </c>
      <c r="AE42" s="54">
        <f>SUM(AE15:AE41)</f>
        <v>0</v>
      </c>
      <c r="AF42" s="54">
        <f>SUM(AF15:AF41)</f>
        <v>0</v>
      </c>
      <c r="AG42" s="54">
        <f>SUM(AG15:AG41)</f>
        <v>0</v>
      </c>
      <c r="AH42" s="73">
        <f>SUM(AH15:AH41)</f>
        <v>0</v>
      </c>
      <c r="AI42" s="41">
        <v>459.99999999999994</v>
      </c>
      <c r="AJ42" s="72">
        <f>SUM(AJ15:AJ41)</f>
        <v>0</v>
      </c>
      <c r="AK42" s="54">
        <f>SUM(AK15:AK41)</f>
        <v>0</v>
      </c>
      <c r="AL42" s="54">
        <f>SUM(AL15:AL41)</f>
        <v>0</v>
      </c>
      <c r="AM42" s="54">
        <f>SUM(AM15:AM41)</f>
        <v>0</v>
      </c>
      <c r="AN42" s="54">
        <f>SUM(AN15:AN41)</f>
        <v>0</v>
      </c>
      <c r="AO42" s="54">
        <f>SUM(AO15:AO41)</f>
        <v>0</v>
      </c>
      <c r="AP42" s="54">
        <f>SUM(AP15:AP41)</f>
        <v>0</v>
      </c>
      <c r="AQ42" s="54">
        <f>SUM(AQ15:AQ41)</f>
        <v>0</v>
      </c>
      <c r="AR42" s="54">
        <f>SUM(AR15:AR41)</f>
        <v>0</v>
      </c>
      <c r="AS42" s="54">
        <f>SUM(AS15:AS41)</f>
        <v>0</v>
      </c>
      <c r="AT42" s="54">
        <f>SUM(AT15:AT41)</f>
        <v>0</v>
      </c>
      <c r="AU42" s="54">
        <f>SUM(AU15:AU41)</f>
        <v>0</v>
      </c>
      <c r="AV42" s="54">
        <f>SUM(AV15:AV41)</f>
        <v>0</v>
      </c>
      <c r="AW42" s="54">
        <f>SUM(AW15:AW41)</f>
        <v>0</v>
      </c>
      <c r="AX42" s="54">
        <f>SUM(AX15:AX41)</f>
        <v>0</v>
      </c>
      <c r="AY42" s="54">
        <f>SUM(AY15:AY41)</f>
        <v>0</v>
      </c>
      <c r="AZ42" s="54">
        <f>SUM(AZ15:AZ41)</f>
        <v>0</v>
      </c>
      <c r="BA42" s="54">
        <f>SUM(BA15:BA41)</f>
        <v>0</v>
      </c>
      <c r="BB42" s="54">
        <f>SUM(BB15:BB41)</f>
        <v>0</v>
      </c>
      <c r="BC42" s="54">
        <f>SUM(BC15:BC41)</f>
        <v>0</v>
      </c>
      <c r="BD42" s="54">
        <f>SUM(BD15:BD41)</f>
        <v>0</v>
      </c>
      <c r="BE42" s="54">
        <f>SUM(BE15:BE41)</f>
        <v>0</v>
      </c>
      <c r="BF42" s="54">
        <f>SUM(BF15:BF41)</f>
        <v>0</v>
      </c>
      <c r="BG42" s="54">
        <f>SUM(BG15:BG41)</f>
        <v>0</v>
      </c>
      <c r="BH42" s="54">
        <f>SUM(BH15:BH41)</f>
        <v>0</v>
      </c>
      <c r="BI42" s="54">
        <f>SUM(BI15:BI41)</f>
        <v>0</v>
      </c>
      <c r="BJ42" s="54">
        <f>SUM(BJ15:BJ41)</f>
        <v>0</v>
      </c>
      <c r="BK42" s="54">
        <f>SUM(BK15:BK41)</f>
        <v>0</v>
      </c>
      <c r="BL42" s="54">
        <f>SUM(BL15:BL41)</f>
        <v>0</v>
      </c>
      <c r="BM42" s="54">
        <f>SUM(BM15:BM41)</f>
        <v>0</v>
      </c>
      <c r="BN42" s="54">
        <f>SUM(BN15:BN41)</f>
        <v>0</v>
      </c>
      <c r="BO42" s="54">
        <f>SUM(BO15:BO41)</f>
        <v>0</v>
      </c>
      <c r="BP42" s="54">
        <f>SUM(BP15:BP41)</f>
        <v>0</v>
      </c>
    </row>
    <row r="43" spans="1:68">
      <c r="E43" s="15">
        <f>SUM(E12:E42)</f>
        <v>425.69999999999993</v>
      </c>
      <c r="F43" s="15">
        <f t="shared" ref="F43:N43" si="5">SUM(F12:F42)</f>
        <v>0</v>
      </c>
      <c r="G43" s="15">
        <f t="shared" si="5"/>
        <v>0</v>
      </c>
      <c r="H43" s="15">
        <f t="shared" si="5"/>
        <v>0</v>
      </c>
      <c r="I43" s="15">
        <f t="shared" si="5"/>
        <v>0</v>
      </c>
      <c r="J43" s="15">
        <f t="shared" si="5"/>
        <v>0</v>
      </c>
      <c r="K43" s="15">
        <f t="shared" si="5"/>
        <v>439.8</v>
      </c>
      <c r="L43" s="15">
        <f t="shared" si="5"/>
        <v>0</v>
      </c>
      <c r="M43" s="15">
        <f t="shared" si="5"/>
        <v>134.9</v>
      </c>
      <c r="N43" s="15">
        <f t="shared" si="5"/>
        <v>0</v>
      </c>
      <c r="O43" s="15">
        <f t="shared" ref="O43" si="6">SUM(O12:O42)</f>
        <v>0</v>
      </c>
      <c r="P43" s="15">
        <f t="shared" ref="P43" si="7">SUM(P12:P42)</f>
        <v>0</v>
      </c>
      <c r="Q43" s="15">
        <f t="shared" ref="Q43" si="8">SUM(Q12:Q42)</f>
        <v>0</v>
      </c>
      <c r="R43" s="15">
        <f t="shared" ref="R43" si="9">SUM(R12:R42)</f>
        <v>0</v>
      </c>
      <c r="S43" s="15">
        <f t="shared" ref="S43" si="10">SUM(S12:S42)</f>
        <v>0</v>
      </c>
      <c r="T43" s="15">
        <f t="shared" ref="T43" si="11">SUM(T12:T42)</f>
        <v>0</v>
      </c>
      <c r="U43" s="15">
        <f t="shared" ref="U43" si="12">SUM(U12:U42)</f>
        <v>444.59999999999985</v>
      </c>
      <c r="V43" s="15">
        <f t="shared" ref="V43" si="13">SUM(V12:V42)</f>
        <v>0</v>
      </c>
      <c r="W43" s="15">
        <f t="shared" ref="W43" si="14">SUM(W12:W42)</f>
        <v>0</v>
      </c>
      <c r="X43" s="15">
        <f t="shared" ref="X43" si="15">SUM(X12:X42)</f>
        <v>0</v>
      </c>
      <c r="Y43" s="15">
        <f t="shared" ref="Y43" si="16">SUM(Y12:Y42)</f>
        <v>17570</v>
      </c>
      <c r="Z43" s="15">
        <f t="shared" ref="Z43" si="17">SUM(Z12:Z42)</f>
        <v>8284726</v>
      </c>
      <c r="AA43" s="15">
        <f t="shared" ref="AA43" si="18">SUM(AA12:AA42)</f>
        <v>0</v>
      </c>
      <c r="AB43" s="15">
        <f t="shared" ref="AB43" si="19">SUM(AB12:AB42)</f>
        <v>0</v>
      </c>
      <c r="AC43" s="15">
        <f t="shared" ref="AC43" si="20">SUM(AC12:AC42)</f>
        <v>0</v>
      </c>
      <c r="AD43" s="15">
        <f t="shared" ref="AD43" si="21">SUM(AD12:AD42)</f>
        <v>0</v>
      </c>
      <c r="AE43" s="15">
        <f t="shared" ref="AE43" si="22">SUM(AE12:AE42)</f>
        <v>0</v>
      </c>
      <c r="AF43" s="15">
        <f t="shared" ref="AF43" si="23">SUM(AF12:AF42)</f>
        <v>0</v>
      </c>
      <c r="AG43" s="15">
        <f t="shared" ref="AG43" si="24">SUM(AG12:AG42)</f>
        <v>0</v>
      </c>
      <c r="AH43" s="15">
        <f t="shared" ref="AH43" si="25">SUM(AH12:AH42)</f>
        <v>0</v>
      </c>
      <c r="AI43" s="15">
        <f t="shared" ref="AI43" si="26">SUM(AI12:AI42)</f>
        <v>20360</v>
      </c>
      <c r="AJ43" s="15">
        <f t="shared" ref="AJ43" si="27">SUM(AJ12:AJ42)</f>
        <v>0</v>
      </c>
      <c r="AK43" s="15">
        <f t="shared" ref="AK43" si="28">SUM(AK12:AK42)</f>
        <v>0</v>
      </c>
      <c r="AL43" s="15">
        <f t="shared" ref="AL43" si="29">SUM(AL12:AL42)</f>
        <v>0</v>
      </c>
    </row>
  </sheetData>
  <mergeCells count="11">
    <mergeCell ref="E8:J9"/>
    <mergeCell ref="B7:D7"/>
    <mergeCell ref="B8:B10"/>
    <mergeCell ref="C8:C10"/>
    <mergeCell ref="D8:D10"/>
    <mergeCell ref="U8:X9"/>
    <mergeCell ref="Y8:AL9"/>
    <mergeCell ref="AM8:BD9"/>
    <mergeCell ref="BE8:BP9"/>
    <mergeCell ref="K8:L9"/>
    <mergeCell ref="M8:T9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F317A489-5D05-4F2E-AF4C-BAADF5422A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2023-02-27T03:57:17Z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