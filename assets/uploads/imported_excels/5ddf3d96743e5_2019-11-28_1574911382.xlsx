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30" i="7" l="1"/>
  <c r="BV27" i="7" l="1"/>
  <c r="BP24" i="7"/>
  <c r="BP25" i="7"/>
  <c r="BP26" i="7"/>
  <c r="AN27" i="7"/>
  <c r="AX22" i="6" l="1"/>
  <c r="AX23" i="6"/>
  <c r="G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G22" i="3" s="1"/>
  <c r="AZ22" i="6"/>
  <c r="BA22" i="6"/>
  <c r="BB22" i="6"/>
  <c r="AY23" i="6"/>
  <c r="G23" i="3" s="1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G28" i="3" l="1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G33" i="6" l="1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<sst xmlns="http://schemas.openxmlformats.org/spreadsheetml/2006/main" count="298" uniqueCount="138">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</sst>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#,##0;[Red]#,##0"/>
    <numFmt numFmtId="166" formatCode="0.000"/>
    <numFmt numFmtId="167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K23" sqref="K2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95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102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97.6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92.6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100.3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88.5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101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'FS Desroches Daily'!CM11</f>
        <v>95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'FS Desroches Daily'!CM12</f>
        <v>87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82.4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85.6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95.5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'FS Desroches Daily'!CM16</f>
        <v>104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109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'FS Desroches Daily'!CM18</f>
        <v>59.2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'FS Desroches Daily'!CM19</f>
        <v>86.2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'FS Desroches Daily'!CM20</f>
        <v>83.5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'FS Desroches Daily'!CM21</f>
        <v>90.8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88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'FS Desroches Daily'!CM23</f>
        <v>77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10.988999999999999</v>
      </c>
      <c r="H22" s="11">
        <f t="shared" si="2"/>
        <v>0.99</v>
      </c>
      <c r="I22" s="12">
        <f>'FS Desroches Daily'!CM24</f>
        <v>85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9769.999999999558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88</v>
      </c>
      <c r="J23" s="11">
        <f t="shared" si="3"/>
        <v>10.487297712684205</v>
      </c>
      <c r="K23" s="13">
        <f>'FS Desroches Daily'!CN25</f>
        <v>38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10480.000000000306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>
        <f>'FS Desroches Daily'!CM26</f>
        <v>90</v>
      </c>
      <c r="J24" s="11">
        <f t="shared" si="3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11780.000000000115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95.8</v>
      </c>
      <c r="J25" s="11">
        <f t="shared" si="3"/>
        <v>10.487297712684205</v>
      </c>
      <c r="K25" s="13">
        <f>'FS Desroches Daily'!CN27</f>
        <v>36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9250.0000000000091</v>
      </c>
      <c r="F26" s="11">
        <f t="shared" si="1"/>
        <v>0.58765030286592534</v>
      </c>
      <c r="G26" s="12">
        <f>(Submetering!AX26+Submetering!AY26+Submetering!AZ26+Submetering!BA26+Submetering!BB26)</f>
        <v>27.472499999999997</v>
      </c>
      <c r="H26" s="11">
        <f t="shared" si="2"/>
        <v>0.99</v>
      </c>
      <c r="I26" s="12">
        <f>'FS Desroches Daily'!CM28</f>
        <v>83.7</v>
      </c>
      <c r="J26" s="11">
        <f t="shared" si="3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7969.9999999998454</v>
      </c>
      <c r="F27" s="11">
        <f t="shared" si="1"/>
        <v>0.58765030286592534</v>
      </c>
      <c r="G27" s="12">
        <f>(Submetering!AX27+Submetering!AY27+Submetering!AZ27+Submetering!BA27+Submetering!BB27)</f>
        <v>31.135499999999997</v>
      </c>
      <c r="H27" s="11">
        <f t="shared" si="2"/>
        <v>0.99</v>
      </c>
      <c r="I27" s="12">
        <f>'FS Desroches Daily'!CM29</f>
        <v>82.1</v>
      </c>
      <c r="J27" s="11">
        <f t="shared" si="3"/>
        <v>10.487297712684205</v>
      </c>
      <c r="K27" s="13">
        <f>'FS Desroches Daily'!CN29</f>
        <v>30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8810.0000000003965</v>
      </c>
      <c r="F28" s="11">
        <f t="shared" si="1"/>
        <v>0.58765030286592534</v>
      </c>
      <c r="G28" s="12">
        <f>(Submetering!AX28+Submetering!AY28+Submetering!AZ28+Submetering!BA28+Submetering!BB28)</f>
        <v>27.472499999999997</v>
      </c>
      <c r="H28" s="11">
        <f t="shared" si="2"/>
        <v>0.99</v>
      </c>
      <c r="I28" s="12">
        <f>'FS Desroches Daily'!CM30</f>
        <v>88.2</v>
      </c>
      <c r="J28" s="11">
        <f t="shared" si="3"/>
        <v>10.487297712684205</v>
      </c>
      <c r="K28" s="13">
        <f>'FS Desroches Daily'!CN30</f>
        <v>26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 t="e">
        <f>Submetering!E29+Submetering!F29+Submetering!G29+Submetering!H29-Submetering!AV29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29.303999999999998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22" sqref="AX22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70</v>
      </c>
      <c r="F1" s="62" t="s">
        <v>71</v>
      </c>
      <c r="G1" s="62" t="s">
        <v>72</v>
      </c>
      <c r="H1" s="62" t="s">
        <v>73</v>
      </c>
      <c r="I1" s="62" t="s">
        <v>74</v>
      </c>
      <c r="J1" s="62" t="s">
        <v>75</v>
      </c>
      <c r="K1" s="62" t="s">
        <v>76</v>
      </c>
      <c r="L1" s="62" t="s">
        <v>77</v>
      </c>
      <c r="M1" s="62" t="s">
        <v>113</v>
      </c>
      <c r="N1" s="62" t="s">
        <v>112</v>
      </c>
      <c r="O1" s="62" t="s">
        <v>78</v>
      </c>
      <c r="P1" s="62" t="s">
        <v>79</v>
      </c>
      <c r="Q1" s="62" t="s">
        <v>80</v>
      </c>
      <c r="R1" s="62" t="s">
        <v>81</v>
      </c>
      <c r="S1" s="62" t="s">
        <v>82</v>
      </c>
      <c r="T1" s="62" t="s">
        <v>83</v>
      </c>
      <c r="U1" s="66" t="s">
        <v>84</v>
      </c>
      <c r="V1" s="66" t="s">
        <v>85</v>
      </c>
      <c r="W1" s="66" t="s">
        <v>86</v>
      </c>
      <c r="X1" s="66" t="s">
        <v>87</v>
      </c>
      <c r="Y1" s="66" t="s">
        <v>88</v>
      </c>
      <c r="Z1" s="66" t="s">
        <v>89</v>
      </c>
      <c r="AA1" s="66" t="s">
        <v>90</v>
      </c>
      <c r="AB1" s="66" t="s">
        <v>91</v>
      </c>
      <c r="AC1" s="66" t="s">
        <v>92</v>
      </c>
      <c r="AD1" s="66" t="s">
        <v>93</v>
      </c>
      <c r="AE1" s="66" t="s">
        <v>94</v>
      </c>
      <c r="AF1" s="62" t="s">
        <v>95</v>
      </c>
      <c r="AG1" s="65" t="s">
        <v>96</v>
      </c>
      <c r="AH1" s="65" t="s">
        <v>97</v>
      </c>
      <c r="AI1" s="65" t="s">
        <v>98</v>
      </c>
      <c r="AJ1" s="65" t="s">
        <v>99</v>
      </c>
      <c r="AK1" s="65" t="s">
        <v>100</v>
      </c>
      <c r="AL1" s="65" t="s">
        <v>101</v>
      </c>
      <c r="AM1" s="65" t="s">
        <v>102</v>
      </c>
      <c r="AN1" s="65" t="s">
        <v>103</v>
      </c>
      <c r="AO1" s="65" t="s">
        <v>104</v>
      </c>
      <c r="AP1" s="65" t="s">
        <v>105</v>
      </c>
      <c r="AQ1" s="62" t="s">
        <v>106</v>
      </c>
      <c r="AR1" s="62" t="s">
        <v>107</v>
      </c>
      <c r="AS1" s="62" t="s">
        <v>108</v>
      </c>
      <c r="AT1" s="62" t="s">
        <v>109</v>
      </c>
      <c r="AU1" s="62" t="s">
        <v>110</v>
      </c>
      <c r="AV1" s="62" t="s">
        <v>111</v>
      </c>
      <c r="AW1" s="62" t="s">
        <v>51</v>
      </c>
      <c r="AX1" s="62" t="s">
        <v>114</v>
      </c>
      <c r="AY1" s="62" t="s">
        <v>117</v>
      </c>
      <c r="AZ1" s="62" t="s">
        <v>118</v>
      </c>
      <c r="BA1" s="62" t="s">
        <v>115</v>
      </c>
      <c r="BB1" s="62" t="s">
        <v>116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>
        <f>'FS Desroches Daily'!CB22</f>
        <v>26</v>
      </c>
      <c r="AR20" s="63">
        <f>'FS Desroches Daily'!CD22</f>
        <v>11</v>
      </c>
      <c r="AS20" s="63">
        <f>'FS Desroches Daily'!CF22</f>
        <v>10</v>
      </c>
      <c r="AT20" s="63">
        <f>'FS Desroches Daily'!CH22</f>
        <v>25</v>
      </c>
      <c r="AU20" s="63">
        <f>'FS Desroches Daily'!CJ22</f>
        <v>283</v>
      </c>
      <c r="AV20" s="63">
        <f>'FS Desroches Daily'!CL22</f>
        <v>460.00000000003638</v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21.5</v>
      </c>
      <c r="AR21" s="63">
        <f>'FS Desroches Daily'!CD23</f>
        <v>17.199999999998909</v>
      </c>
      <c r="AS21" s="63">
        <f>'FS Desroches Daily'!CF23</f>
        <v>12.5</v>
      </c>
      <c r="AT21" s="63">
        <f>'FS Desroches Daily'!CH23</f>
        <v>53</v>
      </c>
      <c r="AU21" s="63">
        <f>'FS Desroches Daily'!CJ23</f>
        <v>372</v>
      </c>
      <c r="AV21" s="63">
        <f>'FS Desroches Daily'!CL23</f>
        <v>879.99999999999545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105.90000000000146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7.3259999999999996</v>
      </c>
      <c r="AY22" s="63">
        <f>IF(LPG!H29-LPG!H28&lt;0,"0",(LPG!H29-LPG!H28)*1.8315)</f>
        <v>1.8314999999999999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1.8314999999999999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>
        <f>'FS Desroches Daily'!D25</f>
        <v>1999.9999999997797</v>
      </c>
      <c r="F23" s="64">
        <f>'FS Desroches Daily'!F25</f>
        <v>3499.9999999998367</v>
      </c>
      <c r="G23" s="63">
        <f>'FS Desroches Daily'!H25</f>
        <v>3299.9999999998586</v>
      </c>
      <c r="H23" s="64">
        <f>'FS Desroches Daily'!J25</f>
        <v>1590.0000000000318</v>
      </c>
      <c r="I23" s="63">
        <f>'FS Desroches Daily'!L25</f>
        <v>2600.0000000001578</v>
      </c>
      <c r="J23" s="64">
        <f>'FS Desroches Daily'!N25</f>
        <v>1930.0000000000637</v>
      </c>
      <c r="K23" s="13">
        <f>'FS Desroches Daily'!P25</f>
        <v>21</v>
      </c>
      <c r="L23" s="63">
        <f>'FS Desroches Daily'!R25</f>
        <v>9</v>
      </c>
      <c r="M23" s="63">
        <f>'FS Desroches Daily'!T25</f>
        <v>1417</v>
      </c>
      <c r="N23" s="63">
        <f>'FS Desroches Daily'!V25</f>
        <v>575</v>
      </c>
      <c r="O23" s="63">
        <f>'FS Desroches Daily'!X25</f>
        <v>529.99999999997272</v>
      </c>
      <c r="P23" s="63">
        <f>'FS Desroches Daily'!Z25</f>
        <v>3100.0000000001028</v>
      </c>
      <c r="Q23" s="63">
        <f>'FS Desroches Daily'!AB25</f>
        <v>459.99999999997954</v>
      </c>
      <c r="R23" s="63">
        <f>'FS Desroches Daily'!AD25</f>
        <v>460.00000000000796</v>
      </c>
      <c r="S23" s="63">
        <f>'FS Desroches Daily'!AF25</f>
        <v>910.00000000002501</v>
      </c>
      <c r="T23" s="63">
        <f>'FS Desroches Daily'!AH25</f>
        <v>1.9000000000000909</v>
      </c>
      <c r="U23" s="67">
        <f>'FS Desroches Daily'!AJ25</f>
        <v>529.99999999997272</v>
      </c>
      <c r="V23" s="67">
        <f>'FS Desroches Daily'!AL25</f>
        <v>9.0000000000003411E-2</v>
      </c>
      <c r="W23" s="67">
        <f>'FS Desroches Daily'!AN25</f>
        <v>0.22999999999998977</v>
      </c>
      <c r="X23" s="67">
        <f>'FS Desroches Daily'!AP25</f>
        <v>0.1600000000000108</v>
      </c>
      <c r="Y23" s="67">
        <f>'FS Desroches Daily'!AR25</f>
        <v>90.000000000003411</v>
      </c>
      <c r="Z23" s="67">
        <f>'FS Desroches Daily'!AT25</f>
        <v>339.99999999997499</v>
      </c>
      <c r="AA23" s="67">
        <f>'FS Desroches Daily'!AT25</f>
        <v>339.99999999997499</v>
      </c>
      <c r="AB23" s="67">
        <f>'FS Desroches Daily'!AV25</f>
        <v>129.99999999999545</v>
      </c>
      <c r="AC23" s="67">
        <f>'FS Desroches Daily'!AZ25</f>
        <v>50.000000000011369</v>
      </c>
      <c r="AD23" s="67">
        <f>'FS Desroches Daily'!BB25</f>
        <v>50.000000000011369</v>
      </c>
      <c r="AE23" s="67">
        <f>'FS Desroches Daily'!BD25</f>
        <v>20.000000000010232</v>
      </c>
      <c r="AF23" s="63">
        <f>'FS Desroches Daily'!BF25</f>
        <v>50</v>
      </c>
      <c r="AG23" s="64">
        <f>'FS Desroches Daily'!BH25</f>
        <v>39.999999999992042</v>
      </c>
      <c r="AH23" s="64">
        <f>'FS Desroches Daily'!BJ25</f>
        <v>60.000000000002274</v>
      </c>
      <c r="AI23" s="64">
        <f>'FS Desroches Daily'!BL25</f>
        <v>60.000000000002274</v>
      </c>
      <c r="AJ23" s="64">
        <f>'FS Desroches Daily'!BN25</f>
        <v>50.000000000011369</v>
      </c>
      <c r="AK23" s="64">
        <f>'FS Desroches Daily'!BP25</f>
        <v>0</v>
      </c>
      <c r="AL23" s="64">
        <f>'FS Desroches Daily'!BR25</f>
        <v>48</v>
      </c>
      <c r="AM23" s="64">
        <f>'FS Desroches Daily'!BT25</f>
        <v>60.000000000002274</v>
      </c>
      <c r="AN23" s="64">
        <f>'FS Desroches Daily'!BV25</f>
        <v>50</v>
      </c>
      <c r="AO23" s="64">
        <f>'FS Desroches Daily'!BX25</f>
        <v>39.999999999992042</v>
      </c>
      <c r="AP23" s="64">
        <f>'FS Desroches Daily'!BZ25</f>
        <v>75</v>
      </c>
      <c r="AQ23" s="63">
        <f>'FS Desroches Daily'!CB25</f>
        <v>18.200000000000728</v>
      </c>
      <c r="AR23" s="63">
        <f>'FS Desroches Daily'!CD25</f>
        <v>10.700000000000728</v>
      </c>
      <c r="AS23" s="63">
        <f>'FS Desroches Daily'!CF25</f>
        <v>8.6999999999998181</v>
      </c>
      <c r="AT23" s="63">
        <f>'FS Desroches Daily'!CH25</f>
        <v>52</v>
      </c>
      <c r="AU23" s="63">
        <f>'FS Desroches Daily'!CJ25</f>
        <v>333</v>
      </c>
      <c r="AV23" s="63">
        <f>'FS Desroches Daily'!CL25</f>
        <v>619.9999999999477</v>
      </c>
      <c r="AW23" s="63">
        <f>'FS Desroches Daily'!CM25</f>
        <v>88</v>
      </c>
      <c r="AX23" s="63">
        <f>IF(LPG!F30-LPG!F29&lt;0,"0",(LPG!F30-LPG!F29)*1.8315)</f>
        <v>9.1574999999999989</v>
      </c>
      <c r="AY23" s="63">
        <f>IF(LPG!H30-LPG!H29&lt;0,"0",(LPG!H30-LPG!H29)*1.8315)</f>
        <v>1.8314999999999999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3.6629999999999998</v>
      </c>
      <c r="BC23" s="13">
        <f>'FS Desroches Daily'!CN25</f>
        <v>38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2300.000000000191</v>
      </c>
      <c r="F24" s="64">
        <f>'FS Desroches Daily'!F26</f>
        <v>3700.0000000002588</v>
      </c>
      <c r="G24" s="63">
        <f>'FS Desroches Daily'!H26</f>
        <v>3499.9999999998367</v>
      </c>
      <c r="H24" s="64">
        <f>'FS Desroches Daily'!J26</f>
        <v>1600.0000000000227</v>
      </c>
      <c r="I24" s="63">
        <f>'FS Desroches Daily'!L26</f>
        <v>2799.9999999999136</v>
      </c>
      <c r="J24" s="64">
        <f>'FS Desroches Daily'!N26</f>
        <v>1750</v>
      </c>
      <c r="K24" s="13">
        <f>'FS Desroches Daily'!P26</f>
        <v>19</v>
      </c>
      <c r="L24" s="63">
        <f>'FS Desroches Daily'!R26</f>
        <v>9</v>
      </c>
      <c r="M24" s="63">
        <f>'FS Desroches Daily'!T26</f>
        <v>987</v>
      </c>
      <c r="N24" s="63">
        <f>'FS Desroches Daily'!V26</f>
        <v>400</v>
      </c>
      <c r="O24" s="63">
        <f>'FS Desroches Daily'!X26</f>
        <v>420.00000000001592</v>
      </c>
      <c r="P24" s="63">
        <f>'FS Desroches Daily'!Z26</f>
        <v>3100.0000000001028</v>
      </c>
      <c r="Q24" s="63">
        <f>'FS Desroches Daily'!AB26</f>
        <v>329.99999999998408</v>
      </c>
      <c r="R24" s="63">
        <f>'FS Desroches Daily'!AD26</f>
        <v>449.99999999998863</v>
      </c>
      <c r="S24" s="63">
        <f>'FS Desroches Daily'!AF26</f>
        <v>870.00000000000455</v>
      </c>
      <c r="T24" s="63">
        <f>'FS Desroches Daily'!AH26</f>
        <v>1.7999999999999545</v>
      </c>
      <c r="U24" s="67">
        <f>'FS Desroches Daily'!AJ26</f>
        <v>790.00000000002046</v>
      </c>
      <c r="V24" s="67">
        <f>'FS Desroches Daily'!AL26</f>
        <v>6.0000000000002274E-2</v>
      </c>
      <c r="W24" s="67">
        <f>'FS Desroches Daily'!AN26</f>
        <v>0.21999999999999886</v>
      </c>
      <c r="X24" s="67">
        <f>'FS Desroches Daily'!AP26</f>
        <v>0.17999999999999261</v>
      </c>
      <c r="Y24" s="67">
        <f>'FS Desroches Daily'!AR26</f>
        <v>79.999999999984084</v>
      </c>
      <c r="Z24" s="67">
        <f>'FS Desroches Daily'!AT26</f>
        <v>310.00000000000227</v>
      </c>
      <c r="AA24" s="67">
        <f>'FS Desroches Daily'!AT26</f>
        <v>310.00000000000227</v>
      </c>
      <c r="AB24" s="67">
        <f>'FS Desroches Daily'!AV26</f>
        <v>99.999999999994316</v>
      </c>
      <c r="AC24" s="67">
        <f>'FS Desroches Daily'!AZ26</f>
        <v>69.999999999993179</v>
      </c>
      <c r="AD24" s="67">
        <f>'FS Desroches Daily'!BB26</f>
        <v>40.000000000020464</v>
      </c>
      <c r="AE24" s="67">
        <f>'FS Desroches Daily'!BD26</f>
        <v>20.000000000010232</v>
      </c>
      <c r="AF24" s="63">
        <f>'FS Desroches Daily'!BF26</f>
        <v>48</v>
      </c>
      <c r="AG24" s="64">
        <f>'FS Desroches Daily'!BH26</f>
        <v>20.000000000010232</v>
      </c>
      <c r="AH24" s="64">
        <f>'FS Desroches Daily'!BJ26</f>
        <v>30.000000000029559</v>
      </c>
      <c r="AI24" s="64">
        <f>'FS Desroches Daily'!BL26</f>
        <v>39.999999999992042</v>
      </c>
      <c r="AJ24" s="64">
        <f>'FS Desroches Daily'!BN26</f>
        <v>30.000000000001137</v>
      </c>
      <c r="AK24" s="64">
        <f>'FS Desroches Daily'!BP26</f>
        <v>89.999999999974989</v>
      </c>
      <c r="AL24" s="64">
        <f>'FS Desroches Daily'!BR26</f>
        <v>33</v>
      </c>
      <c r="AM24" s="64">
        <f>'FS Desroches Daily'!BT26</f>
        <v>30.000000000001137</v>
      </c>
      <c r="AN24" s="64">
        <f>'FS Desroches Daily'!BV26</f>
        <v>31</v>
      </c>
      <c r="AO24" s="64">
        <f>'FS Desroches Daily'!BX26</f>
        <v>30.000000000001137</v>
      </c>
      <c r="AP24" s="64">
        <f>'FS Desroches Daily'!BZ26</f>
        <v>40</v>
      </c>
      <c r="AQ24" s="63">
        <f>'FS Desroches Daily'!CB26</f>
        <v>22.099999999998545</v>
      </c>
      <c r="AR24" s="63">
        <f>'FS Desroches Daily'!CD26</f>
        <v>17.799999999999272</v>
      </c>
      <c r="AS24" s="63">
        <f>'FS Desroches Daily'!CF26</f>
        <v>2</v>
      </c>
      <c r="AT24" s="63">
        <f>'FS Desroches Daily'!CH26</f>
        <v>34</v>
      </c>
      <c r="AU24" s="63">
        <f>'FS Desroches Daily'!CJ26</f>
        <v>320</v>
      </c>
      <c r="AV24" s="63">
        <f>'FS Desroches Daily'!CL26</f>
        <v>620.00000000000455</v>
      </c>
      <c r="AW24" s="63">
        <f>'FS Desroches Daily'!CM26</f>
        <v>90</v>
      </c>
      <c r="AX24" s="63">
        <f>IF(LPG!F31-LPG!F30&lt;0,"0",(LPG!F31-LPG!F30)*1.8315)</f>
        <v>14.651999999999999</v>
      </c>
      <c r="AY24" s="63">
        <f>IF(LPG!H31-LPG!H30&lt;0,"0",(LPG!H31-LPG!H30)*1.8315)</f>
        <v>3.6629999999999998</v>
      </c>
      <c r="AZ24" s="63">
        <f>IF(LPG!J31-LPG!J30&lt;0,"0",(LPG!J31-LPG!J30)*1.8315)</f>
        <v>3.6629999999999998</v>
      </c>
      <c r="BA24" s="63">
        <f>IF(LPG!M31-LPG!M30&lt;0,"0",(LPG!M31-LPG!M30)*1.8315)</f>
        <v>5.4944999999999995</v>
      </c>
      <c r="BB24" s="63">
        <f>IF(LPG!Q31-LPG!Q30&lt;0,"0",(LPG!Q31-LPG!Q30)*1.8315)</f>
        <v>3.6629999999999998</v>
      </c>
      <c r="BC24" s="13">
        <f>'FS Desroches Daily'!CN26</f>
        <v>35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2899.9999999999027</v>
      </c>
      <c r="F25" s="64">
        <f>'FS Desroches Daily'!F27</f>
        <v>4000.0000000000036</v>
      </c>
      <c r="G25" s="63">
        <f>'FS Desroches Daily'!H27</f>
        <v>3700.0000000002588</v>
      </c>
      <c r="H25" s="64">
        <f>'FS Desroches Daily'!J27</f>
        <v>1919.9999999999591</v>
      </c>
      <c r="I25" s="63">
        <f>'FS Desroches Daily'!L27</f>
        <v>3100.0000000001028</v>
      </c>
      <c r="J25" s="64">
        <f>'FS Desroches Daily'!N27</f>
        <v>2139.9999999999864</v>
      </c>
      <c r="K25" s="13">
        <f>'FS Desroches Daily'!P27</f>
        <v>23</v>
      </c>
      <c r="L25" s="63">
        <f>'FS Desroches Daily'!R27</f>
        <v>10</v>
      </c>
      <c r="M25" s="63">
        <f>'FS Desroches Daily'!T27</f>
        <v>1848</v>
      </c>
      <c r="N25" s="63">
        <f>'FS Desroches Daily'!V27</f>
        <v>786</v>
      </c>
      <c r="O25" s="63">
        <f>'FS Desroches Daily'!X27</f>
        <v>470.00000000002728</v>
      </c>
      <c r="P25" s="63">
        <f>'FS Desroches Daily'!Z27</f>
        <v>3299.9999999998586</v>
      </c>
      <c r="Q25" s="63">
        <f>'FS Desroches Daily'!AB27</f>
        <v>560.00000000000227</v>
      </c>
      <c r="R25" s="63">
        <f>'FS Desroches Daily'!AD27</f>
        <v>500</v>
      </c>
      <c r="S25" s="63">
        <f>'FS Desroches Daily'!AF27</f>
        <v>990.00000000000909</v>
      </c>
      <c r="T25" s="63">
        <f>'FS Desroches Daily'!AH27</f>
        <v>1.8999999999999773</v>
      </c>
      <c r="U25" s="67">
        <f>'FS Desroches Daily'!AJ27</f>
        <v>930.00000000000682</v>
      </c>
      <c r="V25" s="67">
        <f>'FS Desroches Daily'!AL27</f>
        <v>4.9999999999997158E-2</v>
      </c>
      <c r="W25" s="67">
        <f>'FS Desroches Daily'!AN27</f>
        <v>0.27000000000001023</v>
      </c>
      <c r="X25" s="67">
        <f>'FS Desroches Daily'!AP27</f>
        <v>0.31000000000000227</v>
      </c>
      <c r="Y25" s="67">
        <f>'FS Desroches Daily'!AR27</f>
        <v>90.000000000003411</v>
      </c>
      <c r="Z25" s="67">
        <f>'FS Desroches Daily'!AT27</f>
        <v>259.99999999999091</v>
      </c>
      <c r="AA25" s="67">
        <f>'FS Desroches Daily'!AT27</f>
        <v>259.99999999999091</v>
      </c>
      <c r="AB25" s="67">
        <f>'FS Desroches Daily'!AV27</f>
        <v>170.00000000001592</v>
      </c>
      <c r="AC25" s="67">
        <f>'FS Desroches Daily'!AZ27</f>
        <v>89.999999999974989</v>
      </c>
      <c r="AD25" s="67">
        <f>'FS Desroches Daily'!BB27</f>
        <v>29.999999999972715</v>
      </c>
      <c r="AE25" s="67">
        <f>'FS Desroches Daily'!BD27</f>
        <v>9.9999999999909051</v>
      </c>
      <c r="AF25" s="63">
        <f>'FS Desroches Daily'!BF27</f>
        <v>53</v>
      </c>
      <c r="AG25" s="64">
        <f>'FS Desroches Daily'!BH27</f>
        <v>20.000000000010232</v>
      </c>
      <c r="AH25" s="64">
        <f>'FS Desroches Daily'!BJ27</f>
        <v>49.999999999954525</v>
      </c>
      <c r="AI25" s="64">
        <f>'FS Desroches Daily'!BL27</f>
        <v>40.000000000020464</v>
      </c>
      <c r="AJ25" s="64">
        <f>'FS Desroches Daily'!BN27</f>
        <v>49.999999999982947</v>
      </c>
      <c r="AK25" s="64">
        <f>'FS Desroches Daily'!BP27</f>
        <v>40.000000000020464</v>
      </c>
      <c r="AL25" s="64">
        <f>'FS Desroches Daily'!BR27</f>
        <v>37</v>
      </c>
      <c r="AM25" s="64">
        <f>'FS Desroches Daily'!BT27</f>
        <v>50.000000000011369</v>
      </c>
      <c r="AN25" s="64">
        <f>'FS Desroches Daily'!BV27</f>
        <v>41</v>
      </c>
      <c r="AO25" s="64">
        <f>'FS Desroches Daily'!BX27</f>
        <v>39.999999999992042</v>
      </c>
      <c r="AP25" s="64">
        <f>'FS Desroches Daily'!BZ27</f>
        <v>67</v>
      </c>
      <c r="AQ25" s="63">
        <f>'FS Desroches Daily'!CB27</f>
        <v>36.099999999998545</v>
      </c>
      <c r="AR25" s="63">
        <f>'FS Desroches Daily'!CD27</f>
        <v>12.600000000000364</v>
      </c>
      <c r="AS25" s="63">
        <f>'FS Desroches Daily'!CF27</f>
        <v>10.700000000000728</v>
      </c>
      <c r="AT25" s="63">
        <f>'FS Desroches Daily'!CH27</f>
        <v>91.900000000001455</v>
      </c>
      <c r="AU25" s="63">
        <f>'FS Desroches Daily'!CJ27</f>
        <v>400</v>
      </c>
      <c r="AV25" s="63">
        <f>'FS Desroches Daily'!CL27</f>
        <v>740.00000000000909</v>
      </c>
      <c r="AW25" s="63">
        <f>'FS Desroches Daily'!CM27</f>
        <v>95.8</v>
      </c>
      <c r="AX25" s="63">
        <f>IF(LPG!F32-LPG!F31&lt;0,"0",(LPG!F32-LPG!F31)*1.8315)</f>
        <v>12.820499999999999</v>
      </c>
      <c r="AY25" s="63">
        <f>IF(LPG!H32-LPG!H31&lt;0,"0",(LPG!H32-LPG!H31)*1.8315)</f>
        <v>3.6629999999999998</v>
      </c>
      <c r="AZ25" s="63">
        <f>IF(LPG!J32-LPG!J31&lt;0,"0",(LPG!J32-LPG!J31)*1.8315)</f>
        <v>1.8314999999999999</v>
      </c>
      <c r="BA25" s="63">
        <f>IF(LPG!M32-LPG!M31&lt;0,"0",(LPG!M32-LPG!M31)*1.8315)</f>
        <v>0</v>
      </c>
      <c r="BB25" s="63">
        <f>IF(LPG!Q32-LPG!Q31&lt;0,"0",(LPG!Q32-LPG!Q31)*1.8315)</f>
        <v>3.6629999999999998</v>
      </c>
      <c r="BC25" s="13">
        <f>'FS Desroches Daily'!CN27</f>
        <v>36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2000.0000000000018</v>
      </c>
      <c r="F26" s="64">
        <f>'FS Desroches Daily'!F28</f>
        <v>3200.0000000000919</v>
      </c>
      <c r="G26" s="63">
        <f>'FS Desroches Daily'!H28</f>
        <v>3299.9999999998586</v>
      </c>
      <c r="H26" s="64">
        <f>'FS Desroches Daily'!J28</f>
        <v>1420.0000000000728</v>
      </c>
      <c r="I26" s="63">
        <f>'FS Desroches Daily'!L28</f>
        <v>2599.9999999999359</v>
      </c>
      <c r="J26" s="64">
        <f>'FS Desroches Daily'!N28</f>
        <v>1689.9999999999409</v>
      </c>
      <c r="K26" s="13">
        <f>'FS Desroches Daily'!P28</f>
        <v>16</v>
      </c>
      <c r="L26" s="63">
        <f>'FS Desroches Daily'!R28</f>
        <v>11</v>
      </c>
      <c r="M26" s="63">
        <f>'FS Desroches Daily'!T28</f>
        <v>1483</v>
      </c>
      <c r="N26" s="63">
        <f>'FS Desroches Daily'!V28</f>
        <v>595</v>
      </c>
      <c r="O26" s="63">
        <f>'FS Desroches Daily'!X28</f>
        <v>399.99999999997726</v>
      </c>
      <c r="P26" s="63">
        <f>'FS Desroches Daily'!Z28</f>
        <v>3100.0000000001028</v>
      </c>
      <c r="Q26" s="63">
        <f>'FS Desroches Daily'!AB28</f>
        <v>540.00000000002046</v>
      </c>
      <c r="R26" s="63">
        <f>'FS Desroches Daily'!AD28</f>
        <v>409.99999999999659</v>
      </c>
      <c r="S26" s="63">
        <f>'FS Desroches Daily'!AF28</f>
        <v>669.99999999995907</v>
      </c>
      <c r="T26" s="63">
        <f>'FS Desroches Daily'!AH28</f>
        <v>1.8999999999999773</v>
      </c>
      <c r="U26" s="67">
        <f>'FS Desroches Daily'!AJ28</f>
        <v>740.00000000000909</v>
      </c>
      <c r="V26" s="67">
        <f>'FS Desroches Daily'!AL28</f>
        <v>6.0000000000002274E-2</v>
      </c>
      <c r="W26" s="67">
        <f>'FS Desroches Daily'!AN28</f>
        <v>0.22999999999998977</v>
      </c>
      <c r="X26" s="67">
        <f>'FS Desroches Daily'!AP28</f>
        <v>0.23999999999999488</v>
      </c>
      <c r="Y26" s="67">
        <f>'FS Desroches Daily'!AR28</f>
        <v>69.999999999993179</v>
      </c>
      <c r="Z26" s="67">
        <f>'FS Desroches Daily'!AT28</f>
        <v>160.00000000002501</v>
      </c>
      <c r="AA26" s="67">
        <f>'FS Desroches Daily'!AT28</f>
        <v>160.00000000002501</v>
      </c>
      <c r="AB26" s="67">
        <f>'FS Desroches Daily'!AV28</f>
        <v>159.99999999999659</v>
      </c>
      <c r="AC26" s="67">
        <f>'FS Desroches Daily'!AZ28</f>
        <v>70.000000000050022</v>
      </c>
      <c r="AD26" s="67">
        <f>'FS Desroches Daily'!BB28</f>
        <v>50.000000000011369</v>
      </c>
      <c r="AE26" s="67">
        <f>'FS Desroches Daily'!BD28</f>
        <v>20.000000000010232</v>
      </c>
      <c r="AF26" s="63">
        <f>'FS Desroches Daily'!BF28</f>
        <v>73</v>
      </c>
      <c r="AG26" s="64">
        <f>'FS Desroches Daily'!BH28</f>
        <v>39.999999999992042</v>
      </c>
      <c r="AH26" s="64">
        <f>'FS Desroches Daily'!BJ28</f>
        <v>40.000000000020464</v>
      </c>
      <c r="AI26" s="64">
        <f>'FS Desroches Daily'!BL28</f>
        <v>60.000000000002274</v>
      </c>
      <c r="AJ26" s="64">
        <f>'FS Desroches Daily'!BN28</f>
        <v>40.000000000020464</v>
      </c>
      <c r="AK26" s="64">
        <f>'FS Desroches Daily'!BP28</f>
        <v>49.999999999954525</v>
      </c>
      <c r="AL26" s="64">
        <f>'FS Desroches Daily'!BR28</f>
        <v>44</v>
      </c>
      <c r="AM26" s="64">
        <f>'FS Desroches Daily'!BT28</f>
        <v>39.999999999992042</v>
      </c>
      <c r="AN26" s="64">
        <f>'FS Desroches Daily'!BV28</f>
        <v>40</v>
      </c>
      <c r="AO26" s="64">
        <f>'FS Desroches Daily'!BX28</f>
        <v>39.999999999992042</v>
      </c>
      <c r="AP26" s="64">
        <f>'FS Desroches Daily'!BZ28</f>
        <v>58</v>
      </c>
      <c r="AQ26" s="63">
        <f>'FS Desroches Daily'!CB28</f>
        <v>28.80000000000291</v>
      </c>
      <c r="AR26" s="63">
        <f>'FS Desroches Daily'!CD28</f>
        <v>15.399999999999636</v>
      </c>
      <c r="AS26" s="63">
        <f>'FS Desroches Daily'!CF28</f>
        <v>10.799999999999272</v>
      </c>
      <c r="AT26" s="63">
        <f>'FS Desroches Daily'!CH28</f>
        <v>58.69999999999709</v>
      </c>
      <c r="AU26" s="63">
        <f>'FS Desroches Daily'!CJ28</f>
        <v>323</v>
      </c>
      <c r="AV26" s="63">
        <f>'FS Desroches Daily'!CL28</f>
        <v>670.00000000001592</v>
      </c>
      <c r="AW26" s="63">
        <f>'FS Desroches Daily'!CM28</f>
        <v>83.7</v>
      </c>
      <c r="AX26" s="63">
        <f>IF(LPG!F33-LPG!F32&lt;0,"0",(LPG!F33-LPG!F32)*1.8315)</f>
        <v>14.651999999999999</v>
      </c>
      <c r="AY26" s="63">
        <f>IF(LPG!H33-LPG!H32&lt;0,"0",(LPG!H33-LPG!H32)*1.8315)</f>
        <v>3.6629999999999998</v>
      </c>
      <c r="AZ26" s="63">
        <f>IF(LPG!J33-LPG!J32&lt;0,"0",(LPG!J33-LPG!J32)*1.8315)</f>
        <v>0</v>
      </c>
      <c r="BA26" s="63">
        <f>IF(LPG!M33-LPG!M32&lt;0,"0",(LPG!M33-LPG!M32)*1.8315)</f>
        <v>5.4944999999999995</v>
      </c>
      <c r="BB26" s="63">
        <f>IF(LPG!Q33-LPG!Q32&lt;0,"0",(LPG!Q33-LPG!Q32)*1.8315)</f>
        <v>3.6629999999999998</v>
      </c>
      <c r="BC26" s="13">
        <f>'FS Desroches Daily'!CN28</f>
        <v>34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1400.0000000000678</v>
      </c>
      <c r="F27" s="64">
        <f>'FS Desroches Daily'!F29</f>
        <v>2899.9999999999027</v>
      </c>
      <c r="G27" s="63">
        <f>'FS Desroches Daily'!H29</f>
        <v>3099.9999999998809</v>
      </c>
      <c r="H27" s="64">
        <f>'FS Desroches Daily'!J29</f>
        <v>1139.9999999999864</v>
      </c>
      <c r="I27" s="63">
        <f>'FS Desroches Daily'!L29</f>
        <v>2099.9999999999909</v>
      </c>
      <c r="J27" s="64">
        <f>'FS Desroches Daily'!N29</f>
        <v>1360.0000000000136</v>
      </c>
      <c r="K27" s="13">
        <f>'FS Desroches Daily'!P29</f>
        <v>23</v>
      </c>
      <c r="L27" s="63">
        <f>'FS Desroches Daily'!R29</f>
        <v>4</v>
      </c>
      <c r="M27" s="63">
        <f>'FS Desroches Daily'!T29</f>
        <v>1257</v>
      </c>
      <c r="N27" s="63">
        <f>'FS Desroches Daily'!V29</f>
        <v>527</v>
      </c>
      <c r="O27" s="63">
        <f>'FS Desroches Daily'!X29</f>
        <v>300.00000000001137</v>
      </c>
      <c r="P27" s="63">
        <f>'FS Desroches Daily'!Z29</f>
        <v>2699.9999999999245</v>
      </c>
      <c r="Q27" s="63">
        <f>'FS Desroches Daily'!AB29</f>
        <v>339.99999999997499</v>
      </c>
      <c r="R27" s="63">
        <f>'FS Desroches Daily'!AD29</f>
        <v>290.00000000002046</v>
      </c>
      <c r="S27" s="63">
        <f>'FS Desroches Daily'!AF29</f>
        <v>640.0000000000432</v>
      </c>
      <c r="T27" s="63">
        <f>'FS Desroches Daily'!AH29</f>
        <v>2</v>
      </c>
      <c r="U27" s="67">
        <f>'FS Desroches Daily'!AJ29</f>
        <v>319.99999999999318</v>
      </c>
      <c r="V27" s="67">
        <f>'FS Desroches Daily'!AL29</f>
        <v>6.0000000000002274E-2</v>
      </c>
      <c r="W27" s="67">
        <f>'FS Desroches Daily'!AN29</f>
        <v>0.15000000000000568</v>
      </c>
      <c r="X27" s="67">
        <f>'FS Desroches Daily'!AP29</f>
        <v>0.15000000000000568</v>
      </c>
      <c r="Y27" s="67">
        <f>'FS Desroches Daily'!AR29</f>
        <v>70.0000000000216</v>
      </c>
      <c r="Z27" s="67">
        <f>'FS Desroches Daily'!AT29</f>
        <v>99.999999999965894</v>
      </c>
      <c r="AA27" s="67">
        <f>'FS Desroches Daily'!AT29</f>
        <v>99.999999999965894</v>
      </c>
      <c r="AB27" s="67">
        <f>'FS Desroches Daily'!AV29</f>
        <v>129.99999999999545</v>
      </c>
      <c r="AC27" s="67">
        <f>'FS Desroches Daily'!AZ29</f>
        <v>59.99999999994543</v>
      </c>
      <c r="AD27" s="67">
        <f>'FS Desroches Daily'!BB29</f>
        <v>40.000000000020464</v>
      </c>
      <c r="AE27" s="67">
        <f>'FS Desroches Daily'!BD29</f>
        <v>9.9999999999909051</v>
      </c>
      <c r="AF27" s="63">
        <f>'FS Desroches Daily'!BF29</f>
        <v>56</v>
      </c>
      <c r="AG27" s="64">
        <f>'FS Desroches Daily'!BH29</f>
        <v>20.000000000010232</v>
      </c>
      <c r="AH27" s="64">
        <f>'FS Desroches Daily'!BJ29</f>
        <v>50.000000000011369</v>
      </c>
      <c r="AI27" s="64">
        <f>'FS Desroches Daily'!BL29</f>
        <v>89.999999999974989</v>
      </c>
      <c r="AJ27" s="64">
        <f>'FS Desroches Daily'!BN29</f>
        <v>39.999999999992042</v>
      </c>
      <c r="AK27" s="64">
        <f>'FS Desroches Daily'!BP29</f>
        <v>40.000000000020464</v>
      </c>
      <c r="AL27" s="64">
        <f>'FS Desroches Daily'!BR29</f>
        <v>47</v>
      </c>
      <c r="AM27" s="64">
        <f>'FS Desroches Daily'!BT29</f>
        <v>0</v>
      </c>
      <c r="AN27" s="64">
        <f>'FS Desroches Daily'!BV29</f>
        <v>33</v>
      </c>
      <c r="AO27" s="64">
        <f>'FS Desroches Daily'!BX29</f>
        <v>30.000000000001137</v>
      </c>
      <c r="AP27" s="64">
        <f>'FS Desroches Daily'!BZ29</f>
        <v>46</v>
      </c>
      <c r="AQ27" s="63">
        <f>'FS Desroches Daily'!CB29</f>
        <v>29.899999999997817</v>
      </c>
      <c r="AR27" s="63">
        <f>'FS Desroches Daily'!CD29</f>
        <v>11.5</v>
      </c>
      <c r="AS27" s="63">
        <f>'FS Desroches Daily'!CF29</f>
        <v>13</v>
      </c>
      <c r="AT27" s="63">
        <f>'FS Desroches Daily'!CH29</f>
        <v>69.80000000000291</v>
      </c>
      <c r="AU27" s="63">
        <f>'FS Desroches Daily'!CJ29</f>
        <v>293</v>
      </c>
      <c r="AV27" s="63">
        <f>'FS Desroches Daily'!CL29</f>
        <v>569.99999999999318</v>
      </c>
      <c r="AW27" s="63">
        <f>'FS Desroches Daily'!CM29</f>
        <v>82.1</v>
      </c>
      <c r="AX27" s="63">
        <f>IF(LPG!F34-LPG!F33&lt;0,"0",(LPG!F34-LPG!F33)*1.8315)</f>
        <v>12.820499999999999</v>
      </c>
      <c r="AY27" s="63">
        <f>IF(LPG!H34-LPG!H33&lt;0,"0",(LPG!H34-LPG!H33)*1.8315)</f>
        <v>3.6629999999999998</v>
      </c>
      <c r="AZ27" s="63">
        <f>IF(LPG!J34-LPG!J33&lt;0,"0",(LPG!J34-LPG!J33)*1.8315)</f>
        <v>1.8314999999999999</v>
      </c>
      <c r="BA27" s="63">
        <f>IF(LPG!M34-LPG!M33&lt;0,"0",(LPG!M34-LPG!M33)*1.8315)</f>
        <v>5.4944999999999995</v>
      </c>
      <c r="BB27" s="63">
        <f>IF(LPG!Q34-LPG!Q33&lt;0,"0",(LPG!Q34-LPG!Q33)*1.8315)</f>
        <v>7.3259999999999996</v>
      </c>
      <c r="BC27" s="13">
        <f>'FS Desroches Daily'!CN29</f>
        <v>30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1700.0000000000348</v>
      </c>
      <c r="F28" s="64">
        <f>'FS Desroches Daily'!F30</f>
        <v>3200.0000000000919</v>
      </c>
      <c r="G28" s="63">
        <f>'FS Desroches Daily'!H30</f>
        <v>3100.0000000003247</v>
      </c>
      <c r="H28" s="64">
        <f>'FS Desroches Daily'!J30</f>
        <v>1399.9999999999773</v>
      </c>
      <c r="I28" s="63">
        <f>'FS Desroches Daily'!L30</f>
        <v>2399.9999999999577</v>
      </c>
      <c r="J28" s="64">
        <f>'FS Desroches Daily'!N30</f>
        <v>1540.0000000000773</v>
      </c>
      <c r="K28" s="13">
        <f>'FS Desroches Daily'!P30</f>
        <v>19</v>
      </c>
      <c r="L28" s="63">
        <f>'FS Desroches Daily'!R30</f>
        <v>8</v>
      </c>
      <c r="M28" s="63">
        <f>'FS Desroches Daily'!T30</f>
        <v>1301</v>
      </c>
      <c r="N28" s="63">
        <f>'FS Desroches Daily'!V30</f>
        <v>545</v>
      </c>
      <c r="O28" s="63">
        <f>'FS Desroches Daily'!X30</f>
        <v>339.99999999997499</v>
      </c>
      <c r="P28" s="63">
        <f>'FS Desroches Daily'!Z30</f>
        <v>2799.9999999999136</v>
      </c>
      <c r="Q28" s="63">
        <f>'FS Desroches Daily'!AB30</f>
        <v>490.00000000000909</v>
      </c>
      <c r="R28" s="63">
        <f>'FS Desroches Daily'!AD30</f>
        <v>310.00000000000227</v>
      </c>
      <c r="S28" s="63">
        <f>'FS Desroches Daily'!AF30</f>
        <v>629.99999999999545</v>
      </c>
      <c r="T28" s="63">
        <f>'FS Desroches Daily'!AH30</f>
        <v>1.4000000000000909</v>
      </c>
      <c r="U28" s="67">
        <f>'FS Desroches Daily'!AJ30</f>
        <v>389.99999999998636</v>
      </c>
      <c r="V28" s="67">
        <f>'FS Desroches Daily'!AL30</f>
        <v>3.9999999999992042E-2</v>
      </c>
      <c r="W28" s="67">
        <f>'FS Desroches Daily'!AN30</f>
        <v>0.21999999999999886</v>
      </c>
      <c r="X28" s="67">
        <f>'FS Desroches Daily'!AP30</f>
        <v>0.17999999999999261</v>
      </c>
      <c r="Y28" s="67">
        <f>'FS Desroches Daily'!AR30</f>
        <v>79.999999999984084</v>
      </c>
      <c r="Z28" s="67">
        <f>'FS Desroches Daily'!AT30</f>
        <v>110.00000000001364</v>
      </c>
      <c r="AA28" s="67">
        <f>'FS Desroches Daily'!AT30</f>
        <v>110.00000000001364</v>
      </c>
      <c r="AB28" s="67">
        <f>'FS Desroches Daily'!AV30</f>
        <v>129.99999999999545</v>
      </c>
      <c r="AC28" s="67">
        <f>'FS Desroches Daily'!AZ30</f>
        <v>50.000000000011369</v>
      </c>
      <c r="AD28" s="67">
        <f>'FS Desroches Daily'!BB30</f>
        <v>39.99999999996362</v>
      </c>
      <c r="AE28" s="67">
        <f>'FS Desroches Daily'!BD30</f>
        <v>20.000000000010232</v>
      </c>
      <c r="AF28" s="63">
        <f>'FS Desroches Daily'!BF30</f>
        <v>44</v>
      </c>
      <c r="AG28" s="64">
        <f>'FS Desroches Daily'!BH30</f>
        <v>60.000000000002274</v>
      </c>
      <c r="AH28" s="64">
        <f>'FS Desroches Daily'!BJ30</f>
        <v>39.99999999996362</v>
      </c>
      <c r="AI28" s="64">
        <f>'FS Desroches Daily'!BL30</f>
        <v>80.000000000012506</v>
      </c>
      <c r="AJ28" s="64">
        <f>'FS Desroches Daily'!BN30</f>
        <v>30.000000000001137</v>
      </c>
      <c r="AK28" s="64">
        <f>'FS Desroches Daily'!BP30</f>
        <v>40.000000000020464</v>
      </c>
      <c r="AL28" s="64">
        <f>'FS Desroches Daily'!BR30</f>
        <v>35</v>
      </c>
      <c r="AM28" s="64">
        <f>'FS Desroches Daily'!BT30</f>
        <v>69.999999999993179</v>
      </c>
      <c r="AN28" s="64">
        <f>'FS Desroches Daily'!BV30</f>
        <v>25</v>
      </c>
      <c r="AO28" s="64">
        <f>'FS Desroches Daily'!BX30</f>
        <v>30.000000000001137</v>
      </c>
      <c r="AP28" s="64">
        <f>'FS Desroches Daily'!BZ30</f>
        <v>50</v>
      </c>
      <c r="AQ28" s="63">
        <f>'FS Desroches Daily'!CB30</f>
        <v>34.799999999999272</v>
      </c>
      <c r="AR28" s="63">
        <f>'FS Desroches Daily'!CD30</f>
        <v>12.100000000000364</v>
      </c>
      <c r="AS28" s="63">
        <f>'FS Desroches Daily'!CF30</f>
        <v>9</v>
      </c>
      <c r="AT28" s="63">
        <f>'FS Desroches Daily'!CH30</f>
        <v>82.899999999994179</v>
      </c>
      <c r="AU28" s="63">
        <f>'FS Desroches Daily'!CJ30</f>
        <v>322</v>
      </c>
      <c r="AV28" s="63">
        <f>'FS Desroches Daily'!CL30</f>
        <v>590.00000000003183</v>
      </c>
      <c r="AW28" s="63">
        <f>'FS Desroches Daily'!CM30</f>
        <v>88.2</v>
      </c>
      <c r="AX28" s="63">
        <f>IF(LPG!F35-LPG!F34&lt;0,"0",(LPG!F35-LPG!F34)*1.8315)</f>
        <v>14.651999999999999</v>
      </c>
      <c r="AY28" s="63">
        <f>IF(LPG!H35-LPG!H34&lt;0,"0",(LPG!H35-LPG!H34)*1.8315)</f>
        <v>3.6629999999999998</v>
      </c>
      <c r="AZ28" s="63">
        <f>IF(LPG!J35-LPG!J34&lt;0,"0",(LPG!J35-LPG!J34)*1.8315)</f>
        <v>0</v>
      </c>
      <c r="BA28" s="63">
        <f>IF(LPG!M35-LPG!M34&lt;0,"0",(LPG!M35-LPG!M34)*1.8315)</f>
        <v>3.6629999999999998</v>
      </c>
      <c r="BB28" s="63">
        <f>IF(LPG!Q35-LPG!Q34&lt;0,"0",(LPG!Q35-LPG!Q34)*1.8315)</f>
        <v>5.4944999999999995</v>
      </c>
      <c r="BC28" s="13">
        <f>'FS Desroches Daily'!CN30</f>
        <v>26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 t="str">
        <f>'FS Desroches Daily'!D31</f>
        <v>0</v>
      </c>
      <c r="F29" s="64" t="str">
        <f>'FS Desroches Daily'!F31</f>
        <v>0</v>
      </c>
      <c r="G29" s="63" t="str">
        <f>'FS Desroches Daily'!H31</f>
        <v>0</v>
      </c>
      <c r="H29" s="64" t="str">
        <f>'FS Desroches Daily'!J31</f>
        <v>0</v>
      </c>
      <c r="I29" s="63" t="str">
        <f>'FS Desroches Daily'!L31</f>
        <v>0</v>
      </c>
      <c r="J29" s="64" t="str">
        <f>'FS Desroches Daily'!N31</f>
        <v/>
      </c>
      <c r="K29" s="13" t="str">
        <f>'FS Desroches Daily'!P31</f>
        <v/>
      </c>
      <c r="L29" s="63" t="str">
        <f>'FS Desroches Daily'!R31</f>
        <v/>
      </c>
      <c r="M29" s="63" t="str">
        <f>'FS Desroches Daily'!T31</f>
        <v/>
      </c>
      <c r="N29" s="63" t="str">
        <f>'FS Desroches Daily'!V31</f>
        <v/>
      </c>
      <c r="O29" s="63" t="str">
        <f>'FS Desroches Daily'!X31</f>
        <v/>
      </c>
      <c r="P29" s="63" t="str">
        <f>'FS Desroches Daily'!Z31</f>
        <v/>
      </c>
      <c r="Q29" s="63" t="str">
        <f>'FS Desroches Daily'!AB31</f>
        <v/>
      </c>
      <c r="R29" s="63" t="str">
        <f>'FS Desroches Daily'!AD31</f>
        <v/>
      </c>
      <c r="S29" s="63" t="str">
        <f>'FS Desroches Daily'!AF31</f>
        <v/>
      </c>
      <c r="T29" s="63" t="str">
        <f>'FS Desroches Daily'!AH31</f>
        <v/>
      </c>
      <c r="U29" s="67" t="str">
        <f>'FS Desroches Daily'!AJ31</f>
        <v/>
      </c>
      <c r="V29" s="67" t="str">
        <f>'FS Desroches Daily'!AL31</f>
        <v/>
      </c>
      <c r="W29" s="67" t="str">
        <f>'FS Desroches Daily'!AN31</f>
        <v/>
      </c>
      <c r="X29" s="67" t="str">
        <f>'FS Desroches Daily'!AP31</f>
        <v/>
      </c>
      <c r="Y29" s="67" t="str">
        <f>'FS Desroches Daily'!AR31</f>
        <v/>
      </c>
      <c r="Z29" s="67" t="str">
        <f>'FS Desroches Daily'!AT31</f>
        <v/>
      </c>
      <c r="AA29" s="67" t="str">
        <f>'FS Desroches Daily'!AT31</f>
        <v/>
      </c>
      <c r="AB29" s="67" t="str">
        <f>'FS Desroches Daily'!AV31</f>
        <v/>
      </c>
      <c r="AC29" s="67" t="str">
        <f>'FS Desroches Daily'!AZ31</f>
        <v/>
      </c>
      <c r="AD29" s="67" t="str">
        <f>'FS Desroches Daily'!BB31</f>
        <v/>
      </c>
      <c r="AE29" s="67" t="str">
        <f>'FS Desroches Daily'!BD31</f>
        <v/>
      </c>
      <c r="AF29" s="63" t="str">
        <f>'FS Desroches Daily'!BF31</f>
        <v/>
      </c>
      <c r="AG29" s="64" t="str">
        <f>'FS Desroches Daily'!BH31</f>
        <v/>
      </c>
      <c r="AH29" s="64" t="str">
        <f>'FS Desroches Daily'!BJ31</f>
        <v/>
      </c>
      <c r="AI29" s="64" t="str">
        <f>'FS Desroches Daily'!BL31</f>
        <v/>
      </c>
      <c r="AJ29" s="64" t="str">
        <f>'FS Desroches Daily'!BN31</f>
        <v/>
      </c>
      <c r="AK29" s="64" t="str">
        <f>'FS Desroches Daily'!BP31</f>
        <v/>
      </c>
      <c r="AL29" s="64" t="str">
        <f>'FS Desroches Daily'!BR31</f>
        <v/>
      </c>
      <c r="AM29" s="64" t="str">
        <f>'FS Desroches Daily'!BT31</f>
        <v/>
      </c>
      <c r="AN29" s="64" t="str">
        <f>'FS Desroches Daily'!BV31</f>
        <v/>
      </c>
      <c r="AO29" s="64" t="str">
        <f>'FS Desroches Daily'!BX31</f>
        <v/>
      </c>
      <c r="AP29" s="64" t="str">
        <f>'FS Desroches Daily'!BZ31</f>
        <v/>
      </c>
      <c r="AQ29" s="63" t="str">
        <f>'FS Desroches Daily'!CB31</f>
        <v/>
      </c>
      <c r="AR29" s="63" t="str">
        <f>'FS Desroches Daily'!CD31</f>
        <v/>
      </c>
      <c r="AS29" s="63" t="str">
        <f>'FS Desroches Daily'!CF31</f>
        <v/>
      </c>
      <c r="AT29" s="63" t="str">
        <f>'FS Desroches Daily'!CH31</f>
        <v/>
      </c>
      <c r="AU29" s="63" t="str">
        <f>'FS Desroches Daily'!CJ31</f>
        <v/>
      </c>
      <c r="AV29" s="63" t="str">
        <f>'FS Desroches Daily'!CL31</f>
        <v/>
      </c>
      <c r="AW29" s="63">
        <f>'FS Desroches Daily'!CM31</f>
        <v>0</v>
      </c>
      <c r="AX29" s="63">
        <f>IF(LPG!F36-LPG!F35&lt;0,"0",(LPG!F36-LPG!F35)*1.8315)</f>
        <v>16.483499999999999</v>
      </c>
      <c r="AY29" s="63">
        <f>IF(LPG!H36-LPG!H35&lt;0,"0",(LPG!H36-LPG!H35)*1.8315)</f>
        <v>3.6629999999999998</v>
      </c>
      <c r="AZ29" s="63">
        <f>IF(LPG!J36-LPG!J35&lt;0,"0",(LPG!J36-LPG!J35)*1.8315)</f>
        <v>0</v>
      </c>
      <c r="BA29" s="63">
        <f>IF(LPG!M36-LPG!M35&lt;0,"0",(LPG!M36-LPG!M35)*1.8315)</f>
        <v>5.4944999999999995</v>
      </c>
      <c r="BB29" s="63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 t="str">
        <f>IF(LPG!F37-LPG!F36&lt;0,"0",(LPG!F37-LPG!F36)*1.8315)</f>
        <v>0</v>
      </c>
      <c r="AY30" s="63" t="str">
        <f>IF(LPG!H37-LPG!H36&lt;0,"0",(LPG!H37-LPG!H36)*1.8315)</f>
        <v>0</v>
      </c>
      <c r="AZ30" s="63" t="str">
        <f>IF(LPG!J37-LPG!J36&lt;0,"0",(LPG!J37-LPG!J36)*1.8315)</f>
        <v>0</v>
      </c>
      <c r="BA30" s="63" t="str">
        <f>IF(LPG!M37-LPG!M36&lt;0,"0",(LPG!M37-LPG!M36)*1.8315)</f>
        <v>0</v>
      </c>
      <c r="BB30" s="63" t="str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59000.00000000016</v>
      </c>
      <c r="F33" s="17">
        <f t="shared" ref="F33:BC33" si="1">SUM(F2:F32)</f>
        <v>90700.000000000015</v>
      </c>
      <c r="G33" s="17">
        <f t="shared" si="1"/>
        <v>90700.000000000233</v>
      </c>
      <c r="H33" s="17">
        <f t="shared" si="1"/>
        <v>39440.000000000051</v>
      </c>
      <c r="I33" s="17">
        <f t="shared" si="1"/>
        <v>68400.000000000015</v>
      </c>
      <c r="J33" s="17">
        <f t="shared" si="1"/>
        <v>48030.000000000087</v>
      </c>
      <c r="K33" s="17">
        <f t="shared" si="1"/>
        <v>540</v>
      </c>
      <c r="L33" s="17">
        <f t="shared" si="1"/>
        <v>207</v>
      </c>
      <c r="M33" s="17">
        <f t="shared" si="1"/>
        <v>35746</v>
      </c>
      <c r="N33" s="17">
        <f t="shared" si="1"/>
        <v>13943</v>
      </c>
      <c r="O33" s="17">
        <f t="shared" si="1"/>
        <v>11179.999999999978</v>
      </c>
      <c r="P33" s="17">
        <f t="shared" si="1"/>
        <v>79299.999999999927</v>
      </c>
      <c r="Q33" s="17">
        <f t="shared" si="1"/>
        <v>11909.999999999998</v>
      </c>
      <c r="R33" s="17">
        <f t="shared" si="1"/>
        <v>12749.999999999998</v>
      </c>
      <c r="S33" s="17">
        <f t="shared" si="1"/>
        <v>20940</v>
      </c>
      <c r="T33" s="17">
        <f t="shared" si="1"/>
        <v>46.600000000000023</v>
      </c>
      <c r="U33" s="67">
        <f t="shared" si="1"/>
        <v>15509.999999999993</v>
      </c>
      <c r="V33" s="67">
        <f t="shared" si="1"/>
        <v>1.4899999999999949</v>
      </c>
      <c r="W33" s="67">
        <f t="shared" si="1"/>
        <v>4.4399999999999977</v>
      </c>
      <c r="X33" s="67">
        <f t="shared" si="1"/>
        <v>5.1999999999999886</v>
      </c>
      <c r="Y33" s="67">
        <f t="shared" si="1"/>
        <v>2859.999999999985</v>
      </c>
      <c r="Z33" s="67">
        <f t="shared" si="1"/>
        <v>7310.0000000000009</v>
      </c>
      <c r="AA33" s="67">
        <f t="shared" si="1"/>
        <v>7310.0000000000009</v>
      </c>
      <c r="AB33" s="67">
        <f t="shared" si="1"/>
        <v>2640.0000000000146</v>
      </c>
      <c r="AC33" s="67">
        <f t="shared" si="1"/>
        <v>3240.0000000000091</v>
      </c>
      <c r="AD33" s="67">
        <f t="shared" si="1"/>
        <v>3709.9999999999795</v>
      </c>
      <c r="AE33" s="67">
        <f t="shared" si="1"/>
        <v>440.00000000002615</v>
      </c>
      <c r="AF33" s="17">
        <f t="shared" si="1"/>
        <v>1434</v>
      </c>
      <c r="AG33" s="64">
        <f t="shared" si="1"/>
        <v>840.00000000000341</v>
      </c>
      <c r="AH33" s="64">
        <f t="shared" si="1"/>
        <v>1089.999999999975</v>
      </c>
      <c r="AI33" s="64">
        <f t="shared" si="1"/>
        <v>1210.000000000008</v>
      </c>
      <c r="AJ33" s="64">
        <f t="shared" si="1"/>
        <v>1069.9999999999932</v>
      </c>
      <c r="AK33" s="64">
        <f t="shared" si="1"/>
        <v>1030.0000000000296</v>
      </c>
      <c r="AL33" s="64">
        <f t="shared" si="1"/>
        <v>913</v>
      </c>
      <c r="AM33" s="64">
        <f t="shared" si="1"/>
        <v>1009.9999999999909</v>
      </c>
      <c r="AN33" s="64">
        <f t="shared" si="1"/>
        <v>863</v>
      </c>
      <c r="AO33" s="64">
        <f t="shared" si="1"/>
        <v>909.99999999999659</v>
      </c>
      <c r="AP33" s="64">
        <f t="shared" si="1"/>
        <v>1236</v>
      </c>
      <c r="AQ33" s="17">
        <f t="shared" si="1"/>
        <v>487.39999999999782</v>
      </c>
      <c r="AR33" s="17">
        <f t="shared" si="1"/>
        <v>202.79999999999927</v>
      </c>
      <c r="AS33" s="17">
        <f t="shared" si="1"/>
        <v>138.09999999999945</v>
      </c>
      <c r="AT33" s="17">
        <f t="shared" si="1"/>
        <v>788.29999999999563</v>
      </c>
      <c r="AU33" s="17">
        <f t="shared" si="1"/>
        <v>5006</v>
      </c>
      <c r="AV33" s="17">
        <f t="shared" si="1"/>
        <v>9110.0000000000109</v>
      </c>
      <c r="AW33" s="17">
        <f t="shared" si="1"/>
        <v>2432.9999999999995</v>
      </c>
      <c r="AX33" s="17">
        <f t="shared" si="1"/>
        <v>423.0764999999999</v>
      </c>
      <c r="AY33" s="17">
        <f t="shared" si="1"/>
        <v>95.237999999999971</v>
      </c>
      <c r="AZ33" s="17">
        <f t="shared" si="1"/>
        <v>31.13549999999999</v>
      </c>
      <c r="BA33" s="17">
        <f t="shared" si="1"/>
        <v>128.20499999999998</v>
      </c>
      <c r="BB33" s="17">
        <f t="shared" si="1"/>
        <v>155.67750000000004</v>
      </c>
      <c r="BC33" s="17">
        <f t="shared" si="1"/>
        <v>1045</v>
      </c>
    </row>
    <row r="35" spans="5:55" x14ac:dyDescent="0.25">
      <c r="E35" s="70">
        <f>E33/E37</f>
        <v>0.18494833985354617</v>
      </c>
      <c r="G35" s="61">
        <f>G33-M36</f>
        <v>41011.000000000233</v>
      </c>
      <c r="AE35" s="67">
        <f>SUM(U33:AE33)</f>
        <v>43031.130000000012</v>
      </c>
      <c r="AG35" s="64">
        <f>SUM(AG33:AP33)</f>
        <v>10171.999999999996</v>
      </c>
    </row>
    <row r="36" spans="5:55" x14ac:dyDescent="0.25">
      <c r="G36" s="61">
        <f>G35-633*14</f>
        <v>32149.000000000233</v>
      </c>
      <c r="M36" s="61">
        <f>M33+N33</f>
        <v>49689</v>
      </c>
    </row>
    <row r="37" spans="5:55" x14ac:dyDescent="0.25">
      <c r="E37" s="17">
        <f>E33+F33+G33+H33+J33-633*14</f>
        <v>319008.00000000058</v>
      </c>
      <c r="G37" s="69">
        <f>M36/E37</f>
        <v>0.15576098405055644</v>
      </c>
      <c r="M37" s="67">
        <f>AE35</f>
        <v>43031.130000000012</v>
      </c>
    </row>
    <row r="38" spans="5:55" x14ac:dyDescent="0.25">
      <c r="L38" s="59">
        <f>M38/E37</f>
        <v>3.1886347677801116E-2</v>
      </c>
      <c r="M38" s="61">
        <f>AG35</f>
        <v>10171.999999999996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opLeftCell="BR1" zoomScale="70" zoomScaleNormal="70" workbookViewId="0">
      <pane ySplit="1" topLeftCell="A17" activePane="bottomLeft" state="frozen"/>
      <selection pane="bottomLeft" activeCell="CH31" sqref="CH31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83" t="s">
        <v>14</v>
      </c>
      <c r="D1" s="84"/>
      <c r="E1" s="83" t="s">
        <v>15</v>
      </c>
      <c r="F1" s="84"/>
      <c r="G1" s="83" t="s">
        <v>16</v>
      </c>
      <c r="H1" s="84"/>
      <c r="I1" s="83" t="s">
        <v>17</v>
      </c>
      <c r="J1" s="84"/>
      <c r="K1" s="83" t="s">
        <v>18</v>
      </c>
      <c r="L1" s="84"/>
      <c r="M1" s="83" t="s">
        <v>19</v>
      </c>
      <c r="N1" s="84"/>
      <c r="O1" s="83" t="s">
        <v>20</v>
      </c>
      <c r="P1" s="84"/>
      <c r="Q1" s="83" t="s">
        <v>21</v>
      </c>
      <c r="R1" s="84"/>
      <c r="S1" s="83" t="s">
        <v>119</v>
      </c>
      <c r="T1" s="84"/>
      <c r="U1" s="83" t="s">
        <v>120</v>
      </c>
      <c r="V1" s="84"/>
      <c r="W1" s="85" t="s">
        <v>121</v>
      </c>
      <c r="X1" s="86"/>
      <c r="Y1" s="83" t="s">
        <v>122</v>
      </c>
      <c r="Z1" s="84"/>
      <c r="AA1" s="83" t="s">
        <v>123</v>
      </c>
      <c r="AB1" s="84"/>
      <c r="AC1" s="83" t="s">
        <v>124</v>
      </c>
      <c r="AD1" s="84"/>
      <c r="AE1" s="83" t="s">
        <v>125</v>
      </c>
      <c r="AF1" s="84"/>
      <c r="AG1" s="83" t="s">
        <v>22</v>
      </c>
      <c r="AH1" s="84"/>
      <c r="AI1" s="83" t="s">
        <v>126</v>
      </c>
      <c r="AJ1" s="84"/>
      <c r="AK1" s="83" t="s">
        <v>127</v>
      </c>
      <c r="AL1" s="84"/>
      <c r="AM1" s="83" t="s">
        <v>128</v>
      </c>
      <c r="AN1" s="84"/>
      <c r="AO1" s="83" t="s">
        <v>129</v>
      </c>
      <c r="AP1" s="84"/>
      <c r="AQ1" s="83" t="s">
        <v>130</v>
      </c>
      <c r="AR1" s="84"/>
      <c r="AS1" s="83" t="s">
        <v>131</v>
      </c>
      <c r="AT1" s="84"/>
      <c r="AU1" s="83" t="s">
        <v>137</v>
      </c>
      <c r="AV1" s="84"/>
      <c r="AW1" s="83" t="s">
        <v>136</v>
      </c>
      <c r="AX1" s="84"/>
      <c r="AY1" s="83" t="s">
        <v>135</v>
      </c>
      <c r="AZ1" s="84"/>
      <c r="BA1" s="83" t="s">
        <v>134</v>
      </c>
      <c r="BB1" s="84"/>
      <c r="BC1" s="83" t="s">
        <v>23</v>
      </c>
      <c r="BD1" s="84"/>
      <c r="BE1" s="83" t="s">
        <v>132</v>
      </c>
      <c r="BF1" s="84"/>
      <c r="BG1" s="83" t="s">
        <v>24</v>
      </c>
      <c r="BH1" s="84"/>
      <c r="BI1" s="83" t="s">
        <v>25</v>
      </c>
      <c r="BJ1" s="84"/>
      <c r="BK1" s="83" t="s">
        <v>26</v>
      </c>
      <c r="BL1" s="84"/>
      <c r="BM1" s="83" t="s">
        <v>27</v>
      </c>
      <c r="BN1" s="84"/>
      <c r="BO1" s="83" t="s">
        <v>28</v>
      </c>
      <c r="BP1" s="84"/>
      <c r="BQ1" s="83" t="s">
        <v>29</v>
      </c>
      <c r="BR1" s="84"/>
      <c r="BS1" s="83" t="s">
        <v>30</v>
      </c>
      <c r="BT1" s="84"/>
      <c r="BU1" s="83" t="s">
        <v>31</v>
      </c>
      <c r="BV1" s="84"/>
      <c r="BW1" s="83" t="s">
        <v>32</v>
      </c>
      <c r="BX1" s="84"/>
      <c r="BY1" s="83" t="s">
        <v>33</v>
      </c>
      <c r="BZ1" s="84"/>
      <c r="CA1" s="83" t="s">
        <v>133</v>
      </c>
      <c r="CB1" s="84"/>
      <c r="CC1" s="83" t="s">
        <v>34</v>
      </c>
      <c r="CD1" s="84"/>
      <c r="CE1" s="83" t="s">
        <v>35</v>
      </c>
      <c r="CF1" s="84"/>
      <c r="CG1" s="83" t="s">
        <v>36</v>
      </c>
      <c r="CH1" s="84"/>
      <c r="CI1" s="83" t="s">
        <v>50</v>
      </c>
      <c r="CJ1" s="84"/>
      <c r="CK1" s="83" t="s">
        <v>38</v>
      </c>
      <c r="CL1" s="84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1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81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1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1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1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1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1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1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1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1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1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1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1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1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1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1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1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1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1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1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5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5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1.3013999999999999</v>
      </c>
      <c r="D25" s="45">
        <f t="shared" si="1"/>
        <v>1999.9999999997797</v>
      </c>
      <c r="E25" s="32">
        <v>2.1913999999999998</v>
      </c>
      <c r="F25" s="45">
        <f t="shared" si="2"/>
        <v>3499.9999999998367</v>
      </c>
      <c r="G25" s="32">
        <v>2.0303</v>
      </c>
      <c r="H25" s="45">
        <f t="shared" si="3"/>
        <v>3299.9999999998586</v>
      </c>
      <c r="I25" s="32">
        <v>947.63</v>
      </c>
      <c r="J25" s="45">
        <f t="shared" si="4"/>
        <v>1590.0000000000318</v>
      </c>
      <c r="K25" s="32">
        <v>1.4468000000000001</v>
      </c>
      <c r="L25" s="45">
        <f t="shared" si="0"/>
        <v>2600.0000000001578</v>
      </c>
      <c r="M25" s="32">
        <v>907.6</v>
      </c>
      <c r="N25" s="34">
        <f t="shared" si="23"/>
        <v>1930.0000000000637</v>
      </c>
      <c r="O25" s="32">
        <v>10105</v>
      </c>
      <c r="P25" s="34">
        <f t="shared" si="5"/>
        <v>21</v>
      </c>
      <c r="Q25" s="32">
        <v>4016</v>
      </c>
      <c r="R25" s="34">
        <f t="shared" si="6"/>
        <v>9</v>
      </c>
      <c r="S25" s="32">
        <v>661540</v>
      </c>
      <c r="T25" s="34">
        <f t="shared" si="7"/>
        <v>1417</v>
      </c>
      <c r="U25" s="32">
        <v>267603</v>
      </c>
      <c r="V25" s="34">
        <f t="shared" si="8"/>
        <v>575</v>
      </c>
      <c r="W25" s="32">
        <v>264.77</v>
      </c>
      <c r="X25" s="34">
        <f t="shared" si="24"/>
        <v>529.99999999997272</v>
      </c>
      <c r="Y25" s="32">
        <v>1.9476</v>
      </c>
      <c r="Z25" s="34">
        <f t="shared" si="25"/>
        <v>3100.0000000001028</v>
      </c>
      <c r="AA25" s="32">
        <v>260.88</v>
      </c>
      <c r="AB25" s="34">
        <f t="shared" si="26"/>
        <v>459.99999999997954</v>
      </c>
      <c r="AC25" s="32">
        <v>238.81</v>
      </c>
      <c r="AD25" s="34">
        <f t="shared" si="27"/>
        <v>460.00000000000796</v>
      </c>
      <c r="AE25" s="1">
        <v>345.99</v>
      </c>
      <c r="AF25" s="34">
        <f t="shared" si="28"/>
        <v>910.00000000002501</v>
      </c>
      <c r="AG25" s="1">
        <v>916.2</v>
      </c>
      <c r="AH25" s="34">
        <f t="shared" si="9"/>
        <v>1.9000000000000909</v>
      </c>
      <c r="AI25" s="32">
        <v>329.39</v>
      </c>
      <c r="AJ25" s="34">
        <f t="shared" si="29"/>
        <v>529.99999999997272</v>
      </c>
      <c r="AK25" s="32">
        <v>113.58</v>
      </c>
      <c r="AL25" s="34">
        <f t="shared" si="10"/>
        <v>9.0000000000003411E-2</v>
      </c>
      <c r="AM25" s="32">
        <v>114.41</v>
      </c>
      <c r="AN25" s="34">
        <f t="shared" si="11"/>
        <v>0.22999999999998977</v>
      </c>
      <c r="AO25" s="32">
        <v>114.15</v>
      </c>
      <c r="AP25" s="34">
        <f t="shared" si="12"/>
        <v>0.1600000000000108</v>
      </c>
      <c r="AQ25" s="32">
        <v>191.96</v>
      </c>
      <c r="AR25" s="34">
        <f t="shared" si="30"/>
        <v>90.000000000003411</v>
      </c>
      <c r="AS25" s="32">
        <v>313.44</v>
      </c>
      <c r="AT25" s="34">
        <f t="shared" si="31"/>
        <v>339.99999999997499</v>
      </c>
      <c r="AU25" s="32">
        <v>238.34</v>
      </c>
      <c r="AV25" s="34">
        <f t="shared" si="32"/>
        <v>129.99999999999545</v>
      </c>
      <c r="AW25" s="32">
        <v>269.94</v>
      </c>
      <c r="AX25" s="34">
        <f t="shared" si="33"/>
        <v>129.99999999999545</v>
      </c>
      <c r="AY25" s="32">
        <v>323.74</v>
      </c>
      <c r="AZ25" s="34">
        <f t="shared" si="34"/>
        <v>50.000000000011369</v>
      </c>
      <c r="BA25" s="32">
        <v>341.32</v>
      </c>
      <c r="BB25" s="34">
        <f t="shared" si="35"/>
        <v>50.000000000011369</v>
      </c>
      <c r="BC25" s="32">
        <v>195.75</v>
      </c>
      <c r="BD25" s="34">
        <f t="shared" si="36"/>
        <v>20.000000000010232</v>
      </c>
      <c r="BE25" s="32">
        <v>20188</v>
      </c>
      <c r="BF25" s="34">
        <f t="shared" si="13"/>
        <v>50</v>
      </c>
      <c r="BG25" s="32">
        <v>218.14</v>
      </c>
      <c r="BH25" s="34">
        <f t="shared" si="37"/>
        <v>39.999999999992042</v>
      </c>
      <c r="BI25" s="32">
        <v>274.07</v>
      </c>
      <c r="BJ25" s="34">
        <f t="shared" si="38"/>
        <v>60.000000000002274</v>
      </c>
      <c r="BK25" s="32">
        <v>221.94</v>
      </c>
      <c r="BL25" s="34">
        <f t="shared" si="39"/>
        <v>60.000000000002274</v>
      </c>
      <c r="BM25" s="32">
        <v>205.24</v>
      </c>
      <c r="BN25" s="34">
        <f t="shared" si="40"/>
        <v>50.000000000011369</v>
      </c>
      <c r="BO25" s="32">
        <v>268.66000000000003</v>
      </c>
      <c r="BP25" s="34">
        <f t="shared" si="41"/>
        <v>0</v>
      </c>
      <c r="BQ25" s="32">
        <v>32239</v>
      </c>
      <c r="BR25" s="34">
        <f t="shared" si="14"/>
        <v>48</v>
      </c>
      <c r="BS25" s="32">
        <v>186.29</v>
      </c>
      <c r="BT25" s="34">
        <f t="shared" si="42"/>
        <v>60.000000000002274</v>
      </c>
      <c r="BU25" s="32">
        <v>23192</v>
      </c>
      <c r="BV25" s="34">
        <f t="shared" si="15"/>
        <v>50</v>
      </c>
      <c r="BW25" s="32">
        <v>215.65</v>
      </c>
      <c r="BX25" s="34">
        <f t="shared" si="43"/>
        <v>39.999999999992042</v>
      </c>
      <c r="BY25" s="32">
        <v>38176</v>
      </c>
      <c r="BZ25" s="34">
        <f t="shared" si="16"/>
        <v>75</v>
      </c>
      <c r="CA25" s="32">
        <v>22693.9</v>
      </c>
      <c r="CB25" s="34">
        <f t="shared" si="17"/>
        <v>18.200000000000728</v>
      </c>
      <c r="CC25" s="32">
        <v>9711</v>
      </c>
      <c r="CD25" s="34">
        <f t="shared" si="18"/>
        <v>10.700000000000728</v>
      </c>
      <c r="CE25" s="32">
        <v>4546.3999999999996</v>
      </c>
      <c r="CF25" s="34">
        <f t="shared" si="19"/>
        <v>8.6999999999998181</v>
      </c>
      <c r="CG25" s="32">
        <v>34209.9</v>
      </c>
      <c r="CH25" s="34">
        <f t="shared" si="20"/>
        <v>52</v>
      </c>
      <c r="CI25" s="32">
        <v>802443</v>
      </c>
      <c r="CJ25" s="34">
        <f t="shared" si="21"/>
        <v>333</v>
      </c>
      <c r="CK25" s="32">
        <v>462.53</v>
      </c>
      <c r="CL25" s="45">
        <f t="shared" si="22"/>
        <v>619.9999999999477</v>
      </c>
      <c r="CM25" s="34">
        <v>88</v>
      </c>
      <c r="CN25" s="35">
        <v>38</v>
      </c>
      <c r="CO25" s="35">
        <v>70</v>
      </c>
    </row>
    <row r="26" spans="1:93" ht="25.5" customHeight="1" x14ac:dyDescent="0.4">
      <c r="A26" s="31">
        <v>43792</v>
      </c>
      <c r="B26" s="46"/>
      <c r="C26" s="32">
        <v>1.3037000000000001</v>
      </c>
      <c r="D26" s="45">
        <f t="shared" si="1"/>
        <v>2300.000000000191</v>
      </c>
      <c r="E26" s="32">
        <v>2.1951000000000001</v>
      </c>
      <c r="F26" s="45">
        <f t="shared" si="2"/>
        <v>3700.0000000002588</v>
      </c>
      <c r="G26" s="32">
        <v>2.0337999999999998</v>
      </c>
      <c r="H26" s="45">
        <f t="shared" si="3"/>
        <v>3499.9999999998367</v>
      </c>
      <c r="I26" s="32">
        <v>949.23</v>
      </c>
      <c r="J26" s="45">
        <f t="shared" si="4"/>
        <v>1600.0000000000227</v>
      </c>
      <c r="K26" s="32">
        <v>1.4496</v>
      </c>
      <c r="L26" s="45">
        <f t="shared" si="0"/>
        <v>2799.9999999999136</v>
      </c>
      <c r="M26" s="32">
        <v>909.35</v>
      </c>
      <c r="N26" s="34">
        <f t="shared" si="23"/>
        <v>1750</v>
      </c>
      <c r="O26" s="32">
        <v>10124</v>
      </c>
      <c r="P26" s="34">
        <f t="shared" si="5"/>
        <v>19</v>
      </c>
      <c r="Q26" s="32">
        <v>4025</v>
      </c>
      <c r="R26" s="34">
        <f t="shared" si="6"/>
        <v>9</v>
      </c>
      <c r="S26" s="32">
        <v>662527</v>
      </c>
      <c r="T26" s="34">
        <f t="shared" si="7"/>
        <v>987</v>
      </c>
      <c r="U26" s="32">
        <v>268003</v>
      </c>
      <c r="V26" s="34">
        <f t="shared" si="8"/>
        <v>400</v>
      </c>
      <c r="W26" s="32">
        <v>265.19</v>
      </c>
      <c r="X26" s="34">
        <f t="shared" si="24"/>
        <v>420.00000000001592</v>
      </c>
      <c r="Y26" s="32">
        <v>1.9507000000000001</v>
      </c>
      <c r="Z26" s="34">
        <f t="shared" si="25"/>
        <v>3100.0000000001028</v>
      </c>
      <c r="AA26" s="32">
        <v>261.20999999999998</v>
      </c>
      <c r="AB26" s="34">
        <f t="shared" si="26"/>
        <v>329.99999999998408</v>
      </c>
      <c r="AC26" s="32">
        <v>239.26</v>
      </c>
      <c r="AD26" s="34">
        <f t="shared" si="27"/>
        <v>449.99999999998863</v>
      </c>
      <c r="AE26" s="1">
        <v>346.86</v>
      </c>
      <c r="AF26" s="34">
        <f t="shared" si="28"/>
        <v>870.00000000000455</v>
      </c>
      <c r="AG26" s="1">
        <v>918</v>
      </c>
      <c r="AH26" s="34">
        <f t="shared" si="9"/>
        <v>1.7999999999999545</v>
      </c>
      <c r="AI26" s="32">
        <v>330.18</v>
      </c>
      <c r="AJ26" s="34">
        <f t="shared" si="29"/>
        <v>790.00000000002046</v>
      </c>
      <c r="AK26" s="32">
        <v>113.64</v>
      </c>
      <c r="AL26" s="34">
        <f t="shared" si="10"/>
        <v>6.0000000000002274E-2</v>
      </c>
      <c r="AM26" s="32">
        <v>114.63</v>
      </c>
      <c r="AN26" s="34">
        <f t="shared" si="11"/>
        <v>0.21999999999999886</v>
      </c>
      <c r="AO26" s="32">
        <v>114.33</v>
      </c>
      <c r="AP26" s="34">
        <f t="shared" si="12"/>
        <v>0.17999999999999261</v>
      </c>
      <c r="AQ26" s="32">
        <v>192.04</v>
      </c>
      <c r="AR26" s="34">
        <f t="shared" si="30"/>
        <v>79.999999999984084</v>
      </c>
      <c r="AS26" s="32">
        <v>313.75</v>
      </c>
      <c r="AT26" s="34">
        <f t="shared" si="31"/>
        <v>310.00000000000227</v>
      </c>
      <c r="AU26" s="32">
        <v>238.44</v>
      </c>
      <c r="AV26" s="34">
        <f t="shared" si="32"/>
        <v>99.999999999994316</v>
      </c>
      <c r="AW26" s="32">
        <v>270.06</v>
      </c>
      <c r="AX26" s="34">
        <f t="shared" si="33"/>
        <v>120.00000000000455</v>
      </c>
      <c r="AY26" s="32">
        <v>323.81</v>
      </c>
      <c r="AZ26" s="34">
        <f t="shared" si="34"/>
        <v>69.999999999993179</v>
      </c>
      <c r="BA26" s="32">
        <v>341.36</v>
      </c>
      <c r="BB26" s="34">
        <f t="shared" si="35"/>
        <v>40.000000000020464</v>
      </c>
      <c r="BC26" s="32">
        <v>195.77</v>
      </c>
      <c r="BD26" s="34">
        <f t="shared" si="36"/>
        <v>20.000000000010232</v>
      </c>
      <c r="BE26" s="32">
        <v>20236</v>
      </c>
      <c r="BF26" s="34">
        <f t="shared" si="13"/>
        <v>48</v>
      </c>
      <c r="BG26" s="32">
        <v>218.16</v>
      </c>
      <c r="BH26" s="34">
        <f t="shared" si="37"/>
        <v>20.000000000010232</v>
      </c>
      <c r="BI26" s="32">
        <v>274.10000000000002</v>
      </c>
      <c r="BJ26" s="34">
        <f t="shared" si="38"/>
        <v>30.000000000029559</v>
      </c>
      <c r="BK26" s="32">
        <v>221.98</v>
      </c>
      <c r="BL26" s="34">
        <f t="shared" si="39"/>
        <v>39.999999999992042</v>
      </c>
      <c r="BM26" s="32">
        <v>205.27</v>
      </c>
      <c r="BN26" s="34">
        <f t="shared" si="40"/>
        <v>30.000000000001137</v>
      </c>
      <c r="BO26" s="32">
        <v>268.75</v>
      </c>
      <c r="BP26" s="34">
        <f t="shared" si="41"/>
        <v>89.999999999974989</v>
      </c>
      <c r="BQ26" s="32">
        <v>32272</v>
      </c>
      <c r="BR26" s="34">
        <f t="shared" si="14"/>
        <v>33</v>
      </c>
      <c r="BS26" s="32">
        <v>186.32</v>
      </c>
      <c r="BT26" s="34">
        <f t="shared" si="42"/>
        <v>30.000000000001137</v>
      </c>
      <c r="BU26" s="32">
        <v>23223</v>
      </c>
      <c r="BV26" s="34">
        <f t="shared" si="15"/>
        <v>31</v>
      </c>
      <c r="BW26" s="32">
        <v>215.68</v>
      </c>
      <c r="BX26" s="34">
        <f t="shared" si="43"/>
        <v>30.000000000001137</v>
      </c>
      <c r="BY26" s="32">
        <v>38216</v>
      </c>
      <c r="BZ26" s="34">
        <f t="shared" si="16"/>
        <v>40</v>
      </c>
      <c r="CA26" s="32">
        <v>22716</v>
      </c>
      <c r="CB26" s="34">
        <f t="shared" si="17"/>
        <v>22.099999999998545</v>
      </c>
      <c r="CC26" s="32">
        <v>9728.7999999999993</v>
      </c>
      <c r="CD26" s="34">
        <f t="shared" si="18"/>
        <v>17.799999999999272</v>
      </c>
      <c r="CE26" s="32">
        <v>4548.3999999999996</v>
      </c>
      <c r="CF26" s="34">
        <f t="shared" si="19"/>
        <v>2</v>
      </c>
      <c r="CG26" s="32">
        <v>34243.9</v>
      </c>
      <c r="CH26" s="34">
        <f t="shared" si="20"/>
        <v>34</v>
      </c>
      <c r="CI26" s="32">
        <v>802763</v>
      </c>
      <c r="CJ26" s="34">
        <f t="shared" si="21"/>
        <v>320</v>
      </c>
      <c r="CK26" s="32">
        <v>463.15</v>
      </c>
      <c r="CL26" s="45">
        <f t="shared" si="22"/>
        <v>620.00000000000455</v>
      </c>
      <c r="CM26" s="34">
        <v>90</v>
      </c>
      <c r="CN26" s="35">
        <v>35</v>
      </c>
      <c r="CO26" s="35">
        <v>74</v>
      </c>
    </row>
    <row r="27" spans="1:93" ht="25.5" customHeight="1" x14ac:dyDescent="0.4">
      <c r="A27" s="31">
        <v>43793</v>
      </c>
      <c r="B27" s="46"/>
      <c r="C27" s="32">
        <v>1.3066</v>
      </c>
      <c r="D27" s="45">
        <f t="shared" si="1"/>
        <v>2899.9999999999027</v>
      </c>
      <c r="E27" s="32">
        <v>2.1991000000000001</v>
      </c>
      <c r="F27" s="45">
        <f t="shared" si="2"/>
        <v>4000.0000000000036</v>
      </c>
      <c r="G27" s="32">
        <v>2.0375000000000001</v>
      </c>
      <c r="H27" s="45">
        <f t="shared" si="3"/>
        <v>3700.0000000002588</v>
      </c>
      <c r="I27" s="32">
        <v>951.15</v>
      </c>
      <c r="J27" s="45">
        <f t="shared" si="4"/>
        <v>1919.9999999999591</v>
      </c>
      <c r="K27" s="32">
        <v>1.4527000000000001</v>
      </c>
      <c r="L27" s="45">
        <f t="shared" si="0"/>
        <v>3100.0000000001028</v>
      </c>
      <c r="M27" s="32">
        <v>911.49</v>
      </c>
      <c r="N27" s="34">
        <f t="shared" si="23"/>
        <v>2139.9999999999864</v>
      </c>
      <c r="O27" s="32">
        <v>10147</v>
      </c>
      <c r="P27" s="34">
        <f t="shared" si="5"/>
        <v>23</v>
      </c>
      <c r="Q27" s="32">
        <v>4035</v>
      </c>
      <c r="R27" s="34">
        <f t="shared" si="6"/>
        <v>10</v>
      </c>
      <c r="S27" s="32">
        <v>664375</v>
      </c>
      <c r="T27" s="34">
        <f t="shared" si="7"/>
        <v>1848</v>
      </c>
      <c r="U27" s="32">
        <v>268789</v>
      </c>
      <c r="V27" s="34">
        <f t="shared" si="8"/>
        <v>786</v>
      </c>
      <c r="W27" s="32">
        <v>265.66000000000003</v>
      </c>
      <c r="X27" s="34">
        <f t="shared" si="24"/>
        <v>470.00000000002728</v>
      </c>
      <c r="Y27" s="32">
        <v>1.954</v>
      </c>
      <c r="Z27" s="34">
        <f t="shared" si="25"/>
        <v>3299.9999999998586</v>
      </c>
      <c r="AA27" s="32">
        <v>261.77</v>
      </c>
      <c r="AB27" s="34">
        <f t="shared" si="26"/>
        <v>560.00000000000227</v>
      </c>
      <c r="AC27" s="32">
        <v>239.76</v>
      </c>
      <c r="AD27" s="34">
        <f t="shared" si="27"/>
        <v>500</v>
      </c>
      <c r="AE27" s="1">
        <v>347.85</v>
      </c>
      <c r="AF27" s="34">
        <f t="shared" si="28"/>
        <v>990.00000000000909</v>
      </c>
      <c r="AG27" s="1">
        <v>919.9</v>
      </c>
      <c r="AH27" s="34">
        <f t="shared" si="9"/>
        <v>1.8999999999999773</v>
      </c>
      <c r="AI27" s="32">
        <v>331.11</v>
      </c>
      <c r="AJ27" s="34">
        <f t="shared" si="29"/>
        <v>930.00000000000682</v>
      </c>
      <c r="AK27" s="32">
        <v>113.69</v>
      </c>
      <c r="AL27" s="34">
        <f t="shared" si="10"/>
        <v>4.9999999999997158E-2</v>
      </c>
      <c r="AM27" s="32">
        <v>114.9</v>
      </c>
      <c r="AN27" s="34">
        <f t="shared" si="11"/>
        <v>0.27000000000001023</v>
      </c>
      <c r="AO27" s="32">
        <v>114.64</v>
      </c>
      <c r="AP27" s="34">
        <f t="shared" si="12"/>
        <v>0.31000000000000227</v>
      </c>
      <c r="AQ27" s="32">
        <v>192.13</v>
      </c>
      <c r="AR27" s="34">
        <f t="shared" si="30"/>
        <v>90.000000000003411</v>
      </c>
      <c r="AS27" s="32">
        <v>314.01</v>
      </c>
      <c r="AT27" s="34">
        <f t="shared" si="31"/>
        <v>259.99999999999091</v>
      </c>
      <c r="AU27" s="32">
        <v>238.61</v>
      </c>
      <c r="AV27" s="34">
        <f t="shared" si="32"/>
        <v>170.00000000001592</v>
      </c>
      <c r="AW27" s="32">
        <v>270.20999999999998</v>
      </c>
      <c r="AX27" s="34">
        <f t="shared" si="33"/>
        <v>149.99999999997726</v>
      </c>
      <c r="AY27" s="32">
        <v>323.89999999999998</v>
      </c>
      <c r="AZ27" s="34">
        <f t="shared" si="34"/>
        <v>89.999999999974989</v>
      </c>
      <c r="BA27" s="32">
        <v>341.39</v>
      </c>
      <c r="BB27" s="34">
        <f t="shared" si="35"/>
        <v>29.999999999972715</v>
      </c>
      <c r="BC27" s="32">
        <v>195.78</v>
      </c>
      <c r="BD27" s="34">
        <f t="shared" si="36"/>
        <v>9.9999999999909051</v>
      </c>
      <c r="BE27" s="32">
        <v>20289</v>
      </c>
      <c r="BF27" s="34">
        <f t="shared" si="13"/>
        <v>53</v>
      </c>
      <c r="BG27" s="32">
        <v>218.18</v>
      </c>
      <c r="BH27" s="34">
        <f t="shared" si="37"/>
        <v>20.000000000010232</v>
      </c>
      <c r="BI27" s="32">
        <v>274.14999999999998</v>
      </c>
      <c r="BJ27" s="34">
        <f t="shared" si="38"/>
        <v>49.999999999954525</v>
      </c>
      <c r="BK27" s="32">
        <v>222.02</v>
      </c>
      <c r="BL27" s="34">
        <f t="shared" si="39"/>
        <v>40.000000000020464</v>
      </c>
      <c r="BM27" s="32">
        <v>205.32</v>
      </c>
      <c r="BN27" s="34">
        <f t="shared" si="40"/>
        <v>49.999999999982947</v>
      </c>
      <c r="BO27" s="32">
        <v>268.79000000000002</v>
      </c>
      <c r="BP27" s="34">
        <f t="shared" si="41"/>
        <v>40.000000000020464</v>
      </c>
      <c r="BQ27" s="32">
        <v>32309</v>
      </c>
      <c r="BR27" s="34">
        <f t="shared" si="14"/>
        <v>37</v>
      </c>
      <c r="BS27" s="32">
        <v>186.37</v>
      </c>
      <c r="BT27" s="34">
        <f t="shared" si="42"/>
        <v>50.000000000011369</v>
      </c>
      <c r="BU27" s="32">
        <v>23264</v>
      </c>
      <c r="BV27" s="34">
        <f t="shared" si="15"/>
        <v>41</v>
      </c>
      <c r="BW27" s="32">
        <v>215.72</v>
      </c>
      <c r="BX27" s="34">
        <f t="shared" si="43"/>
        <v>39.999999999992042</v>
      </c>
      <c r="BY27" s="32">
        <v>38283</v>
      </c>
      <c r="BZ27" s="34">
        <f t="shared" si="16"/>
        <v>67</v>
      </c>
      <c r="CA27" s="32">
        <v>22752.1</v>
      </c>
      <c r="CB27" s="34">
        <f t="shared" si="17"/>
        <v>36.099999999998545</v>
      </c>
      <c r="CC27" s="32">
        <v>9741.4</v>
      </c>
      <c r="CD27" s="34">
        <f t="shared" si="18"/>
        <v>12.600000000000364</v>
      </c>
      <c r="CE27" s="32">
        <v>4559.1000000000004</v>
      </c>
      <c r="CF27" s="34">
        <f t="shared" si="19"/>
        <v>10.700000000000728</v>
      </c>
      <c r="CG27" s="32">
        <v>34335.800000000003</v>
      </c>
      <c r="CH27" s="34">
        <f t="shared" si="20"/>
        <v>91.900000000001455</v>
      </c>
      <c r="CI27" s="32">
        <v>803163</v>
      </c>
      <c r="CJ27" s="34">
        <f t="shared" si="21"/>
        <v>400</v>
      </c>
      <c r="CK27" s="32">
        <v>463.89</v>
      </c>
      <c r="CL27" s="45">
        <f t="shared" si="22"/>
        <v>740.00000000000909</v>
      </c>
      <c r="CM27" s="34">
        <v>95.8</v>
      </c>
      <c r="CN27" s="35">
        <v>36</v>
      </c>
      <c r="CO27" s="35">
        <v>74</v>
      </c>
    </row>
    <row r="28" spans="1:93" ht="25.5" customHeight="1" x14ac:dyDescent="0.4">
      <c r="A28" s="31">
        <v>43794</v>
      </c>
      <c r="B28" s="46"/>
      <c r="C28" s="32">
        <v>1.3086</v>
      </c>
      <c r="D28" s="45">
        <f t="shared" si="1"/>
        <v>2000.0000000000018</v>
      </c>
      <c r="E28" s="32">
        <v>2.2023000000000001</v>
      </c>
      <c r="F28" s="45">
        <f t="shared" si="2"/>
        <v>3200.0000000000919</v>
      </c>
      <c r="G28" s="32">
        <v>2.0407999999999999</v>
      </c>
      <c r="H28" s="45">
        <f t="shared" si="3"/>
        <v>3299.9999999998586</v>
      </c>
      <c r="I28" s="32">
        <v>952.57</v>
      </c>
      <c r="J28" s="45">
        <f t="shared" si="4"/>
        <v>1420.0000000000728</v>
      </c>
      <c r="K28" s="32">
        <v>1.4553</v>
      </c>
      <c r="L28" s="45">
        <f t="shared" si="0"/>
        <v>2599.9999999999359</v>
      </c>
      <c r="M28" s="32">
        <v>913.18</v>
      </c>
      <c r="N28" s="34">
        <f t="shared" si="23"/>
        <v>1689.9999999999409</v>
      </c>
      <c r="O28" s="32">
        <v>10163</v>
      </c>
      <c r="P28" s="34">
        <f t="shared" si="5"/>
        <v>16</v>
      </c>
      <c r="Q28" s="32">
        <v>4046</v>
      </c>
      <c r="R28" s="34">
        <f t="shared" si="6"/>
        <v>11</v>
      </c>
      <c r="S28" s="32">
        <v>665858</v>
      </c>
      <c r="T28" s="34">
        <f t="shared" si="7"/>
        <v>1483</v>
      </c>
      <c r="U28" s="32">
        <v>269384</v>
      </c>
      <c r="V28" s="34">
        <f t="shared" si="8"/>
        <v>595</v>
      </c>
      <c r="W28" s="32">
        <v>266.06</v>
      </c>
      <c r="X28" s="34">
        <f t="shared" si="24"/>
        <v>399.99999999997726</v>
      </c>
      <c r="Y28" s="32">
        <v>1.9571000000000001</v>
      </c>
      <c r="Z28" s="34">
        <f t="shared" si="25"/>
        <v>3100.0000000001028</v>
      </c>
      <c r="AA28" s="32">
        <v>262.31</v>
      </c>
      <c r="AB28" s="34">
        <f t="shared" si="26"/>
        <v>540.00000000002046</v>
      </c>
      <c r="AC28" s="32">
        <v>240.17</v>
      </c>
      <c r="AD28" s="34">
        <f t="shared" si="27"/>
        <v>409.99999999999659</v>
      </c>
      <c r="AE28" s="1">
        <v>348.52</v>
      </c>
      <c r="AF28" s="34">
        <f t="shared" si="28"/>
        <v>669.99999999995907</v>
      </c>
      <c r="AG28" s="1">
        <v>921.8</v>
      </c>
      <c r="AH28" s="34">
        <f t="shared" si="9"/>
        <v>1.8999999999999773</v>
      </c>
      <c r="AI28" s="32">
        <v>331.85</v>
      </c>
      <c r="AJ28" s="34">
        <f t="shared" si="29"/>
        <v>740.00000000000909</v>
      </c>
      <c r="AK28" s="32">
        <v>113.75</v>
      </c>
      <c r="AL28" s="34">
        <f t="shared" si="10"/>
        <v>6.0000000000002274E-2</v>
      </c>
      <c r="AM28" s="32">
        <v>115.13</v>
      </c>
      <c r="AN28" s="34">
        <f t="shared" si="11"/>
        <v>0.22999999999998977</v>
      </c>
      <c r="AO28" s="32">
        <v>114.88</v>
      </c>
      <c r="AP28" s="34">
        <f t="shared" si="12"/>
        <v>0.23999999999999488</v>
      </c>
      <c r="AQ28" s="32">
        <v>192.2</v>
      </c>
      <c r="AR28" s="34">
        <f t="shared" si="30"/>
        <v>69.999999999993179</v>
      </c>
      <c r="AS28" s="32">
        <v>314.17</v>
      </c>
      <c r="AT28" s="34">
        <f t="shared" si="31"/>
        <v>160.00000000002501</v>
      </c>
      <c r="AU28" s="32">
        <v>238.77</v>
      </c>
      <c r="AV28" s="34">
        <f t="shared" si="32"/>
        <v>159.99999999999659</v>
      </c>
      <c r="AW28" s="32">
        <v>270.36</v>
      </c>
      <c r="AX28" s="34">
        <f t="shared" si="33"/>
        <v>150.00000000003411</v>
      </c>
      <c r="AY28" s="32">
        <v>323.97000000000003</v>
      </c>
      <c r="AZ28" s="34">
        <f t="shared" si="34"/>
        <v>70.000000000050022</v>
      </c>
      <c r="BA28" s="32">
        <v>341.44</v>
      </c>
      <c r="BB28" s="34">
        <f t="shared" si="35"/>
        <v>50.000000000011369</v>
      </c>
      <c r="BC28" s="32">
        <v>195.8</v>
      </c>
      <c r="BD28" s="34">
        <f t="shared" si="36"/>
        <v>20.000000000010232</v>
      </c>
      <c r="BE28" s="32">
        <v>20362</v>
      </c>
      <c r="BF28" s="34">
        <f t="shared" si="13"/>
        <v>73</v>
      </c>
      <c r="BG28" s="32">
        <v>218.22</v>
      </c>
      <c r="BH28" s="34">
        <f t="shared" si="37"/>
        <v>39.999999999992042</v>
      </c>
      <c r="BI28" s="32">
        <v>274.19</v>
      </c>
      <c r="BJ28" s="34">
        <f t="shared" si="38"/>
        <v>40.000000000020464</v>
      </c>
      <c r="BK28" s="32">
        <v>222.08</v>
      </c>
      <c r="BL28" s="34">
        <f t="shared" si="39"/>
        <v>60.000000000002274</v>
      </c>
      <c r="BM28" s="32">
        <v>205.36</v>
      </c>
      <c r="BN28" s="34">
        <f t="shared" si="40"/>
        <v>40.000000000020464</v>
      </c>
      <c r="BO28" s="32">
        <v>268.83999999999997</v>
      </c>
      <c r="BP28" s="34">
        <f t="shared" si="41"/>
        <v>49.999999999954525</v>
      </c>
      <c r="BQ28" s="32">
        <v>32353</v>
      </c>
      <c r="BR28" s="34">
        <f t="shared" si="14"/>
        <v>44</v>
      </c>
      <c r="BS28" s="32">
        <v>186.41</v>
      </c>
      <c r="BT28" s="34">
        <f t="shared" si="42"/>
        <v>39.999999999992042</v>
      </c>
      <c r="BU28" s="32">
        <v>23304</v>
      </c>
      <c r="BV28" s="34">
        <f t="shared" si="15"/>
        <v>40</v>
      </c>
      <c r="BW28" s="32">
        <v>215.76</v>
      </c>
      <c r="BX28" s="34">
        <f t="shared" si="43"/>
        <v>39.999999999992042</v>
      </c>
      <c r="BY28" s="32">
        <v>38341</v>
      </c>
      <c r="BZ28" s="34">
        <f t="shared" si="16"/>
        <v>58</v>
      </c>
      <c r="CA28" s="32">
        <v>22780.9</v>
      </c>
      <c r="CB28" s="34">
        <f t="shared" si="17"/>
        <v>28.80000000000291</v>
      </c>
      <c r="CC28" s="32">
        <v>9756.7999999999993</v>
      </c>
      <c r="CD28" s="34">
        <f t="shared" si="18"/>
        <v>15.399999999999636</v>
      </c>
      <c r="CE28" s="32">
        <v>4569.8999999999996</v>
      </c>
      <c r="CF28" s="34">
        <f t="shared" si="19"/>
        <v>10.799999999999272</v>
      </c>
      <c r="CG28" s="32">
        <v>34394.5</v>
      </c>
      <c r="CH28" s="34">
        <f t="shared" si="20"/>
        <v>58.69999999999709</v>
      </c>
      <c r="CI28" s="32">
        <v>803486</v>
      </c>
      <c r="CJ28" s="34">
        <f t="shared" si="21"/>
        <v>323</v>
      </c>
      <c r="CK28" s="32">
        <v>464.56</v>
      </c>
      <c r="CL28" s="45">
        <f t="shared" si="22"/>
        <v>670.00000000001592</v>
      </c>
      <c r="CM28" s="34">
        <v>83.7</v>
      </c>
      <c r="CN28" s="35">
        <v>34</v>
      </c>
      <c r="CO28" s="35">
        <v>68</v>
      </c>
    </row>
    <row r="29" spans="1:93" ht="25.5" customHeight="1" x14ac:dyDescent="0.4">
      <c r="A29" s="31">
        <v>43795</v>
      </c>
      <c r="B29" s="46"/>
      <c r="C29" s="32">
        <v>1.31</v>
      </c>
      <c r="D29" s="45">
        <f t="shared" si="1"/>
        <v>1400.0000000000678</v>
      </c>
      <c r="E29" s="32">
        <v>2.2052</v>
      </c>
      <c r="F29" s="45">
        <f t="shared" si="2"/>
        <v>2899.9999999999027</v>
      </c>
      <c r="G29" s="32">
        <v>2.0438999999999998</v>
      </c>
      <c r="H29" s="45">
        <f t="shared" si="3"/>
        <v>3099.9999999998809</v>
      </c>
      <c r="I29" s="32">
        <v>953.71</v>
      </c>
      <c r="J29" s="45">
        <f t="shared" si="4"/>
        <v>1139.9999999999864</v>
      </c>
      <c r="K29" s="32">
        <v>1.4574</v>
      </c>
      <c r="L29" s="45">
        <f t="shared" si="0"/>
        <v>2099.9999999999909</v>
      </c>
      <c r="M29" s="32">
        <v>914.54</v>
      </c>
      <c r="N29" s="34">
        <f t="shared" si="23"/>
        <v>1360.0000000000136</v>
      </c>
      <c r="O29" s="32">
        <v>10186</v>
      </c>
      <c r="P29" s="34">
        <f t="shared" si="5"/>
        <v>23</v>
      </c>
      <c r="Q29" s="32">
        <v>4050</v>
      </c>
      <c r="R29" s="34">
        <f t="shared" si="6"/>
        <v>4</v>
      </c>
      <c r="S29" s="32">
        <v>667115</v>
      </c>
      <c r="T29" s="34">
        <f t="shared" si="7"/>
        <v>1257</v>
      </c>
      <c r="U29" s="32">
        <v>269911</v>
      </c>
      <c r="V29" s="34">
        <f t="shared" si="8"/>
        <v>527</v>
      </c>
      <c r="W29" s="32">
        <v>266.36</v>
      </c>
      <c r="X29" s="34">
        <f t="shared" si="24"/>
        <v>300.00000000001137</v>
      </c>
      <c r="Y29" s="32">
        <v>1.9598</v>
      </c>
      <c r="Z29" s="34">
        <f t="shared" si="25"/>
        <v>2699.9999999999245</v>
      </c>
      <c r="AA29" s="32">
        <v>262.64999999999998</v>
      </c>
      <c r="AB29" s="34">
        <f t="shared" si="26"/>
        <v>339.99999999997499</v>
      </c>
      <c r="AC29" s="32">
        <v>240.46</v>
      </c>
      <c r="AD29" s="34">
        <f t="shared" si="27"/>
        <v>290.00000000002046</v>
      </c>
      <c r="AE29" s="1">
        <v>349.16</v>
      </c>
      <c r="AF29" s="34">
        <f t="shared" si="28"/>
        <v>640.0000000000432</v>
      </c>
      <c r="AG29" s="1">
        <v>923.8</v>
      </c>
      <c r="AH29" s="34">
        <f t="shared" si="9"/>
        <v>2</v>
      </c>
      <c r="AI29" s="32">
        <v>332.17</v>
      </c>
      <c r="AJ29" s="34">
        <f t="shared" si="29"/>
        <v>319.99999999999318</v>
      </c>
      <c r="AK29" s="32">
        <v>113.81</v>
      </c>
      <c r="AL29" s="34">
        <f t="shared" si="10"/>
        <v>6.0000000000002274E-2</v>
      </c>
      <c r="AM29" s="32">
        <v>115.28</v>
      </c>
      <c r="AN29" s="34">
        <f t="shared" si="11"/>
        <v>0.15000000000000568</v>
      </c>
      <c r="AO29" s="32">
        <v>115.03</v>
      </c>
      <c r="AP29" s="34">
        <f t="shared" si="12"/>
        <v>0.15000000000000568</v>
      </c>
      <c r="AQ29" s="32">
        <v>192.27</v>
      </c>
      <c r="AR29" s="34">
        <f t="shared" si="30"/>
        <v>70.0000000000216</v>
      </c>
      <c r="AS29" s="32">
        <v>314.27</v>
      </c>
      <c r="AT29" s="34">
        <f t="shared" si="31"/>
        <v>99.999999999965894</v>
      </c>
      <c r="AU29" s="32">
        <v>238.9</v>
      </c>
      <c r="AV29" s="34">
        <f t="shared" si="32"/>
        <v>129.99999999999545</v>
      </c>
      <c r="AW29" s="32">
        <v>270.45999999999998</v>
      </c>
      <c r="AX29" s="34">
        <f t="shared" si="33"/>
        <v>99.999999999965894</v>
      </c>
      <c r="AY29" s="32">
        <v>324.02999999999997</v>
      </c>
      <c r="AZ29" s="34">
        <f t="shared" si="34"/>
        <v>59.99999999994543</v>
      </c>
      <c r="BA29" s="32">
        <v>341.48</v>
      </c>
      <c r="BB29" s="34">
        <f t="shared" si="35"/>
        <v>40.000000000020464</v>
      </c>
      <c r="BC29" s="32">
        <v>195.81</v>
      </c>
      <c r="BD29" s="34">
        <f t="shared" si="36"/>
        <v>9.9999999999909051</v>
      </c>
      <c r="BE29" s="32">
        <v>20418</v>
      </c>
      <c r="BF29" s="34">
        <f t="shared" si="13"/>
        <v>56</v>
      </c>
      <c r="BG29" s="32">
        <v>218.24</v>
      </c>
      <c r="BH29" s="34">
        <f t="shared" si="37"/>
        <v>20.000000000010232</v>
      </c>
      <c r="BI29" s="32">
        <v>274.24</v>
      </c>
      <c r="BJ29" s="34">
        <f t="shared" si="38"/>
        <v>50.000000000011369</v>
      </c>
      <c r="BK29" s="32">
        <v>222.17</v>
      </c>
      <c r="BL29" s="34">
        <f t="shared" si="39"/>
        <v>89.999999999974989</v>
      </c>
      <c r="BM29" s="32">
        <v>205.4</v>
      </c>
      <c r="BN29" s="34">
        <f t="shared" si="40"/>
        <v>39.999999999992042</v>
      </c>
      <c r="BO29" s="32">
        <v>268.88</v>
      </c>
      <c r="BP29" s="34">
        <f t="shared" si="41"/>
        <v>40.000000000020464</v>
      </c>
      <c r="BQ29" s="32">
        <v>32400</v>
      </c>
      <c r="BR29" s="34">
        <f t="shared" si="14"/>
        <v>47</v>
      </c>
      <c r="BS29" s="32">
        <v>186.41</v>
      </c>
      <c r="BT29" s="34">
        <f t="shared" si="42"/>
        <v>0</v>
      </c>
      <c r="BU29" s="32">
        <v>23337</v>
      </c>
      <c r="BV29" s="34">
        <f t="shared" si="15"/>
        <v>33</v>
      </c>
      <c r="BW29" s="32">
        <v>215.79</v>
      </c>
      <c r="BX29" s="34">
        <f t="shared" si="43"/>
        <v>30.000000000001137</v>
      </c>
      <c r="BY29" s="32">
        <v>38387</v>
      </c>
      <c r="BZ29" s="34">
        <f t="shared" si="16"/>
        <v>46</v>
      </c>
      <c r="CA29" s="32">
        <v>22810.799999999999</v>
      </c>
      <c r="CB29" s="34">
        <f t="shared" si="17"/>
        <v>29.899999999997817</v>
      </c>
      <c r="CC29" s="32">
        <v>9768.2999999999993</v>
      </c>
      <c r="CD29" s="34">
        <f t="shared" si="18"/>
        <v>11.5</v>
      </c>
      <c r="CE29" s="32">
        <v>4582.8999999999996</v>
      </c>
      <c r="CF29" s="34">
        <f t="shared" si="19"/>
        <v>13</v>
      </c>
      <c r="CG29" s="32">
        <v>34464.300000000003</v>
      </c>
      <c r="CH29" s="34">
        <f t="shared" si="20"/>
        <v>69.80000000000291</v>
      </c>
      <c r="CI29" s="32">
        <v>803779</v>
      </c>
      <c r="CJ29" s="34">
        <f t="shared" si="21"/>
        <v>293</v>
      </c>
      <c r="CK29" s="32">
        <v>465.13</v>
      </c>
      <c r="CL29" s="45">
        <f t="shared" si="22"/>
        <v>569.99999999999318</v>
      </c>
      <c r="CM29" s="34">
        <v>82.1</v>
      </c>
      <c r="CN29" s="35">
        <v>30</v>
      </c>
      <c r="CO29" s="35">
        <v>63</v>
      </c>
    </row>
    <row r="30" spans="1:93" ht="25.5" customHeight="1" x14ac:dyDescent="0.4">
      <c r="A30" s="31">
        <v>43796</v>
      </c>
      <c r="B30" s="46"/>
      <c r="C30" s="32">
        <v>1.3117000000000001</v>
      </c>
      <c r="D30" s="45">
        <f t="shared" si="1"/>
        <v>1700.0000000000348</v>
      </c>
      <c r="E30" s="32">
        <v>2.2084000000000001</v>
      </c>
      <c r="F30" s="45">
        <f t="shared" si="2"/>
        <v>3200.0000000000919</v>
      </c>
      <c r="G30" s="32">
        <v>2.0470000000000002</v>
      </c>
      <c r="H30" s="45">
        <f t="shared" si="3"/>
        <v>3100.0000000003247</v>
      </c>
      <c r="I30" s="32">
        <v>955.11</v>
      </c>
      <c r="J30" s="45">
        <f t="shared" si="4"/>
        <v>1399.9999999999773</v>
      </c>
      <c r="K30" s="32">
        <v>1.4598</v>
      </c>
      <c r="L30" s="45">
        <f t="shared" si="0"/>
        <v>2399.9999999999577</v>
      </c>
      <c r="M30" s="32">
        <v>916.08</v>
      </c>
      <c r="N30" s="34">
        <f t="shared" si="23"/>
        <v>1540.0000000000773</v>
      </c>
      <c r="O30" s="32">
        <v>10205</v>
      </c>
      <c r="P30" s="34">
        <f t="shared" si="5"/>
        <v>19</v>
      </c>
      <c r="Q30" s="32">
        <v>4058</v>
      </c>
      <c r="R30" s="34">
        <f t="shared" si="6"/>
        <v>8</v>
      </c>
      <c r="S30" s="32">
        <v>668416</v>
      </c>
      <c r="T30" s="34">
        <f t="shared" si="7"/>
        <v>1301</v>
      </c>
      <c r="U30" s="32">
        <v>270456</v>
      </c>
      <c r="V30" s="34">
        <f t="shared" si="8"/>
        <v>545</v>
      </c>
      <c r="W30" s="32">
        <v>266.7</v>
      </c>
      <c r="X30" s="34">
        <f t="shared" si="24"/>
        <v>339.99999999997499</v>
      </c>
      <c r="Y30" s="32">
        <v>1.9625999999999999</v>
      </c>
      <c r="Z30" s="34">
        <f t="shared" si="25"/>
        <v>2799.9999999999136</v>
      </c>
      <c r="AA30" s="32">
        <v>263.14</v>
      </c>
      <c r="AB30" s="34">
        <f t="shared" si="26"/>
        <v>490.00000000000909</v>
      </c>
      <c r="AC30" s="32">
        <v>240.77</v>
      </c>
      <c r="AD30" s="34">
        <f t="shared" si="27"/>
        <v>310.00000000000227</v>
      </c>
      <c r="AE30" s="1">
        <v>349.79</v>
      </c>
      <c r="AF30" s="34">
        <f t="shared" si="28"/>
        <v>629.99999999999545</v>
      </c>
      <c r="AG30" s="1">
        <v>925.2</v>
      </c>
      <c r="AH30" s="34">
        <f t="shared" si="9"/>
        <v>1.4000000000000909</v>
      </c>
      <c r="AI30" s="32">
        <v>332.56</v>
      </c>
      <c r="AJ30" s="34">
        <f t="shared" si="29"/>
        <v>389.99999999998636</v>
      </c>
      <c r="AK30" s="32">
        <v>113.85</v>
      </c>
      <c r="AL30" s="34">
        <f t="shared" si="10"/>
        <v>3.9999999999992042E-2</v>
      </c>
      <c r="AM30" s="32">
        <v>115.5</v>
      </c>
      <c r="AN30" s="34">
        <f t="shared" si="11"/>
        <v>0.21999999999999886</v>
      </c>
      <c r="AO30" s="32">
        <v>115.21</v>
      </c>
      <c r="AP30" s="34">
        <f t="shared" si="12"/>
        <v>0.17999999999999261</v>
      </c>
      <c r="AQ30" s="32">
        <v>192.35</v>
      </c>
      <c r="AR30" s="34">
        <f t="shared" si="30"/>
        <v>79.999999999984084</v>
      </c>
      <c r="AS30" s="32">
        <v>314.38</v>
      </c>
      <c r="AT30" s="34">
        <f t="shared" si="31"/>
        <v>110.00000000001364</v>
      </c>
      <c r="AU30" s="32">
        <v>239.03</v>
      </c>
      <c r="AV30" s="34">
        <f t="shared" si="32"/>
        <v>129.99999999999545</v>
      </c>
      <c r="AW30" s="32">
        <v>270.57</v>
      </c>
      <c r="AX30" s="34">
        <f t="shared" si="33"/>
        <v>110.00000000001364</v>
      </c>
      <c r="AY30" s="32">
        <v>324.08</v>
      </c>
      <c r="AZ30" s="34">
        <f t="shared" si="34"/>
        <v>50.000000000011369</v>
      </c>
      <c r="BA30" s="32">
        <v>341.52</v>
      </c>
      <c r="BB30" s="34">
        <f t="shared" si="35"/>
        <v>39.99999999996362</v>
      </c>
      <c r="BC30" s="32">
        <v>195.83</v>
      </c>
      <c r="BD30" s="34">
        <f t="shared" si="36"/>
        <v>20.000000000010232</v>
      </c>
      <c r="BE30" s="32">
        <v>20462</v>
      </c>
      <c r="BF30" s="34">
        <f t="shared" si="13"/>
        <v>44</v>
      </c>
      <c r="BG30" s="32">
        <v>218.3</v>
      </c>
      <c r="BH30" s="34">
        <f t="shared" si="37"/>
        <v>60.000000000002274</v>
      </c>
      <c r="BI30" s="32">
        <v>274.27999999999997</v>
      </c>
      <c r="BJ30" s="34">
        <f t="shared" si="38"/>
        <v>39.99999999996362</v>
      </c>
      <c r="BK30" s="32">
        <v>222.25</v>
      </c>
      <c r="BL30" s="34">
        <f t="shared" si="39"/>
        <v>80.000000000012506</v>
      </c>
      <c r="BM30" s="32">
        <v>205.43</v>
      </c>
      <c r="BN30" s="34">
        <f t="shared" si="40"/>
        <v>30.000000000001137</v>
      </c>
      <c r="BO30" s="32">
        <v>268.92</v>
      </c>
      <c r="BP30" s="34">
        <f t="shared" si="41"/>
        <v>40.000000000020464</v>
      </c>
      <c r="BQ30" s="32">
        <v>32435</v>
      </c>
      <c r="BR30" s="34">
        <f t="shared" si="14"/>
        <v>35</v>
      </c>
      <c r="BS30" s="32">
        <v>186.48</v>
      </c>
      <c r="BT30" s="34">
        <f t="shared" si="42"/>
        <v>69.999999999993179</v>
      </c>
      <c r="BU30" s="32">
        <v>23362</v>
      </c>
      <c r="BV30" s="34">
        <f t="shared" si="15"/>
        <v>25</v>
      </c>
      <c r="BW30" s="32">
        <v>215.82</v>
      </c>
      <c r="BX30" s="34">
        <f t="shared" si="43"/>
        <v>30.000000000001137</v>
      </c>
      <c r="BY30" s="32">
        <v>38437</v>
      </c>
      <c r="BZ30" s="34">
        <f t="shared" si="16"/>
        <v>50</v>
      </c>
      <c r="CA30" s="32">
        <v>22845.599999999999</v>
      </c>
      <c r="CB30" s="34">
        <f t="shared" si="17"/>
        <v>34.799999999999272</v>
      </c>
      <c r="CC30" s="32">
        <v>9780.4</v>
      </c>
      <c r="CD30" s="34">
        <f t="shared" si="18"/>
        <v>12.100000000000364</v>
      </c>
      <c r="CE30" s="32">
        <v>4591.8999999999996</v>
      </c>
      <c r="CF30" s="34">
        <f t="shared" si="19"/>
        <v>9</v>
      </c>
      <c r="CG30" s="32">
        <v>34547.199999999997</v>
      </c>
      <c r="CH30" s="34">
        <f t="shared" si="20"/>
        <v>82.899999999994179</v>
      </c>
      <c r="CI30" s="32">
        <v>804101</v>
      </c>
      <c r="CJ30" s="34">
        <f t="shared" si="21"/>
        <v>322</v>
      </c>
      <c r="CK30" s="32">
        <v>465.72</v>
      </c>
      <c r="CL30" s="45">
        <f t="shared" si="22"/>
        <v>590.00000000003183</v>
      </c>
      <c r="CM30" s="34">
        <v>88.2</v>
      </c>
      <c r="CN30" s="35">
        <v>26</v>
      </c>
      <c r="CO30" s="35">
        <v>53</v>
      </c>
    </row>
    <row r="31" spans="1:93" ht="25.5" customHeight="1" x14ac:dyDescent="0.4">
      <c r="A31" s="31">
        <v>43797</v>
      </c>
      <c r="B31" s="47"/>
      <c r="C31" s="32">
        <v>0</v>
      </c>
      <c r="D31" s="45" t="str">
        <f t="shared" si="1"/>
        <v>0</v>
      </c>
      <c r="E31" s="36"/>
      <c r="F31" s="45" t="str">
        <f t="shared" si="2"/>
        <v>0</v>
      </c>
      <c r="G31" s="36"/>
      <c r="H31" s="45" t="str">
        <f t="shared" si="3"/>
        <v>0</v>
      </c>
      <c r="I31" s="36"/>
      <c r="J31" s="45" t="str">
        <f t="shared" si="4"/>
        <v>0</v>
      </c>
      <c r="K31" s="36"/>
      <c r="L31" s="45" t="str">
        <f t="shared" si="0"/>
        <v>0</v>
      </c>
      <c r="M31" s="36"/>
      <c r="N31" s="34" t="str">
        <f t="shared" si="23"/>
        <v/>
      </c>
      <c r="O31" s="36"/>
      <c r="P31" s="37" t="str">
        <f t="shared" si="5"/>
        <v/>
      </c>
      <c r="Q31" s="36"/>
      <c r="R31" s="37" t="str">
        <f t="shared" si="6"/>
        <v/>
      </c>
      <c r="S31" s="36"/>
      <c r="T31" s="37" t="str">
        <f t="shared" si="7"/>
        <v/>
      </c>
      <c r="U31" s="36"/>
      <c r="V31" s="37" t="str">
        <f t="shared" si="8"/>
        <v/>
      </c>
      <c r="W31" s="36"/>
      <c r="X31" s="34" t="str">
        <f t="shared" si="24"/>
        <v/>
      </c>
      <c r="Y31" s="36"/>
      <c r="Z31" s="34" t="str">
        <f t="shared" si="25"/>
        <v/>
      </c>
      <c r="AA31" s="36"/>
      <c r="AB31" s="34" t="str">
        <f t="shared" si="26"/>
        <v/>
      </c>
      <c r="AC31" s="36"/>
      <c r="AD31" s="34" t="str">
        <f t="shared" si="27"/>
        <v/>
      </c>
      <c r="AE31" s="1"/>
      <c r="AF31" s="34" t="str">
        <f t="shared" si="28"/>
        <v/>
      </c>
      <c r="AG31" s="1"/>
      <c r="AH31" s="37" t="str">
        <f t="shared" si="9"/>
        <v/>
      </c>
      <c r="AI31" s="36"/>
      <c r="AJ31" s="34" t="str">
        <f t="shared" si="29"/>
        <v/>
      </c>
      <c r="AK31" s="36"/>
      <c r="AL31" s="34" t="str">
        <f t="shared" si="10"/>
        <v/>
      </c>
      <c r="AM31" s="36"/>
      <c r="AN31" s="34" t="str">
        <f t="shared" si="11"/>
        <v/>
      </c>
      <c r="AO31" s="36"/>
      <c r="AP31" s="34" t="str">
        <f t="shared" si="12"/>
        <v/>
      </c>
      <c r="AQ31" s="36"/>
      <c r="AR31" s="34" t="str">
        <f t="shared" si="30"/>
        <v/>
      </c>
      <c r="AS31" s="36"/>
      <c r="AT31" s="34" t="str">
        <f t="shared" si="31"/>
        <v/>
      </c>
      <c r="AU31" s="36"/>
      <c r="AV31" s="34" t="str">
        <f t="shared" si="32"/>
        <v/>
      </c>
      <c r="AW31" s="36"/>
      <c r="AX31" s="34" t="str">
        <f t="shared" si="33"/>
        <v/>
      </c>
      <c r="AY31" s="36"/>
      <c r="AZ31" s="34" t="str">
        <f t="shared" si="34"/>
        <v/>
      </c>
      <c r="BA31" s="36"/>
      <c r="BB31" s="34" t="str">
        <f t="shared" si="35"/>
        <v/>
      </c>
      <c r="BC31" s="36"/>
      <c r="BD31" s="34" t="str">
        <f t="shared" si="36"/>
        <v/>
      </c>
      <c r="BE31" s="36"/>
      <c r="BF31" s="37" t="str">
        <f t="shared" si="13"/>
        <v/>
      </c>
      <c r="BG31" s="36"/>
      <c r="BH31" s="34" t="str">
        <f t="shared" si="37"/>
        <v/>
      </c>
      <c r="BI31" s="36"/>
      <c r="BJ31" s="34" t="str">
        <f t="shared" si="38"/>
        <v/>
      </c>
      <c r="BK31" s="36"/>
      <c r="BL31" s="34" t="str">
        <f t="shared" si="39"/>
        <v/>
      </c>
      <c r="BM31" s="36"/>
      <c r="BN31" s="34" t="str">
        <f t="shared" si="40"/>
        <v/>
      </c>
      <c r="BO31" s="36"/>
      <c r="BP31" s="34" t="str">
        <f t="shared" si="41"/>
        <v/>
      </c>
      <c r="BQ31" s="36"/>
      <c r="BR31" s="34" t="str">
        <f t="shared" si="14"/>
        <v/>
      </c>
      <c r="BS31" s="36"/>
      <c r="BT31" s="34" t="str">
        <f t="shared" si="42"/>
        <v/>
      </c>
      <c r="BU31" s="36"/>
      <c r="BV31" s="34" t="str">
        <f t="shared" si="15"/>
        <v/>
      </c>
      <c r="BW31" s="36"/>
      <c r="BX31" s="34" t="str">
        <f t="shared" si="43"/>
        <v/>
      </c>
      <c r="BY31" s="36"/>
      <c r="BZ31" s="34" t="str">
        <f t="shared" si="16"/>
        <v/>
      </c>
      <c r="CA31" s="36"/>
      <c r="CB31" s="37" t="str">
        <f t="shared" si="17"/>
        <v/>
      </c>
      <c r="CC31" s="36"/>
      <c r="CD31" s="37" t="str">
        <f t="shared" si="18"/>
        <v/>
      </c>
      <c r="CE31" s="36"/>
      <c r="CF31" s="37" t="str">
        <f t="shared" si="19"/>
        <v/>
      </c>
      <c r="CG31" s="36"/>
      <c r="CH31" s="37" t="str">
        <f t="shared" si="20"/>
        <v/>
      </c>
      <c r="CI31" s="36"/>
      <c r="CJ31" s="37" t="str">
        <f t="shared" si="21"/>
        <v/>
      </c>
      <c r="CK31" s="36"/>
      <c r="CL31" s="45" t="str">
        <f t="shared" si="22"/>
        <v/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5" workbookViewId="0">
      <selection activeCell="B37" sqref="B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87" t="s">
        <v>0</v>
      </c>
      <c r="B4" s="90" t="s">
        <v>54</v>
      </c>
      <c r="C4" s="90" t="s">
        <v>55</v>
      </c>
      <c r="D4" s="93" t="s">
        <v>56</v>
      </c>
      <c r="E4" s="96" t="s">
        <v>57</v>
      </c>
      <c r="F4" s="97"/>
      <c r="G4" s="97"/>
      <c r="H4" s="97"/>
      <c r="I4" s="97"/>
      <c r="J4" s="98"/>
      <c r="K4" s="106" t="s">
        <v>58</v>
      </c>
      <c r="L4" s="107"/>
      <c r="M4" s="108"/>
      <c r="N4" s="99" t="s">
        <v>37</v>
      </c>
      <c r="O4" s="99"/>
      <c r="P4" s="99"/>
      <c r="Q4" s="99"/>
    </row>
    <row r="5" spans="1:17" ht="33.75" customHeight="1" x14ac:dyDescent="0.25">
      <c r="A5" s="88"/>
      <c r="B5" s="91"/>
      <c r="C5" s="91"/>
      <c r="D5" s="94"/>
      <c r="E5" s="96" t="s">
        <v>59</v>
      </c>
      <c r="F5" s="98"/>
      <c r="G5" s="96" t="s">
        <v>60</v>
      </c>
      <c r="H5" s="98"/>
      <c r="I5" s="96" t="s">
        <v>61</v>
      </c>
      <c r="J5" s="98"/>
      <c r="K5" s="100" t="s">
        <v>62</v>
      </c>
      <c r="L5" s="101"/>
      <c r="M5" s="102"/>
      <c r="N5" s="103" t="s">
        <v>63</v>
      </c>
      <c r="O5" s="104"/>
      <c r="P5" s="104"/>
      <c r="Q5" s="105"/>
    </row>
    <row r="6" spans="1:17" x14ac:dyDescent="0.25">
      <c r="A6" s="89"/>
      <c r="B6" s="92"/>
      <c r="C6" s="92"/>
      <c r="D6" s="95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82">
        <v>43769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82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82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82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82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82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82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82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82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82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82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82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82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82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82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82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82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82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82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82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82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82">
        <v>43790</v>
      </c>
      <c r="B29" s="78">
        <v>37</v>
      </c>
      <c r="C29" s="78">
        <v>39</v>
      </c>
      <c r="D29" s="78">
        <v>79</v>
      </c>
      <c r="E29" s="79">
        <v>85</v>
      </c>
      <c r="F29" s="79">
        <v>3805</v>
      </c>
      <c r="G29" s="79">
        <v>20</v>
      </c>
      <c r="H29" s="79">
        <v>1126</v>
      </c>
      <c r="I29" s="79">
        <v>85</v>
      </c>
      <c r="J29" s="79">
        <v>197</v>
      </c>
      <c r="K29" s="80">
        <v>50</v>
      </c>
      <c r="L29" s="80">
        <v>85</v>
      </c>
      <c r="M29" s="80">
        <v>863</v>
      </c>
      <c r="N29" s="77">
        <v>65</v>
      </c>
      <c r="O29" s="77">
        <v>85</v>
      </c>
      <c r="P29" s="77">
        <v>80</v>
      </c>
      <c r="Q29" s="77">
        <v>1891</v>
      </c>
    </row>
    <row r="30" spans="1:17" x14ac:dyDescent="0.25">
      <c r="A30" s="82">
        <v>43791</v>
      </c>
      <c r="B30" s="32">
        <v>46</v>
      </c>
      <c r="C30" s="32">
        <v>44</v>
      </c>
      <c r="D30" s="32">
        <v>93</v>
      </c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82">
        <v>43792</v>
      </c>
      <c r="B31" s="32">
        <v>38</v>
      </c>
      <c r="C31" s="32">
        <v>34</v>
      </c>
      <c r="D31" s="32">
        <v>70</v>
      </c>
      <c r="E31" s="56">
        <v>85</v>
      </c>
      <c r="F31" s="56">
        <v>3818</v>
      </c>
      <c r="G31" s="56">
        <v>0</v>
      </c>
      <c r="H31" s="56">
        <v>1129</v>
      </c>
      <c r="I31" s="56">
        <v>85</v>
      </c>
      <c r="J31" s="56">
        <v>199</v>
      </c>
      <c r="K31" s="57">
        <v>40</v>
      </c>
      <c r="L31" s="57">
        <v>85</v>
      </c>
      <c r="M31" s="57">
        <v>869</v>
      </c>
      <c r="N31" s="58">
        <v>60</v>
      </c>
      <c r="O31" s="58">
        <v>85</v>
      </c>
      <c r="P31" s="58">
        <v>80</v>
      </c>
      <c r="Q31" s="58">
        <v>1895</v>
      </c>
    </row>
    <row r="32" spans="1:17" x14ac:dyDescent="0.25">
      <c r="A32" s="82">
        <v>43793</v>
      </c>
      <c r="B32" s="32">
        <v>35</v>
      </c>
      <c r="C32" s="32">
        <v>36</v>
      </c>
      <c r="D32" s="32">
        <v>74</v>
      </c>
      <c r="E32" s="56">
        <v>85</v>
      </c>
      <c r="F32" s="56">
        <v>3825</v>
      </c>
      <c r="G32" s="56">
        <v>0</v>
      </c>
      <c r="H32" s="56">
        <v>1131</v>
      </c>
      <c r="I32" s="56">
        <v>85</v>
      </c>
      <c r="J32" s="56">
        <v>200</v>
      </c>
      <c r="K32" s="57">
        <v>40</v>
      </c>
      <c r="L32" s="57">
        <v>85</v>
      </c>
      <c r="M32" s="57">
        <v>869</v>
      </c>
      <c r="N32" s="58">
        <v>60</v>
      </c>
      <c r="O32" s="58">
        <v>85</v>
      </c>
      <c r="P32" s="58">
        <v>80</v>
      </c>
      <c r="Q32" s="58">
        <v>1897</v>
      </c>
    </row>
    <row r="33" spans="1:17" x14ac:dyDescent="0.25">
      <c r="A33" s="82">
        <v>43794</v>
      </c>
      <c r="B33" s="32">
        <v>35</v>
      </c>
      <c r="C33" s="32">
        <v>36</v>
      </c>
      <c r="D33" s="32">
        <v>74</v>
      </c>
      <c r="E33" s="56">
        <v>75</v>
      </c>
      <c r="F33" s="56">
        <v>3833</v>
      </c>
      <c r="G33" s="56">
        <v>0</v>
      </c>
      <c r="H33" s="56">
        <v>1133</v>
      </c>
      <c r="I33" s="56">
        <v>85</v>
      </c>
      <c r="J33" s="56">
        <v>200</v>
      </c>
      <c r="K33" s="57">
        <v>35</v>
      </c>
      <c r="L33" s="57">
        <v>85</v>
      </c>
      <c r="M33" s="57">
        <v>872</v>
      </c>
      <c r="N33" s="58">
        <v>55</v>
      </c>
      <c r="O33" s="58">
        <v>85</v>
      </c>
      <c r="P33" s="58">
        <v>80</v>
      </c>
      <c r="Q33" s="58">
        <v>1899</v>
      </c>
    </row>
    <row r="34" spans="1:17" x14ac:dyDescent="0.25">
      <c r="A34" s="82">
        <v>43795</v>
      </c>
      <c r="B34" s="32">
        <v>32</v>
      </c>
      <c r="C34" s="32">
        <v>34</v>
      </c>
      <c r="D34" s="32">
        <v>68</v>
      </c>
      <c r="E34" s="56">
        <v>60</v>
      </c>
      <c r="F34" s="56">
        <v>3840</v>
      </c>
      <c r="G34" s="56">
        <v>0</v>
      </c>
      <c r="H34" s="56">
        <v>1135</v>
      </c>
      <c r="I34" s="56">
        <v>85</v>
      </c>
      <c r="J34" s="56">
        <v>201</v>
      </c>
      <c r="K34" s="57">
        <v>35</v>
      </c>
      <c r="L34" s="57">
        <v>85</v>
      </c>
      <c r="M34" s="57">
        <v>875</v>
      </c>
      <c r="N34" s="58">
        <v>50</v>
      </c>
      <c r="O34" s="58">
        <v>85</v>
      </c>
      <c r="P34" s="58">
        <v>80</v>
      </c>
      <c r="Q34" s="58">
        <v>1903</v>
      </c>
    </row>
    <row r="35" spans="1:17" x14ac:dyDescent="0.25">
      <c r="A35" s="82">
        <v>43796</v>
      </c>
      <c r="B35" s="32">
        <v>34</v>
      </c>
      <c r="C35" s="32">
        <v>30</v>
      </c>
      <c r="D35" s="32">
        <v>63</v>
      </c>
      <c r="E35" s="56">
        <v>50</v>
      </c>
      <c r="F35" s="56">
        <v>3848</v>
      </c>
      <c r="G35" s="56">
        <v>0</v>
      </c>
      <c r="H35" s="56">
        <v>1137</v>
      </c>
      <c r="I35" s="56">
        <v>85</v>
      </c>
      <c r="J35" s="56">
        <v>201</v>
      </c>
      <c r="K35" s="57">
        <v>30</v>
      </c>
      <c r="L35" s="57">
        <v>85</v>
      </c>
      <c r="M35" s="57">
        <v>877</v>
      </c>
      <c r="N35" s="58">
        <v>50</v>
      </c>
      <c r="O35" s="58">
        <v>85</v>
      </c>
      <c r="P35" s="58">
        <v>80</v>
      </c>
      <c r="Q35" s="58">
        <v>1906</v>
      </c>
    </row>
    <row r="36" spans="1:17" x14ac:dyDescent="0.25">
      <c r="A36" s="82">
        <v>43797</v>
      </c>
      <c r="B36" s="32">
        <v>30</v>
      </c>
      <c r="C36" s="32">
        <v>26</v>
      </c>
      <c r="D36" s="32">
        <v>53</v>
      </c>
      <c r="E36" s="56">
        <v>35</v>
      </c>
      <c r="F36" s="56">
        <v>3857</v>
      </c>
      <c r="G36" s="56">
        <v>0</v>
      </c>
      <c r="H36" s="56">
        <v>1139</v>
      </c>
      <c r="I36" s="56">
        <v>85</v>
      </c>
      <c r="J36" s="56">
        <v>201</v>
      </c>
      <c r="K36" s="57">
        <v>30</v>
      </c>
      <c r="L36" s="57">
        <v>85</v>
      </c>
      <c r="M36" s="57">
        <v>880</v>
      </c>
      <c r="N36" s="58">
        <v>45</v>
      </c>
      <c r="O36" s="58">
        <v>85</v>
      </c>
      <c r="P36" s="58">
        <v>80</v>
      </c>
      <c r="Q36" s="58">
        <v>1908</v>
      </c>
    </row>
    <row r="37" spans="1:17" x14ac:dyDescent="0.25">
      <c r="A37" s="82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82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2019-11-28T03:22:10Z</dcterms:modified>
</cp:coreProperties>
</file>