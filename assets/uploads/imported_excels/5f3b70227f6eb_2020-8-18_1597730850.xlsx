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B20" i="7" l="1"/>
  <c r="BX20" i="7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CQ15" i="7" l="1"/>
  <c r="AP15" i="7"/>
  <c r="AN15" i="7"/>
  <c r="AL15" i="7"/>
  <c r="CQ13" i="7" l="1"/>
  <c r="CQ10" i="7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<sst xmlns="http://schemas.openxmlformats.org/spreadsheetml/2006/main" count="312" uniqueCount="147">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</sst>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8593.3979999999992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F18" sqref="BF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25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 t="str">
        <f>'FS Desroches Daily'!BX20</f>
        <v/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24299.999999999989</v>
      </c>
      <c r="F33" s="17">
        <f t="shared" ref="F33:BC33" si="1">SUM(F2:F32)</f>
        <v>8700.0000000001528</v>
      </c>
      <c r="G33" s="17">
        <f t="shared" si="1"/>
        <v>26600.000000000175</v>
      </c>
      <c r="H33" s="17">
        <f t="shared" si="1"/>
        <v>12299.999999999978</v>
      </c>
      <c r="I33" s="17">
        <f t="shared" si="1"/>
        <v>26199.999999999782</v>
      </c>
      <c r="J33" s="17">
        <f t="shared" si="1"/>
        <v>7399.9999999998527</v>
      </c>
      <c r="K33" s="17">
        <f t="shared" si="1"/>
        <v>14</v>
      </c>
      <c r="L33" s="17">
        <f t="shared" si="1"/>
        <v>44</v>
      </c>
      <c r="M33" s="17">
        <f t="shared" si="1"/>
        <v>4172.7999999999302</v>
      </c>
      <c r="N33" s="17">
        <f t="shared" si="1"/>
        <v>1685.2999999999884</v>
      </c>
      <c r="O33" s="17">
        <f t="shared" si="1"/>
        <v>1550.0000000000114</v>
      </c>
      <c r="P33" s="17">
        <f t="shared" si="1"/>
        <v>5399.9999999998499</v>
      </c>
      <c r="Q33" s="17">
        <f t="shared" si="1"/>
        <v>920.00000000001592</v>
      </c>
      <c r="R33" s="17">
        <f t="shared" si="1"/>
        <v>1850.0000000000227</v>
      </c>
      <c r="S33" s="17">
        <f t="shared" si="1"/>
        <v>2850.0000000000227</v>
      </c>
      <c r="T33" s="17">
        <f t="shared" si="1"/>
        <v>20.5</v>
      </c>
      <c r="U33" s="35">
        <f t="shared" si="1"/>
        <v>10709.99999999998</v>
      </c>
      <c r="V33" s="35">
        <f t="shared" si="1"/>
        <v>2539.9999999999918</v>
      </c>
      <c r="W33" s="35">
        <f t="shared" si="1"/>
        <v>2509.9999999999909</v>
      </c>
      <c r="X33" s="35">
        <f t="shared" si="1"/>
        <v>2239.9999999999809</v>
      </c>
      <c r="Y33" s="35">
        <f t="shared" si="1"/>
        <v>610.00000000001364</v>
      </c>
      <c r="Z33" s="35">
        <f t="shared" si="1"/>
        <v>576.8300000000022</v>
      </c>
      <c r="AA33" s="35">
        <f t="shared" si="1"/>
        <v>576.8300000000022</v>
      </c>
      <c r="AB33" s="35">
        <f t="shared" si="1"/>
        <v>279.99999999997272</v>
      </c>
      <c r="AC33" s="35">
        <f t="shared" si="1"/>
        <v>280.00000000002956</v>
      </c>
      <c r="AD33" s="35">
        <f t="shared" si="1"/>
        <v>279.99999999997272</v>
      </c>
      <c r="AE33" s="35">
        <f t="shared" si="1"/>
        <v>250</v>
      </c>
      <c r="AF33" s="17">
        <f t="shared" si="1"/>
        <v>335</v>
      </c>
      <c r="AG33" s="32">
        <f t="shared" si="1"/>
        <v>150.99999999997726</v>
      </c>
      <c r="AH33" s="32">
        <f t="shared" si="1"/>
        <v>189.99999999999773</v>
      </c>
      <c r="AI33" s="32">
        <f t="shared" si="1"/>
        <v>170.00000000001592</v>
      </c>
      <c r="AJ33" s="32">
        <f t="shared" si="1"/>
        <v>260.00000000001933</v>
      </c>
      <c r="AK33" s="32">
        <f t="shared" si="1"/>
        <v>259.99999999999091</v>
      </c>
      <c r="AL33" s="32">
        <f t="shared" si="1"/>
        <v>193</v>
      </c>
      <c r="AM33" s="32">
        <f t="shared" si="1"/>
        <v>139.99999999998636</v>
      </c>
      <c r="AN33" s="32">
        <f t="shared" si="1"/>
        <v>316</v>
      </c>
      <c r="AO33" s="32">
        <f t="shared" si="1"/>
        <v>240.00000000000909</v>
      </c>
      <c r="AP33" s="32">
        <f t="shared" si="1"/>
        <v>161</v>
      </c>
      <c r="AQ33" s="17">
        <f t="shared" si="1"/>
        <v>3.1999999999970896</v>
      </c>
      <c r="AR33" s="17">
        <f t="shared" si="1"/>
        <v>1.5</v>
      </c>
      <c r="AS33" s="17">
        <f t="shared" si="1"/>
        <v>0.8000000000001819</v>
      </c>
      <c r="AT33" s="17">
        <f t="shared" si="1"/>
        <v>643.30000000000291</v>
      </c>
      <c r="AU33" s="17">
        <f t="shared" si="1"/>
        <v>3183</v>
      </c>
      <c r="AV33" s="17">
        <f t="shared" si="1"/>
        <v>6480.0000000000182</v>
      </c>
      <c r="AW33" s="31">
        <f>'FS Desroches Daily'!CM35</f>
        <v>0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86.080499999999986</v>
      </c>
      <c r="BC33" s="17">
        <f t="shared" si="1"/>
        <v>0</v>
      </c>
    </row>
    <row r="35" spans="5:55" x14ac:dyDescent="0.25">
      <c r="E35" s="38">
        <f>E33/E37</f>
        <v>0.34498424146057438</v>
      </c>
      <c r="G35" s="29">
        <f>G33-M36</f>
        <v>20741.900000000256</v>
      </c>
      <c r="AE35" s="35">
        <f>SUM(U33:AE33)</f>
        <v>20853.659999999931</v>
      </c>
      <c r="AG35" s="32">
        <f>SUM(AG33:AP33)</f>
        <v>2080.9999999999964</v>
      </c>
    </row>
    <row r="36" spans="5:55" x14ac:dyDescent="0.25">
      <c r="G36" s="29">
        <f>G35-633*14</f>
        <v>11879.900000000256</v>
      </c>
      <c r="M36" s="29">
        <f>M33+N33</f>
        <v>5858.0999999999185</v>
      </c>
    </row>
    <row r="37" spans="5:55" x14ac:dyDescent="0.25">
      <c r="E37" s="17">
        <f>E33+F33+G33+H33+J33-633*14</f>
        <v>70438.000000000146</v>
      </c>
      <c r="G37" s="37">
        <f>M36/E37</f>
        <v>8.3166756580253645E-2</v>
      </c>
      <c r="M37" s="35">
        <f>AE35</f>
        <v>20853.659999999931</v>
      </c>
    </row>
    <row r="38" spans="5:55" x14ac:dyDescent="0.25">
      <c r="L38" s="27">
        <f>M38/E37</f>
        <v>2.9543712200800591E-2</v>
      </c>
      <c r="M38" s="29">
        <f>AG35</f>
        <v>2080.9999999999964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A1" zoomScale="80" zoomScaleNormal="80" workbookViewId="0">
      <pane ySplit="1" topLeftCell="A9" activePane="bottomLeft" state="frozen"/>
      <selection pane="bottomLeft" activeCell="CW20" sqref="CW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38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38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38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38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38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25</v>
      </c>
      <c r="CN19" s="62">
        <v>0</v>
      </c>
      <c r="CO19" s="62">
        <v>0</v>
      </c>
      <c r="CP19" s="68">
        <v>493.7</v>
      </c>
      <c r="CQ19" s="67"/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224.3</v>
      </c>
      <c r="BX20" s="65" t="str">
        <f t="shared" si="30"/>
        <v/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38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3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39"/>
  <sheetViews>
    <sheetView tabSelected="1" zoomScaleNormal="100" workbookViewId="0">
      <selection activeCell="S25" sqref="S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9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9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</row>
    <row r="5" spans="1:19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19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19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19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</row>
    <row r="9" spans="1:19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</row>
    <row r="10" spans="1:19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</row>
    <row r="11" spans="1:19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</row>
    <row r="12" spans="1:19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</row>
    <row r="13" spans="1:19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</row>
    <row r="14" spans="1:19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</row>
    <row r="15" spans="1:19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</row>
    <row r="16" spans="1:19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</row>
    <row r="17" spans="1:19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</row>
    <row r="18" spans="1:19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</row>
    <row r="19" spans="1:19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</row>
    <row r="20" spans="1:19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</row>
    <row r="21" spans="1:19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</row>
    <row r="22" spans="1:19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</row>
    <row r="23" spans="1:19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</row>
    <row r="24" spans="1:19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</row>
    <row r="25" spans="1:19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87</v>
      </c>
      <c r="P25" s="39">
        <v>3</v>
      </c>
      <c r="Q25" s="39">
        <v>2752</v>
      </c>
      <c r="R25" s="78">
        <v>40</v>
      </c>
      <c r="S25" s="78">
        <v>107</v>
      </c>
    </row>
    <row r="26" spans="1:19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</row>
    <row r="27" spans="1:19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</row>
    <row r="28" spans="1:19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</row>
    <row r="29" spans="1:19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</row>
    <row r="30" spans="1:19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</row>
    <row r="31" spans="1:19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</row>
    <row r="32" spans="1:19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</row>
    <row r="33" spans="1:19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</row>
    <row r="34" spans="1:19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</row>
    <row r="35" spans="1:19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</row>
    <row r="36" spans="1:19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19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  <row r="38" spans="1:19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</row>
    <row r="39" spans="1:19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2020-08-18T05:34:57Z</dcterms:modified>
</cp:coreProperties>
</file>