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Johannesburg\"/>
    </mc:Choice>
  </mc:AlternateContent>
  <bookViews>
    <workbookView xWindow="0" yWindow="0" windowWidth="28800" windowHeight="12435"/>
  </bookViews>
  <sheets>
    <sheet name="TOTAL" sheetId="1" r:id="rId1"/>
    <sheet name="FSWJ Daily " sheetId="2" r:id="rId2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F33" i="2"/>
  <c r="H33" i="2"/>
  <c r="F34" i="2"/>
  <c r="H34" i="2"/>
  <c r="F35" i="2"/>
  <c r="H35" i="2"/>
  <c r="D33" i="2"/>
  <c r="D34" i="2"/>
  <c r="D35" i="2"/>
  <c r="D6" i="2"/>
  <c r="F6" i="2"/>
  <c r="H6" i="2"/>
  <c r="D7" i="2"/>
  <c r="F7" i="2"/>
  <c r="H7" i="2"/>
  <c r="D8" i="2"/>
  <c r="F8" i="2"/>
  <c r="H8" i="2"/>
  <c r="H4" i="2"/>
  <c r="F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F9" i="2"/>
  <c r="H9" i="2"/>
  <c r="F10" i="2"/>
  <c r="H10" i="2"/>
  <c r="F11" i="2"/>
  <c r="H11" i="2"/>
  <c r="F12" i="2"/>
  <c r="H12" i="2"/>
  <c r="F13" i="2"/>
  <c r="H13" i="2"/>
  <c r="D14" i="2"/>
  <c r="F14" i="2"/>
  <c r="H14" i="2"/>
  <c r="F15" i="2"/>
  <c r="F16" i="2"/>
  <c r="H16" i="2"/>
  <c r="F17" i="2"/>
  <c r="H17" i="2"/>
  <c r="F18" i="2"/>
  <c r="H18" i="2"/>
  <c r="F19" i="2"/>
  <c r="H19" i="2"/>
  <c r="F20" i="2"/>
  <c r="H20" i="2"/>
  <c r="F21" i="2"/>
  <c r="H21" i="2"/>
  <c r="F22" i="2"/>
  <c r="H22" i="2"/>
  <c r="F23" i="2"/>
  <c r="H23" i="2"/>
  <c r="F24" i="2"/>
  <c r="H24" i="2"/>
  <c r="F25" i="2"/>
  <c r="H25" i="2"/>
  <c r="F26" i="2"/>
  <c r="H26" i="2"/>
  <c r="F27" i="2"/>
  <c r="H27" i="2"/>
  <c r="F28" i="2"/>
  <c r="H28" i="2"/>
  <c r="F29" i="2"/>
  <c r="H29" i="2"/>
  <c r="F30" i="2"/>
  <c r="H30" i="2"/>
  <c r="F31" i="2"/>
  <c r="H31" i="2"/>
  <c r="F32" i="2"/>
  <c r="H32" i="2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<sst xmlns="http://schemas.openxmlformats.org/spreadsheetml/2006/main" count="58" uniqueCount="25">
  <si>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</si>
  <si>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</si>
  <si>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</si>
  <si>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</si>
  <si>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</si>
  <si>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</si>
  <si>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</si>
  <si>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</si>
  <si>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</si>
  <si>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</si>
  <si>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</si>
  <si>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</si>
  <si>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</si>
  <si>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</si>
  <si>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</si>
  <si>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</si>
  <si>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TOTAL GUESTS</t>
  </si>
  <si>
    <t>Natual Gas (m3)</t>
  </si>
  <si>
    <t>Natural Gas $/m3</t>
  </si>
  <si>
    <t>Electricity - KWh</t>
  </si>
  <si>
    <t>Water -m3</t>
  </si>
  <si>
    <t>Natural Gas-m3</t>
  </si>
  <si>
    <t>Johannesburg</t>
  </si>
  <si>
    <t xml:space="preserve"> </t>
  </si>
  <si>
    <t>69.10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</si>
</sst>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8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1" fillId="3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/>
    <xf numFmtId="1" fontId="4" fillId="2" borderId="0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0" fillId="0" borderId="3" xfId="0" applyBorder="1" applyAlignment="1">
      <alignment horizontal="center"/>
    </xf>
    <xf numFmtId="0" fontId="5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2" fontId="1" fillId="0" borderId="5" xfId="0" applyNumberFormat="1" applyFont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abSelected="1" workbookViewId="0">
      <selection activeCell="G14" sqref="G14"/>
    </sheetView>
  </sheetViews>
  <sheetFormatPr defaultColWidth="11.5703125" defaultRowHeight="15" x14ac:dyDescent="0.25"/>
  <cols>
    <col min="1" max="1" width="18.140625" style="16" customWidth="1"/>
    <col min="2" max="3" width="11.5703125" style="8"/>
    <col min="4" max="4" width="13.42578125" style="8" customWidth="1"/>
    <col min="5" max="5" width="12.5703125" style="5" customWidth="1"/>
    <col min="6" max="6" width="12.5703125" style="15" customWidth="1"/>
    <col min="7" max="7" width="11.5703125" style="5"/>
    <col min="8" max="8" width="11.5703125" style="15"/>
    <col min="9" max="24" width="11.5703125" style="5"/>
  </cols>
  <sheetData>
    <row r="1" spans="1:24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5" t="s">
        <v>8</v>
      </c>
      <c r="F1" s="26" t="s">
        <v>9</v>
      </c>
      <c r="G1" s="25" t="s">
        <v>10</v>
      </c>
      <c r="H1" s="26" t="s">
        <v>11</v>
      </c>
      <c r="I1" s="25" t="s">
        <v>17</v>
      </c>
      <c r="J1" s="25" t="s">
        <v>18</v>
      </c>
      <c r="K1" s="25" t="s">
        <v>12</v>
      </c>
      <c r="L1" s="25" t="s">
        <v>13</v>
      </c>
      <c r="M1" s="8" t="s">
        <v>23</v>
      </c>
      <c r="N1" s="8" t="s">
        <v>23</v>
      </c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25">
      <c r="A2" s="16" t="s">
        <v>22</v>
      </c>
      <c r="B2" s="8">
        <v>1</v>
      </c>
      <c r="C2" s="8">
        <v>11</v>
      </c>
      <c r="D2" s="8">
        <v>2018</v>
      </c>
      <c r="E2" s="19">
        <f>364410/30</f>
        <v>12147</v>
      </c>
      <c r="F2" s="15">
        <v>1.32</v>
      </c>
      <c r="G2" s="19">
        <f>3976/30</f>
        <v>132.53333333333333</v>
      </c>
      <c r="H2" s="15" t="s">
        <v>24</v>
      </c>
      <c r="I2" s="19">
        <f>11811/30</f>
        <v>393.7</v>
      </c>
      <c r="J2" s="15">
        <v>11.09</v>
      </c>
      <c r="K2" s="19">
        <f>2510/30</f>
        <v>83.666666666666671</v>
      </c>
      <c r="L2" s="19">
        <f>'FSWJ Daily '!J5</f>
        <v>0</v>
      </c>
    </row>
    <row r="3" spans="1:24" x14ac:dyDescent="0.25">
      <c r="A3" s="16" t="s">
        <v>22</v>
      </c>
      <c r="B3" s="8">
        <f>B2+1</f>
        <v>2</v>
      </c>
      <c r="C3" s="8">
        <v>11</v>
      </c>
      <c r="D3" s="8">
        <v>2018</v>
      </c>
      <c r="E3" s="19">
        <f t="shared" ref="E3:E31" si="0">364410/30</f>
        <v>12147</v>
      </c>
      <c r="F3" s="15">
        <f>F2</f>
        <v>1.32</v>
      </c>
      <c r="G3" s="19">
        <f t="shared" ref="G3:G31" si="1">3976/30</f>
        <v>132.53333333333333</v>
      </c>
      <c r="H3" s="15" t="str">
        <f>H2</f>
        <v>69.10</v>
      </c>
      <c r="I3" s="19">
        <f t="shared" ref="I3:I31" si="2">11811/30</f>
        <v>393.7</v>
      </c>
      <c r="J3" s="15">
        <v>11.09</v>
      </c>
      <c r="K3" s="19">
        <f t="shared" ref="K3:K31" si="3">2510/30</f>
        <v>83.666666666666671</v>
      </c>
      <c r="L3" s="19">
        <f>'FSWJ Daily '!J6</f>
        <v>0</v>
      </c>
    </row>
    <row r="4" spans="1:24" x14ac:dyDescent="0.25">
      <c r="A4" s="16" t="s">
        <v>22</v>
      </c>
      <c r="B4" s="8">
        <f t="shared" ref="B4:B31" si="4">B3+1</f>
        <v>3</v>
      </c>
      <c r="C4" s="8">
        <v>11</v>
      </c>
      <c r="D4" s="8">
        <v>2018</v>
      </c>
      <c r="E4" s="19">
        <f t="shared" si="0"/>
        <v>12147</v>
      </c>
      <c r="F4" s="15">
        <f t="shared" ref="F4:F31" si="5">F3</f>
        <v>1.32</v>
      </c>
      <c r="G4" s="19">
        <f t="shared" si="1"/>
        <v>132.53333333333333</v>
      </c>
      <c r="H4" s="15" t="str">
        <f t="shared" ref="H4:H31" si="6">H3</f>
        <v>69.10</v>
      </c>
      <c r="I4" s="19">
        <f t="shared" si="2"/>
        <v>393.7</v>
      </c>
      <c r="J4" s="15">
        <v>11.09</v>
      </c>
      <c r="K4" s="19">
        <f t="shared" si="3"/>
        <v>83.666666666666671</v>
      </c>
      <c r="L4" s="19">
        <f>'FSWJ Daily '!J7</f>
        <v>0</v>
      </c>
    </row>
    <row r="5" spans="1:24" x14ac:dyDescent="0.25">
      <c r="A5" s="16" t="s">
        <v>22</v>
      </c>
      <c r="B5" s="8">
        <f t="shared" si="4"/>
        <v>4</v>
      </c>
      <c r="C5" s="8">
        <v>11</v>
      </c>
      <c r="D5" s="8">
        <v>2018</v>
      </c>
      <c r="E5" s="19">
        <f t="shared" si="0"/>
        <v>12147</v>
      </c>
      <c r="F5" s="15">
        <f t="shared" si="5"/>
        <v>1.32</v>
      </c>
      <c r="G5" s="19">
        <f t="shared" si="1"/>
        <v>132.53333333333333</v>
      </c>
      <c r="H5" s="15" t="str">
        <f t="shared" si="6"/>
        <v>69.10</v>
      </c>
      <c r="I5" s="19">
        <f t="shared" si="2"/>
        <v>393.7</v>
      </c>
      <c r="J5" s="15">
        <v>11.09</v>
      </c>
      <c r="K5" s="19">
        <f t="shared" si="3"/>
        <v>83.666666666666671</v>
      </c>
      <c r="L5" s="19">
        <f>'FSWJ Daily '!J8</f>
        <v>0</v>
      </c>
    </row>
    <row r="6" spans="1:24" x14ac:dyDescent="0.25">
      <c r="A6" s="16" t="s">
        <v>22</v>
      </c>
      <c r="B6" s="8">
        <f t="shared" si="4"/>
        <v>5</v>
      </c>
      <c r="C6" s="8">
        <v>11</v>
      </c>
      <c r="D6" s="8">
        <v>2018</v>
      </c>
      <c r="E6" s="19">
        <f t="shared" si="0"/>
        <v>12147</v>
      </c>
      <c r="F6" s="15">
        <f t="shared" si="5"/>
        <v>1.32</v>
      </c>
      <c r="G6" s="19">
        <f t="shared" si="1"/>
        <v>132.53333333333333</v>
      </c>
      <c r="H6" s="15" t="str">
        <f t="shared" si="6"/>
        <v>69.10</v>
      </c>
      <c r="I6" s="19">
        <f t="shared" si="2"/>
        <v>393.7</v>
      </c>
      <c r="J6" s="15">
        <v>11.09</v>
      </c>
      <c r="K6" s="19">
        <f t="shared" si="3"/>
        <v>83.666666666666671</v>
      </c>
      <c r="L6" s="19">
        <f>'FSWJ Daily '!J9</f>
        <v>0</v>
      </c>
    </row>
    <row r="7" spans="1:24" x14ac:dyDescent="0.25">
      <c r="A7" s="16" t="s">
        <v>22</v>
      </c>
      <c r="B7" s="8">
        <f t="shared" si="4"/>
        <v>6</v>
      </c>
      <c r="C7" s="8">
        <v>11</v>
      </c>
      <c r="D7" s="8">
        <v>2018</v>
      </c>
      <c r="E7" s="19">
        <f t="shared" si="0"/>
        <v>12147</v>
      </c>
      <c r="F7" s="15">
        <f t="shared" si="5"/>
        <v>1.32</v>
      </c>
      <c r="G7" s="19">
        <f t="shared" si="1"/>
        <v>132.53333333333333</v>
      </c>
      <c r="H7" s="15" t="str">
        <f t="shared" si="6"/>
        <v>69.10</v>
      </c>
      <c r="I7" s="19">
        <f t="shared" si="2"/>
        <v>393.7</v>
      </c>
      <c r="J7" s="15">
        <v>11.09</v>
      </c>
      <c r="K7" s="19">
        <f t="shared" si="3"/>
        <v>83.666666666666671</v>
      </c>
      <c r="L7" s="19">
        <f>'FSWJ Daily '!J10</f>
        <v>0</v>
      </c>
    </row>
    <row r="8" spans="1:24" x14ac:dyDescent="0.25">
      <c r="A8" s="16" t="s">
        <v>22</v>
      </c>
      <c r="B8" s="8">
        <f t="shared" si="4"/>
        <v>7</v>
      </c>
      <c r="C8" s="8">
        <v>11</v>
      </c>
      <c r="D8" s="8">
        <v>2018</v>
      </c>
      <c r="E8" s="19">
        <f t="shared" si="0"/>
        <v>12147</v>
      </c>
      <c r="F8" s="15">
        <f t="shared" si="5"/>
        <v>1.32</v>
      </c>
      <c r="G8" s="19">
        <f t="shared" si="1"/>
        <v>132.53333333333333</v>
      </c>
      <c r="H8" s="15" t="str">
        <f t="shared" si="6"/>
        <v>69.10</v>
      </c>
      <c r="I8" s="19">
        <f t="shared" si="2"/>
        <v>393.7</v>
      </c>
      <c r="J8" s="15">
        <v>11.09</v>
      </c>
      <c r="K8" s="19">
        <f t="shared" si="3"/>
        <v>83.666666666666671</v>
      </c>
      <c r="L8" s="19">
        <f>'FSWJ Daily '!J11</f>
        <v>0</v>
      </c>
    </row>
    <row r="9" spans="1:24" x14ac:dyDescent="0.25">
      <c r="A9" s="16" t="s">
        <v>22</v>
      </c>
      <c r="B9" s="8">
        <f t="shared" si="4"/>
        <v>8</v>
      </c>
      <c r="C9" s="8">
        <v>11</v>
      </c>
      <c r="D9" s="8">
        <v>2018</v>
      </c>
      <c r="E9" s="19">
        <f t="shared" si="0"/>
        <v>12147</v>
      </c>
      <c r="F9" s="15">
        <f t="shared" si="5"/>
        <v>1.32</v>
      </c>
      <c r="G9" s="19">
        <f t="shared" si="1"/>
        <v>132.53333333333333</v>
      </c>
      <c r="H9" s="15" t="str">
        <f t="shared" si="6"/>
        <v>69.10</v>
      </c>
      <c r="I9" s="19">
        <f t="shared" si="2"/>
        <v>393.7</v>
      </c>
      <c r="J9" s="15">
        <v>11.09</v>
      </c>
      <c r="K9" s="19">
        <f t="shared" si="3"/>
        <v>83.666666666666671</v>
      </c>
      <c r="L9" s="19">
        <f>'FSWJ Daily '!J12</f>
        <v>0</v>
      </c>
    </row>
    <row r="10" spans="1:24" x14ac:dyDescent="0.25">
      <c r="A10" s="16" t="s">
        <v>22</v>
      </c>
      <c r="B10" s="8">
        <f t="shared" si="4"/>
        <v>9</v>
      </c>
      <c r="C10" s="8">
        <v>11</v>
      </c>
      <c r="D10" s="8">
        <v>2018</v>
      </c>
      <c r="E10" s="19">
        <f t="shared" si="0"/>
        <v>12147</v>
      </c>
      <c r="F10" s="15">
        <f t="shared" si="5"/>
        <v>1.32</v>
      </c>
      <c r="G10" s="19">
        <f t="shared" si="1"/>
        <v>132.53333333333333</v>
      </c>
      <c r="H10" s="15" t="str">
        <f t="shared" si="6"/>
        <v>69.10</v>
      </c>
      <c r="I10" s="19">
        <f t="shared" si="2"/>
        <v>393.7</v>
      </c>
      <c r="J10" s="15">
        <v>11.09</v>
      </c>
      <c r="K10" s="19">
        <f t="shared" si="3"/>
        <v>83.666666666666671</v>
      </c>
      <c r="L10" s="19">
        <f>'FSWJ Daily '!J13</f>
        <v>0</v>
      </c>
    </row>
    <row r="11" spans="1:24" x14ac:dyDescent="0.25">
      <c r="A11" s="16" t="s">
        <v>22</v>
      </c>
      <c r="B11" s="8">
        <f t="shared" si="4"/>
        <v>10</v>
      </c>
      <c r="C11" s="8">
        <v>11</v>
      </c>
      <c r="D11" s="8">
        <v>2018</v>
      </c>
      <c r="E11" s="19">
        <f t="shared" si="0"/>
        <v>12147</v>
      </c>
      <c r="F11" s="15">
        <f t="shared" si="5"/>
        <v>1.32</v>
      </c>
      <c r="G11" s="19">
        <f t="shared" si="1"/>
        <v>132.53333333333333</v>
      </c>
      <c r="H11" s="15" t="str">
        <f t="shared" si="6"/>
        <v>69.10</v>
      </c>
      <c r="I11" s="19">
        <f t="shared" si="2"/>
        <v>393.7</v>
      </c>
      <c r="J11" s="15">
        <v>11.09</v>
      </c>
      <c r="K11" s="19">
        <f t="shared" si="3"/>
        <v>83.666666666666671</v>
      </c>
      <c r="L11" s="19">
        <f>'FSWJ Daily '!J14</f>
        <v>0</v>
      </c>
    </row>
    <row r="12" spans="1:24" x14ac:dyDescent="0.25">
      <c r="A12" s="16" t="s">
        <v>22</v>
      </c>
      <c r="B12" s="8">
        <f t="shared" si="4"/>
        <v>11</v>
      </c>
      <c r="C12" s="8">
        <v>11</v>
      </c>
      <c r="D12" s="8">
        <v>2018</v>
      </c>
      <c r="E12" s="19">
        <f t="shared" si="0"/>
        <v>12147</v>
      </c>
      <c r="F12" s="15">
        <f t="shared" si="5"/>
        <v>1.32</v>
      </c>
      <c r="G12" s="19">
        <f t="shared" si="1"/>
        <v>132.53333333333333</v>
      </c>
      <c r="H12" s="15" t="str">
        <f t="shared" si="6"/>
        <v>69.10</v>
      </c>
      <c r="I12" s="19">
        <f t="shared" si="2"/>
        <v>393.7</v>
      </c>
      <c r="J12" s="15">
        <v>11.09</v>
      </c>
      <c r="K12" s="19">
        <f t="shared" si="3"/>
        <v>83.666666666666671</v>
      </c>
      <c r="L12" s="19">
        <f>'FSWJ Daily '!J15</f>
        <v>0</v>
      </c>
    </row>
    <row r="13" spans="1:24" x14ac:dyDescent="0.25">
      <c r="A13" s="16" t="s">
        <v>22</v>
      </c>
      <c r="B13" s="8">
        <f t="shared" si="4"/>
        <v>12</v>
      </c>
      <c r="C13" s="8">
        <v>11</v>
      </c>
      <c r="D13" s="8">
        <v>2018</v>
      </c>
      <c r="E13" s="19">
        <f t="shared" si="0"/>
        <v>12147</v>
      </c>
      <c r="F13" s="15">
        <f t="shared" si="5"/>
        <v>1.32</v>
      </c>
      <c r="G13" s="19">
        <f t="shared" si="1"/>
        <v>132.53333333333333</v>
      </c>
      <c r="H13" s="15" t="str">
        <f t="shared" si="6"/>
        <v>69.10</v>
      </c>
      <c r="I13" s="19">
        <f t="shared" si="2"/>
        <v>393.7</v>
      </c>
      <c r="J13" s="15">
        <v>11.09</v>
      </c>
      <c r="K13" s="19">
        <f t="shared" si="3"/>
        <v>83.666666666666671</v>
      </c>
      <c r="L13" s="19">
        <f>'FSWJ Daily '!J16</f>
        <v>0</v>
      </c>
    </row>
    <row r="14" spans="1:24" x14ac:dyDescent="0.25">
      <c r="A14" s="16" t="s">
        <v>22</v>
      </c>
      <c r="B14" s="8">
        <f t="shared" si="4"/>
        <v>13</v>
      </c>
      <c r="C14" s="8">
        <v>11</v>
      </c>
      <c r="D14" s="8">
        <v>2018</v>
      </c>
      <c r="E14" s="19">
        <f t="shared" si="0"/>
        <v>12147</v>
      </c>
      <c r="F14" s="15">
        <f t="shared" si="5"/>
        <v>1.32</v>
      </c>
      <c r="G14" s="19">
        <f t="shared" si="1"/>
        <v>132.53333333333333</v>
      </c>
      <c r="H14" s="15" t="str">
        <f t="shared" si="6"/>
        <v>69.10</v>
      </c>
      <c r="I14" s="19">
        <f t="shared" si="2"/>
        <v>393.7</v>
      </c>
      <c r="J14" s="15">
        <v>11.09</v>
      </c>
      <c r="K14" s="19">
        <f t="shared" si="3"/>
        <v>83.666666666666671</v>
      </c>
      <c r="L14" s="19">
        <f>'FSWJ Daily '!J17</f>
        <v>0</v>
      </c>
    </row>
    <row r="15" spans="1:24" x14ac:dyDescent="0.25">
      <c r="A15" s="16" t="s">
        <v>22</v>
      </c>
      <c r="B15" s="8">
        <f t="shared" si="4"/>
        <v>14</v>
      </c>
      <c r="C15" s="8">
        <v>11</v>
      </c>
      <c r="D15" s="8">
        <v>2018</v>
      </c>
      <c r="E15" s="19">
        <f t="shared" si="0"/>
        <v>12147</v>
      </c>
      <c r="F15" s="15">
        <f t="shared" si="5"/>
        <v>1.32</v>
      </c>
      <c r="G15" s="19">
        <f t="shared" si="1"/>
        <v>132.53333333333333</v>
      </c>
      <c r="H15" s="15" t="str">
        <f t="shared" si="6"/>
        <v>69.10</v>
      </c>
      <c r="I15" s="19">
        <f t="shared" si="2"/>
        <v>393.7</v>
      </c>
      <c r="J15" s="15">
        <v>11.09</v>
      </c>
      <c r="K15" s="19">
        <f t="shared" si="3"/>
        <v>83.666666666666671</v>
      </c>
      <c r="L15" s="19">
        <f>'FSWJ Daily '!J18</f>
        <v>0</v>
      </c>
    </row>
    <row r="16" spans="1:24" x14ac:dyDescent="0.25">
      <c r="A16" s="16" t="s">
        <v>22</v>
      </c>
      <c r="B16" s="8">
        <f t="shared" si="4"/>
        <v>15</v>
      </c>
      <c r="C16" s="8">
        <v>11</v>
      </c>
      <c r="D16" s="8">
        <v>2018</v>
      </c>
      <c r="E16" s="19">
        <f t="shared" si="0"/>
        <v>12147</v>
      </c>
      <c r="F16" s="15">
        <f t="shared" si="5"/>
        <v>1.32</v>
      </c>
      <c r="G16" s="19">
        <f t="shared" si="1"/>
        <v>132.53333333333333</v>
      </c>
      <c r="H16" s="15" t="str">
        <f t="shared" si="6"/>
        <v>69.10</v>
      </c>
      <c r="I16" s="19">
        <f t="shared" si="2"/>
        <v>393.7</v>
      </c>
      <c r="J16" s="15">
        <v>11.09</v>
      </c>
      <c r="K16" s="19">
        <f t="shared" si="3"/>
        <v>83.666666666666671</v>
      </c>
      <c r="L16" s="19">
        <f>'FSWJ Daily '!J19</f>
        <v>0</v>
      </c>
    </row>
    <row r="17" spans="1:12" x14ac:dyDescent="0.25">
      <c r="A17" s="16" t="s">
        <v>22</v>
      </c>
      <c r="B17" s="8">
        <f t="shared" si="4"/>
        <v>16</v>
      </c>
      <c r="C17" s="8">
        <v>11</v>
      </c>
      <c r="D17" s="8">
        <v>2018</v>
      </c>
      <c r="E17" s="19">
        <f t="shared" si="0"/>
        <v>12147</v>
      </c>
      <c r="F17" s="15">
        <f t="shared" si="5"/>
        <v>1.32</v>
      </c>
      <c r="G17" s="19">
        <f t="shared" si="1"/>
        <v>132.53333333333333</v>
      </c>
      <c r="H17" s="15" t="str">
        <f t="shared" si="6"/>
        <v>69.10</v>
      </c>
      <c r="I17" s="19">
        <f t="shared" si="2"/>
        <v>393.7</v>
      </c>
      <c r="J17" s="15">
        <v>11.09</v>
      </c>
      <c r="K17" s="19">
        <f t="shared" si="3"/>
        <v>83.666666666666671</v>
      </c>
      <c r="L17" s="19">
        <f>'FSWJ Daily '!J20</f>
        <v>0</v>
      </c>
    </row>
    <row r="18" spans="1:12" x14ac:dyDescent="0.25">
      <c r="A18" s="16" t="s">
        <v>22</v>
      </c>
      <c r="B18" s="8">
        <f t="shared" si="4"/>
        <v>17</v>
      </c>
      <c r="C18" s="8">
        <v>11</v>
      </c>
      <c r="D18" s="8">
        <v>2018</v>
      </c>
      <c r="E18" s="19">
        <f t="shared" si="0"/>
        <v>12147</v>
      </c>
      <c r="F18" s="15">
        <f t="shared" si="5"/>
        <v>1.32</v>
      </c>
      <c r="G18" s="19">
        <f t="shared" si="1"/>
        <v>132.53333333333333</v>
      </c>
      <c r="H18" s="15" t="str">
        <f t="shared" si="6"/>
        <v>69.10</v>
      </c>
      <c r="I18" s="19">
        <f t="shared" si="2"/>
        <v>393.7</v>
      </c>
      <c r="J18" s="15">
        <v>11.09</v>
      </c>
      <c r="K18" s="19">
        <f t="shared" si="3"/>
        <v>83.666666666666671</v>
      </c>
      <c r="L18" s="19">
        <f>'FSWJ Daily '!J21</f>
        <v>0</v>
      </c>
    </row>
    <row r="19" spans="1:12" x14ac:dyDescent="0.25">
      <c r="A19" s="16" t="s">
        <v>22</v>
      </c>
      <c r="B19" s="8">
        <f t="shared" si="4"/>
        <v>18</v>
      </c>
      <c r="C19" s="8">
        <v>11</v>
      </c>
      <c r="D19" s="8">
        <v>2018</v>
      </c>
      <c r="E19" s="19">
        <f t="shared" si="0"/>
        <v>12147</v>
      </c>
      <c r="F19" s="15">
        <f t="shared" si="5"/>
        <v>1.32</v>
      </c>
      <c r="G19" s="19">
        <f t="shared" si="1"/>
        <v>132.53333333333333</v>
      </c>
      <c r="H19" s="15" t="str">
        <f t="shared" si="6"/>
        <v>69.10</v>
      </c>
      <c r="I19" s="19">
        <f t="shared" si="2"/>
        <v>393.7</v>
      </c>
      <c r="J19" s="15">
        <v>11.09</v>
      </c>
      <c r="K19" s="19">
        <f t="shared" si="3"/>
        <v>83.666666666666671</v>
      </c>
      <c r="L19" s="19">
        <f>'FSWJ Daily '!J22</f>
        <v>0</v>
      </c>
    </row>
    <row r="20" spans="1:12" x14ac:dyDescent="0.25">
      <c r="A20" s="16" t="s">
        <v>22</v>
      </c>
      <c r="B20" s="8">
        <f t="shared" si="4"/>
        <v>19</v>
      </c>
      <c r="C20" s="8">
        <v>11</v>
      </c>
      <c r="D20" s="8">
        <v>2018</v>
      </c>
      <c r="E20" s="19">
        <f t="shared" si="0"/>
        <v>12147</v>
      </c>
      <c r="F20" s="15">
        <f t="shared" si="5"/>
        <v>1.32</v>
      </c>
      <c r="G20" s="19">
        <f t="shared" si="1"/>
        <v>132.53333333333333</v>
      </c>
      <c r="H20" s="15" t="str">
        <f t="shared" si="6"/>
        <v>69.10</v>
      </c>
      <c r="I20" s="19">
        <f t="shared" si="2"/>
        <v>393.7</v>
      </c>
      <c r="J20" s="15">
        <v>11.09</v>
      </c>
      <c r="K20" s="19">
        <f t="shared" si="3"/>
        <v>83.666666666666671</v>
      </c>
      <c r="L20" s="19">
        <f>'FSWJ Daily '!J23</f>
        <v>0</v>
      </c>
    </row>
    <row r="21" spans="1:12" x14ac:dyDescent="0.25">
      <c r="A21" s="16" t="s">
        <v>22</v>
      </c>
      <c r="B21" s="8">
        <f t="shared" si="4"/>
        <v>20</v>
      </c>
      <c r="C21" s="8">
        <v>11</v>
      </c>
      <c r="D21" s="8">
        <v>2018</v>
      </c>
      <c r="E21" s="19">
        <f t="shared" si="0"/>
        <v>12147</v>
      </c>
      <c r="F21" s="15">
        <f t="shared" si="5"/>
        <v>1.32</v>
      </c>
      <c r="G21" s="19">
        <f t="shared" si="1"/>
        <v>132.53333333333333</v>
      </c>
      <c r="H21" s="15" t="str">
        <f t="shared" si="6"/>
        <v>69.10</v>
      </c>
      <c r="I21" s="19">
        <f t="shared" si="2"/>
        <v>393.7</v>
      </c>
      <c r="J21" s="15">
        <v>11.09</v>
      </c>
      <c r="K21" s="19">
        <f t="shared" si="3"/>
        <v>83.666666666666671</v>
      </c>
      <c r="L21" s="19">
        <f>'FSWJ Daily '!J24</f>
        <v>0</v>
      </c>
    </row>
    <row r="22" spans="1:12" x14ac:dyDescent="0.25">
      <c r="A22" s="16" t="s">
        <v>22</v>
      </c>
      <c r="B22" s="8">
        <f t="shared" si="4"/>
        <v>21</v>
      </c>
      <c r="C22" s="8">
        <v>11</v>
      </c>
      <c r="D22" s="8">
        <v>2018</v>
      </c>
      <c r="E22" s="19">
        <f t="shared" si="0"/>
        <v>12147</v>
      </c>
      <c r="F22" s="15">
        <f t="shared" si="5"/>
        <v>1.32</v>
      </c>
      <c r="G22" s="19">
        <f t="shared" si="1"/>
        <v>132.53333333333333</v>
      </c>
      <c r="H22" s="15" t="str">
        <f t="shared" si="6"/>
        <v>69.10</v>
      </c>
      <c r="I22" s="19">
        <f t="shared" si="2"/>
        <v>393.7</v>
      </c>
      <c r="J22" s="15">
        <v>11.09</v>
      </c>
      <c r="K22" s="19">
        <f t="shared" si="3"/>
        <v>83.666666666666671</v>
      </c>
      <c r="L22" s="19">
        <f>'FSWJ Daily '!J25</f>
        <v>0</v>
      </c>
    </row>
    <row r="23" spans="1:12" x14ac:dyDescent="0.25">
      <c r="A23" s="16" t="s">
        <v>22</v>
      </c>
      <c r="B23" s="8">
        <f t="shared" si="4"/>
        <v>22</v>
      </c>
      <c r="C23" s="8">
        <v>11</v>
      </c>
      <c r="D23" s="8">
        <v>2018</v>
      </c>
      <c r="E23" s="19">
        <f t="shared" si="0"/>
        <v>12147</v>
      </c>
      <c r="F23" s="15">
        <f t="shared" si="5"/>
        <v>1.32</v>
      </c>
      <c r="G23" s="19">
        <f t="shared" si="1"/>
        <v>132.53333333333333</v>
      </c>
      <c r="H23" s="15" t="str">
        <f t="shared" si="6"/>
        <v>69.10</v>
      </c>
      <c r="I23" s="19">
        <f t="shared" si="2"/>
        <v>393.7</v>
      </c>
      <c r="J23" s="15">
        <v>11.09</v>
      </c>
      <c r="K23" s="19">
        <f t="shared" si="3"/>
        <v>83.666666666666671</v>
      </c>
      <c r="L23" s="19">
        <f>'FSWJ Daily '!J26</f>
        <v>0</v>
      </c>
    </row>
    <row r="24" spans="1:12" x14ac:dyDescent="0.25">
      <c r="A24" s="16" t="s">
        <v>22</v>
      </c>
      <c r="B24" s="8">
        <f t="shared" si="4"/>
        <v>23</v>
      </c>
      <c r="C24" s="8">
        <v>11</v>
      </c>
      <c r="D24" s="8">
        <v>2018</v>
      </c>
      <c r="E24" s="19">
        <f t="shared" si="0"/>
        <v>12147</v>
      </c>
      <c r="F24" s="15">
        <f t="shared" si="5"/>
        <v>1.32</v>
      </c>
      <c r="G24" s="19">
        <f t="shared" si="1"/>
        <v>132.53333333333333</v>
      </c>
      <c r="H24" s="15" t="str">
        <f t="shared" si="6"/>
        <v>69.10</v>
      </c>
      <c r="I24" s="19">
        <f t="shared" si="2"/>
        <v>393.7</v>
      </c>
      <c r="J24" s="15">
        <v>11.09</v>
      </c>
      <c r="K24" s="19">
        <f t="shared" si="3"/>
        <v>83.666666666666671</v>
      </c>
      <c r="L24" s="19">
        <f>'FSWJ Daily '!J27</f>
        <v>0</v>
      </c>
    </row>
    <row r="25" spans="1:12" x14ac:dyDescent="0.25">
      <c r="A25" s="16" t="s">
        <v>22</v>
      </c>
      <c r="B25" s="8">
        <f t="shared" si="4"/>
        <v>24</v>
      </c>
      <c r="C25" s="8">
        <v>11</v>
      </c>
      <c r="D25" s="8">
        <v>2018</v>
      </c>
      <c r="E25" s="19">
        <f t="shared" si="0"/>
        <v>12147</v>
      </c>
      <c r="F25" s="15">
        <f t="shared" si="5"/>
        <v>1.32</v>
      </c>
      <c r="G25" s="19">
        <f t="shared" si="1"/>
        <v>132.53333333333333</v>
      </c>
      <c r="H25" s="15" t="str">
        <f t="shared" si="6"/>
        <v>69.10</v>
      </c>
      <c r="I25" s="19">
        <f t="shared" si="2"/>
        <v>393.7</v>
      </c>
      <c r="J25" s="15">
        <v>11.09</v>
      </c>
      <c r="K25" s="19">
        <f t="shared" si="3"/>
        <v>83.666666666666671</v>
      </c>
      <c r="L25" s="19">
        <f>'FSWJ Daily '!J28</f>
        <v>0</v>
      </c>
    </row>
    <row r="26" spans="1:12" x14ac:dyDescent="0.25">
      <c r="A26" s="16" t="s">
        <v>22</v>
      </c>
      <c r="B26" s="8">
        <f>B25+1</f>
        <v>25</v>
      </c>
      <c r="C26" s="8">
        <v>11</v>
      </c>
      <c r="D26" s="8">
        <v>2018</v>
      </c>
      <c r="E26" s="19">
        <f t="shared" si="0"/>
        <v>12147</v>
      </c>
      <c r="F26" s="15">
        <f t="shared" si="5"/>
        <v>1.32</v>
      </c>
      <c r="G26" s="19">
        <f t="shared" si="1"/>
        <v>132.53333333333333</v>
      </c>
      <c r="H26" s="15" t="str">
        <f t="shared" si="6"/>
        <v>69.10</v>
      </c>
      <c r="I26" s="19">
        <f t="shared" si="2"/>
        <v>393.7</v>
      </c>
      <c r="J26" s="15">
        <v>11.09</v>
      </c>
      <c r="K26" s="19">
        <f t="shared" si="3"/>
        <v>83.666666666666671</v>
      </c>
      <c r="L26" s="19">
        <f>'FSWJ Daily '!J29</f>
        <v>0</v>
      </c>
    </row>
    <row r="27" spans="1:12" x14ac:dyDescent="0.25">
      <c r="A27" s="16" t="s">
        <v>22</v>
      </c>
      <c r="B27" s="8">
        <f t="shared" si="4"/>
        <v>26</v>
      </c>
      <c r="C27" s="8">
        <v>11</v>
      </c>
      <c r="D27" s="8">
        <v>2018</v>
      </c>
      <c r="E27" s="19">
        <f t="shared" si="0"/>
        <v>12147</v>
      </c>
      <c r="F27" s="15">
        <f t="shared" si="5"/>
        <v>1.32</v>
      </c>
      <c r="G27" s="19">
        <f t="shared" si="1"/>
        <v>132.53333333333333</v>
      </c>
      <c r="H27" s="15" t="str">
        <f t="shared" si="6"/>
        <v>69.10</v>
      </c>
      <c r="I27" s="19">
        <f t="shared" si="2"/>
        <v>393.7</v>
      </c>
      <c r="J27" s="15">
        <v>11.09</v>
      </c>
      <c r="K27" s="19">
        <f t="shared" si="3"/>
        <v>83.666666666666671</v>
      </c>
      <c r="L27" s="19">
        <f>'FSWJ Daily '!J30</f>
        <v>0</v>
      </c>
    </row>
    <row r="28" spans="1:12" x14ac:dyDescent="0.25">
      <c r="A28" s="16" t="s">
        <v>22</v>
      </c>
      <c r="B28" s="8">
        <f t="shared" si="4"/>
        <v>27</v>
      </c>
      <c r="C28" s="8">
        <v>11</v>
      </c>
      <c r="D28" s="8">
        <v>2018</v>
      </c>
      <c r="E28" s="19">
        <f t="shared" si="0"/>
        <v>12147</v>
      </c>
      <c r="F28" s="15">
        <f t="shared" si="5"/>
        <v>1.32</v>
      </c>
      <c r="G28" s="19">
        <f t="shared" si="1"/>
        <v>132.53333333333333</v>
      </c>
      <c r="H28" s="15" t="str">
        <f t="shared" si="6"/>
        <v>69.10</v>
      </c>
      <c r="I28" s="19">
        <f t="shared" si="2"/>
        <v>393.7</v>
      </c>
      <c r="J28" s="15">
        <v>11.09</v>
      </c>
      <c r="K28" s="19">
        <f t="shared" si="3"/>
        <v>83.666666666666671</v>
      </c>
      <c r="L28" s="19">
        <f>'FSWJ Daily '!J31</f>
        <v>0</v>
      </c>
    </row>
    <row r="29" spans="1:12" x14ac:dyDescent="0.25">
      <c r="A29" s="16" t="s">
        <v>22</v>
      </c>
      <c r="B29" s="8">
        <f t="shared" si="4"/>
        <v>28</v>
      </c>
      <c r="C29" s="8">
        <v>11</v>
      </c>
      <c r="D29" s="8">
        <v>2018</v>
      </c>
      <c r="E29" s="19">
        <f t="shared" si="0"/>
        <v>12147</v>
      </c>
      <c r="F29" s="15">
        <f t="shared" si="5"/>
        <v>1.32</v>
      </c>
      <c r="G29" s="19">
        <f t="shared" si="1"/>
        <v>132.53333333333333</v>
      </c>
      <c r="H29" s="15" t="str">
        <f t="shared" si="6"/>
        <v>69.10</v>
      </c>
      <c r="I29" s="19">
        <f t="shared" si="2"/>
        <v>393.7</v>
      </c>
      <c r="J29" s="15">
        <v>11.09</v>
      </c>
      <c r="K29" s="19">
        <f t="shared" si="3"/>
        <v>83.666666666666671</v>
      </c>
      <c r="L29" s="19">
        <f>'FSWJ Daily '!J32</f>
        <v>0</v>
      </c>
    </row>
    <row r="30" spans="1:12" x14ac:dyDescent="0.25">
      <c r="A30" s="16" t="s">
        <v>22</v>
      </c>
      <c r="B30" s="8">
        <f t="shared" si="4"/>
        <v>29</v>
      </c>
      <c r="C30" s="8">
        <v>11</v>
      </c>
      <c r="D30" s="8">
        <v>2018</v>
      </c>
      <c r="E30" s="19">
        <f t="shared" si="0"/>
        <v>12147</v>
      </c>
      <c r="F30" s="15">
        <f t="shared" si="5"/>
        <v>1.32</v>
      </c>
      <c r="G30" s="19">
        <f t="shared" si="1"/>
        <v>132.53333333333333</v>
      </c>
      <c r="H30" s="15" t="str">
        <f t="shared" si="6"/>
        <v>69.10</v>
      </c>
      <c r="I30" s="19">
        <f t="shared" si="2"/>
        <v>393.7</v>
      </c>
      <c r="J30" s="15">
        <v>11.09</v>
      </c>
      <c r="K30" s="19">
        <f t="shared" si="3"/>
        <v>83.666666666666671</v>
      </c>
      <c r="L30" s="19">
        <f>'FSWJ Daily '!J33</f>
        <v>0</v>
      </c>
    </row>
    <row r="31" spans="1:12" x14ac:dyDescent="0.25">
      <c r="A31" s="16" t="s">
        <v>22</v>
      </c>
      <c r="B31" s="8">
        <f t="shared" si="4"/>
        <v>30</v>
      </c>
      <c r="C31" s="8">
        <v>11</v>
      </c>
      <c r="D31" s="8">
        <v>2018</v>
      </c>
      <c r="E31" s="19">
        <f t="shared" si="0"/>
        <v>12147</v>
      </c>
      <c r="F31" s="15">
        <f t="shared" si="5"/>
        <v>1.32</v>
      </c>
      <c r="G31" s="19">
        <f t="shared" si="1"/>
        <v>132.53333333333333</v>
      </c>
      <c r="H31" s="15" t="str">
        <f t="shared" si="6"/>
        <v>69.10</v>
      </c>
      <c r="I31" s="19">
        <f t="shared" si="2"/>
        <v>393.7</v>
      </c>
      <c r="J31" s="15">
        <v>11.09</v>
      </c>
      <c r="K31" s="19">
        <f t="shared" si="3"/>
        <v>83.666666666666671</v>
      </c>
      <c r="L31" s="19">
        <f>'FSWJ Daily '!J34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F44" sqref="F44"/>
    </sheetView>
  </sheetViews>
  <sheetFormatPr defaultRowHeight="15" x14ac:dyDescent="0.25"/>
  <cols>
    <col min="1" max="1" width="14" customWidth="1"/>
    <col min="2" max="2" width="2" customWidth="1"/>
    <col min="3" max="3" width="11.85546875" style="5" customWidth="1"/>
    <col min="4" max="4" width="13.5703125" style="12" customWidth="1"/>
    <col min="5" max="5" width="13.85546875" customWidth="1"/>
    <col min="6" max="6" width="13.85546875" style="15" customWidth="1"/>
    <col min="7" max="7" width="14.85546875" customWidth="1"/>
    <col min="8" max="8" width="14.85546875" style="5" customWidth="1"/>
    <col min="9" max="10" width="13" style="19" customWidth="1"/>
  </cols>
  <sheetData>
    <row r="1" spans="1:10" ht="10.5" customHeight="1" thickBot="1" x14ac:dyDescent="0.45">
      <c r="A1" s="1"/>
      <c r="B1" s="27"/>
      <c r="C1" s="1"/>
      <c r="D1" s="10"/>
      <c r="E1" s="1"/>
      <c r="F1" s="13"/>
      <c r="G1" s="1"/>
      <c r="H1" s="1"/>
      <c r="I1" s="20"/>
      <c r="J1" s="20"/>
    </row>
    <row r="2" spans="1:10" ht="35.25" customHeight="1" thickBot="1" x14ac:dyDescent="0.3">
      <c r="A2" s="18" t="s">
        <v>15</v>
      </c>
      <c r="B2" s="27"/>
      <c r="C2" s="30" t="s">
        <v>19</v>
      </c>
      <c r="D2" s="31"/>
      <c r="E2" s="28" t="s">
        <v>20</v>
      </c>
      <c r="F2" s="28"/>
      <c r="G2" s="28" t="s">
        <v>21</v>
      </c>
      <c r="H2" s="28"/>
      <c r="I2" s="9"/>
      <c r="J2" s="9"/>
    </row>
    <row r="3" spans="1:10" ht="44.25" customHeight="1" x14ac:dyDescent="0.25">
      <c r="A3" s="2" t="s">
        <v>0</v>
      </c>
      <c r="B3" s="27"/>
      <c r="C3" s="3" t="s">
        <v>1</v>
      </c>
      <c r="D3" s="11" t="s">
        <v>2</v>
      </c>
      <c r="E3" s="4" t="s">
        <v>3</v>
      </c>
      <c r="F3" s="14" t="s">
        <v>2</v>
      </c>
      <c r="G3" s="4" t="s">
        <v>3</v>
      </c>
      <c r="H3" s="4" t="s">
        <v>2</v>
      </c>
      <c r="I3" s="21" t="s">
        <v>14</v>
      </c>
      <c r="J3" s="21" t="s">
        <v>16</v>
      </c>
    </row>
    <row r="4" spans="1:10" ht="35.25" customHeight="1" x14ac:dyDescent="0.25">
      <c r="A4" s="6">
        <v>43585</v>
      </c>
      <c r="B4" s="27"/>
      <c r="C4" s="17">
        <v>22342913</v>
      </c>
      <c r="D4" s="29">
        <f>IF((C5-C4&lt;0), "",C5-C4)</f>
        <v>7975</v>
      </c>
      <c r="E4" s="17">
        <v>23837512</v>
      </c>
      <c r="F4" s="29">
        <f>IF((E5-E4&lt;0), "",E5-E4)</f>
        <v>5799</v>
      </c>
      <c r="G4" s="17">
        <v>9975816</v>
      </c>
      <c r="H4" s="29">
        <f>IF((G5-G4&lt;0), "",G5-G4)</f>
        <v>3477</v>
      </c>
      <c r="I4" s="22"/>
      <c r="J4" s="22"/>
    </row>
    <row r="5" spans="1:10" ht="33" customHeight="1" x14ac:dyDescent="0.25">
      <c r="A5" s="6">
        <v>43586</v>
      </c>
      <c r="B5" s="27"/>
      <c r="C5" s="17">
        <v>22350888</v>
      </c>
      <c r="D5" s="29"/>
      <c r="E5" s="17">
        <v>23843311</v>
      </c>
      <c r="F5" s="29"/>
      <c r="G5" s="17">
        <v>9979293</v>
      </c>
      <c r="H5" s="29"/>
      <c r="I5" s="22"/>
      <c r="J5" s="22"/>
    </row>
    <row r="6" spans="1:10" ht="45" customHeight="1" x14ac:dyDescent="0.3">
      <c r="A6" s="6">
        <v>43587</v>
      </c>
      <c r="B6" s="27"/>
      <c r="C6" s="17">
        <v>0</v>
      </c>
      <c r="D6" s="7" t="str">
        <f>IF((C6-C5&lt;0), "",C6-C5)</f>
        <v/>
      </c>
      <c r="E6" s="17"/>
      <c r="F6" s="7" t="str">
        <f t="shared" ref="F6:F32" si="0">IF((E6-E5&lt;0), "",E6-E5)</f>
        <v/>
      </c>
      <c r="G6" s="17"/>
      <c r="H6" s="7" t="str">
        <f>IF((G6-G5&lt;0), "",G6-G5)</f>
        <v/>
      </c>
      <c r="I6" s="20"/>
      <c r="J6" s="20"/>
    </row>
    <row r="7" spans="1:10" ht="45" customHeight="1" x14ac:dyDescent="0.3">
      <c r="A7" s="6">
        <v>43588</v>
      </c>
      <c r="B7" s="27"/>
      <c r="C7" s="17">
        <v>0</v>
      </c>
      <c r="D7" s="7">
        <f t="shared" ref="D7:D35" si="1">IF((C7-C6&lt;0), "",C7-C6)</f>
        <v>0</v>
      </c>
      <c r="E7" s="17"/>
      <c r="F7" s="7">
        <f t="shared" si="0"/>
        <v>0</v>
      </c>
      <c r="G7" s="17"/>
      <c r="H7" s="7">
        <f>IF((G7-G6&lt;0), "",G7-G6)</f>
        <v>0</v>
      </c>
      <c r="I7" s="20"/>
      <c r="J7" s="20"/>
    </row>
    <row r="8" spans="1:10" ht="45" customHeight="1" x14ac:dyDescent="0.3">
      <c r="A8" s="6">
        <v>43589</v>
      </c>
      <c r="B8" s="27"/>
      <c r="C8" s="17"/>
      <c r="D8" s="7">
        <f t="shared" si="1"/>
        <v>0</v>
      </c>
      <c r="E8" s="17"/>
      <c r="F8" s="7">
        <f t="shared" si="0"/>
        <v>0</v>
      </c>
      <c r="G8" s="17"/>
      <c r="H8" s="7">
        <f t="shared" ref="H8:H32" si="2">IF((G8-G7&lt;0), "",G8-G7)</f>
        <v>0</v>
      </c>
      <c r="I8" s="20"/>
      <c r="J8" s="20"/>
    </row>
    <row r="9" spans="1:10" ht="45" customHeight="1" x14ac:dyDescent="0.3">
      <c r="A9" s="6">
        <v>43590</v>
      </c>
      <c r="B9" s="27"/>
      <c r="C9" s="17">
        <v>0</v>
      </c>
      <c r="D9" s="7">
        <f t="shared" si="1"/>
        <v>0</v>
      </c>
      <c r="E9" s="17">
        <v>0</v>
      </c>
      <c r="F9" s="7">
        <f t="shared" si="0"/>
        <v>0</v>
      </c>
      <c r="G9" s="17">
        <v>0</v>
      </c>
      <c r="H9" s="7">
        <f t="shared" si="2"/>
        <v>0</v>
      </c>
      <c r="I9" s="20"/>
      <c r="J9" s="20"/>
    </row>
    <row r="10" spans="1:10" ht="45" customHeight="1" x14ac:dyDescent="0.3">
      <c r="A10" s="6">
        <v>43591</v>
      </c>
      <c r="B10" s="27"/>
      <c r="C10" s="17">
        <v>0</v>
      </c>
      <c r="D10" s="7">
        <f t="shared" si="1"/>
        <v>0</v>
      </c>
      <c r="E10" s="17">
        <v>0</v>
      </c>
      <c r="F10" s="7">
        <f t="shared" si="0"/>
        <v>0</v>
      </c>
      <c r="G10" s="17">
        <v>0</v>
      </c>
      <c r="H10" s="7">
        <f t="shared" si="2"/>
        <v>0</v>
      </c>
      <c r="I10" s="20"/>
      <c r="J10" s="20"/>
    </row>
    <row r="11" spans="1:10" ht="45" customHeight="1" x14ac:dyDescent="0.3">
      <c r="A11" s="6">
        <v>43592</v>
      </c>
      <c r="B11" s="27"/>
      <c r="C11" s="17">
        <v>0</v>
      </c>
      <c r="D11" s="7">
        <f t="shared" si="1"/>
        <v>0</v>
      </c>
      <c r="E11" s="17">
        <v>0</v>
      </c>
      <c r="F11" s="7">
        <f t="shared" si="0"/>
        <v>0</v>
      </c>
      <c r="G11" s="17">
        <v>0</v>
      </c>
      <c r="H11" s="7">
        <f t="shared" si="2"/>
        <v>0</v>
      </c>
      <c r="I11" s="20"/>
      <c r="J11" s="20"/>
    </row>
    <row r="12" spans="1:10" ht="45" customHeight="1" x14ac:dyDescent="0.3">
      <c r="A12" s="6">
        <v>43593</v>
      </c>
      <c r="B12" s="27"/>
      <c r="C12" s="17">
        <v>0</v>
      </c>
      <c r="D12" s="7">
        <f t="shared" si="1"/>
        <v>0</v>
      </c>
      <c r="E12" s="17">
        <v>0</v>
      </c>
      <c r="F12" s="7">
        <f t="shared" si="0"/>
        <v>0</v>
      </c>
      <c r="G12" s="17">
        <v>0</v>
      </c>
      <c r="H12" s="7">
        <f t="shared" si="2"/>
        <v>0</v>
      </c>
      <c r="I12" s="20"/>
      <c r="J12" s="20"/>
    </row>
    <row r="13" spans="1:10" ht="45" customHeight="1" x14ac:dyDescent="0.3">
      <c r="A13" s="6">
        <v>43594</v>
      </c>
      <c r="B13" s="27"/>
      <c r="C13" s="17">
        <v>0</v>
      </c>
      <c r="D13" s="7">
        <f t="shared" si="1"/>
        <v>0</v>
      </c>
      <c r="E13" s="17">
        <v>0</v>
      </c>
      <c r="F13" s="7">
        <f t="shared" si="0"/>
        <v>0</v>
      </c>
      <c r="G13" s="17">
        <v>0</v>
      </c>
      <c r="H13" s="7">
        <f t="shared" si="2"/>
        <v>0</v>
      </c>
      <c r="I13" s="20"/>
      <c r="J13" s="20"/>
    </row>
    <row r="14" spans="1:10" ht="45" customHeight="1" x14ac:dyDescent="0.3">
      <c r="A14" s="6">
        <v>43595</v>
      </c>
      <c r="B14" s="27"/>
      <c r="C14" s="17">
        <v>0</v>
      </c>
      <c r="D14" s="7">
        <f t="shared" si="1"/>
        <v>0</v>
      </c>
      <c r="E14" s="17">
        <v>0</v>
      </c>
      <c r="F14" s="7">
        <f t="shared" si="0"/>
        <v>0</v>
      </c>
      <c r="G14" s="17">
        <v>0</v>
      </c>
      <c r="H14" s="7">
        <f t="shared" si="2"/>
        <v>0</v>
      </c>
      <c r="I14" s="20"/>
      <c r="J14" s="20"/>
    </row>
    <row r="15" spans="1:10" ht="45" customHeight="1" x14ac:dyDescent="0.3">
      <c r="A15" s="6">
        <v>43596</v>
      </c>
      <c r="B15" s="27"/>
      <c r="C15" s="17">
        <v>0</v>
      </c>
      <c r="D15" s="7">
        <f t="shared" si="1"/>
        <v>0</v>
      </c>
      <c r="E15" s="17">
        <v>0</v>
      </c>
      <c r="F15" s="7">
        <f t="shared" si="0"/>
        <v>0</v>
      </c>
      <c r="G15" s="17">
        <v>0</v>
      </c>
      <c r="H15" s="7"/>
      <c r="I15" s="20"/>
      <c r="J15" s="20"/>
    </row>
    <row r="16" spans="1:10" ht="45" customHeight="1" x14ac:dyDescent="0.3">
      <c r="A16" s="6">
        <v>43597</v>
      </c>
      <c r="B16" s="27"/>
      <c r="C16" s="17">
        <v>0</v>
      </c>
      <c r="D16" s="7">
        <f t="shared" si="1"/>
        <v>0</v>
      </c>
      <c r="E16" s="17">
        <v>0</v>
      </c>
      <c r="F16" s="7">
        <f t="shared" si="0"/>
        <v>0</v>
      </c>
      <c r="G16" s="17">
        <v>0</v>
      </c>
      <c r="H16" s="7">
        <f t="shared" si="2"/>
        <v>0</v>
      </c>
      <c r="I16" s="20"/>
      <c r="J16" s="20"/>
    </row>
    <row r="17" spans="1:10" ht="45" customHeight="1" x14ac:dyDescent="0.3">
      <c r="A17" s="6">
        <v>43598</v>
      </c>
      <c r="B17" s="27"/>
      <c r="C17" s="17">
        <v>0</v>
      </c>
      <c r="D17" s="7">
        <f t="shared" si="1"/>
        <v>0</v>
      </c>
      <c r="E17" s="17">
        <v>0</v>
      </c>
      <c r="F17" s="7">
        <f t="shared" si="0"/>
        <v>0</v>
      </c>
      <c r="G17" s="17">
        <v>0</v>
      </c>
      <c r="H17" s="7">
        <f t="shared" si="2"/>
        <v>0</v>
      </c>
      <c r="I17" s="20"/>
      <c r="J17" s="20"/>
    </row>
    <row r="18" spans="1:10" ht="45" customHeight="1" x14ac:dyDescent="0.3">
      <c r="A18" s="6">
        <v>43599</v>
      </c>
      <c r="B18" s="27"/>
      <c r="C18" s="17">
        <v>0</v>
      </c>
      <c r="D18" s="7">
        <f t="shared" si="1"/>
        <v>0</v>
      </c>
      <c r="E18" s="17">
        <v>0</v>
      </c>
      <c r="F18" s="7">
        <f t="shared" si="0"/>
        <v>0</v>
      </c>
      <c r="G18" s="17">
        <v>0</v>
      </c>
      <c r="H18" s="7">
        <f t="shared" si="2"/>
        <v>0</v>
      </c>
      <c r="I18" s="20"/>
      <c r="J18" s="20"/>
    </row>
    <row r="19" spans="1:10" ht="45" customHeight="1" x14ac:dyDescent="0.3">
      <c r="A19" s="6">
        <v>43600</v>
      </c>
      <c r="B19" s="27"/>
      <c r="C19" s="17">
        <v>0</v>
      </c>
      <c r="D19" s="7">
        <f t="shared" si="1"/>
        <v>0</v>
      </c>
      <c r="E19" s="17">
        <v>0</v>
      </c>
      <c r="F19" s="7">
        <f t="shared" si="0"/>
        <v>0</v>
      </c>
      <c r="G19" s="17">
        <v>0</v>
      </c>
      <c r="H19" s="7">
        <f t="shared" si="2"/>
        <v>0</v>
      </c>
      <c r="I19" s="20"/>
      <c r="J19" s="20"/>
    </row>
    <row r="20" spans="1:10" ht="45" customHeight="1" x14ac:dyDescent="0.3">
      <c r="A20" s="6">
        <v>43601</v>
      </c>
      <c r="B20" s="27"/>
      <c r="C20" s="17">
        <v>0</v>
      </c>
      <c r="D20" s="7">
        <f t="shared" si="1"/>
        <v>0</v>
      </c>
      <c r="E20" s="17">
        <v>0</v>
      </c>
      <c r="F20" s="7">
        <f t="shared" si="0"/>
        <v>0</v>
      </c>
      <c r="G20" s="17">
        <v>0</v>
      </c>
      <c r="H20" s="7">
        <f t="shared" si="2"/>
        <v>0</v>
      </c>
      <c r="I20" s="20"/>
      <c r="J20" s="20"/>
    </row>
    <row r="21" spans="1:10" ht="45" customHeight="1" x14ac:dyDescent="0.3">
      <c r="A21" s="6">
        <v>43602</v>
      </c>
      <c r="B21" s="27"/>
      <c r="C21" s="17">
        <v>0</v>
      </c>
      <c r="D21" s="7">
        <f t="shared" si="1"/>
        <v>0</v>
      </c>
      <c r="E21" s="17">
        <v>0</v>
      </c>
      <c r="F21" s="7">
        <f t="shared" si="0"/>
        <v>0</v>
      </c>
      <c r="G21" s="17">
        <v>0</v>
      </c>
      <c r="H21" s="7">
        <f t="shared" si="2"/>
        <v>0</v>
      </c>
      <c r="I21" s="20"/>
      <c r="J21" s="20"/>
    </row>
    <row r="22" spans="1:10" ht="45" customHeight="1" x14ac:dyDescent="0.3">
      <c r="A22" s="6">
        <v>43603</v>
      </c>
      <c r="B22" s="27"/>
      <c r="C22" s="17">
        <v>0</v>
      </c>
      <c r="D22" s="7">
        <f t="shared" si="1"/>
        <v>0</v>
      </c>
      <c r="E22" s="17">
        <v>0</v>
      </c>
      <c r="F22" s="7">
        <f t="shared" si="0"/>
        <v>0</v>
      </c>
      <c r="G22" s="17">
        <v>0</v>
      </c>
      <c r="H22" s="7">
        <f t="shared" si="2"/>
        <v>0</v>
      </c>
      <c r="I22" s="20"/>
      <c r="J22" s="20"/>
    </row>
    <row r="23" spans="1:10" ht="45" customHeight="1" x14ac:dyDescent="0.3">
      <c r="A23" s="6">
        <v>43604</v>
      </c>
      <c r="B23" s="27"/>
      <c r="C23" s="17">
        <v>0</v>
      </c>
      <c r="D23" s="7">
        <f t="shared" si="1"/>
        <v>0</v>
      </c>
      <c r="E23" s="17">
        <v>0</v>
      </c>
      <c r="F23" s="7">
        <f t="shared" si="0"/>
        <v>0</v>
      </c>
      <c r="G23" s="17">
        <v>0</v>
      </c>
      <c r="H23" s="7">
        <f t="shared" si="2"/>
        <v>0</v>
      </c>
      <c r="I23" s="20"/>
      <c r="J23" s="20"/>
    </row>
    <row r="24" spans="1:10" ht="45" customHeight="1" x14ac:dyDescent="0.3">
      <c r="A24" s="6">
        <v>43605</v>
      </c>
      <c r="B24" s="27"/>
      <c r="C24" s="17">
        <v>0</v>
      </c>
      <c r="D24" s="7">
        <f t="shared" si="1"/>
        <v>0</v>
      </c>
      <c r="E24" s="17">
        <v>0</v>
      </c>
      <c r="F24" s="7">
        <f t="shared" si="0"/>
        <v>0</v>
      </c>
      <c r="G24" s="17">
        <v>0</v>
      </c>
      <c r="H24" s="7">
        <f t="shared" si="2"/>
        <v>0</v>
      </c>
      <c r="I24" s="20"/>
      <c r="J24" s="20"/>
    </row>
    <row r="25" spans="1:10" ht="45" customHeight="1" x14ac:dyDescent="0.3">
      <c r="A25" s="6">
        <v>43606</v>
      </c>
      <c r="B25" s="27"/>
      <c r="C25" s="17">
        <v>0</v>
      </c>
      <c r="D25" s="7">
        <f t="shared" si="1"/>
        <v>0</v>
      </c>
      <c r="E25" s="17">
        <v>0</v>
      </c>
      <c r="F25" s="7">
        <f t="shared" si="0"/>
        <v>0</v>
      </c>
      <c r="G25" s="17">
        <v>0</v>
      </c>
      <c r="H25" s="7">
        <f t="shared" si="2"/>
        <v>0</v>
      </c>
      <c r="I25" s="20"/>
      <c r="J25" s="20"/>
    </row>
    <row r="26" spans="1:10" ht="45" customHeight="1" x14ac:dyDescent="0.3">
      <c r="A26" s="6">
        <v>43607</v>
      </c>
      <c r="B26" s="27"/>
      <c r="C26" s="17">
        <v>0</v>
      </c>
      <c r="D26" s="7">
        <f t="shared" si="1"/>
        <v>0</v>
      </c>
      <c r="E26" s="17">
        <v>0</v>
      </c>
      <c r="F26" s="7">
        <f t="shared" si="0"/>
        <v>0</v>
      </c>
      <c r="G26" s="17">
        <v>0</v>
      </c>
      <c r="H26" s="7">
        <f t="shared" si="2"/>
        <v>0</v>
      </c>
      <c r="I26" s="20"/>
      <c r="J26" s="20"/>
    </row>
    <row r="27" spans="1:10" ht="45" customHeight="1" x14ac:dyDescent="0.3">
      <c r="A27" s="6">
        <v>43608</v>
      </c>
      <c r="B27" s="27"/>
      <c r="C27" s="17">
        <v>0</v>
      </c>
      <c r="D27" s="7">
        <f t="shared" si="1"/>
        <v>0</v>
      </c>
      <c r="E27" s="17">
        <v>0</v>
      </c>
      <c r="F27" s="7">
        <f t="shared" si="0"/>
        <v>0</v>
      </c>
      <c r="G27" s="17">
        <v>0</v>
      </c>
      <c r="H27" s="7">
        <f t="shared" si="2"/>
        <v>0</v>
      </c>
      <c r="I27" s="20"/>
      <c r="J27" s="20"/>
    </row>
    <row r="28" spans="1:10" ht="45" customHeight="1" x14ac:dyDescent="0.3">
      <c r="A28" s="6">
        <v>43609</v>
      </c>
      <c r="B28" s="27"/>
      <c r="C28" s="17">
        <v>0</v>
      </c>
      <c r="D28" s="7">
        <f t="shared" si="1"/>
        <v>0</v>
      </c>
      <c r="E28" s="17">
        <v>0</v>
      </c>
      <c r="F28" s="7">
        <f t="shared" si="0"/>
        <v>0</v>
      </c>
      <c r="G28" s="17">
        <v>0</v>
      </c>
      <c r="H28" s="7">
        <f t="shared" si="2"/>
        <v>0</v>
      </c>
      <c r="I28" s="20"/>
      <c r="J28" s="20"/>
    </row>
    <row r="29" spans="1:10" ht="45" customHeight="1" x14ac:dyDescent="0.3">
      <c r="A29" s="6">
        <v>43610</v>
      </c>
      <c r="B29" s="27"/>
      <c r="C29" s="17">
        <v>0</v>
      </c>
      <c r="D29" s="7">
        <f t="shared" si="1"/>
        <v>0</v>
      </c>
      <c r="E29" s="17">
        <v>0</v>
      </c>
      <c r="F29" s="7">
        <f t="shared" si="0"/>
        <v>0</v>
      </c>
      <c r="G29" s="17">
        <v>0</v>
      </c>
      <c r="H29" s="7">
        <f t="shared" si="2"/>
        <v>0</v>
      </c>
      <c r="I29" s="20"/>
      <c r="J29" s="20"/>
    </row>
    <row r="30" spans="1:10" ht="45" customHeight="1" x14ac:dyDescent="0.3">
      <c r="A30" s="6">
        <v>43611</v>
      </c>
      <c r="B30" s="27"/>
      <c r="C30" s="17">
        <v>0</v>
      </c>
      <c r="D30" s="7">
        <f t="shared" si="1"/>
        <v>0</v>
      </c>
      <c r="E30" s="17">
        <v>0</v>
      </c>
      <c r="F30" s="7">
        <f t="shared" si="0"/>
        <v>0</v>
      </c>
      <c r="G30" s="17">
        <v>0</v>
      </c>
      <c r="H30" s="7">
        <f t="shared" si="2"/>
        <v>0</v>
      </c>
      <c r="I30" s="20"/>
      <c r="J30" s="20"/>
    </row>
    <row r="31" spans="1:10" ht="45" customHeight="1" x14ac:dyDescent="0.3">
      <c r="A31" s="6">
        <v>43612</v>
      </c>
      <c r="B31" s="27"/>
      <c r="C31" s="17">
        <v>0</v>
      </c>
      <c r="D31" s="7">
        <f t="shared" si="1"/>
        <v>0</v>
      </c>
      <c r="E31" s="17">
        <v>0</v>
      </c>
      <c r="F31" s="7">
        <f t="shared" si="0"/>
        <v>0</v>
      </c>
      <c r="G31" s="17">
        <v>0</v>
      </c>
      <c r="H31" s="7">
        <f t="shared" si="2"/>
        <v>0</v>
      </c>
      <c r="I31" s="20"/>
      <c r="J31" s="20"/>
    </row>
    <row r="32" spans="1:10" ht="45" customHeight="1" x14ac:dyDescent="0.3">
      <c r="A32" s="6">
        <v>43613</v>
      </c>
      <c r="B32" s="27"/>
      <c r="C32" s="17">
        <v>0</v>
      </c>
      <c r="D32" s="7">
        <f t="shared" si="1"/>
        <v>0</v>
      </c>
      <c r="E32" s="17">
        <v>0</v>
      </c>
      <c r="F32" s="7">
        <f t="shared" si="0"/>
        <v>0</v>
      </c>
      <c r="G32" s="17">
        <v>0</v>
      </c>
      <c r="H32" s="7">
        <f t="shared" si="2"/>
        <v>0</v>
      </c>
      <c r="I32" s="20"/>
      <c r="J32" s="20"/>
    </row>
    <row r="33" spans="1:10" ht="36" customHeight="1" x14ac:dyDescent="0.3">
      <c r="A33" s="6">
        <v>43614</v>
      </c>
      <c r="C33" s="17">
        <v>0</v>
      </c>
      <c r="D33" s="7">
        <f t="shared" si="1"/>
        <v>0</v>
      </c>
      <c r="E33" s="17">
        <v>0</v>
      </c>
      <c r="F33" s="7">
        <f>IF((E33-E32&lt;0), "",E33-E32)</f>
        <v>0</v>
      </c>
      <c r="G33" s="17">
        <v>0</v>
      </c>
      <c r="H33" s="7">
        <f>IF((G33-G32&lt;0), "",G33-G32)</f>
        <v>0</v>
      </c>
      <c r="I33" s="20"/>
      <c r="J33" s="20"/>
    </row>
    <row r="34" spans="1:10" ht="45.6" customHeight="1" x14ac:dyDescent="0.3">
      <c r="A34" s="6">
        <v>43615</v>
      </c>
      <c r="C34" s="17">
        <v>0</v>
      </c>
      <c r="D34" s="7">
        <f t="shared" si="1"/>
        <v>0</v>
      </c>
      <c r="E34" s="17">
        <v>0</v>
      </c>
      <c r="F34" s="7">
        <f>IF((E34-E33&lt;0), "",E34-E33)</f>
        <v>0</v>
      </c>
      <c r="G34" s="17">
        <v>0</v>
      </c>
      <c r="H34" s="7">
        <f>IF((G34-G33&lt;0), "",G34-G33)</f>
        <v>0</v>
      </c>
      <c r="I34" s="20"/>
      <c r="J34" s="20"/>
    </row>
    <row r="35" spans="1:10" ht="47.45" customHeight="1" x14ac:dyDescent="0.3">
      <c r="A35" s="6">
        <v>43616</v>
      </c>
      <c r="C35" s="17">
        <v>0</v>
      </c>
      <c r="D35" s="7">
        <f t="shared" si="1"/>
        <v>0</v>
      </c>
      <c r="E35" s="17">
        <v>0</v>
      </c>
      <c r="F35" s="7">
        <f>IF((E35-E34&lt;0), "",E35-E34)</f>
        <v>0</v>
      </c>
      <c r="G35" s="17">
        <v>0</v>
      </c>
      <c r="H35" s="7">
        <f>IF((G35-G34&lt;0), "",G35-G34)</f>
        <v>0</v>
      </c>
      <c r="I35" s="20"/>
      <c r="J35" s="20"/>
    </row>
  </sheetData>
  <mergeCells count="7">
    <mergeCell ref="B1:B32"/>
    <mergeCell ref="E2:F2"/>
    <mergeCell ref="G2:H2"/>
    <mergeCell ref="D4:D5"/>
    <mergeCell ref="C2:D2"/>
    <mergeCell ref="F4:F5"/>
    <mergeCell ref="H4:H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FSWJ Daily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2019-11-01T11:27:15Z</dcterms:modified>
</cp:coreProperties>
</file>